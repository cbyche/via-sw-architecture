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c5ab6c74d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9b2786ddb74b4b"/>
    <x:sheet xmlns:r="http://schemas.openxmlformats.org/officeDocument/2006/relationships" name="Rates" sheetId="2" r:id="Rc7fc989f91e14d4e"/>
    <x:sheet xmlns:r="http://schemas.openxmlformats.org/officeDocument/2006/relationships" name="Responses" sheetId="3" r:id="Rd8e9328a0ac44d4e"/>
    <x:sheet xmlns:r="http://schemas.openxmlformats.org/officeDocument/2006/relationships" name="Goals" sheetId="4" r:id="R3e8b829b0188402b"/>
    <x:sheet xmlns:r="http://schemas.openxmlformats.org/officeDocument/2006/relationships" name="Stages" sheetId="5" r:id="R1ce84a4edb384f00"/>
    <x:sheet xmlns:r="http://schemas.openxmlformats.org/officeDocument/2006/relationships" name="Usage" sheetId="6" r:id="R9e070b75e5b84cce"/>
    <x:sheet xmlns:r="http://schemas.openxmlformats.org/officeDocument/2006/relationships" name="Memory" sheetId="7" r:id="R79c0437214f649f2"/>
    <x:sheet xmlns:r="http://schemas.openxmlformats.org/officeDocument/2006/relationships" name="Changes" sheetId="8" r:id="R96545e3d0e3b4992"/>
    <x:sheet xmlns:r="http://schemas.openxmlformats.org/officeDocument/2006/relationships" name="Cases" sheetId="9" r:id="Rdce8189bac43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0"/>
    <x:numFmt numFmtId="202" formatCode="0"/>
    <x:numFmt numFmtId="203" formatCode="0.0000000"/>
    <x:numFmt numFmtId="204" formatCode="0.00%"/>
  </x:numFmts>
  <x:fonts count="7">
    <x:font>
      <x:sz val="11"/>
      <x:name val="Carlito"/>
    </x:font>
    <x:font>
      <x:sz val="11"/>
      <x:color rgb="FF17212B"/>
      <x:name val="Arial"/>
    </x:font>
    <x:font>
      <x:b/>
      <x:sz val="16"/>
      <x:color rgb="FFFFFFFF"/>
      <x:name val="Arial"/>
    </x:font>
    <x:font>
      <x:sz val="10"/>
      <x:color rgb="FF536779"/>
      <x:name val="Arial"/>
    </x:font>
    <x:font>
      <x:b/>
      <x:sz val="11"/>
      <x:color rgb="FF17212B"/>
      <x:name val="Arial"/>
    </x:font>
    <x:font>
      <x:sz val="11"/>
      <x:color rgb="FF245FA6"/>
      <x:name val="Arial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1"/>
      </x:patternFill>
    </x:fill>
    <x:fill>
      <x:patternFill patternType="solid">
        <x:fgColor rgb="FFED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85273e4d646e1" /><Relationship Type="http://schemas.openxmlformats.org/officeDocument/2006/relationships/theme" Target="/xl/theme/theme1.xml" Id="R7c03f61a56a049d2" /><Relationship Type="http://schemas.openxmlformats.org/officeDocument/2006/relationships/sharedStrings" Target="/xl/sharedStrings.xml" Id="R23c732dbfe3645ac" /><Relationship Type="http://schemas.openxmlformats.org/officeDocument/2006/relationships/worksheet" Target="/xl/worksheets/sheet1.xml" Id="R149b2786ddb74b4b" /><Relationship Type="http://schemas.openxmlformats.org/officeDocument/2006/relationships/worksheet" Target="/xl/worksheets/sheet2.xml" Id="Rc7fc989f91e14d4e" /><Relationship Type="http://schemas.openxmlformats.org/officeDocument/2006/relationships/worksheet" Target="/xl/worksheets/sheet3.xml" Id="Rd8e9328a0ac44d4e" /><Relationship Type="http://schemas.openxmlformats.org/officeDocument/2006/relationships/worksheet" Target="/xl/worksheets/sheet4.xml" Id="R3e8b829b0188402b" /><Relationship Type="http://schemas.openxmlformats.org/officeDocument/2006/relationships/worksheet" Target="/xl/worksheets/sheet5.xml" Id="R1ce84a4edb384f00" /><Relationship Type="http://schemas.openxmlformats.org/officeDocument/2006/relationships/worksheet" Target="/xl/worksheets/sheet6.xml" Id="R9e070b75e5b84cce" /><Relationship Type="http://schemas.openxmlformats.org/officeDocument/2006/relationships/worksheet" Target="/xl/worksheets/sheet7.xml" Id="R79c0437214f649f2" /><Relationship Type="http://schemas.openxmlformats.org/officeDocument/2006/relationships/worksheet" Target="/xl/worksheets/sheet8.xml" Id="R96545e3d0e3b4992" /><Relationship Type="http://schemas.openxmlformats.org/officeDocument/2006/relationships/worksheet" Target="/xl/worksheets/sheet9.xml" Id="Rdce8189bac4349ca" /></Relationships>
</file>

<file path=xl/tables/table1.xml><?xml version="1.0" encoding="utf-8"?>
<x:table xmlns:x="http://schemas.openxmlformats.org/spreadsheetml/2006/main" id="9" name="TableSummary" displayName="TableSummary" ref="A3:F11" headerRowCount="1" totalsRowCount="0" totalsRowShown="0">
  <x:tableColumns count="6">
    <x:tableColumn id="1" name="지표"/>
    <x:tableColumn id="2" name="단위"/>
    <x:tableColumn id="3" name="A"/>
    <x:tableColumn id="4" name="B"/>
    <x:tableColumn id="5" name="B - A"/>
    <x:tableColumn id="6" name="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Rates" displayName="TableRates" ref="A3:D7" headerRowCount="1" totalsRowCount="0" totalsRowShown="0">
  <x:tableColumns count="4">
    <x:tableColumn id="1" name="항목"/>
    <x:tableColumn id="2" name="USD/단위"/>
    <x:tableColumn id="3" name="단위"/>
    <x:tableColumn id="4" name="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Responses" displayName="TableResponses" ref="A3:J163" headerRowCount="1" totalsRowCount="0" totalsRowShown="0">
  <x:tableColumns count="10">
    <x:tableColumn id="1" name="사례"/>
    <x:tableColumn id="2" name="안"/>
    <x:tableColumn id="3" name="화면 초"/>
    <x:tableColumn id="4" name="음성 초"/>
    <x:tableColumn id="5" name="QA02 성공"/>
    <x:tableColumn id="6" name="QA02 표현"/>
    <x:tableColumn id="7" name="QA07 성공"/>
    <x:tableColumn id="8" name="입력 ID"/>
    <x:tableColumn id="9" name="첫 화면 문구"/>
    <x:tableColumn id="10" name="첫 음성 문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Goals" displayName="TableGoals" ref="A3:F183" headerRowCount="1" totalsRowCount="0" totalsRowShown="0">
  <x:tableColumns count="6">
    <x:tableColumn id="1" name="목표 ID"/>
    <x:tableColumn id="2" name="안"/>
    <x:tableColumn id="3" name="시작 초"/>
    <x:tableColumn id="4" name="QA03 초"/>
    <x:tableColumn id="5" name="terminal node IDs"/>
    <x:tableColumn id="6" name="완료 범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Stages" displayName="TableStages" ref="A3:H3023" headerRowCount="1" totalsRowCount="0" totalsRowShown="0">
  <x:tableColumns count="8">
    <x:tableColumn id="1" name="단계 ID"/>
    <x:tableColumn id="2" name="안"/>
    <x:tableColumn id="3" name="단계명"/>
    <x:tableColumn id="4" name="시작 초"/>
    <x:tableColumn id="5" name="종료 초"/>
    <x:tableColumn id="6" name="duration 초"/>
    <x:tableColumn id="7" name="VIA 포함"/>
    <x:tableColumn id="8" name="선행 단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Usage" displayName="TableUsage" ref="A3:I913" headerRowCount="1" totalsRowCount="0" totalsRowShown="0">
  <x:tableColumns count="9">
    <x:tableColumn id="1" name="사례"/>
    <x:tableColumn id="2" name="안"/>
    <x:tableColumn id="3" name="역할"/>
    <x:tableColumn id="4" name="단계"/>
    <x:tableColumn id="5" name="text 입력"/>
    <x:tableColumn id="6" name="text 출력"/>
    <x:tableColumn id="7" name="음성 입력 초"/>
    <x:tableColumn id="8" name="음성 출력 초"/>
    <x:tableColumn id="9" name="비용 US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Memory" displayName="TableMemory" ref="A3:G5343" headerRowCount="1" totalsRowCount="0" totalsRowShown="0">
  <x:tableColumns count="7">
    <x:tableColumn id="1" name="사례"/>
    <x:tableColumn id="2" name="안"/>
    <x:tableColumn id="3" name="시각 초"/>
    <x:tableColumn id="4" name="공통 MB"/>
    <x:tableColumn id="5" name="audio MB"/>
    <x:tableColumn id="6" name="metadata MB"/>
    <x:tableColumn id="7" name="합계 MB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Changes" displayName="TableChanges" ref="A3:I15" headerRowCount="1" totalsRowCount="0" totalsRowShown="0">
  <x:tableColumns count="9">
    <x:tableColumn id="1" name="과제"/>
    <x:tableColumn id="2" name="안"/>
    <x:tableColumn id="3" name="모듈 수"/>
    <x:tableColumn id="4" name="모듈 1"/>
    <x:tableColumn id="5" name="모듈 2"/>
    <x:tableColumn id="6" name="모듈 3"/>
    <x:tableColumn id="7" name="모듈 4"/>
    <x:tableColumn id="8" name="모듈 5"/>
    <x:tableColumn id="9" name="변경 이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Cases" displayName="TableCases" ref="A3:G83" headerRowCount="1" totalsRowCount="0" totalsRowShown="0">
  <x:tableColumns count="7">
    <x:tableColumn id="1" name="사례"/>
    <x:tableColumn id="2" name="사례군"/>
    <x:tableColumn id="3" name="사용자 발화"/>
    <x:tableColumn id="4" name="시작 초"/>
    <x:tableColumn id="5" name="종료 초"/>
    <x:tableColumn id="6" name="정답 대상과 의미"/>
    <x:tableColumn id="7" name="변형 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97b7c026c14d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96415eee3143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3881ae379046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d1d0b3b90849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143702e7dc42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755ab27e7646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c184fd19db842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9091166d51540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c612d89cd8145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7" hidden="0" customWidth="1"/>
  </x:cols>
  <x:sheetData>
    <x:row r="1" ht="32" customHeight="1">
      <x:c r="A1" s="3" t="str">
        <x:v>DP44 A/B 가상 QA 비교</x:v>
      </x:c>
      <x:c r="B1" s="3"/>
      <x:c r="C1" s="3"/>
      <x:c r="D1" s="3"/>
      <x:c r="E1" s="3"/>
      <x:c r="F1" s="3"/>
    </x:row>
    <x:row r="2" ht="28" customHeight="1">
      <x:c r="A2" s="4" t="str">
        <x:v>작성 가정 기반 합성 자료. 원본: synthetic-data.json. 실제 모델 실행 및 제품 시험 아님.</x:v>
      </x:c>
      <x:c r="B2" s="4"/>
      <x:c r="C2" s="4"/>
      <x:c r="D2" s="4"/>
      <x:c r="E2" s="4"/>
      <x:c r="F2" s="4"/>
    </x:row>
    <x:row r="3" ht="34" customHeight="1">
      <x:c r="A3" s="8" t="str">
        <x:v>지표</x:v>
      </x:c>
      <x:c r="B3" s="8" t="str">
        <x:v>단위</x:v>
      </x:c>
      <x:c r="C3" s="8" t="str">
        <x:v>A</x:v>
      </x:c>
      <x:c r="D3" s="8" t="str">
        <x:v>B</x:v>
      </x:c>
      <x:c r="E3" s="8" t="str">
        <x:v>B - A</x:v>
      </x:c>
      <x:c r="F3" s="8" t="str">
        <x:v>해석</x:v>
      </x:c>
    </x:row>
    <x:row r="4" ht="24" customHeight="1">
      <x:c r="A4" s="10" t="str">
        <x:v>QA01 화면</x:v>
      </x:c>
      <x:c r="B4" s="10" t="str">
        <x:v>초</x:v>
      </x:c>
      <x:c r="C4" s="10" t="n">
        <x:f>AVERAGEIF(Responses!$B$4:$B$163,"A",Responses!$C$4:$C$163)</x:f>
        <x:v>0.9233333332999999</x:v>
      </x:c>
      <x:c r="D4" s="10" t="n">
        <x:f>AVERAGEIF(Responses!$B$4:$B$163,"B",Responses!$C$4:$C$163)</x:f>
        <x:v>0.9233333332999999</x:v>
      </x:c>
      <x:c r="E4" s="10" t="n">
        <x:f>D4-C4</x:f>
        <x:v>0</x:v>
      </x:c>
      <x:c r="F4" s="10" t="str">
        <x:v>동일 UI 경로</x:v>
      </x:c>
    </x:row>
    <x:row r="5" ht="24" customHeight="1">
      <x:c r="A5" s="10" t="str">
        <x:v>QA01 음성</x:v>
      </x:c>
      <x:c r="B5" s="10" t="str">
        <x:v>초</x:v>
      </x:c>
      <x:c r="C5" s="10" t="n">
        <x:f>AVERAGEIF(Responses!$B$4:$B$163,"A",Responses!$D$4:$D$163)</x:f>
        <x:v>1.0687083333</x:v>
      </x:c>
      <x:c r="D5" s="10" t="n">
        <x:f>AVERAGEIF(Responses!$B$4:$B$163,"B",Responses!$D$4:$D$163)</x:f>
        <x:v>1.275624999925</x:v>
      </x:c>
      <x:c r="E5" s="10" t="n">
        <x:f>D5-C5</x:f>
        <x:v>0.20691666662499997</x:v>
      </x:c>
      <x:c r="F5" s="10" t="str">
        <x:v>실제 출력에 대응하는 가상 사건</x:v>
      </x:c>
    </x:row>
    <x:row r="6" ht="24" customHeight="1">
      <x:c r="A6" s="10" t="str">
        <x:v>QA02 지칭 대상</x:v>
      </x:c>
      <x:c r="B6" s="10" t="str">
        <x:v>비율</x:v>
      </x:c>
      <x:c r="C6" s="19" t="n">
        <x:f>SUMIF(Responses!$B$4:$B$163,"A",Responses!$E$4:$E$163)/SUMIF(Responses!$B$4:$B$163,"A",Responses!$F$4:$F$163)</x:f>
        <x:v>1</x:v>
      </x:c>
      <x:c r="D6" s="19" t="n">
        <x:f>SUMIF(Responses!$B$4:$B$163,"B",Responses!$E$4:$E$163)/SUMIF(Responses!$B$4:$B$163,"B",Responses!$F$4:$F$163)</x:f>
        <x:v>1</x:v>
      </x:c>
      <x:c r="E6" s="19" t="n">
        <x:f>D6-C6</x:f>
        <x:v>0</x:v>
      </x:c>
      <x:c r="F6" s="10" t="str">
        <x:v>고정 DP2 fixture 120/120</x:v>
      </x:c>
    </x:row>
    <x:row r="7" ht="24" customHeight="1">
      <x:c r="A7" s="10" t="str">
        <x:v>QA03 VIA 처리</x:v>
      </x:c>
      <x:c r="B7" s="10" t="str">
        <x:v>초</x:v>
      </x:c>
      <x:c r="C7" s="10" t="n">
        <x:f>AVERAGEIF(Goals!$B$4:$B$183,"A",Goals!$D$4:$D$183)</x:f>
        <x:v>1.9652592591999993</x:v>
      </x:c>
      <x:c r="D7" s="10" t="n">
        <x:f>AVERAGEIF(Goals!$B$4:$B$183,"B",Goals!$D$4:$D$183)</x:f>
        <x:v>2.7101851850444443</x:v>
      </x:c>
      <x:c r="E7" s="10" t="n">
        <x:f>D7-C7</x:f>
        <x:v>0.744925925844445</x:v>
      </x:c>
      <x:c r="F7" s="10" t="str">
        <x:v>90목표, 외부 업무와 재생 제외</x:v>
      </x:c>
    </x:row>
    <x:row r="8" ht="24" customHeight="1">
      <x:c r="A8" s="10" t="str">
        <x:v>QA04 변경 범위</x:v>
      </x:c>
      <x:c r="B8" s="10" t="str">
        <x:v>모듈</x:v>
      </x:c>
      <x:c r="C8" s="10" t="n">
        <x:f>AVERAGEIF(Changes!$B$4:$B$15,"A",Changes!$C$4:$C$15)</x:f>
        <x:v>2.3333333333333335</x:v>
      </x:c>
      <x:c r="D8" s="10" t="n">
        <x:f>AVERAGEIF(Changes!$B$4:$B$15,"B",Changes!$C$4:$C$15)</x:f>
        <x:v>2</x:v>
      </x:c>
      <x:c r="E8" s="10" t="n">
        <x:f>D8-C8</x:f>
        <x:v>-0.3333333333333335</x:v>
      </x:c>
      <x:c r="F8" s="10" t="str">
        <x:v>실제 Rust diff 아님</x:v>
      </x:c>
    </x:row>
    <x:row r="9" ht="24" customHeight="1">
      <x:c r="A9" s="10" t="str">
        <x:v>QA05 모델 비용</x:v>
      </x:c>
      <x:c r="B9" s="10" t="str">
        <x:v>USD</x:v>
      </x:c>
      <x:c r="C9" s="11" t="n">
        <x:f>SUMIF(Usage!$B$4:$B$913,"A",Usage!$I$4:$I$913)</x:f>
        <x:v>2.479873333287993</x:v>
      </x:c>
      <x:c r="D9" s="11" t="n">
        <x:f>SUMIF(Usage!$B$4:$B$913,"B",Usage!$I$4:$I$913)</x:f>
        <x:v>2.2246599999599943</x:v>
      </x:c>
      <x:c r="E9" s="11" t="n">
        <x:f>D9-C9</x:f>
        <x:v>-0.2552133333279989</x:v>
      </x:c>
      <x:c r="F9" s="10" t="str">
        <x:v>80평가와 80준비, 폐기 포함</x:v>
      </x:c>
    </x:row>
    <x:row r="10" ht="24" customHeight="1">
      <x:c r="A10" s="10" t="str">
        <x:v>QA06 로컬 RAM</x:v>
      </x:c>
      <x:c r="B10" s="10" t="str">
        <x:v>MB</x:v>
      </x:c>
      <x:c r="C10" s="10" t="n">
        <x:f>_xlfn.MAXIFS(Memory!$G$4:$G$5343,Memory!$B$4:$B$5343,"A")</x:f>
        <x:v>561.659272</x:v>
      </x:c>
      <x:c r="D10" s="10" t="n">
        <x:f>_xlfn.MAXIFS(Memory!$G$4:$G$5343,Memory!$B$4:$B$5343,"B")</x:f>
        <x:v>561.506936</x:v>
      </x:c>
      <x:c r="E10" s="10" t="n">
        <x:f>D10-C10</x:f>
        <x:v>-0.15233599999999115</x:v>
      </x:c>
      <x:c r="F10" s="10" t="str">
        <x:v>동일 시각 peak</x:v>
      </x:c>
    </x:row>
    <x:row r="11" ht="24" customHeight="1">
      <x:c r="A11" s="10" t="str">
        <x:v>QA07 요청 의미</x:v>
      </x:c>
      <x:c r="B11" s="10" t="str">
        <x:v>비율</x:v>
      </x:c>
      <x:c r="C11" s="19" t="n">
        <x:f>AVERAGEIF(Responses!$B$4:$B$163,"A",Responses!$G$4:$G$163)</x:f>
        <x:v>1</x:v>
      </x:c>
      <x:c r="D11" s="19" t="n">
        <x:f>AVERAGEIF(Responses!$B$4:$B$163,"B",Responses!$G$4:$G$163)</x:f>
        <x:v>1</x:v>
      </x:c>
      <x:c r="E11" s="19" t="n">
        <x:f>D11-C11</x:f>
        <x:v>0</x:v>
      </x:c>
      <x:c r="F11" s="10" t="str">
        <x:v>고정 DP2 fixture 80/80</x:v>
      </x:c>
    </x:row>
    <x:row r="14" ht="42" customHeight="1">
      <x:c r="A14" s="22" t="str">
        <x:v>조건부 권고: A. 음성 시작과 QA03 이익을 얻고, 준비 폐기 비용과 변경 범위를 감수한다.</x:v>
      </x:c>
      <x:c r="B14" s="22"/>
      <x:c r="C14" s="22"/>
      <x:c r="D14" s="22"/>
      <x:c r="E14" s="22"/>
      <x:c r="F14" s="22"/>
    </x:row>
    <x:row r="16" ht="24" customHeight="1">
      <x:c r="A16" s="23" t="str">
        <x:v>QA01 화면과 음성은 별도 종료점이다. 정확도는 구조 비교를 위한 공통 정답 fixture다. 표는 합성 가정의 계산이며 실제 모델 정확도나 제품 성능이 아니다.</x:v>
      </x:c>
      <x:c r="B16" s="23"/>
      <x:c r="C16" s="23"/>
      <x:c r="D16" s="23"/>
      <x:c r="E16" s="23"/>
      <x:c r="F16" s="23"/>
    </x:row>
    <x:row r="17" ht="24" customHeight="1">
      <x:c r="A17" s="23"/>
      <x:c r="B17" s="23"/>
      <x:c r="C17" s="23"/>
      <x:c r="D17" s="23"/>
      <x:c r="E17" s="23"/>
      <x:c r="F17" s="23"/>
    </x:row>
  </x:sheetData>
  <x:mergeCells>
    <x:mergeCell ref="A1:F1"/>
    <x:mergeCell ref="A2:F2"/>
    <x:mergeCell ref="A14:F14"/>
    <x:mergeCell ref="A16:F17"/>
  </x:mergeCells>
  <x:pageMargins left="0.7" right="0.7" top="0.75" bottom="0.75" header="0.3" footer="0.3"/>
  <x:tableParts count="1">
    <x:tablePart xmlns:r="http://schemas.openxmlformats.org/officeDocument/2006/relationships" r:id="Rc397b7c026c14d7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3" t="str">
        <x:v>모델 비용의 가상 요율</x:v>
      </x:c>
      <x:c r="B1" s="3"/>
      <x:c r="C1" s="3"/>
      <x:c r="D1" s="3"/>
    </x:row>
    <x:row r="2" ht="28" customHeight="1">
      <x:c r="A2" s="4" t="str">
        <x:v>작성 가정 기반 합성 자료. 원본: synthetic-data.json. 실제 모델 실행 및 제품 시험 아님.</x:v>
      </x:c>
      <x:c r="B2" s="4"/>
      <x:c r="C2" s="4"/>
      <x:c r="D2" s="4"/>
    </x:row>
    <x:row r="3" ht="34" customHeight="1">
      <x:c r="A3" s="8" t="str">
        <x:v>항목</x:v>
      </x:c>
      <x:c r="B3" s="8" t="str">
        <x:v>USD/단위</x:v>
      </x:c>
      <x:c r="C3" s="8" t="str">
        <x:v>단위</x:v>
      </x:c>
      <x:c r="D3" s="8" t="str">
        <x:v>출처</x:v>
      </x:c>
    </x:row>
    <x:row r="4" ht="24" customHeight="1">
      <x:c r="A4" s="10" t="str">
        <x:v>text input</x:v>
      </x:c>
      <x:c r="B4" s="12" t="n">
        <x:v>0.000001</x:v>
      </x:c>
      <x:c r="C4" s="10" t="str">
        <x:v>token</x:v>
      </x:c>
      <x:c r="D4" s="10" t="str">
        <x:v>공통 QA v2 가상 요율</x:v>
      </x:c>
    </x:row>
    <x:row r="5" ht="24" customHeight="1">
      <x:c r="A5" s="10" t="str">
        <x:v>text output</x:v>
      </x:c>
      <x:c r="B5" s="12" t="n">
        <x:v>0.000004</x:v>
      </x:c>
      <x:c r="C5" s="10" t="str">
        <x:v>token</x:v>
      </x:c>
      <x:c r="D5" s="10" t="str">
        <x:v>공통 QA v2 가상 요율</x:v>
      </x:c>
    </x:row>
    <x:row r="6" ht="24" customHeight="1">
      <x:c r="A6" s="10" t="str">
        <x:v>audio input</x:v>
      </x:c>
      <x:c r="B6" s="12" t="n">
        <x:v>0.001</x:v>
      </x:c>
      <x:c r="C6" s="10" t="str">
        <x:v>second</x:v>
      </x:c>
      <x:c r="D6" s="10" t="str">
        <x:v>공통 QA v2 가상 요율</x:v>
      </x:c>
    </x:row>
    <x:row r="7" ht="24" customHeight="1">
      <x:c r="A7" s="10" t="str">
        <x:v>audio output</x:v>
      </x:c>
      <x:c r="B7" s="12" t="n">
        <x:v>0.002</x:v>
      </x:c>
      <x:c r="C7" s="10" t="str">
        <x:v>second</x:v>
      </x:c>
      <x:c r="D7" s="10" t="str">
        <x:v>공통 QA v2 가상 요율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096415eee3143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55" hidden="0" customWidth="1"/>
    <x:col min="10" max="10" width="55" hidden="0" customWidth="1"/>
  </x:cols>
  <x:sheetData>
    <x:row r="1" ht="32" customHeight="1">
      <x:c r="A1" s="15" t="str">
        <x:v>첫 응답과 고정 의미 판정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28" customHeight="1">
      <x:c r="A2" s="16" t="str">
        <x:v>작성 가정 기반 합성 자료. 원본: synthetic-data.json. 실제 모델 실행 및 제품 시험 아님.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34" customHeight="1">
      <x:c r="A3" s="8" t="str">
        <x:v>사례</x:v>
      </x:c>
      <x:c r="B3" s="8" t="str">
        <x:v>안</x:v>
      </x:c>
      <x:c r="C3" s="8" t="str">
        <x:v>화면 초</x:v>
      </x:c>
      <x:c r="D3" s="8" t="str">
        <x:v>음성 초</x:v>
      </x:c>
      <x:c r="E3" s="8" t="str">
        <x:v>QA02 성공</x:v>
      </x:c>
      <x:c r="F3" s="8" t="str">
        <x:v>QA02 표현</x:v>
      </x:c>
      <x:c r="G3" s="8" t="str">
        <x:v>QA07 성공</x:v>
      </x:c>
      <x:c r="H3" s="8" t="str">
        <x:v>입력 ID</x:v>
      </x:c>
      <x:c r="I3" s="8" t="str">
        <x:v>첫 화면 문구</x:v>
      </x:c>
      <x:c r="J3" s="8" t="str">
        <x:v>첫 음성 문구</x:v>
      </x:c>
    </x:row>
    <x:row r="4" ht="52" customHeight="1">
      <x:c r="A4" s="14" t="str">
        <x:v>S01-01</x:v>
      </x:c>
      <x:c r="B4" s="14" t="str">
        <x:v>A</x:v>
      </x:c>
      <x:c r="C4" s="14" t="n">
        <x:v>0.908333333</x:v>
      </x:c>
      <x:c r="D4" s="14" t="n">
        <x:v>1.313</x:v>
      </x:c>
      <x:c r="E4" s="17" t="n">
        <x:v>1</x:v>
      </x:c>
      <x:c r="F4" s="17" t="n">
        <x:v>1</x:v>
      </x:c>
      <x:c r="G4" s="17" t="n">
        <x:v>1</x:v>
      </x:c>
      <x:c r="H4" s="14" t="str">
        <x:v>S01-01:input</x:v>
      </x:c>
      <x:c r="I4" s="14" t="str">
        <x:v>보고서 요약은 완료됐고, 검토가 필요합니다.</x:v>
      </x:c>
      <x:c r="J4" s="14" t="str">
        <x:v>보고서 요약은 완료됐고, 검토가 필요합니다.</x:v>
      </x:c>
    </x:row>
    <x:row r="5" ht="52" customHeight="1">
      <x:c r="A5" s="14" t="str">
        <x:v>S01-01</x:v>
      </x:c>
      <x:c r="B5" s="14" t="str">
        <x:v>B</x:v>
      </x:c>
      <x:c r="C5" s="14" t="n">
        <x:v>0.908333333</x:v>
      </x:c>
      <x:c r="D5" s="14" t="n">
        <x:v>1.313</x:v>
      </x:c>
      <x:c r="E5" s="17" t="n">
        <x:v>1</x:v>
      </x:c>
      <x:c r="F5" s="17" t="n">
        <x:v>1</x:v>
      </x:c>
      <x:c r="G5" s="17" t="n">
        <x:v>1</x:v>
      </x:c>
      <x:c r="H5" s="14" t="str">
        <x:v>S01-01:input</x:v>
      </x:c>
      <x:c r="I5" s="14" t="str">
        <x:v>보고서 요약은 완료됐고, 검토가 필요합니다.</x:v>
      </x:c>
      <x:c r="J5" s="14" t="str">
        <x:v>보고서 요약은 완료됐고, 검토가 필요합니다.</x:v>
      </x:c>
    </x:row>
    <x:row r="6" ht="52" customHeight="1">
      <x:c r="A6" s="14" t="str">
        <x:v>S01-02</x:v>
      </x:c>
      <x:c r="B6" s="14" t="str">
        <x:v>A</x:v>
      </x:c>
      <x:c r="C6" s="14" t="n">
        <x:v>0.936666667</x:v>
      </x:c>
      <x:c r="D6" s="14" t="n">
        <x:v>1.341333334</x:v>
      </x:c>
      <x:c r="E6" s="17" t="n">
        <x:v>1</x:v>
      </x:c>
      <x:c r="F6" s="17" t="n">
        <x:v>1</x:v>
      </x:c>
      <x:c r="G6" s="17" t="n">
        <x:v>1</x:v>
      </x:c>
      <x:c r="H6" s="14" t="str">
        <x:v>S01-02:input</x:v>
      </x:c>
      <x:c r="I6" s="14" t="str">
        <x:v>보고서 요약은 완료됐고, 검토가 필요합니다.</x:v>
      </x:c>
      <x:c r="J6" s="14" t="str">
        <x:v>보고서 요약은 완료됐고, 검토가 필요합니다.</x:v>
      </x:c>
    </x:row>
    <x:row r="7" ht="52" customHeight="1">
      <x:c r="A7" s="14" t="str">
        <x:v>S01-02</x:v>
      </x:c>
      <x:c r="B7" s="14" t="str">
        <x:v>B</x:v>
      </x:c>
      <x:c r="C7" s="14" t="n">
        <x:v>0.936666667</x:v>
      </x:c>
      <x:c r="D7" s="14" t="n">
        <x:v>1.341333334</x:v>
      </x:c>
      <x:c r="E7" s="17" t="n">
        <x:v>1</x:v>
      </x:c>
      <x:c r="F7" s="17" t="n">
        <x:v>1</x:v>
      </x:c>
      <x:c r="G7" s="17" t="n">
        <x:v>1</x:v>
      </x:c>
      <x:c r="H7" s="14" t="str">
        <x:v>S01-02:input</x:v>
      </x:c>
      <x:c r="I7" s="14" t="str">
        <x:v>보고서 요약은 완료됐고, 검토가 필요합니다.</x:v>
      </x:c>
      <x:c r="J7" s="14" t="str">
        <x:v>보고서 요약은 완료됐고, 검토가 필요합니다.</x:v>
      </x:c>
    </x:row>
    <x:row r="8" ht="52" customHeight="1">
      <x:c r="A8" s="14" t="str">
        <x:v>S01-03</x:v>
      </x:c>
      <x:c r="B8" s="14" t="str">
        <x:v>A</x:v>
      </x:c>
      <x:c r="C8" s="14" t="n">
        <x:v>0.89</x:v>
      </x:c>
      <x:c r="D8" s="14" t="n">
        <x:v>1.294666667</x:v>
      </x:c>
      <x:c r="E8" s="17" t="n">
        <x:v>1</x:v>
      </x:c>
      <x:c r="F8" s="17" t="n">
        <x:v>1</x:v>
      </x:c>
      <x:c r="G8" s="17" t="n">
        <x:v>1</x:v>
      </x:c>
      <x:c r="H8" s="14" t="str">
        <x:v>S01-03:input</x:v>
      </x:c>
      <x:c r="I8" s="14" t="str">
        <x:v>보고서 요약은 완료됐고, 검토가 필요합니다.</x:v>
      </x:c>
      <x:c r="J8" s="14" t="str">
        <x:v>보고서 요약은 완료됐고, 검토가 필요합니다.</x:v>
      </x:c>
    </x:row>
    <x:row r="9" ht="52" customHeight="1">
      <x:c r="A9" s="14" t="str">
        <x:v>S01-03</x:v>
      </x:c>
      <x:c r="B9" s="14" t="str">
        <x:v>B</x:v>
      </x:c>
      <x:c r="C9" s="14" t="n">
        <x:v>0.89</x:v>
      </x:c>
      <x:c r="D9" s="14" t="n">
        <x:v>1.294666667</x:v>
      </x:c>
      <x:c r="E9" s="17" t="n">
        <x:v>1</x:v>
      </x:c>
      <x:c r="F9" s="17" t="n">
        <x:v>1</x:v>
      </x:c>
      <x:c r="G9" s="17" t="n">
        <x:v>1</x:v>
      </x:c>
      <x:c r="H9" s="14" t="str">
        <x:v>S01-03:input</x:v>
      </x:c>
      <x:c r="I9" s="14" t="str">
        <x:v>보고서 요약은 완료됐고, 검토가 필요합니다.</x:v>
      </x:c>
      <x:c r="J9" s="14" t="str">
        <x:v>보고서 요약은 완료됐고, 검토가 필요합니다.</x:v>
      </x:c>
    </x:row>
    <x:row r="10" ht="52" customHeight="1">
      <x:c r="A10" s="14" t="str">
        <x:v>S01-04</x:v>
      </x:c>
      <x:c r="B10" s="14" t="str">
        <x:v>A</x:v>
      </x:c>
      <x:c r="C10" s="14" t="n">
        <x:v>0.918333333</x:v>
      </x:c>
      <x:c r="D10" s="14" t="n">
        <x:v>1.323</x:v>
      </x:c>
      <x:c r="E10" s="17" t="n">
        <x:v>1</x:v>
      </x:c>
      <x:c r="F10" s="17" t="n">
        <x:v>1</x:v>
      </x:c>
      <x:c r="G10" s="17" t="n">
        <x:v>1</x:v>
      </x:c>
      <x:c r="H10" s="14" t="str">
        <x:v>S01-04:input</x:v>
      </x:c>
      <x:c r="I10" s="14" t="str">
        <x:v>보고서 요약은 완료됐고, 검토가 필요합니다.</x:v>
      </x:c>
      <x:c r="J10" s="14" t="str">
        <x:v>보고서 요약은 완료됐고, 검토가 필요합니다.</x:v>
      </x:c>
    </x:row>
    <x:row r="11" ht="52" customHeight="1">
      <x:c r="A11" s="14" t="str">
        <x:v>S01-04</x:v>
      </x:c>
      <x:c r="B11" s="14" t="str">
        <x:v>B</x:v>
      </x:c>
      <x:c r="C11" s="14" t="n">
        <x:v>0.918333333</x:v>
      </x:c>
      <x:c r="D11" s="14" t="n">
        <x:v>1.323</x:v>
      </x:c>
      <x:c r="E11" s="17" t="n">
        <x:v>1</x:v>
      </x:c>
      <x:c r="F11" s="17" t="n">
        <x:v>1</x:v>
      </x:c>
      <x:c r="G11" s="17" t="n">
        <x:v>1</x:v>
      </x:c>
      <x:c r="H11" s="14" t="str">
        <x:v>S01-04:input</x:v>
      </x:c>
      <x:c r="I11" s="14" t="str">
        <x:v>보고서 요약은 완료됐고, 검토가 필요합니다.</x:v>
      </x:c>
      <x:c r="J11" s="14" t="str">
        <x:v>보고서 요약은 완료됐고, 검토가 필요합니다.</x:v>
      </x:c>
    </x:row>
    <x:row r="12" ht="52" customHeight="1">
      <x:c r="A12" s="14" t="str">
        <x:v>S01-05</x:v>
      </x:c>
      <x:c r="B12" s="14" t="str">
        <x:v>A</x:v>
      </x:c>
      <x:c r="C12" s="14" t="n">
        <x:v>0.946666667</x:v>
      </x:c>
      <x:c r="D12" s="14" t="n">
        <x:v>1.351333334</x:v>
      </x:c>
      <x:c r="E12" s="17" t="n">
        <x:v>1</x:v>
      </x:c>
      <x:c r="F12" s="17" t="n">
        <x:v>1</x:v>
      </x:c>
      <x:c r="G12" s="17" t="n">
        <x:v>1</x:v>
      </x:c>
      <x:c r="H12" s="14" t="str">
        <x:v>S01-05:input</x:v>
      </x:c>
      <x:c r="I12" s="14" t="str">
        <x:v>보고서 요약은 완료됐고, 검토가 필요합니다.</x:v>
      </x:c>
      <x:c r="J12" s="14" t="str">
        <x:v>보고서 요약은 완료됐고, 검토가 필요합니다.</x:v>
      </x:c>
    </x:row>
    <x:row r="13" ht="52" customHeight="1">
      <x:c r="A13" s="14" t="str">
        <x:v>S01-05</x:v>
      </x:c>
      <x:c r="B13" s="14" t="str">
        <x:v>B</x:v>
      </x:c>
      <x:c r="C13" s="14" t="n">
        <x:v>0.946666667</x:v>
      </x:c>
      <x:c r="D13" s="14" t="n">
        <x:v>1.351333334</x:v>
      </x:c>
      <x:c r="E13" s="17" t="n">
        <x:v>1</x:v>
      </x:c>
      <x:c r="F13" s="17" t="n">
        <x:v>1</x:v>
      </x:c>
      <x:c r="G13" s="17" t="n">
        <x:v>1</x:v>
      </x:c>
      <x:c r="H13" s="14" t="str">
        <x:v>S01-05:input</x:v>
      </x:c>
      <x:c r="I13" s="14" t="str">
        <x:v>보고서 요약은 완료됐고, 검토가 필요합니다.</x:v>
      </x:c>
      <x:c r="J13" s="14" t="str">
        <x:v>보고서 요약은 완료됐고, 검토가 필요합니다.</x:v>
      </x:c>
    </x:row>
    <x:row r="14" ht="52" customHeight="1">
      <x:c r="A14" s="14" t="str">
        <x:v>S01-06</x:v>
      </x:c>
      <x:c r="B14" s="14" t="str">
        <x:v>A</x:v>
      </x:c>
      <x:c r="C14" s="14" t="n">
        <x:v>0.9</x:v>
      </x:c>
      <x:c r="D14" s="14" t="n">
        <x:v>1.304666667</x:v>
      </x:c>
      <x:c r="E14" s="17" t="n">
        <x:v>1</x:v>
      </x:c>
      <x:c r="F14" s="17" t="n">
        <x:v>1</x:v>
      </x:c>
      <x:c r="G14" s="17" t="n">
        <x:v>1</x:v>
      </x:c>
      <x:c r="H14" s="14" t="str">
        <x:v>S01-06:input</x:v>
      </x:c>
      <x:c r="I14" s="14" t="str">
        <x:v>보고서 요약은 완료됐고, 검토가 필요합니다.</x:v>
      </x:c>
      <x:c r="J14" s="14" t="str">
        <x:v>보고서 요약은 완료됐고, 검토가 필요합니다.</x:v>
      </x:c>
    </x:row>
    <x:row r="15" ht="52" customHeight="1">
      <x:c r="A15" s="14" t="str">
        <x:v>S01-06</x:v>
      </x:c>
      <x:c r="B15" s="14" t="str">
        <x:v>B</x:v>
      </x:c>
      <x:c r="C15" s="14" t="n">
        <x:v>0.9</x:v>
      </x:c>
      <x:c r="D15" s="14" t="n">
        <x:v>1.304666667</x:v>
      </x:c>
      <x:c r="E15" s="17" t="n">
        <x:v>1</x:v>
      </x:c>
      <x:c r="F15" s="17" t="n">
        <x:v>1</x:v>
      </x:c>
      <x:c r="G15" s="17" t="n">
        <x:v>1</x:v>
      </x:c>
      <x:c r="H15" s="14" t="str">
        <x:v>S01-06:input</x:v>
      </x:c>
      <x:c r="I15" s="14" t="str">
        <x:v>보고서 요약은 완료됐고, 검토가 필요합니다.</x:v>
      </x:c>
      <x:c r="J15" s="14" t="str">
        <x:v>보고서 요약은 완료됐고, 검토가 필요합니다.</x:v>
      </x:c>
    </x:row>
    <x:row r="16" ht="52" customHeight="1">
      <x:c r="A16" s="14" t="str">
        <x:v>S01-07</x:v>
      </x:c>
      <x:c r="B16" s="14" t="str">
        <x:v>A</x:v>
      </x:c>
      <x:c r="C16" s="14" t="n">
        <x:v>0.928333333</x:v>
      </x:c>
      <x:c r="D16" s="14" t="n">
        <x:v>1.333</x:v>
      </x:c>
      <x:c r="E16" s="17" t="n">
        <x:v>1</x:v>
      </x:c>
      <x:c r="F16" s="17" t="n">
        <x:v>1</x:v>
      </x:c>
      <x:c r="G16" s="17" t="n">
        <x:v>1</x:v>
      </x:c>
      <x:c r="H16" s="14" t="str">
        <x:v>S01-07:input</x:v>
      </x:c>
      <x:c r="I16" s="14" t="str">
        <x:v>보고서 요약은 완료됐고, 검토가 필요합니다.</x:v>
      </x:c>
      <x:c r="J16" s="14" t="str">
        <x:v>보고서 요약은 완료됐고, 검토가 필요합니다.</x:v>
      </x:c>
    </x:row>
    <x:row r="17" ht="52" customHeight="1">
      <x:c r="A17" s="14" t="str">
        <x:v>S01-07</x:v>
      </x:c>
      <x:c r="B17" s="14" t="str">
        <x:v>B</x:v>
      </x:c>
      <x:c r="C17" s="14" t="n">
        <x:v>0.928333333</x:v>
      </x:c>
      <x:c r="D17" s="14" t="n">
        <x:v>1.333</x:v>
      </x:c>
      <x:c r="E17" s="17" t="n">
        <x:v>1</x:v>
      </x:c>
      <x:c r="F17" s="17" t="n">
        <x:v>1</x:v>
      </x:c>
      <x:c r="G17" s="17" t="n">
        <x:v>1</x:v>
      </x:c>
      <x:c r="H17" s="14" t="str">
        <x:v>S01-07:input</x:v>
      </x:c>
      <x:c r="I17" s="14" t="str">
        <x:v>보고서 요약은 완료됐고, 검토가 필요합니다.</x:v>
      </x:c>
      <x:c r="J17" s="14" t="str">
        <x:v>보고서 요약은 완료됐고, 검토가 필요합니다.</x:v>
      </x:c>
    </x:row>
    <x:row r="18" ht="52" customHeight="1">
      <x:c r="A18" s="14" t="str">
        <x:v>S01-08</x:v>
      </x:c>
      <x:c r="B18" s="14" t="str">
        <x:v>A</x:v>
      </x:c>
      <x:c r="C18" s="14" t="n">
        <x:v>0.956666667</x:v>
      </x:c>
      <x:c r="D18" s="14" t="n">
        <x:v>1.361333334</x:v>
      </x:c>
      <x:c r="E18" s="17" t="n">
        <x:v>1</x:v>
      </x:c>
      <x:c r="F18" s="17" t="n">
        <x:v>1</x:v>
      </x:c>
      <x:c r="G18" s="17" t="n">
        <x:v>1</x:v>
      </x:c>
      <x:c r="H18" s="14" t="str">
        <x:v>S01-08:input</x:v>
      </x:c>
      <x:c r="I18" s="14" t="str">
        <x:v>보고서 요약은 완료됐고, 검토가 필요합니다.</x:v>
      </x:c>
      <x:c r="J18" s="14" t="str">
        <x:v>보고서 요약은 완료됐고, 검토가 필요합니다.</x:v>
      </x:c>
    </x:row>
    <x:row r="19" ht="52" customHeight="1">
      <x:c r="A19" s="14" t="str">
        <x:v>S01-08</x:v>
      </x:c>
      <x:c r="B19" s="14" t="str">
        <x:v>B</x:v>
      </x:c>
      <x:c r="C19" s="14" t="n">
        <x:v>0.956666667</x:v>
      </x:c>
      <x:c r="D19" s="14" t="n">
        <x:v>1.361333334</x:v>
      </x:c>
      <x:c r="E19" s="17" t="n">
        <x:v>1</x:v>
      </x:c>
      <x:c r="F19" s="17" t="n">
        <x:v>1</x:v>
      </x:c>
      <x:c r="G19" s="17" t="n">
        <x:v>1</x:v>
      </x:c>
      <x:c r="H19" s="14" t="str">
        <x:v>S01-08:input</x:v>
      </x:c>
      <x:c r="I19" s="14" t="str">
        <x:v>보고서 요약은 완료됐고, 검토가 필요합니다.</x:v>
      </x:c>
      <x:c r="J19" s="14" t="str">
        <x:v>보고서 요약은 완료됐고, 검토가 필요합니다.</x:v>
      </x:c>
    </x:row>
    <x:row r="20" ht="52" customHeight="1">
      <x:c r="A20" s="14" t="str">
        <x:v>S01-09</x:v>
      </x:c>
      <x:c r="B20" s="14" t="str">
        <x:v>A</x:v>
      </x:c>
      <x:c r="C20" s="14" t="n">
        <x:v>0.91</x:v>
      </x:c>
      <x:c r="D20" s="14" t="n">
        <x:v>1.314666667</x:v>
      </x:c>
      <x:c r="E20" s="17" t="n">
        <x:v>1</x:v>
      </x:c>
      <x:c r="F20" s="17" t="n">
        <x:v>1</x:v>
      </x:c>
      <x:c r="G20" s="17" t="n">
        <x:v>1</x:v>
      </x:c>
      <x:c r="H20" s="14" t="str">
        <x:v>S01-09:input</x:v>
      </x:c>
      <x:c r="I20" s="14" t="str">
        <x:v>보고서 요약은 완료됐고, 검토가 필요합니다.</x:v>
      </x:c>
      <x:c r="J20" s="14" t="str">
        <x:v>보고서 요약은 완료됐고, 검토가 필요합니다.</x:v>
      </x:c>
    </x:row>
    <x:row r="21" ht="52" customHeight="1">
      <x:c r="A21" s="14" t="str">
        <x:v>S01-09</x:v>
      </x:c>
      <x:c r="B21" s="14" t="str">
        <x:v>B</x:v>
      </x:c>
      <x:c r="C21" s="14" t="n">
        <x:v>0.91</x:v>
      </x:c>
      <x:c r="D21" s="14" t="n">
        <x:v>1.314666667</x:v>
      </x:c>
      <x:c r="E21" s="17" t="n">
        <x:v>1</x:v>
      </x:c>
      <x:c r="F21" s="17" t="n">
        <x:v>1</x:v>
      </x:c>
      <x:c r="G21" s="17" t="n">
        <x:v>1</x:v>
      </x:c>
      <x:c r="H21" s="14" t="str">
        <x:v>S01-09:input</x:v>
      </x:c>
      <x:c r="I21" s="14" t="str">
        <x:v>보고서 요약은 완료됐고, 검토가 필요합니다.</x:v>
      </x:c>
      <x:c r="J21" s="14" t="str">
        <x:v>보고서 요약은 완료됐고, 검토가 필요합니다.</x:v>
      </x:c>
    </x:row>
    <x:row r="22" ht="52" customHeight="1">
      <x:c r="A22" s="14" t="str">
        <x:v>S01-10</x:v>
      </x:c>
      <x:c r="B22" s="14" t="str">
        <x:v>A</x:v>
      </x:c>
      <x:c r="C22" s="14" t="n">
        <x:v>0.938333333</x:v>
      </x:c>
      <x:c r="D22" s="14" t="n">
        <x:v>1.343</x:v>
      </x:c>
      <x:c r="E22" s="17" t="n">
        <x:v>1</x:v>
      </x:c>
      <x:c r="F22" s="17" t="n">
        <x:v>1</x:v>
      </x:c>
      <x:c r="G22" s="17" t="n">
        <x:v>1</x:v>
      </x:c>
      <x:c r="H22" s="14" t="str">
        <x:v>S01-10:input</x:v>
      </x:c>
      <x:c r="I22" s="14" t="str">
        <x:v>보고서 요약은 완료됐고, 검토가 필요합니다.</x:v>
      </x:c>
      <x:c r="J22" s="14" t="str">
        <x:v>보고서 요약은 완료됐고, 검토가 필요합니다.</x:v>
      </x:c>
    </x:row>
    <x:row r="23" ht="52" customHeight="1">
      <x:c r="A23" s="14" t="str">
        <x:v>S01-10</x:v>
      </x:c>
      <x:c r="B23" s="14" t="str">
        <x:v>B</x:v>
      </x:c>
      <x:c r="C23" s="14" t="n">
        <x:v>0.938333333</x:v>
      </x:c>
      <x:c r="D23" s="14" t="n">
        <x:v>1.343</x:v>
      </x:c>
      <x:c r="E23" s="17" t="n">
        <x:v>1</x:v>
      </x:c>
      <x:c r="F23" s="17" t="n">
        <x:v>1</x:v>
      </x:c>
      <x:c r="G23" s="17" t="n">
        <x:v>1</x:v>
      </x:c>
      <x:c r="H23" s="14" t="str">
        <x:v>S01-10:input</x:v>
      </x:c>
      <x:c r="I23" s="14" t="str">
        <x:v>보고서 요약은 완료됐고, 검토가 필요합니다.</x:v>
      </x:c>
      <x:c r="J23" s="14" t="str">
        <x:v>보고서 요약은 완료됐고, 검토가 필요합니다.</x:v>
      </x:c>
    </x:row>
    <x:row r="24" ht="52" customHeight="1">
      <x:c r="A24" s="14" t="str">
        <x:v>S02-01</x:v>
      </x:c>
      <x:c r="B24" s="14" t="str">
        <x:v>A</x:v>
      </x:c>
      <x:c r="C24" s="14" t="n">
        <x:v>0.908333333</x:v>
      </x:c>
      <x:c r="D24" s="14" t="n">
        <x:v>0.908333333</x:v>
      </x:c>
      <x:c r="E24" s="17" t="n">
        <x:v>1</x:v>
      </x:c>
      <x:c r="F24" s="17" t="n">
        <x:v>1</x:v>
      </x:c>
      <x:c r="G24" s="17" t="n">
        <x:v>1</x:v>
      </x:c>
      <x:c r="H24" s="14" t="str">
        <x:v>S02-01:input</x:v>
      </x:c>
      <x:c r="I24" s="14" t="str">
        <x:v>수신자는 김 대리인가요?</x:v>
      </x:c>
      <x:c r="J24" s="14" t="str">
        <x:v>수신자는 김 대리인가요?</x:v>
      </x:c>
    </x:row>
    <x:row r="25" ht="52" customHeight="1">
      <x:c r="A25" s="14" t="str">
        <x:v>S02-01</x:v>
      </x:c>
      <x:c r="B25" s="14" t="str">
        <x:v>B</x:v>
      </x:c>
      <x:c r="C25" s="14" t="n">
        <x:v>0.908333333</x:v>
      </x:c>
      <x:c r="D25" s="14" t="n">
        <x:v>1.309333333</x:v>
      </x:c>
      <x:c r="E25" s="17" t="n">
        <x:v>1</x:v>
      </x:c>
      <x:c r="F25" s="17" t="n">
        <x:v>1</x:v>
      </x:c>
      <x:c r="G25" s="17" t="n">
        <x:v>1</x:v>
      </x:c>
      <x:c r="H25" s="14" t="str">
        <x:v>S02-01:input</x:v>
      </x:c>
      <x:c r="I25" s="14" t="str">
        <x:v>수신자는 김 대리인가요?</x:v>
      </x:c>
      <x:c r="J25" s="14" t="str">
        <x:v>수신자는 김 대리인가요?</x:v>
      </x:c>
    </x:row>
    <x:row r="26" ht="52" customHeight="1">
      <x:c r="A26" s="14" t="str">
        <x:v>S02-02</x:v>
      </x:c>
      <x:c r="B26" s="14" t="str">
        <x:v>A</x:v>
      </x:c>
      <x:c r="C26" s="14" t="n">
        <x:v>0.936666667</x:v>
      </x:c>
      <x:c r="D26" s="14" t="n">
        <x:v>0.936666667</x:v>
      </x:c>
      <x:c r="E26" s="17" t="n">
        <x:v>1</x:v>
      </x:c>
      <x:c r="F26" s="17" t="n">
        <x:v>1</x:v>
      </x:c>
      <x:c r="G26" s="17" t="n">
        <x:v>1</x:v>
      </x:c>
      <x:c r="H26" s="14" t="str">
        <x:v>S02-02:input</x:v>
      </x:c>
      <x:c r="I26" s="14" t="str">
        <x:v>수신자는 김 대리인가요?</x:v>
      </x:c>
      <x:c r="J26" s="14" t="str">
        <x:v>수신자는 김 대리인가요?</x:v>
      </x:c>
    </x:row>
    <x:row r="27" ht="52" customHeight="1">
      <x:c r="A27" s="14" t="str">
        <x:v>S02-02</x:v>
      </x:c>
      <x:c r="B27" s="14" t="str">
        <x:v>B</x:v>
      </x:c>
      <x:c r="C27" s="14" t="n">
        <x:v>0.936666667</x:v>
      </x:c>
      <x:c r="D27" s="14" t="n">
        <x:v>1.337666667</x:v>
      </x:c>
      <x:c r="E27" s="17" t="n">
        <x:v>1</x:v>
      </x:c>
      <x:c r="F27" s="17" t="n">
        <x:v>1</x:v>
      </x:c>
      <x:c r="G27" s="17" t="n">
        <x:v>1</x:v>
      </x:c>
      <x:c r="H27" s="14" t="str">
        <x:v>S02-02:input</x:v>
      </x:c>
      <x:c r="I27" s="14" t="str">
        <x:v>수신자는 김 대리인가요?</x:v>
      </x:c>
      <x:c r="J27" s="14" t="str">
        <x:v>수신자는 김 대리인가요?</x:v>
      </x:c>
    </x:row>
    <x:row r="28" ht="52" customHeight="1">
      <x:c r="A28" s="14" t="str">
        <x:v>S02-03</x:v>
      </x:c>
      <x:c r="B28" s="14" t="str">
        <x:v>A</x:v>
      </x:c>
      <x:c r="C28" s="14" t="n">
        <x:v>0.89</x:v>
      </x:c>
      <x:c r="D28" s="14" t="n">
        <x:v>0.89</x:v>
      </x:c>
      <x:c r="E28" s="17" t="n">
        <x:v>1</x:v>
      </x:c>
      <x:c r="F28" s="17" t="n">
        <x:v>1</x:v>
      </x:c>
      <x:c r="G28" s="17" t="n">
        <x:v>1</x:v>
      </x:c>
      <x:c r="H28" s="14" t="str">
        <x:v>S02-03:input</x:v>
      </x:c>
      <x:c r="I28" s="14" t="str">
        <x:v>수신자는 김 대리인가요?</x:v>
      </x:c>
      <x:c r="J28" s="14" t="str">
        <x:v>수신자는 김 대리인가요?</x:v>
      </x:c>
    </x:row>
    <x:row r="29" ht="52" customHeight="1">
      <x:c r="A29" s="14" t="str">
        <x:v>S02-03</x:v>
      </x:c>
      <x:c r="B29" s="14" t="str">
        <x:v>B</x:v>
      </x:c>
      <x:c r="C29" s="14" t="n">
        <x:v>0.89</x:v>
      </x:c>
      <x:c r="D29" s="14" t="n">
        <x:v>1.291</x:v>
      </x:c>
      <x:c r="E29" s="17" t="n">
        <x:v>1</x:v>
      </x:c>
      <x:c r="F29" s="17" t="n">
        <x:v>1</x:v>
      </x:c>
      <x:c r="G29" s="17" t="n">
        <x:v>1</x:v>
      </x:c>
      <x:c r="H29" s="14" t="str">
        <x:v>S02-03:input</x:v>
      </x:c>
      <x:c r="I29" s="14" t="str">
        <x:v>수신자는 김 대리인가요?</x:v>
      </x:c>
      <x:c r="J29" s="14" t="str">
        <x:v>수신자는 김 대리인가요?</x:v>
      </x:c>
    </x:row>
    <x:row r="30" ht="52" customHeight="1">
      <x:c r="A30" s="14" t="str">
        <x:v>S02-04</x:v>
      </x:c>
      <x:c r="B30" s="14" t="str">
        <x:v>A</x:v>
      </x:c>
      <x:c r="C30" s="14" t="n">
        <x:v>0.918333333</x:v>
      </x:c>
      <x:c r="D30" s="14" t="n">
        <x:v>0.918333333</x:v>
      </x:c>
      <x:c r="E30" s="17" t="n">
        <x:v>1</x:v>
      </x:c>
      <x:c r="F30" s="17" t="n">
        <x:v>1</x:v>
      </x:c>
      <x:c r="G30" s="17" t="n">
        <x:v>1</x:v>
      </x:c>
      <x:c r="H30" s="14" t="str">
        <x:v>S02-04:input</x:v>
      </x:c>
      <x:c r="I30" s="14" t="str">
        <x:v>수신자는 김 대리인가요?</x:v>
      </x:c>
      <x:c r="J30" s="14" t="str">
        <x:v>수신자는 김 대리인가요?</x:v>
      </x:c>
    </x:row>
    <x:row r="31" ht="52" customHeight="1">
      <x:c r="A31" s="14" t="str">
        <x:v>S02-04</x:v>
      </x:c>
      <x:c r="B31" s="14" t="str">
        <x:v>B</x:v>
      </x:c>
      <x:c r="C31" s="14" t="n">
        <x:v>0.918333333</x:v>
      </x:c>
      <x:c r="D31" s="14" t="n">
        <x:v>1.319333333</x:v>
      </x:c>
      <x:c r="E31" s="17" t="n">
        <x:v>1</x:v>
      </x:c>
      <x:c r="F31" s="17" t="n">
        <x:v>1</x:v>
      </x:c>
      <x:c r="G31" s="17" t="n">
        <x:v>1</x:v>
      </x:c>
      <x:c r="H31" s="14" t="str">
        <x:v>S02-04:input</x:v>
      </x:c>
      <x:c r="I31" s="14" t="str">
        <x:v>수신자는 김 대리인가요?</x:v>
      </x:c>
      <x:c r="J31" s="14" t="str">
        <x:v>수신자는 김 대리인가요?</x:v>
      </x:c>
    </x:row>
    <x:row r="32" ht="52" customHeight="1">
      <x:c r="A32" s="14" t="str">
        <x:v>S02-05</x:v>
      </x:c>
      <x:c r="B32" s="14" t="str">
        <x:v>A</x:v>
      </x:c>
      <x:c r="C32" s="14" t="n">
        <x:v>0.946666667</x:v>
      </x:c>
      <x:c r="D32" s="14" t="n">
        <x:v>0.946666667</x:v>
      </x:c>
      <x:c r="E32" s="17" t="n">
        <x:v>1</x:v>
      </x:c>
      <x:c r="F32" s="17" t="n">
        <x:v>1</x:v>
      </x:c>
      <x:c r="G32" s="17" t="n">
        <x:v>1</x:v>
      </x:c>
      <x:c r="H32" s="14" t="str">
        <x:v>S02-05:input</x:v>
      </x:c>
      <x:c r="I32" s="14" t="str">
        <x:v>수신자는 김 대리인가요?</x:v>
      </x:c>
      <x:c r="J32" s="14" t="str">
        <x:v>수신자는 김 대리인가요?</x:v>
      </x:c>
    </x:row>
    <x:row r="33" ht="52" customHeight="1">
      <x:c r="A33" s="14" t="str">
        <x:v>S02-05</x:v>
      </x:c>
      <x:c r="B33" s="14" t="str">
        <x:v>B</x:v>
      </x:c>
      <x:c r="C33" s="14" t="n">
        <x:v>0.946666667</x:v>
      </x:c>
      <x:c r="D33" s="14" t="n">
        <x:v>1.347666667</x:v>
      </x:c>
      <x:c r="E33" s="17" t="n">
        <x:v>1</x:v>
      </x:c>
      <x:c r="F33" s="17" t="n">
        <x:v>1</x:v>
      </x:c>
      <x:c r="G33" s="17" t="n">
        <x:v>1</x:v>
      </x:c>
      <x:c r="H33" s="14" t="str">
        <x:v>S02-05:input</x:v>
      </x:c>
      <x:c r="I33" s="14" t="str">
        <x:v>수신자는 김 대리인가요?</x:v>
      </x:c>
      <x:c r="J33" s="14" t="str">
        <x:v>수신자는 김 대리인가요?</x:v>
      </x:c>
    </x:row>
    <x:row r="34" ht="52" customHeight="1">
      <x:c r="A34" s="14" t="str">
        <x:v>S02-06</x:v>
      </x:c>
      <x:c r="B34" s="14" t="str">
        <x:v>A</x:v>
      </x:c>
      <x:c r="C34" s="14" t="n">
        <x:v>0.9</x:v>
      </x:c>
      <x:c r="D34" s="14" t="n">
        <x:v>0.9</x:v>
      </x:c>
      <x:c r="E34" s="17" t="n">
        <x:v>1</x:v>
      </x:c>
      <x:c r="F34" s="17" t="n">
        <x:v>1</x:v>
      </x:c>
      <x:c r="G34" s="17" t="n">
        <x:v>1</x:v>
      </x:c>
      <x:c r="H34" s="14" t="str">
        <x:v>S02-06:input</x:v>
      </x:c>
      <x:c r="I34" s="14" t="str">
        <x:v>수신자는 김 대리인가요?</x:v>
      </x:c>
      <x:c r="J34" s="14" t="str">
        <x:v>수신자는 김 대리인가요?</x:v>
      </x:c>
    </x:row>
    <x:row r="35" ht="52" customHeight="1">
      <x:c r="A35" s="14" t="str">
        <x:v>S02-06</x:v>
      </x:c>
      <x:c r="B35" s="14" t="str">
        <x:v>B</x:v>
      </x:c>
      <x:c r="C35" s="14" t="n">
        <x:v>0.9</x:v>
      </x:c>
      <x:c r="D35" s="14" t="n">
        <x:v>1.301</x:v>
      </x:c>
      <x:c r="E35" s="17" t="n">
        <x:v>1</x:v>
      </x:c>
      <x:c r="F35" s="17" t="n">
        <x:v>1</x:v>
      </x:c>
      <x:c r="G35" s="17" t="n">
        <x:v>1</x:v>
      </x:c>
      <x:c r="H35" s="14" t="str">
        <x:v>S02-06:input</x:v>
      </x:c>
      <x:c r="I35" s="14" t="str">
        <x:v>수신자는 김 대리인가요?</x:v>
      </x:c>
      <x:c r="J35" s="14" t="str">
        <x:v>수신자는 김 대리인가요?</x:v>
      </x:c>
    </x:row>
    <x:row r="36" ht="52" customHeight="1">
      <x:c r="A36" s="14" t="str">
        <x:v>S02-07</x:v>
      </x:c>
      <x:c r="B36" s="14" t="str">
        <x:v>A</x:v>
      </x:c>
      <x:c r="C36" s="14" t="n">
        <x:v>0.928333333</x:v>
      </x:c>
      <x:c r="D36" s="14" t="n">
        <x:v>0.928333333</x:v>
      </x:c>
      <x:c r="E36" s="17" t="n">
        <x:v>1</x:v>
      </x:c>
      <x:c r="F36" s="17" t="n">
        <x:v>1</x:v>
      </x:c>
      <x:c r="G36" s="17" t="n">
        <x:v>1</x:v>
      </x:c>
      <x:c r="H36" s="14" t="str">
        <x:v>S02-07:input</x:v>
      </x:c>
      <x:c r="I36" s="14" t="str">
        <x:v>수신자는 김 대리인가요?</x:v>
      </x:c>
      <x:c r="J36" s="14" t="str">
        <x:v>수신자는 김 대리인가요?</x:v>
      </x:c>
    </x:row>
    <x:row r="37" ht="52" customHeight="1">
      <x:c r="A37" s="14" t="str">
        <x:v>S02-07</x:v>
      </x:c>
      <x:c r="B37" s="14" t="str">
        <x:v>B</x:v>
      </x:c>
      <x:c r="C37" s="14" t="n">
        <x:v>0.928333333</x:v>
      </x:c>
      <x:c r="D37" s="14" t="n">
        <x:v>1.329333333</x:v>
      </x:c>
      <x:c r="E37" s="17" t="n">
        <x:v>1</x:v>
      </x:c>
      <x:c r="F37" s="17" t="n">
        <x:v>1</x:v>
      </x:c>
      <x:c r="G37" s="17" t="n">
        <x:v>1</x:v>
      </x:c>
      <x:c r="H37" s="14" t="str">
        <x:v>S02-07:input</x:v>
      </x:c>
      <x:c r="I37" s="14" t="str">
        <x:v>수신자는 김 대리인가요?</x:v>
      </x:c>
      <x:c r="J37" s="14" t="str">
        <x:v>수신자는 김 대리인가요?</x:v>
      </x:c>
    </x:row>
    <x:row r="38" ht="52" customHeight="1">
      <x:c r="A38" s="14" t="str">
        <x:v>S02-08</x:v>
      </x:c>
      <x:c r="B38" s="14" t="str">
        <x:v>A</x:v>
      </x:c>
      <x:c r="C38" s="14" t="n">
        <x:v>0.956666667</x:v>
      </x:c>
      <x:c r="D38" s="14" t="n">
        <x:v>0.956666667</x:v>
      </x:c>
      <x:c r="E38" s="17" t="n">
        <x:v>1</x:v>
      </x:c>
      <x:c r="F38" s="17" t="n">
        <x:v>1</x:v>
      </x:c>
      <x:c r="G38" s="17" t="n">
        <x:v>1</x:v>
      </x:c>
      <x:c r="H38" s="14" t="str">
        <x:v>S02-08:input</x:v>
      </x:c>
      <x:c r="I38" s="14" t="str">
        <x:v>수신자는 김 대리인가요?</x:v>
      </x:c>
      <x:c r="J38" s="14" t="str">
        <x:v>수신자는 김 대리인가요?</x:v>
      </x:c>
    </x:row>
    <x:row r="39" ht="52" customHeight="1">
      <x:c r="A39" s="14" t="str">
        <x:v>S02-08</x:v>
      </x:c>
      <x:c r="B39" s="14" t="str">
        <x:v>B</x:v>
      </x:c>
      <x:c r="C39" s="14" t="n">
        <x:v>0.956666667</x:v>
      </x:c>
      <x:c r="D39" s="14" t="n">
        <x:v>1.357666667</x:v>
      </x:c>
      <x:c r="E39" s="17" t="n">
        <x:v>1</x:v>
      </x:c>
      <x:c r="F39" s="17" t="n">
        <x:v>1</x:v>
      </x:c>
      <x:c r="G39" s="17" t="n">
        <x:v>1</x:v>
      </x:c>
      <x:c r="H39" s="14" t="str">
        <x:v>S02-08:input</x:v>
      </x:c>
      <x:c r="I39" s="14" t="str">
        <x:v>수신자는 김 대리인가요?</x:v>
      </x:c>
      <x:c r="J39" s="14" t="str">
        <x:v>수신자는 김 대리인가요?</x:v>
      </x:c>
    </x:row>
    <x:row r="40" ht="52" customHeight="1">
      <x:c r="A40" s="14" t="str">
        <x:v>S02-09</x:v>
      </x:c>
      <x:c r="B40" s="14" t="str">
        <x:v>A</x:v>
      </x:c>
      <x:c r="C40" s="14" t="n">
        <x:v>0.91</x:v>
      </x:c>
      <x:c r="D40" s="14" t="n">
        <x:v>0.91</x:v>
      </x:c>
      <x:c r="E40" s="17" t="n">
        <x:v>1</x:v>
      </x:c>
      <x:c r="F40" s="17" t="n">
        <x:v>1</x:v>
      </x:c>
      <x:c r="G40" s="17" t="n">
        <x:v>1</x:v>
      </x:c>
      <x:c r="H40" s="14" t="str">
        <x:v>S02-09:input</x:v>
      </x:c>
      <x:c r="I40" s="14" t="str">
        <x:v>수신자는 김 대리인가요?</x:v>
      </x:c>
      <x:c r="J40" s="14" t="str">
        <x:v>수신자는 김 대리인가요?</x:v>
      </x:c>
    </x:row>
    <x:row r="41" ht="52" customHeight="1">
      <x:c r="A41" s="14" t="str">
        <x:v>S02-09</x:v>
      </x:c>
      <x:c r="B41" s="14" t="str">
        <x:v>B</x:v>
      </x:c>
      <x:c r="C41" s="14" t="n">
        <x:v>0.91</x:v>
      </x:c>
      <x:c r="D41" s="14" t="n">
        <x:v>1.311</x:v>
      </x:c>
      <x:c r="E41" s="17" t="n">
        <x:v>1</x:v>
      </x:c>
      <x:c r="F41" s="17" t="n">
        <x:v>1</x:v>
      </x:c>
      <x:c r="G41" s="17" t="n">
        <x:v>1</x:v>
      </x:c>
      <x:c r="H41" s="14" t="str">
        <x:v>S02-09:input</x:v>
      </x:c>
      <x:c r="I41" s="14" t="str">
        <x:v>수신자는 김 대리인가요?</x:v>
      </x:c>
      <x:c r="J41" s="14" t="str">
        <x:v>수신자는 김 대리인가요?</x:v>
      </x:c>
    </x:row>
    <x:row r="42" ht="52" customHeight="1">
      <x:c r="A42" s="14" t="str">
        <x:v>S02-10</x:v>
      </x:c>
      <x:c r="B42" s="14" t="str">
        <x:v>A</x:v>
      </x:c>
      <x:c r="C42" s="14" t="n">
        <x:v>0.938333333</x:v>
      </x:c>
      <x:c r="D42" s="14" t="n">
        <x:v>0.938333333</x:v>
      </x:c>
      <x:c r="E42" s="17" t="n">
        <x:v>1</x:v>
      </x:c>
      <x:c r="F42" s="17" t="n">
        <x:v>1</x:v>
      </x:c>
      <x:c r="G42" s="17" t="n">
        <x:v>1</x:v>
      </x:c>
      <x:c r="H42" s="14" t="str">
        <x:v>S02-10:input</x:v>
      </x:c>
      <x:c r="I42" s="14" t="str">
        <x:v>수신자는 김 대리인가요?</x:v>
      </x:c>
      <x:c r="J42" s="14" t="str">
        <x:v>수신자는 김 대리인가요?</x:v>
      </x:c>
    </x:row>
    <x:row r="43" ht="52" customHeight="1">
      <x:c r="A43" s="14" t="str">
        <x:v>S02-10</x:v>
      </x:c>
      <x:c r="B43" s="14" t="str">
        <x:v>B</x:v>
      </x:c>
      <x:c r="C43" s="14" t="n">
        <x:v>0.938333333</x:v>
      </x:c>
      <x:c r="D43" s="14" t="n">
        <x:v>1.339333333</x:v>
      </x:c>
      <x:c r="E43" s="17" t="n">
        <x:v>1</x:v>
      </x:c>
      <x:c r="F43" s="17" t="n">
        <x:v>1</x:v>
      </x:c>
      <x:c r="G43" s="17" t="n">
        <x:v>1</x:v>
      </x:c>
      <x:c r="H43" s="14" t="str">
        <x:v>S02-10:input</x:v>
      </x:c>
      <x:c r="I43" s="14" t="str">
        <x:v>수신자는 김 대리인가요?</x:v>
      </x:c>
      <x:c r="J43" s="14" t="str">
        <x:v>수신자는 김 대리인가요?</x:v>
      </x:c>
    </x:row>
    <x:row r="44" ht="52" customHeight="1">
      <x:c r="A44" s="14" t="str">
        <x:v>S03-01</x:v>
      </x:c>
      <x:c r="B44" s="14" t="str">
        <x:v>A</x:v>
      </x:c>
      <x:c r="C44" s="14" t="n">
        <x:v>0.908333333</x:v>
      </x:c>
      <x:c r="D44" s="14" t="n">
        <x:v>0.908333333</x:v>
      </x:c>
      <x:c r="E44" s="17" t="n">
        <x:v>2</x:v>
      </x:c>
      <x:c r="F44" s="17" t="n">
        <x:v>2</x:v>
      </x:c>
      <x:c r="G44" s="17" t="n">
        <x:v>1</x:v>
      </x:c>
      <x:c r="H44" s="14" t="str">
        <x:v>S03-01:input</x:v>
      </x:c>
      <x:c r="I44" s="14" t="str">
        <x:v>보고서를 6월 기준으로 다시 요청하고, 메일 질문부터 읽겠습니다.</x:v>
      </x:c>
      <x:c r="J44" s="14" t="str">
        <x:v>수신자는 김 대리인가요?</x:v>
      </x:c>
    </x:row>
    <x:row r="45" ht="52" customHeight="1">
      <x:c r="A45" s="14" t="str">
        <x:v>S03-01</x:v>
      </x:c>
      <x:c r="B45" s="14" t="str">
        <x:v>B</x:v>
      </x:c>
      <x:c r="C45" s="14" t="n">
        <x:v>0.908333333</x:v>
      </x:c>
      <x:c r="D45" s="14" t="n">
        <x:v>1.309333333</x:v>
      </x:c>
      <x:c r="E45" s="17" t="n">
        <x:v>2</x:v>
      </x:c>
      <x:c r="F45" s="17" t="n">
        <x:v>2</x:v>
      </x:c>
      <x:c r="G45" s="17" t="n">
        <x:v>1</x:v>
      </x:c>
      <x:c r="H45" s="14" t="str">
        <x:v>S03-01:input</x:v>
      </x:c>
      <x:c r="I45" s="14" t="str">
        <x:v>보고서를 6월 기준으로 다시 요청하고, 메일 질문부터 읽겠습니다.</x:v>
      </x:c>
      <x:c r="J45" s="14" t="str">
        <x:v>수신자는 김 대리인가요?</x:v>
      </x:c>
    </x:row>
    <x:row r="46" ht="52" customHeight="1">
      <x:c r="A46" s="14" t="str">
        <x:v>S03-02</x:v>
      </x:c>
      <x:c r="B46" s="14" t="str">
        <x:v>A</x:v>
      </x:c>
      <x:c r="C46" s="14" t="n">
        <x:v>0.936666667</x:v>
      </x:c>
      <x:c r="D46" s="14" t="n">
        <x:v>0.936666667</x:v>
      </x:c>
      <x:c r="E46" s="17" t="n">
        <x:v>2</x:v>
      </x:c>
      <x:c r="F46" s="17" t="n">
        <x:v>2</x:v>
      </x:c>
      <x:c r="G46" s="17" t="n">
        <x:v>1</x:v>
      </x:c>
      <x:c r="H46" s="14" t="str">
        <x:v>S03-02:input</x:v>
      </x:c>
      <x:c r="I46" s="14" t="str">
        <x:v>보고서를 6월 기준으로 다시 요청하고, 메일 질문부터 읽겠습니다.</x:v>
      </x:c>
      <x:c r="J46" s="14" t="str">
        <x:v>수신자는 김 대리인가요?</x:v>
      </x:c>
    </x:row>
    <x:row r="47" ht="52" customHeight="1">
      <x:c r="A47" s="14" t="str">
        <x:v>S03-02</x:v>
      </x:c>
      <x:c r="B47" s="14" t="str">
        <x:v>B</x:v>
      </x:c>
      <x:c r="C47" s="14" t="n">
        <x:v>0.936666667</x:v>
      </x:c>
      <x:c r="D47" s="14" t="n">
        <x:v>1.337666667</x:v>
      </x:c>
      <x:c r="E47" s="17" t="n">
        <x:v>2</x:v>
      </x:c>
      <x:c r="F47" s="17" t="n">
        <x:v>2</x:v>
      </x:c>
      <x:c r="G47" s="17" t="n">
        <x:v>1</x:v>
      </x:c>
      <x:c r="H47" s="14" t="str">
        <x:v>S03-02:input</x:v>
      </x:c>
      <x:c r="I47" s="14" t="str">
        <x:v>보고서를 6월 기준으로 다시 요청하고, 메일 질문부터 읽겠습니다.</x:v>
      </x:c>
      <x:c r="J47" s="14" t="str">
        <x:v>수신자는 김 대리인가요?</x:v>
      </x:c>
    </x:row>
    <x:row r="48" ht="52" customHeight="1">
      <x:c r="A48" s="14" t="str">
        <x:v>S03-03</x:v>
      </x:c>
      <x:c r="B48" s="14" t="str">
        <x:v>A</x:v>
      </x:c>
      <x:c r="C48" s="14" t="n">
        <x:v>0.89</x:v>
      </x:c>
      <x:c r="D48" s="14" t="n">
        <x:v>0.89</x:v>
      </x:c>
      <x:c r="E48" s="17" t="n">
        <x:v>2</x:v>
      </x:c>
      <x:c r="F48" s="17" t="n">
        <x:v>2</x:v>
      </x:c>
      <x:c r="G48" s="17" t="n">
        <x:v>1</x:v>
      </x:c>
      <x:c r="H48" s="14" t="str">
        <x:v>S03-03:input</x:v>
      </x:c>
      <x:c r="I48" s="14" t="str">
        <x:v>보고서를 6월 기준으로 다시 요청하고, 메일 질문부터 읽겠습니다.</x:v>
      </x:c>
      <x:c r="J48" s="14" t="str">
        <x:v>수신자는 김 대리인가요?</x:v>
      </x:c>
    </x:row>
    <x:row r="49" ht="52" customHeight="1">
      <x:c r="A49" s="14" t="str">
        <x:v>S03-03</x:v>
      </x:c>
      <x:c r="B49" s="14" t="str">
        <x:v>B</x:v>
      </x:c>
      <x:c r="C49" s="14" t="n">
        <x:v>0.89</x:v>
      </x:c>
      <x:c r="D49" s="14" t="n">
        <x:v>1.291</x:v>
      </x:c>
      <x:c r="E49" s="17" t="n">
        <x:v>2</x:v>
      </x:c>
      <x:c r="F49" s="17" t="n">
        <x:v>2</x:v>
      </x:c>
      <x:c r="G49" s="17" t="n">
        <x:v>1</x:v>
      </x:c>
      <x:c r="H49" s="14" t="str">
        <x:v>S03-03:input</x:v>
      </x:c>
      <x:c r="I49" s="14" t="str">
        <x:v>보고서를 6월 기준으로 다시 요청하고, 메일 질문부터 읽겠습니다.</x:v>
      </x:c>
      <x:c r="J49" s="14" t="str">
        <x:v>수신자는 김 대리인가요?</x:v>
      </x:c>
    </x:row>
    <x:row r="50" ht="52" customHeight="1">
      <x:c r="A50" s="14" t="str">
        <x:v>S03-04</x:v>
      </x:c>
      <x:c r="B50" s="14" t="str">
        <x:v>A</x:v>
      </x:c>
      <x:c r="C50" s="14" t="n">
        <x:v>0.918333333</x:v>
      </x:c>
      <x:c r="D50" s="14" t="n">
        <x:v>0.918333333</x:v>
      </x:c>
      <x:c r="E50" s="17" t="n">
        <x:v>2</x:v>
      </x:c>
      <x:c r="F50" s="17" t="n">
        <x:v>2</x:v>
      </x:c>
      <x:c r="G50" s="17" t="n">
        <x:v>1</x:v>
      </x:c>
      <x:c r="H50" s="14" t="str">
        <x:v>S03-04:input</x:v>
      </x:c>
      <x:c r="I50" s="14" t="str">
        <x:v>보고서를 6월 기준으로 다시 요청하고, 메일 질문부터 읽겠습니다.</x:v>
      </x:c>
      <x:c r="J50" s="14" t="str">
        <x:v>수신자는 김 대리인가요?</x:v>
      </x:c>
    </x:row>
    <x:row r="51" ht="52" customHeight="1">
      <x:c r="A51" s="14" t="str">
        <x:v>S03-04</x:v>
      </x:c>
      <x:c r="B51" s="14" t="str">
        <x:v>B</x:v>
      </x:c>
      <x:c r="C51" s="14" t="n">
        <x:v>0.918333333</x:v>
      </x:c>
      <x:c r="D51" s="14" t="n">
        <x:v>1.319333333</x:v>
      </x:c>
      <x:c r="E51" s="17" t="n">
        <x:v>2</x:v>
      </x:c>
      <x:c r="F51" s="17" t="n">
        <x:v>2</x:v>
      </x:c>
      <x:c r="G51" s="17" t="n">
        <x:v>1</x:v>
      </x:c>
      <x:c r="H51" s="14" t="str">
        <x:v>S03-04:input</x:v>
      </x:c>
      <x:c r="I51" s="14" t="str">
        <x:v>보고서를 6월 기준으로 다시 요청하고, 메일 질문부터 읽겠습니다.</x:v>
      </x:c>
      <x:c r="J51" s="14" t="str">
        <x:v>수신자는 김 대리인가요?</x:v>
      </x:c>
    </x:row>
    <x:row r="52" ht="52" customHeight="1">
      <x:c r="A52" s="14" t="str">
        <x:v>S03-05</x:v>
      </x:c>
      <x:c r="B52" s="14" t="str">
        <x:v>A</x:v>
      </x:c>
      <x:c r="C52" s="14" t="n">
        <x:v>0.946666667</x:v>
      </x:c>
      <x:c r="D52" s="14" t="n">
        <x:v>0.946666667</x:v>
      </x:c>
      <x:c r="E52" s="17" t="n">
        <x:v>2</x:v>
      </x:c>
      <x:c r="F52" s="17" t="n">
        <x:v>2</x:v>
      </x:c>
      <x:c r="G52" s="17" t="n">
        <x:v>1</x:v>
      </x:c>
      <x:c r="H52" s="14" t="str">
        <x:v>S03-05:input</x:v>
      </x:c>
      <x:c r="I52" s="14" t="str">
        <x:v>보고서를 6월 기준으로 다시 요청하고, 메일 질문부터 읽겠습니다.</x:v>
      </x:c>
      <x:c r="J52" s="14" t="str">
        <x:v>수신자는 김 대리인가요?</x:v>
      </x:c>
    </x:row>
    <x:row r="53" ht="52" customHeight="1">
      <x:c r="A53" s="14" t="str">
        <x:v>S03-05</x:v>
      </x:c>
      <x:c r="B53" s="14" t="str">
        <x:v>B</x:v>
      </x:c>
      <x:c r="C53" s="14" t="n">
        <x:v>0.946666667</x:v>
      </x:c>
      <x:c r="D53" s="14" t="n">
        <x:v>1.347666667</x:v>
      </x:c>
      <x:c r="E53" s="17" t="n">
        <x:v>2</x:v>
      </x:c>
      <x:c r="F53" s="17" t="n">
        <x:v>2</x:v>
      </x:c>
      <x:c r="G53" s="17" t="n">
        <x:v>1</x:v>
      </x:c>
      <x:c r="H53" s="14" t="str">
        <x:v>S03-05:input</x:v>
      </x:c>
      <x:c r="I53" s="14" t="str">
        <x:v>보고서를 6월 기준으로 다시 요청하고, 메일 질문부터 읽겠습니다.</x:v>
      </x:c>
      <x:c r="J53" s="14" t="str">
        <x:v>수신자는 김 대리인가요?</x:v>
      </x:c>
    </x:row>
    <x:row r="54" ht="52" customHeight="1">
      <x:c r="A54" s="14" t="str">
        <x:v>S03-06</x:v>
      </x:c>
      <x:c r="B54" s="14" t="str">
        <x:v>A</x:v>
      </x:c>
      <x:c r="C54" s="14" t="n">
        <x:v>0.9</x:v>
      </x:c>
      <x:c r="D54" s="14" t="n">
        <x:v>0.9</x:v>
      </x:c>
      <x:c r="E54" s="17" t="n">
        <x:v>2</x:v>
      </x:c>
      <x:c r="F54" s="17" t="n">
        <x:v>2</x:v>
      </x:c>
      <x:c r="G54" s="17" t="n">
        <x:v>1</x:v>
      </x:c>
      <x:c r="H54" s="14" t="str">
        <x:v>S03-06:input</x:v>
      </x:c>
      <x:c r="I54" s="14" t="str">
        <x:v>보고서를 6월 기준으로 다시 요청하고, 메일 질문부터 읽겠습니다.</x:v>
      </x:c>
      <x:c r="J54" s="14" t="str">
        <x:v>수신자는 김 대리인가요?</x:v>
      </x:c>
    </x:row>
    <x:row r="55" ht="52" customHeight="1">
      <x:c r="A55" s="14" t="str">
        <x:v>S03-06</x:v>
      </x:c>
      <x:c r="B55" s="14" t="str">
        <x:v>B</x:v>
      </x:c>
      <x:c r="C55" s="14" t="n">
        <x:v>0.9</x:v>
      </x:c>
      <x:c r="D55" s="14" t="n">
        <x:v>1.301</x:v>
      </x:c>
      <x:c r="E55" s="17" t="n">
        <x:v>2</x:v>
      </x:c>
      <x:c r="F55" s="17" t="n">
        <x:v>2</x:v>
      </x:c>
      <x:c r="G55" s="17" t="n">
        <x:v>1</x:v>
      </x:c>
      <x:c r="H55" s="14" t="str">
        <x:v>S03-06:input</x:v>
      </x:c>
      <x:c r="I55" s="14" t="str">
        <x:v>보고서를 6월 기준으로 다시 요청하고, 메일 질문부터 읽겠습니다.</x:v>
      </x:c>
      <x:c r="J55" s="14" t="str">
        <x:v>수신자는 김 대리인가요?</x:v>
      </x:c>
    </x:row>
    <x:row r="56" ht="52" customHeight="1">
      <x:c r="A56" s="14" t="str">
        <x:v>S03-07</x:v>
      </x:c>
      <x:c r="B56" s="14" t="str">
        <x:v>A</x:v>
      </x:c>
      <x:c r="C56" s="14" t="n">
        <x:v>0.928333333</x:v>
      </x:c>
      <x:c r="D56" s="14" t="n">
        <x:v>0.928333333</x:v>
      </x:c>
      <x:c r="E56" s="17" t="n">
        <x:v>2</x:v>
      </x:c>
      <x:c r="F56" s="17" t="n">
        <x:v>2</x:v>
      </x:c>
      <x:c r="G56" s="17" t="n">
        <x:v>1</x:v>
      </x:c>
      <x:c r="H56" s="14" t="str">
        <x:v>S03-07:input</x:v>
      </x:c>
      <x:c r="I56" s="14" t="str">
        <x:v>보고서를 6월 기준으로 다시 요청하고, 메일 질문부터 읽겠습니다.</x:v>
      </x:c>
      <x:c r="J56" s="14" t="str">
        <x:v>수신자는 김 대리인가요?</x:v>
      </x:c>
    </x:row>
    <x:row r="57" ht="52" customHeight="1">
      <x:c r="A57" s="14" t="str">
        <x:v>S03-07</x:v>
      </x:c>
      <x:c r="B57" s="14" t="str">
        <x:v>B</x:v>
      </x:c>
      <x:c r="C57" s="14" t="n">
        <x:v>0.928333333</x:v>
      </x:c>
      <x:c r="D57" s="14" t="n">
        <x:v>1.329333333</x:v>
      </x:c>
      <x:c r="E57" s="17" t="n">
        <x:v>2</x:v>
      </x:c>
      <x:c r="F57" s="17" t="n">
        <x:v>2</x:v>
      </x:c>
      <x:c r="G57" s="17" t="n">
        <x:v>1</x:v>
      </x:c>
      <x:c r="H57" s="14" t="str">
        <x:v>S03-07:input</x:v>
      </x:c>
      <x:c r="I57" s="14" t="str">
        <x:v>보고서를 6월 기준으로 다시 요청하고, 메일 질문부터 읽겠습니다.</x:v>
      </x:c>
      <x:c r="J57" s="14" t="str">
        <x:v>수신자는 김 대리인가요?</x:v>
      </x:c>
    </x:row>
    <x:row r="58" ht="52" customHeight="1">
      <x:c r="A58" s="14" t="str">
        <x:v>S03-08</x:v>
      </x:c>
      <x:c r="B58" s="14" t="str">
        <x:v>A</x:v>
      </x:c>
      <x:c r="C58" s="14" t="n">
        <x:v>0.956666667</x:v>
      </x:c>
      <x:c r="D58" s="14" t="n">
        <x:v>0.956666667</x:v>
      </x:c>
      <x:c r="E58" s="17" t="n">
        <x:v>2</x:v>
      </x:c>
      <x:c r="F58" s="17" t="n">
        <x:v>2</x:v>
      </x:c>
      <x:c r="G58" s="17" t="n">
        <x:v>1</x:v>
      </x:c>
      <x:c r="H58" s="14" t="str">
        <x:v>S03-08:input</x:v>
      </x:c>
      <x:c r="I58" s="14" t="str">
        <x:v>보고서를 6월 기준으로 다시 요청하고, 메일 질문부터 읽겠습니다.</x:v>
      </x:c>
      <x:c r="J58" s="14" t="str">
        <x:v>수신자는 김 대리인가요?</x:v>
      </x:c>
    </x:row>
    <x:row r="59" ht="52" customHeight="1">
      <x:c r="A59" s="14" t="str">
        <x:v>S03-08</x:v>
      </x:c>
      <x:c r="B59" s="14" t="str">
        <x:v>B</x:v>
      </x:c>
      <x:c r="C59" s="14" t="n">
        <x:v>0.956666667</x:v>
      </x:c>
      <x:c r="D59" s="14" t="n">
        <x:v>1.357666667</x:v>
      </x:c>
      <x:c r="E59" s="17" t="n">
        <x:v>2</x:v>
      </x:c>
      <x:c r="F59" s="17" t="n">
        <x:v>2</x:v>
      </x:c>
      <x:c r="G59" s="17" t="n">
        <x:v>1</x:v>
      </x:c>
      <x:c r="H59" s="14" t="str">
        <x:v>S03-08:input</x:v>
      </x:c>
      <x:c r="I59" s="14" t="str">
        <x:v>보고서를 6월 기준으로 다시 요청하고, 메일 질문부터 읽겠습니다.</x:v>
      </x:c>
      <x:c r="J59" s="14" t="str">
        <x:v>수신자는 김 대리인가요?</x:v>
      </x:c>
    </x:row>
    <x:row r="60" ht="52" customHeight="1">
      <x:c r="A60" s="14" t="str">
        <x:v>S03-09</x:v>
      </x:c>
      <x:c r="B60" s="14" t="str">
        <x:v>A</x:v>
      </x:c>
      <x:c r="C60" s="14" t="n">
        <x:v>0.91</x:v>
      </x:c>
      <x:c r="D60" s="14" t="n">
        <x:v>0.91</x:v>
      </x:c>
      <x:c r="E60" s="17" t="n">
        <x:v>2</x:v>
      </x:c>
      <x:c r="F60" s="17" t="n">
        <x:v>2</x:v>
      </x:c>
      <x:c r="G60" s="17" t="n">
        <x:v>1</x:v>
      </x:c>
      <x:c r="H60" s="14" t="str">
        <x:v>S03-09:input</x:v>
      </x:c>
      <x:c r="I60" s="14" t="str">
        <x:v>보고서를 6월 기준으로 다시 요청하고, 메일 질문부터 읽겠습니다.</x:v>
      </x:c>
      <x:c r="J60" s="14" t="str">
        <x:v>수신자는 김 대리인가요?</x:v>
      </x:c>
    </x:row>
    <x:row r="61" ht="52" customHeight="1">
      <x:c r="A61" s="14" t="str">
        <x:v>S03-09</x:v>
      </x:c>
      <x:c r="B61" s="14" t="str">
        <x:v>B</x:v>
      </x:c>
      <x:c r="C61" s="14" t="n">
        <x:v>0.91</x:v>
      </x:c>
      <x:c r="D61" s="14" t="n">
        <x:v>1.311</x:v>
      </x:c>
      <x:c r="E61" s="17" t="n">
        <x:v>2</x:v>
      </x:c>
      <x:c r="F61" s="17" t="n">
        <x:v>2</x:v>
      </x:c>
      <x:c r="G61" s="17" t="n">
        <x:v>1</x:v>
      </x:c>
      <x:c r="H61" s="14" t="str">
        <x:v>S03-09:input</x:v>
      </x:c>
      <x:c r="I61" s="14" t="str">
        <x:v>보고서를 6월 기준으로 다시 요청하고, 메일 질문부터 읽겠습니다.</x:v>
      </x:c>
      <x:c r="J61" s="14" t="str">
        <x:v>수신자는 김 대리인가요?</x:v>
      </x:c>
    </x:row>
    <x:row r="62" ht="52" customHeight="1">
      <x:c r="A62" s="14" t="str">
        <x:v>S03-10</x:v>
      </x:c>
      <x:c r="B62" s="14" t="str">
        <x:v>A</x:v>
      </x:c>
      <x:c r="C62" s="14" t="n">
        <x:v>0.938333333</x:v>
      </x:c>
      <x:c r="D62" s="14" t="n">
        <x:v>0.938333333</x:v>
      </x:c>
      <x:c r="E62" s="17" t="n">
        <x:v>2</x:v>
      </x:c>
      <x:c r="F62" s="17" t="n">
        <x:v>2</x:v>
      </x:c>
      <x:c r="G62" s="17" t="n">
        <x:v>1</x:v>
      </x:c>
      <x:c r="H62" s="14" t="str">
        <x:v>S03-10:input</x:v>
      </x:c>
      <x:c r="I62" s="14" t="str">
        <x:v>보고서를 6월 기준으로 다시 요청하고, 메일 질문부터 읽겠습니다.</x:v>
      </x:c>
      <x:c r="J62" s="14" t="str">
        <x:v>수신자는 김 대리인가요?</x:v>
      </x:c>
    </x:row>
    <x:row r="63" ht="52" customHeight="1">
      <x:c r="A63" s="14" t="str">
        <x:v>S03-10</x:v>
      </x:c>
      <x:c r="B63" s="14" t="str">
        <x:v>B</x:v>
      </x:c>
      <x:c r="C63" s="14" t="n">
        <x:v>0.938333333</x:v>
      </x:c>
      <x:c r="D63" s="14" t="n">
        <x:v>1.339333333</x:v>
      </x:c>
      <x:c r="E63" s="17" t="n">
        <x:v>2</x:v>
      </x:c>
      <x:c r="F63" s="17" t="n">
        <x:v>2</x:v>
      </x:c>
      <x:c r="G63" s="17" t="n">
        <x:v>1</x:v>
      </x:c>
      <x:c r="H63" s="14" t="str">
        <x:v>S03-10:input</x:v>
      </x:c>
      <x:c r="I63" s="14" t="str">
        <x:v>보고서를 6월 기준으로 다시 요청하고, 메일 질문부터 읽겠습니다.</x:v>
      </x:c>
      <x:c r="J63" s="14" t="str">
        <x:v>수신자는 김 대리인가요?</x:v>
      </x:c>
    </x:row>
    <x:row r="64" ht="52" customHeight="1">
      <x:c r="A64" s="14" t="str">
        <x:v>S04-01</x:v>
      </x:c>
      <x:c r="B64" s="14" t="str">
        <x:v>A</x:v>
      </x:c>
      <x:c r="C64" s="14" t="n">
        <x:v>0.908333333</x:v>
      </x:c>
      <x:c r="D64" s="14" t="n">
        <x:v>1.315666666</x:v>
      </x:c>
      <x:c r="E64" s="17" t="n">
        <x:v>1</x:v>
      </x:c>
      <x:c r="F64" s="17" t="n">
        <x:v>1</x:v>
      </x:c>
      <x:c r="G64" s="17" t="n">
        <x:v>1</x:v>
      </x:c>
      <x:c r="H64" s="14" t="str">
        <x:v>S04-01:input</x:v>
      </x:c>
      <x:c r="I64" s="14" t="str">
        <x:v>보고서 음성 안내를 취소했습니다. 화면 결과는 유지합니다.</x:v>
      </x:c>
      <x:c r="J64" s="14" t="str">
        <x:v>보고서 음성 안내를 취소했습니다. 화면 결과는 유지합니다.</x:v>
      </x:c>
    </x:row>
    <x:row r="65" ht="52" customHeight="1">
      <x:c r="A65" s="14" t="str">
        <x:v>S04-01</x:v>
      </x:c>
      <x:c r="B65" s="14" t="str">
        <x:v>B</x:v>
      </x:c>
      <x:c r="C65" s="14" t="n">
        <x:v>0.908333333</x:v>
      </x:c>
      <x:c r="D65" s="14" t="n">
        <x:v>1.315666666</x:v>
      </x:c>
      <x:c r="E65" s="17" t="n">
        <x:v>1</x:v>
      </x:c>
      <x:c r="F65" s="17" t="n">
        <x:v>1</x:v>
      </x:c>
      <x:c r="G65" s="17" t="n">
        <x:v>1</x:v>
      </x:c>
      <x:c r="H65" s="14" t="str">
        <x:v>S04-01:input</x:v>
      </x:c>
      <x:c r="I65" s="14" t="str">
        <x:v>보고서 음성 안내를 취소했습니다. 화면 결과는 유지합니다.</x:v>
      </x:c>
      <x:c r="J65" s="14" t="str">
        <x:v>보고서 음성 안내를 취소했습니다. 화면 결과는 유지합니다.</x:v>
      </x:c>
    </x:row>
    <x:row r="66" ht="52" customHeight="1">
      <x:c r="A66" s="14" t="str">
        <x:v>S04-02</x:v>
      </x:c>
      <x:c r="B66" s="14" t="str">
        <x:v>A</x:v>
      </x:c>
      <x:c r="C66" s="14" t="n">
        <x:v>0.936666667</x:v>
      </x:c>
      <x:c r="D66" s="14" t="n">
        <x:v>1.344</x:v>
      </x:c>
      <x:c r="E66" s="17" t="n">
        <x:v>1</x:v>
      </x:c>
      <x:c r="F66" s="17" t="n">
        <x:v>1</x:v>
      </x:c>
      <x:c r="G66" s="17" t="n">
        <x:v>1</x:v>
      </x:c>
      <x:c r="H66" s="14" t="str">
        <x:v>S04-02:input</x:v>
      </x:c>
      <x:c r="I66" s="14" t="str">
        <x:v>보고서 음성 안내를 취소했습니다. 화면 결과는 유지합니다.</x:v>
      </x:c>
      <x:c r="J66" s="14" t="str">
        <x:v>보고서 음성 안내를 취소했습니다. 화면 결과는 유지합니다.</x:v>
      </x:c>
    </x:row>
    <x:row r="67" ht="52" customHeight="1">
      <x:c r="A67" s="14" t="str">
        <x:v>S04-02</x:v>
      </x:c>
      <x:c r="B67" s="14" t="str">
        <x:v>B</x:v>
      </x:c>
      <x:c r="C67" s="14" t="n">
        <x:v>0.936666667</x:v>
      </x:c>
      <x:c r="D67" s="14" t="n">
        <x:v>1.344</x:v>
      </x:c>
      <x:c r="E67" s="17" t="n">
        <x:v>1</x:v>
      </x:c>
      <x:c r="F67" s="17" t="n">
        <x:v>1</x:v>
      </x:c>
      <x:c r="G67" s="17" t="n">
        <x:v>1</x:v>
      </x:c>
      <x:c r="H67" s="14" t="str">
        <x:v>S04-02:input</x:v>
      </x:c>
      <x:c r="I67" s="14" t="str">
        <x:v>보고서 음성 안내를 취소했습니다. 화면 결과는 유지합니다.</x:v>
      </x:c>
      <x:c r="J67" s="14" t="str">
        <x:v>보고서 음성 안내를 취소했습니다. 화면 결과는 유지합니다.</x:v>
      </x:c>
    </x:row>
    <x:row r="68" ht="52" customHeight="1">
      <x:c r="A68" s="14" t="str">
        <x:v>S04-03</x:v>
      </x:c>
      <x:c r="B68" s="14" t="str">
        <x:v>A</x:v>
      </x:c>
      <x:c r="C68" s="14" t="n">
        <x:v>0.89</x:v>
      </x:c>
      <x:c r="D68" s="14" t="n">
        <x:v>1.297333333</x:v>
      </x:c>
      <x:c r="E68" s="17" t="n">
        <x:v>1</x:v>
      </x:c>
      <x:c r="F68" s="17" t="n">
        <x:v>1</x:v>
      </x:c>
      <x:c r="G68" s="17" t="n">
        <x:v>1</x:v>
      </x:c>
      <x:c r="H68" s="14" t="str">
        <x:v>S04-03:input</x:v>
      </x:c>
      <x:c r="I68" s="14" t="str">
        <x:v>보고서 음성 안내를 취소했습니다. 화면 결과는 유지합니다.</x:v>
      </x:c>
      <x:c r="J68" s="14" t="str">
        <x:v>보고서 음성 안내를 취소했습니다. 화면 결과는 유지합니다.</x:v>
      </x:c>
    </x:row>
    <x:row r="69" ht="52" customHeight="1">
      <x:c r="A69" s="14" t="str">
        <x:v>S04-03</x:v>
      </x:c>
      <x:c r="B69" s="14" t="str">
        <x:v>B</x:v>
      </x:c>
      <x:c r="C69" s="14" t="n">
        <x:v>0.89</x:v>
      </x:c>
      <x:c r="D69" s="14" t="n">
        <x:v>1.297333333</x:v>
      </x:c>
      <x:c r="E69" s="17" t="n">
        <x:v>1</x:v>
      </x:c>
      <x:c r="F69" s="17" t="n">
        <x:v>1</x:v>
      </x:c>
      <x:c r="G69" s="17" t="n">
        <x:v>1</x:v>
      </x:c>
      <x:c r="H69" s="14" t="str">
        <x:v>S04-03:input</x:v>
      </x:c>
      <x:c r="I69" s="14" t="str">
        <x:v>보고서 음성 안내를 취소했습니다. 화면 결과는 유지합니다.</x:v>
      </x:c>
      <x:c r="J69" s="14" t="str">
        <x:v>보고서 음성 안내를 취소했습니다. 화면 결과는 유지합니다.</x:v>
      </x:c>
    </x:row>
    <x:row r="70" ht="52" customHeight="1">
      <x:c r="A70" s="14" t="str">
        <x:v>S04-04</x:v>
      </x:c>
      <x:c r="B70" s="14" t="str">
        <x:v>A</x:v>
      </x:c>
      <x:c r="C70" s="14" t="n">
        <x:v>0.918333333</x:v>
      </x:c>
      <x:c r="D70" s="14" t="n">
        <x:v>1.325666666</x:v>
      </x:c>
      <x:c r="E70" s="17" t="n">
        <x:v>1</x:v>
      </x:c>
      <x:c r="F70" s="17" t="n">
        <x:v>1</x:v>
      </x:c>
      <x:c r="G70" s="17" t="n">
        <x:v>1</x:v>
      </x:c>
      <x:c r="H70" s="14" t="str">
        <x:v>S04-04:input</x:v>
      </x:c>
      <x:c r="I70" s="14" t="str">
        <x:v>보고서 음성 안내를 취소했습니다. 화면 결과는 유지합니다.</x:v>
      </x:c>
      <x:c r="J70" s="14" t="str">
        <x:v>보고서 음성 안내를 취소했습니다. 화면 결과는 유지합니다.</x:v>
      </x:c>
    </x:row>
    <x:row r="71" ht="52" customHeight="1">
      <x:c r="A71" s="14" t="str">
        <x:v>S04-04</x:v>
      </x:c>
      <x:c r="B71" s="14" t="str">
        <x:v>B</x:v>
      </x:c>
      <x:c r="C71" s="14" t="n">
        <x:v>0.918333333</x:v>
      </x:c>
      <x:c r="D71" s="14" t="n">
        <x:v>1.325666666</x:v>
      </x:c>
      <x:c r="E71" s="17" t="n">
        <x:v>1</x:v>
      </x:c>
      <x:c r="F71" s="17" t="n">
        <x:v>1</x:v>
      </x:c>
      <x:c r="G71" s="17" t="n">
        <x:v>1</x:v>
      </x:c>
      <x:c r="H71" s="14" t="str">
        <x:v>S04-04:input</x:v>
      </x:c>
      <x:c r="I71" s="14" t="str">
        <x:v>보고서 음성 안내를 취소했습니다. 화면 결과는 유지합니다.</x:v>
      </x:c>
      <x:c r="J71" s="14" t="str">
        <x:v>보고서 음성 안내를 취소했습니다. 화면 결과는 유지합니다.</x:v>
      </x:c>
    </x:row>
    <x:row r="72" ht="52" customHeight="1">
      <x:c r="A72" s="14" t="str">
        <x:v>S04-05</x:v>
      </x:c>
      <x:c r="B72" s="14" t="str">
        <x:v>A</x:v>
      </x:c>
      <x:c r="C72" s="14" t="n">
        <x:v>0.946666667</x:v>
      </x:c>
      <x:c r="D72" s="14" t="n">
        <x:v>1.354</x:v>
      </x:c>
      <x:c r="E72" s="17" t="n">
        <x:v>1</x:v>
      </x:c>
      <x:c r="F72" s="17" t="n">
        <x:v>1</x:v>
      </x:c>
      <x:c r="G72" s="17" t="n">
        <x:v>1</x:v>
      </x:c>
      <x:c r="H72" s="14" t="str">
        <x:v>S04-05:input</x:v>
      </x:c>
      <x:c r="I72" s="14" t="str">
        <x:v>보고서 음성 안내를 취소했습니다. 화면 결과는 유지합니다.</x:v>
      </x:c>
      <x:c r="J72" s="14" t="str">
        <x:v>보고서 음성 안내를 취소했습니다. 화면 결과는 유지합니다.</x:v>
      </x:c>
    </x:row>
    <x:row r="73" ht="52" customHeight="1">
      <x:c r="A73" s="14" t="str">
        <x:v>S04-05</x:v>
      </x:c>
      <x:c r="B73" s="14" t="str">
        <x:v>B</x:v>
      </x:c>
      <x:c r="C73" s="14" t="n">
        <x:v>0.946666667</x:v>
      </x:c>
      <x:c r="D73" s="14" t="n">
        <x:v>1.354</x:v>
      </x:c>
      <x:c r="E73" s="17" t="n">
        <x:v>1</x:v>
      </x:c>
      <x:c r="F73" s="17" t="n">
        <x:v>1</x:v>
      </x:c>
      <x:c r="G73" s="17" t="n">
        <x:v>1</x:v>
      </x:c>
      <x:c r="H73" s="14" t="str">
        <x:v>S04-05:input</x:v>
      </x:c>
      <x:c r="I73" s="14" t="str">
        <x:v>보고서 음성 안내를 취소했습니다. 화면 결과는 유지합니다.</x:v>
      </x:c>
      <x:c r="J73" s="14" t="str">
        <x:v>보고서 음성 안내를 취소했습니다. 화면 결과는 유지합니다.</x:v>
      </x:c>
    </x:row>
    <x:row r="74" ht="52" customHeight="1">
      <x:c r="A74" s="14" t="str">
        <x:v>S04-06</x:v>
      </x:c>
      <x:c r="B74" s="14" t="str">
        <x:v>A</x:v>
      </x:c>
      <x:c r="C74" s="14" t="n">
        <x:v>0.9</x:v>
      </x:c>
      <x:c r="D74" s="14" t="n">
        <x:v>1.307333333</x:v>
      </x:c>
      <x:c r="E74" s="17" t="n">
        <x:v>1</x:v>
      </x:c>
      <x:c r="F74" s="17" t="n">
        <x:v>1</x:v>
      </x:c>
      <x:c r="G74" s="17" t="n">
        <x:v>1</x:v>
      </x:c>
      <x:c r="H74" s="14" t="str">
        <x:v>S04-06:input</x:v>
      </x:c>
      <x:c r="I74" s="14" t="str">
        <x:v>보고서 음성 안내를 취소했습니다. 화면 결과는 유지합니다.</x:v>
      </x:c>
      <x:c r="J74" s="14" t="str">
        <x:v>보고서 음성 안내를 취소했습니다. 화면 결과는 유지합니다.</x:v>
      </x:c>
    </x:row>
    <x:row r="75" ht="52" customHeight="1">
      <x:c r="A75" s="14" t="str">
        <x:v>S04-06</x:v>
      </x:c>
      <x:c r="B75" s="14" t="str">
        <x:v>B</x:v>
      </x:c>
      <x:c r="C75" s="14" t="n">
        <x:v>0.9</x:v>
      </x:c>
      <x:c r="D75" s="14" t="n">
        <x:v>1.307333333</x:v>
      </x:c>
      <x:c r="E75" s="17" t="n">
        <x:v>1</x:v>
      </x:c>
      <x:c r="F75" s="17" t="n">
        <x:v>1</x:v>
      </x:c>
      <x:c r="G75" s="17" t="n">
        <x:v>1</x:v>
      </x:c>
      <x:c r="H75" s="14" t="str">
        <x:v>S04-06:input</x:v>
      </x:c>
      <x:c r="I75" s="14" t="str">
        <x:v>보고서 음성 안내를 취소했습니다. 화면 결과는 유지합니다.</x:v>
      </x:c>
      <x:c r="J75" s="14" t="str">
        <x:v>보고서 음성 안내를 취소했습니다. 화면 결과는 유지합니다.</x:v>
      </x:c>
    </x:row>
    <x:row r="76" ht="52" customHeight="1">
      <x:c r="A76" s="14" t="str">
        <x:v>S04-07</x:v>
      </x:c>
      <x:c r="B76" s="14" t="str">
        <x:v>A</x:v>
      </x:c>
      <x:c r="C76" s="14" t="n">
        <x:v>0.928333333</x:v>
      </x:c>
      <x:c r="D76" s="14" t="n">
        <x:v>1.335666666</x:v>
      </x:c>
      <x:c r="E76" s="17" t="n">
        <x:v>1</x:v>
      </x:c>
      <x:c r="F76" s="17" t="n">
        <x:v>1</x:v>
      </x:c>
      <x:c r="G76" s="17" t="n">
        <x:v>1</x:v>
      </x:c>
      <x:c r="H76" s="14" t="str">
        <x:v>S04-07:input</x:v>
      </x:c>
      <x:c r="I76" s="14" t="str">
        <x:v>보고서 음성 안내를 취소했습니다. 화면 결과는 유지합니다.</x:v>
      </x:c>
      <x:c r="J76" s="14" t="str">
        <x:v>보고서 음성 안내를 취소했습니다. 화면 결과는 유지합니다.</x:v>
      </x:c>
    </x:row>
    <x:row r="77" ht="52" customHeight="1">
      <x:c r="A77" s="14" t="str">
        <x:v>S04-07</x:v>
      </x:c>
      <x:c r="B77" s="14" t="str">
        <x:v>B</x:v>
      </x:c>
      <x:c r="C77" s="14" t="n">
        <x:v>0.928333333</x:v>
      </x:c>
      <x:c r="D77" s="14" t="n">
        <x:v>1.335666666</x:v>
      </x:c>
      <x:c r="E77" s="17" t="n">
        <x:v>1</x:v>
      </x:c>
      <x:c r="F77" s="17" t="n">
        <x:v>1</x:v>
      </x:c>
      <x:c r="G77" s="17" t="n">
        <x:v>1</x:v>
      </x:c>
      <x:c r="H77" s="14" t="str">
        <x:v>S04-07:input</x:v>
      </x:c>
      <x:c r="I77" s="14" t="str">
        <x:v>보고서 음성 안내를 취소했습니다. 화면 결과는 유지합니다.</x:v>
      </x:c>
      <x:c r="J77" s="14" t="str">
        <x:v>보고서 음성 안내를 취소했습니다. 화면 결과는 유지합니다.</x:v>
      </x:c>
    </x:row>
    <x:row r="78" ht="52" customHeight="1">
      <x:c r="A78" s="14" t="str">
        <x:v>S04-08</x:v>
      </x:c>
      <x:c r="B78" s="14" t="str">
        <x:v>A</x:v>
      </x:c>
      <x:c r="C78" s="14" t="n">
        <x:v>0.956666667</x:v>
      </x:c>
      <x:c r="D78" s="14" t="n">
        <x:v>1.364</x:v>
      </x:c>
      <x:c r="E78" s="17" t="n">
        <x:v>1</x:v>
      </x:c>
      <x:c r="F78" s="17" t="n">
        <x:v>1</x:v>
      </x:c>
      <x:c r="G78" s="17" t="n">
        <x:v>1</x:v>
      </x:c>
      <x:c r="H78" s="14" t="str">
        <x:v>S04-08:input</x:v>
      </x:c>
      <x:c r="I78" s="14" t="str">
        <x:v>보고서 음성 안내를 취소했습니다. 화면 결과는 유지합니다.</x:v>
      </x:c>
      <x:c r="J78" s="14" t="str">
        <x:v>보고서 음성 안내를 취소했습니다. 화면 결과는 유지합니다.</x:v>
      </x:c>
    </x:row>
    <x:row r="79" ht="52" customHeight="1">
      <x:c r="A79" s="14" t="str">
        <x:v>S04-08</x:v>
      </x:c>
      <x:c r="B79" s="14" t="str">
        <x:v>B</x:v>
      </x:c>
      <x:c r="C79" s="14" t="n">
        <x:v>0.956666667</x:v>
      </x:c>
      <x:c r="D79" s="14" t="n">
        <x:v>1.364</x:v>
      </x:c>
      <x:c r="E79" s="17" t="n">
        <x:v>1</x:v>
      </x:c>
      <x:c r="F79" s="17" t="n">
        <x:v>1</x:v>
      </x:c>
      <x:c r="G79" s="17" t="n">
        <x:v>1</x:v>
      </x:c>
      <x:c r="H79" s="14" t="str">
        <x:v>S04-08:input</x:v>
      </x:c>
      <x:c r="I79" s="14" t="str">
        <x:v>보고서 음성 안내를 취소했습니다. 화면 결과는 유지합니다.</x:v>
      </x:c>
      <x:c r="J79" s="14" t="str">
        <x:v>보고서 음성 안내를 취소했습니다. 화면 결과는 유지합니다.</x:v>
      </x:c>
    </x:row>
    <x:row r="80" ht="52" customHeight="1">
      <x:c r="A80" s="14" t="str">
        <x:v>S04-09</x:v>
      </x:c>
      <x:c r="B80" s="14" t="str">
        <x:v>A</x:v>
      </x:c>
      <x:c r="C80" s="14" t="n">
        <x:v>0.91</x:v>
      </x:c>
      <x:c r="D80" s="14" t="n">
        <x:v>1.317333333</x:v>
      </x:c>
      <x:c r="E80" s="17" t="n">
        <x:v>1</x:v>
      </x:c>
      <x:c r="F80" s="17" t="n">
        <x:v>1</x:v>
      </x:c>
      <x:c r="G80" s="17" t="n">
        <x:v>1</x:v>
      </x:c>
      <x:c r="H80" s="14" t="str">
        <x:v>S04-09:input</x:v>
      </x:c>
      <x:c r="I80" s="14" t="str">
        <x:v>보고서 음성 안내를 취소했습니다. 화면 결과는 유지합니다.</x:v>
      </x:c>
      <x:c r="J80" s="14" t="str">
        <x:v>보고서 음성 안내를 취소했습니다. 화면 결과는 유지합니다.</x:v>
      </x:c>
    </x:row>
    <x:row r="81" ht="52" customHeight="1">
      <x:c r="A81" s="14" t="str">
        <x:v>S04-09</x:v>
      </x:c>
      <x:c r="B81" s="14" t="str">
        <x:v>B</x:v>
      </x:c>
      <x:c r="C81" s="14" t="n">
        <x:v>0.91</x:v>
      </x:c>
      <x:c r="D81" s="14" t="n">
        <x:v>1.317333333</x:v>
      </x:c>
      <x:c r="E81" s="17" t="n">
        <x:v>1</x:v>
      </x:c>
      <x:c r="F81" s="17" t="n">
        <x:v>1</x:v>
      </x:c>
      <x:c r="G81" s="17" t="n">
        <x:v>1</x:v>
      </x:c>
      <x:c r="H81" s="14" t="str">
        <x:v>S04-09:input</x:v>
      </x:c>
      <x:c r="I81" s="14" t="str">
        <x:v>보고서 음성 안내를 취소했습니다. 화면 결과는 유지합니다.</x:v>
      </x:c>
      <x:c r="J81" s="14" t="str">
        <x:v>보고서 음성 안내를 취소했습니다. 화면 결과는 유지합니다.</x:v>
      </x:c>
    </x:row>
    <x:row r="82" ht="52" customHeight="1">
      <x:c r="A82" s="14" t="str">
        <x:v>S04-10</x:v>
      </x:c>
      <x:c r="B82" s="14" t="str">
        <x:v>A</x:v>
      </x:c>
      <x:c r="C82" s="14" t="n">
        <x:v>0.938333333</x:v>
      </x:c>
      <x:c r="D82" s="14" t="n">
        <x:v>1.345666666</x:v>
      </x:c>
      <x:c r="E82" s="17" t="n">
        <x:v>1</x:v>
      </x:c>
      <x:c r="F82" s="17" t="n">
        <x:v>1</x:v>
      </x:c>
      <x:c r="G82" s="17" t="n">
        <x:v>1</x:v>
      </x:c>
      <x:c r="H82" s="14" t="str">
        <x:v>S04-10:input</x:v>
      </x:c>
      <x:c r="I82" s="14" t="str">
        <x:v>보고서 음성 안내를 취소했습니다. 화면 결과는 유지합니다.</x:v>
      </x:c>
      <x:c r="J82" s="14" t="str">
        <x:v>보고서 음성 안내를 취소했습니다. 화면 결과는 유지합니다.</x:v>
      </x:c>
    </x:row>
    <x:row r="83" ht="52" customHeight="1">
      <x:c r="A83" s="14" t="str">
        <x:v>S04-10</x:v>
      </x:c>
      <x:c r="B83" s="14" t="str">
        <x:v>B</x:v>
      </x:c>
      <x:c r="C83" s="14" t="n">
        <x:v>0.938333333</x:v>
      </x:c>
      <x:c r="D83" s="14" t="n">
        <x:v>1.345666666</x:v>
      </x:c>
      <x:c r="E83" s="17" t="n">
        <x:v>1</x:v>
      </x:c>
      <x:c r="F83" s="17" t="n">
        <x:v>1</x:v>
      </x:c>
      <x:c r="G83" s="17" t="n">
        <x:v>1</x:v>
      </x:c>
      <x:c r="H83" s="14" t="str">
        <x:v>S04-10:input</x:v>
      </x:c>
      <x:c r="I83" s="14" t="str">
        <x:v>보고서 음성 안내를 취소했습니다. 화면 결과는 유지합니다.</x:v>
      </x:c>
      <x:c r="J83" s="14" t="str">
        <x:v>보고서 음성 안내를 취소했습니다. 화면 결과는 유지합니다.</x:v>
      </x:c>
    </x:row>
    <x:row r="84" ht="52" customHeight="1">
      <x:c r="A84" s="14" t="str">
        <x:v>S05-01</x:v>
      </x:c>
      <x:c r="B84" s="14" t="str">
        <x:v>A</x:v>
      </x:c>
      <x:c r="C84" s="14" t="n">
        <x:v>0.908333333</x:v>
      </x:c>
      <x:c r="D84" s="14" t="n">
        <x:v>0.908333333</x:v>
      </x:c>
      <x:c r="E84" s="17" t="n">
        <x:v>2</x:v>
      </x:c>
      <x:c r="F84" s="17" t="n">
        <x:v>2</x:v>
      </x:c>
      <x:c r="G84" s="17" t="n">
        <x:v>1</x:v>
      </x:c>
      <x:c r="H84" s="14" t="str">
        <x:v>S05-01:input</x:v>
      </x:c>
      <x:c r="I84" s="14" t="str">
        <x:v>메일 질문을 읽은 뒤 보고서 설명을 이어갑니다.</x:v>
      </x:c>
      <x:c r="J84" s="14" t="str">
        <x:v>수신자는 김 대리인가요?</x:v>
      </x:c>
    </x:row>
    <x:row r="85" ht="52" customHeight="1">
      <x:c r="A85" s="14" t="str">
        <x:v>S05-01</x:v>
      </x:c>
      <x:c r="B85" s="14" t="str">
        <x:v>B</x:v>
      </x:c>
      <x:c r="C85" s="14" t="n">
        <x:v>0.908333333</x:v>
      </x:c>
      <x:c r="D85" s="14" t="n">
        <x:v>1.309333333</x:v>
      </x:c>
      <x:c r="E85" s="17" t="n">
        <x:v>2</x:v>
      </x:c>
      <x:c r="F85" s="17" t="n">
        <x:v>2</x:v>
      </x:c>
      <x:c r="G85" s="17" t="n">
        <x:v>1</x:v>
      </x:c>
      <x:c r="H85" s="14" t="str">
        <x:v>S05-01:input</x:v>
      </x:c>
      <x:c r="I85" s="14" t="str">
        <x:v>메일 질문을 읽은 뒤 보고서 설명을 이어갑니다.</x:v>
      </x:c>
      <x:c r="J85" s="14" t="str">
        <x:v>수신자는 김 대리인가요?</x:v>
      </x:c>
    </x:row>
    <x:row r="86" ht="52" customHeight="1">
      <x:c r="A86" s="14" t="str">
        <x:v>S05-02</x:v>
      </x:c>
      <x:c r="B86" s="14" t="str">
        <x:v>A</x:v>
      </x:c>
      <x:c r="C86" s="14" t="n">
        <x:v>0.936666667</x:v>
      </x:c>
      <x:c r="D86" s="14" t="n">
        <x:v>0.936666667</x:v>
      </x:c>
      <x:c r="E86" s="17" t="n">
        <x:v>2</x:v>
      </x:c>
      <x:c r="F86" s="17" t="n">
        <x:v>2</x:v>
      </x:c>
      <x:c r="G86" s="17" t="n">
        <x:v>1</x:v>
      </x:c>
      <x:c r="H86" s="14" t="str">
        <x:v>S05-02:input</x:v>
      </x:c>
      <x:c r="I86" s="14" t="str">
        <x:v>메일 질문을 읽은 뒤 보고서 설명을 이어갑니다.</x:v>
      </x:c>
      <x:c r="J86" s="14" t="str">
        <x:v>수신자는 김 대리인가요?</x:v>
      </x:c>
    </x:row>
    <x:row r="87" ht="52" customHeight="1">
      <x:c r="A87" s="14" t="str">
        <x:v>S05-02</x:v>
      </x:c>
      <x:c r="B87" s="14" t="str">
        <x:v>B</x:v>
      </x:c>
      <x:c r="C87" s="14" t="n">
        <x:v>0.936666667</x:v>
      </x:c>
      <x:c r="D87" s="14" t="n">
        <x:v>1.337666667</x:v>
      </x:c>
      <x:c r="E87" s="17" t="n">
        <x:v>2</x:v>
      </x:c>
      <x:c r="F87" s="17" t="n">
        <x:v>2</x:v>
      </x:c>
      <x:c r="G87" s="17" t="n">
        <x:v>1</x:v>
      </x:c>
      <x:c r="H87" s="14" t="str">
        <x:v>S05-02:input</x:v>
      </x:c>
      <x:c r="I87" s="14" t="str">
        <x:v>메일 질문을 읽은 뒤 보고서 설명을 이어갑니다.</x:v>
      </x:c>
      <x:c r="J87" s="14" t="str">
        <x:v>수신자는 김 대리인가요?</x:v>
      </x:c>
    </x:row>
    <x:row r="88" ht="52" customHeight="1">
      <x:c r="A88" s="14" t="str">
        <x:v>S05-03</x:v>
      </x:c>
      <x:c r="B88" s="14" t="str">
        <x:v>A</x:v>
      </x:c>
      <x:c r="C88" s="14" t="n">
        <x:v>0.89</x:v>
      </x:c>
      <x:c r="D88" s="14" t="n">
        <x:v>0.89</x:v>
      </x:c>
      <x:c r="E88" s="17" t="n">
        <x:v>2</x:v>
      </x:c>
      <x:c r="F88" s="17" t="n">
        <x:v>2</x:v>
      </x:c>
      <x:c r="G88" s="17" t="n">
        <x:v>1</x:v>
      </x:c>
      <x:c r="H88" s="14" t="str">
        <x:v>S05-03:input</x:v>
      </x:c>
      <x:c r="I88" s="14" t="str">
        <x:v>메일 질문을 읽은 뒤 보고서 설명을 이어갑니다.</x:v>
      </x:c>
      <x:c r="J88" s="14" t="str">
        <x:v>수신자는 김 대리인가요?</x:v>
      </x:c>
    </x:row>
    <x:row r="89" ht="52" customHeight="1">
      <x:c r="A89" s="14" t="str">
        <x:v>S05-03</x:v>
      </x:c>
      <x:c r="B89" s="14" t="str">
        <x:v>B</x:v>
      </x:c>
      <x:c r="C89" s="14" t="n">
        <x:v>0.89</x:v>
      </x:c>
      <x:c r="D89" s="14" t="n">
        <x:v>1.291</x:v>
      </x:c>
      <x:c r="E89" s="17" t="n">
        <x:v>2</x:v>
      </x:c>
      <x:c r="F89" s="17" t="n">
        <x:v>2</x:v>
      </x:c>
      <x:c r="G89" s="17" t="n">
        <x:v>1</x:v>
      </x:c>
      <x:c r="H89" s="14" t="str">
        <x:v>S05-03:input</x:v>
      </x:c>
      <x:c r="I89" s="14" t="str">
        <x:v>메일 질문을 읽은 뒤 보고서 설명을 이어갑니다.</x:v>
      </x:c>
      <x:c r="J89" s="14" t="str">
        <x:v>수신자는 김 대리인가요?</x:v>
      </x:c>
    </x:row>
    <x:row r="90" ht="52" customHeight="1">
      <x:c r="A90" s="14" t="str">
        <x:v>S05-04</x:v>
      </x:c>
      <x:c r="B90" s="14" t="str">
        <x:v>A</x:v>
      </x:c>
      <x:c r="C90" s="14" t="n">
        <x:v>0.918333333</x:v>
      </x:c>
      <x:c r="D90" s="14" t="n">
        <x:v>0.918333333</x:v>
      </x:c>
      <x:c r="E90" s="17" t="n">
        <x:v>2</x:v>
      </x:c>
      <x:c r="F90" s="17" t="n">
        <x:v>2</x:v>
      </x:c>
      <x:c r="G90" s="17" t="n">
        <x:v>1</x:v>
      </x:c>
      <x:c r="H90" s="14" t="str">
        <x:v>S05-04:input</x:v>
      </x:c>
      <x:c r="I90" s="14" t="str">
        <x:v>메일 질문을 읽은 뒤 보고서 설명을 이어갑니다.</x:v>
      </x:c>
      <x:c r="J90" s="14" t="str">
        <x:v>수신자는 김 대리인가요?</x:v>
      </x:c>
    </x:row>
    <x:row r="91" ht="52" customHeight="1">
      <x:c r="A91" s="14" t="str">
        <x:v>S05-04</x:v>
      </x:c>
      <x:c r="B91" s="14" t="str">
        <x:v>B</x:v>
      </x:c>
      <x:c r="C91" s="14" t="n">
        <x:v>0.918333333</x:v>
      </x:c>
      <x:c r="D91" s="14" t="n">
        <x:v>1.319333333</x:v>
      </x:c>
      <x:c r="E91" s="17" t="n">
        <x:v>2</x:v>
      </x:c>
      <x:c r="F91" s="17" t="n">
        <x:v>2</x:v>
      </x:c>
      <x:c r="G91" s="17" t="n">
        <x:v>1</x:v>
      </x:c>
      <x:c r="H91" s="14" t="str">
        <x:v>S05-04:input</x:v>
      </x:c>
      <x:c r="I91" s="14" t="str">
        <x:v>메일 질문을 읽은 뒤 보고서 설명을 이어갑니다.</x:v>
      </x:c>
      <x:c r="J91" s="14" t="str">
        <x:v>수신자는 김 대리인가요?</x:v>
      </x:c>
    </x:row>
    <x:row r="92" ht="52" customHeight="1">
      <x:c r="A92" s="14" t="str">
        <x:v>S05-05</x:v>
      </x:c>
      <x:c r="B92" s="14" t="str">
        <x:v>A</x:v>
      </x:c>
      <x:c r="C92" s="14" t="n">
        <x:v>0.946666667</x:v>
      </x:c>
      <x:c r="D92" s="14" t="n">
        <x:v>0.946666667</x:v>
      </x:c>
      <x:c r="E92" s="17" t="n">
        <x:v>2</x:v>
      </x:c>
      <x:c r="F92" s="17" t="n">
        <x:v>2</x:v>
      </x:c>
      <x:c r="G92" s="17" t="n">
        <x:v>1</x:v>
      </x:c>
      <x:c r="H92" s="14" t="str">
        <x:v>S05-05:input</x:v>
      </x:c>
      <x:c r="I92" s="14" t="str">
        <x:v>메일 질문을 읽은 뒤 보고서 설명을 이어갑니다.</x:v>
      </x:c>
      <x:c r="J92" s="14" t="str">
        <x:v>수신자는 김 대리인가요?</x:v>
      </x:c>
    </x:row>
    <x:row r="93" ht="52" customHeight="1">
      <x:c r="A93" s="14" t="str">
        <x:v>S05-05</x:v>
      </x:c>
      <x:c r="B93" s="14" t="str">
        <x:v>B</x:v>
      </x:c>
      <x:c r="C93" s="14" t="n">
        <x:v>0.946666667</x:v>
      </x:c>
      <x:c r="D93" s="14" t="n">
        <x:v>1.347666667</x:v>
      </x:c>
      <x:c r="E93" s="17" t="n">
        <x:v>2</x:v>
      </x:c>
      <x:c r="F93" s="17" t="n">
        <x:v>2</x:v>
      </x:c>
      <x:c r="G93" s="17" t="n">
        <x:v>1</x:v>
      </x:c>
      <x:c r="H93" s="14" t="str">
        <x:v>S05-05:input</x:v>
      </x:c>
      <x:c r="I93" s="14" t="str">
        <x:v>메일 질문을 읽은 뒤 보고서 설명을 이어갑니다.</x:v>
      </x:c>
      <x:c r="J93" s="14" t="str">
        <x:v>수신자는 김 대리인가요?</x:v>
      </x:c>
    </x:row>
    <x:row r="94" ht="52" customHeight="1">
      <x:c r="A94" s="14" t="str">
        <x:v>S05-06</x:v>
      </x:c>
      <x:c r="B94" s="14" t="str">
        <x:v>A</x:v>
      </x:c>
      <x:c r="C94" s="14" t="n">
        <x:v>0.9</x:v>
      </x:c>
      <x:c r="D94" s="14" t="n">
        <x:v>0.9</x:v>
      </x:c>
      <x:c r="E94" s="17" t="n">
        <x:v>2</x:v>
      </x:c>
      <x:c r="F94" s="17" t="n">
        <x:v>2</x:v>
      </x:c>
      <x:c r="G94" s="17" t="n">
        <x:v>1</x:v>
      </x:c>
      <x:c r="H94" s="14" t="str">
        <x:v>S05-06:input</x:v>
      </x:c>
      <x:c r="I94" s="14" t="str">
        <x:v>메일 질문을 읽은 뒤 보고서 설명을 이어갑니다.</x:v>
      </x:c>
      <x:c r="J94" s="14" t="str">
        <x:v>수신자는 김 대리인가요?</x:v>
      </x:c>
    </x:row>
    <x:row r="95" ht="52" customHeight="1">
      <x:c r="A95" s="14" t="str">
        <x:v>S05-06</x:v>
      </x:c>
      <x:c r="B95" s="14" t="str">
        <x:v>B</x:v>
      </x:c>
      <x:c r="C95" s="14" t="n">
        <x:v>0.9</x:v>
      </x:c>
      <x:c r="D95" s="14" t="n">
        <x:v>1.301</x:v>
      </x:c>
      <x:c r="E95" s="17" t="n">
        <x:v>2</x:v>
      </x:c>
      <x:c r="F95" s="17" t="n">
        <x:v>2</x:v>
      </x:c>
      <x:c r="G95" s="17" t="n">
        <x:v>1</x:v>
      </x:c>
      <x:c r="H95" s="14" t="str">
        <x:v>S05-06:input</x:v>
      </x:c>
      <x:c r="I95" s="14" t="str">
        <x:v>메일 질문을 읽은 뒤 보고서 설명을 이어갑니다.</x:v>
      </x:c>
      <x:c r="J95" s="14" t="str">
        <x:v>수신자는 김 대리인가요?</x:v>
      </x:c>
    </x:row>
    <x:row r="96" ht="52" customHeight="1">
      <x:c r="A96" s="14" t="str">
        <x:v>S05-07</x:v>
      </x:c>
      <x:c r="B96" s="14" t="str">
        <x:v>A</x:v>
      </x:c>
      <x:c r="C96" s="14" t="n">
        <x:v>0.928333333</x:v>
      </x:c>
      <x:c r="D96" s="14" t="n">
        <x:v>0.928333333</x:v>
      </x:c>
      <x:c r="E96" s="17" t="n">
        <x:v>2</x:v>
      </x:c>
      <x:c r="F96" s="17" t="n">
        <x:v>2</x:v>
      </x:c>
      <x:c r="G96" s="17" t="n">
        <x:v>1</x:v>
      </x:c>
      <x:c r="H96" s="14" t="str">
        <x:v>S05-07:input</x:v>
      </x:c>
      <x:c r="I96" s="14" t="str">
        <x:v>메일 질문을 읽은 뒤 보고서 설명을 이어갑니다.</x:v>
      </x:c>
      <x:c r="J96" s="14" t="str">
        <x:v>수신자는 김 대리인가요?</x:v>
      </x:c>
    </x:row>
    <x:row r="97" ht="52" customHeight="1">
      <x:c r="A97" s="14" t="str">
        <x:v>S05-07</x:v>
      </x:c>
      <x:c r="B97" s="14" t="str">
        <x:v>B</x:v>
      </x:c>
      <x:c r="C97" s="14" t="n">
        <x:v>0.928333333</x:v>
      </x:c>
      <x:c r="D97" s="14" t="n">
        <x:v>1.329333333</x:v>
      </x:c>
      <x:c r="E97" s="17" t="n">
        <x:v>2</x:v>
      </x:c>
      <x:c r="F97" s="17" t="n">
        <x:v>2</x:v>
      </x:c>
      <x:c r="G97" s="17" t="n">
        <x:v>1</x:v>
      </x:c>
      <x:c r="H97" s="14" t="str">
        <x:v>S05-07:input</x:v>
      </x:c>
      <x:c r="I97" s="14" t="str">
        <x:v>메일 질문을 읽은 뒤 보고서 설명을 이어갑니다.</x:v>
      </x:c>
      <x:c r="J97" s="14" t="str">
        <x:v>수신자는 김 대리인가요?</x:v>
      </x:c>
    </x:row>
    <x:row r="98" ht="52" customHeight="1">
      <x:c r="A98" s="14" t="str">
        <x:v>S05-08</x:v>
      </x:c>
      <x:c r="B98" s="14" t="str">
        <x:v>A</x:v>
      </x:c>
      <x:c r="C98" s="14" t="n">
        <x:v>0.956666667</x:v>
      </x:c>
      <x:c r="D98" s="14" t="n">
        <x:v>0.956666667</x:v>
      </x:c>
      <x:c r="E98" s="17" t="n">
        <x:v>2</x:v>
      </x:c>
      <x:c r="F98" s="17" t="n">
        <x:v>2</x:v>
      </x:c>
      <x:c r="G98" s="17" t="n">
        <x:v>1</x:v>
      </x:c>
      <x:c r="H98" s="14" t="str">
        <x:v>S05-08:input</x:v>
      </x:c>
      <x:c r="I98" s="14" t="str">
        <x:v>메일 질문을 읽은 뒤 보고서 설명을 이어갑니다.</x:v>
      </x:c>
      <x:c r="J98" s="14" t="str">
        <x:v>수신자는 김 대리인가요?</x:v>
      </x:c>
    </x:row>
    <x:row r="99" ht="52" customHeight="1">
      <x:c r="A99" s="14" t="str">
        <x:v>S05-08</x:v>
      </x:c>
      <x:c r="B99" s="14" t="str">
        <x:v>B</x:v>
      </x:c>
      <x:c r="C99" s="14" t="n">
        <x:v>0.956666667</x:v>
      </x:c>
      <x:c r="D99" s="14" t="n">
        <x:v>1.357666667</x:v>
      </x:c>
      <x:c r="E99" s="17" t="n">
        <x:v>2</x:v>
      </x:c>
      <x:c r="F99" s="17" t="n">
        <x:v>2</x:v>
      </x:c>
      <x:c r="G99" s="17" t="n">
        <x:v>1</x:v>
      </x:c>
      <x:c r="H99" s="14" t="str">
        <x:v>S05-08:input</x:v>
      </x:c>
      <x:c r="I99" s="14" t="str">
        <x:v>메일 질문을 읽은 뒤 보고서 설명을 이어갑니다.</x:v>
      </x:c>
      <x:c r="J99" s="14" t="str">
        <x:v>수신자는 김 대리인가요?</x:v>
      </x:c>
    </x:row>
    <x:row r="100" ht="52" customHeight="1">
      <x:c r="A100" s="14" t="str">
        <x:v>S05-09</x:v>
      </x:c>
      <x:c r="B100" s="14" t="str">
        <x:v>A</x:v>
      </x:c>
      <x:c r="C100" s="14" t="n">
        <x:v>0.91</x:v>
      </x:c>
      <x:c r="D100" s="14" t="n">
        <x:v>0.91</x:v>
      </x:c>
      <x:c r="E100" s="17" t="n">
        <x:v>2</x:v>
      </x:c>
      <x:c r="F100" s="17" t="n">
        <x:v>2</x:v>
      </x:c>
      <x:c r="G100" s="17" t="n">
        <x:v>1</x:v>
      </x:c>
      <x:c r="H100" s="14" t="str">
        <x:v>S05-09:input</x:v>
      </x:c>
      <x:c r="I100" s="14" t="str">
        <x:v>메일 질문을 읽은 뒤 보고서 설명을 이어갑니다.</x:v>
      </x:c>
      <x:c r="J100" s="14" t="str">
        <x:v>수신자는 김 대리인가요?</x:v>
      </x:c>
    </x:row>
    <x:row r="101" ht="52" customHeight="1">
      <x:c r="A101" s="14" t="str">
        <x:v>S05-09</x:v>
      </x:c>
      <x:c r="B101" s="14" t="str">
        <x:v>B</x:v>
      </x:c>
      <x:c r="C101" s="14" t="n">
        <x:v>0.91</x:v>
      </x:c>
      <x:c r="D101" s="14" t="n">
        <x:v>1.311</x:v>
      </x:c>
      <x:c r="E101" s="17" t="n">
        <x:v>2</x:v>
      </x:c>
      <x:c r="F101" s="17" t="n">
        <x:v>2</x:v>
      </x:c>
      <x:c r="G101" s="17" t="n">
        <x:v>1</x:v>
      </x:c>
      <x:c r="H101" s="14" t="str">
        <x:v>S05-09:input</x:v>
      </x:c>
      <x:c r="I101" s="14" t="str">
        <x:v>메일 질문을 읽은 뒤 보고서 설명을 이어갑니다.</x:v>
      </x:c>
      <x:c r="J101" s="14" t="str">
        <x:v>수신자는 김 대리인가요?</x:v>
      </x:c>
    </x:row>
    <x:row r="102" ht="52" customHeight="1">
      <x:c r="A102" s="14" t="str">
        <x:v>S05-10</x:v>
      </x:c>
      <x:c r="B102" s="14" t="str">
        <x:v>A</x:v>
      </x:c>
      <x:c r="C102" s="14" t="n">
        <x:v>0.938333333</x:v>
      </x:c>
      <x:c r="D102" s="14" t="n">
        <x:v>0.938333333</x:v>
      </x:c>
      <x:c r="E102" s="17" t="n">
        <x:v>2</x:v>
      </x:c>
      <x:c r="F102" s="17" t="n">
        <x:v>2</x:v>
      </x:c>
      <x:c r="G102" s="17" t="n">
        <x:v>1</x:v>
      </x:c>
      <x:c r="H102" s="14" t="str">
        <x:v>S05-10:input</x:v>
      </x:c>
      <x:c r="I102" s="14" t="str">
        <x:v>메일 질문을 읽은 뒤 보고서 설명을 이어갑니다.</x:v>
      </x:c>
      <x:c r="J102" s="14" t="str">
        <x:v>수신자는 김 대리인가요?</x:v>
      </x:c>
    </x:row>
    <x:row r="103" ht="52" customHeight="1">
      <x:c r="A103" s="14" t="str">
        <x:v>S05-10</x:v>
      </x:c>
      <x:c r="B103" s="14" t="str">
        <x:v>B</x:v>
      </x:c>
      <x:c r="C103" s="14" t="n">
        <x:v>0.938333333</x:v>
      </x:c>
      <x:c r="D103" s="14" t="n">
        <x:v>1.339333333</x:v>
      </x:c>
      <x:c r="E103" s="17" t="n">
        <x:v>2</x:v>
      </x:c>
      <x:c r="F103" s="17" t="n">
        <x:v>2</x:v>
      </x:c>
      <x:c r="G103" s="17" t="n">
        <x:v>1</x:v>
      </x:c>
      <x:c r="H103" s="14" t="str">
        <x:v>S05-10:input</x:v>
      </x:c>
      <x:c r="I103" s="14" t="str">
        <x:v>메일 질문을 읽은 뒤 보고서 설명을 이어갑니다.</x:v>
      </x:c>
      <x:c r="J103" s="14" t="str">
        <x:v>수신자는 김 대리인가요?</x:v>
      </x:c>
    </x:row>
    <x:row r="104" ht="52" customHeight="1">
      <x:c r="A104" s="14" t="str">
        <x:v>S06-01</x:v>
      </x:c>
      <x:c r="B104" s="14" t="str">
        <x:v>A</x:v>
      </x:c>
      <x:c r="C104" s="14" t="n">
        <x:v>0.908333333</x:v>
      </x:c>
      <x:c r="D104" s="14" t="n">
        <x:v>0.908333333</x:v>
      </x:c>
      <x:c r="E104" s="17" t="n">
        <x:v>1</x:v>
      </x:c>
      <x:c r="F104" s="17" t="n">
        <x:v>1</x:v>
      </x:c>
      <x:c r="G104" s="17" t="n">
        <x:v>1</x:v>
      </x:c>
      <x:c r="H104" s="14" t="str">
        <x:v>S06-01:input</x:v>
      </x:c>
      <x:c r="I104" s="14" t="str">
        <x:v>보고서의 다음 항목은 비용 비교입니다.</x:v>
      </x:c>
      <x:c r="J104" s="14" t="str">
        <x:v>보고서의 다음 항목은 비용 비교입니다.</x:v>
      </x:c>
    </x:row>
    <x:row r="105" ht="52" customHeight="1">
      <x:c r="A105" s="14" t="str">
        <x:v>S06-01</x:v>
      </x:c>
      <x:c r="B105" s="14" t="str">
        <x:v>B</x:v>
      </x:c>
      <x:c r="C105" s="14" t="n">
        <x:v>0.908333333</x:v>
      </x:c>
      <x:c r="D105" s="14" t="n">
        <x:v>0.908333333</x:v>
      </x:c>
      <x:c r="E105" s="17" t="n">
        <x:v>1</x:v>
      </x:c>
      <x:c r="F105" s="17" t="n">
        <x:v>1</x:v>
      </x:c>
      <x:c r="G105" s="17" t="n">
        <x:v>1</x:v>
      </x:c>
      <x:c r="H105" s="14" t="str">
        <x:v>S06-01:input</x:v>
      </x:c>
      <x:c r="I105" s="14" t="str">
        <x:v>보고서의 다음 항목은 비용 비교입니다.</x:v>
      </x:c>
      <x:c r="J105" s="14" t="str">
        <x:v>보고서의 다음 항목은 비용 비교입니다.</x:v>
      </x:c>
    </x:row>
    <x:row r="106" ht="52" customHeight="1">
      <x:c r="A106" s="14" t="str">
        <x:v>S06-02</x:v>
      </x:c>
      <x:c r="B106" s="14" t="str">
        <x:v>A</x:v>
      </x:c>
      <x:c r="C106" s="14" t="n">
        <x:v>0.936666667</x:v>
      </x:c>
      <x:c r="D106" s="14" t="n">
        <x:v>0.936666667</x:v>
      </x:c>
      <x:c r="E106" s="17" t="n">
        <x:v>1</x:v>
      </x:c>
      <x:c r="F106" s="17" t="n">
        <x:v>1</x:v>
      </x:c>
      <x:c r="G106" s="17" t="n">
        <x:v>1</x:v>
      </x:c>
      <x:c r="H106" s="14" t="str">
        <x:v>S06-02:input</x:v>
      </x:c>
      <x:c r="I106" s="14" t="str">
        <x:v>보고서의 다음 항목은 비용 비교입니다.</x:v>
      </x:c>
      <x:c r="J106" s="14" t="str">
        <x:v>보고서의 다음 항목은 비용 비교입니다.</x:v>
      </x:c>
    </x:row>
    <x:row r="107" ht="52" customHeight="1">
      <x:c r="A107" s="14" t="str">
        <x:v>S06-02</x:v>
      </x:c>
      <x:c r="B107" s="14" t="str">
        <x:v>B</x:v>
      </x:c>
      <x:c r="C107" s="14" t="n">
        <x:v>0.936666667</x:v>
      </x:c>
      <x:c r="D107" s="14" t="n">
        <x:v>0.936666667</x:v>
      </x:c>
      <x:c r="E107" s="17" t="n">
        <x:v>1</x:v>
      </x:c>
      <x:c r="F107" s="17" t="n">
        <x:v>1</x:v>
      </x:c>
      <x:c r="G107" s="17" t="n">
        <x:v>1</x:v>
      </x:c>
      <x:c r="H107" s="14" t="str">
        <x:v>S06-02:input</x:v>
      </x:c>
      <x:c r="I107" s="14" t="str">
        <x:v>보고서의 다음 항목은 비용 비교입니다.</x:v>
      </x:c>
      <x:c r="J107" s="14" t="str">
        <x:v>보고서의 다음 항목은 비용 비교입니다.</x:v>
      </x:c>
    </x:row>
    <x:row r="108" ht="52" customHeight="1">
      <x:c r="A108" s="14" t="str">
        <x:v>S06-03</x:v>
      </x:c>
      <x:c r="B108" s="14" t="str">
        <x:v>A</x:v>
      </x:c>
      <x:c r="C108" s="14" t="n">
        <x:v>0.89</x:v>
      </x:c>
      <x:c r="D108" s="14" t="n">
        <x:v>0.89</x:v>
      </x:c>
      <x:c r="E108" s="17" t="n">
        <x:v>1</x:v>
      </x:c>
      <x:c r="F108" s="17" t="n">
        <x:v>1</x:v>
      </x:c>
      <x:c r="G108" s="17" t="n">
        <x:v>1</x:v>
      </x:c>
      <x:c r="H108" s="14" t="str">
        <x:v>S06-03:input</x:v>
      </x:c>
      <x:c r="I108" s="14" t="str">
        <x:v>보고서의 다음 항목은 비용 비교입니다.</x:v>
      </x:c>
      <x:c r="J108" s="14" t="str">
        <x:v>보고서의 다음 항목은 비용 비교입니다.</x:v>
      </x:c>
    </x:row>
    <x:row r="109" ht="52" customHeight="1">
      <x:c r="A109" s="14" t="str">
        <x:v>S06-03</x:v>
      </x:c>
      <x:c r="B109" s="14" t="str">
        <x:v>B</x:v>
      </x:c>
      <x:c r="C109" s="14" t="n">
        <x:v>0.89</x:v>
      </x:c>
      <x:c r="D109" s="14" t="n">
        <x:v>0.89</x:v>
      </x:c>
      <x:c r="E109" s="17" t="n">
        <x:v>1</x:v>
      </x:c>
      <x:c r="F109" s="17" t="n">
        <x:v>1</x:v>
      </x:c>
      <x:c r="G109" s="17" t="n">
        <x:v>1</x:v>
      </x:c>
      <x:c r="H109" s="14" t="str">
        <x:v>S06-03:input</x:v>
      </x:c>
      <x:c r="I109" s="14" t="str">
        <x:v>보고서의 다음 항목은 비용 비교입니다.</x:v>
      </x:c>
      <x:c r="J109" s="14" t="str">
        <x:v>보고서의 다음 항목은 비용 비교입니다.</x:v>
      </x:c>
    </x:row>
    <x:row r="110" ht="52" customHeight="1">
      <x:c r="A110" s="14" t="str">
        <x:v>S06-04</x:v>
      </x:c>
      <x:c r="B110" s="14" t="str">
        <x:v>A</x:v>
      </x:c>
      <x:c r="C110" s="14" t="n">
        <x:v>0.918333333</x:v>
      </x:c>
      <x:c r="D110" s="14" t="n">
        <x:v>0.918333333</x:v>
      </x:c>
      <x:c r="E110" s="17" t="n">
        <x:v>1</x:v>
      </x:c>
      <x:c r="F110" s="17" t="n">
        <x:v>1</x:v>
      </x:c>
      <x:c r="G110" s="17" t="n">
        <x:v>1</x:v>
      </x:c>
      <x:c r="H110" s="14" t="str">
        <x:v>S06-04:input</x:v>
      </x:c>
      <x:c r="I110" s="14" t="str">
        <x:v>보고서의 다음 항목은 비용 비교입니다.</x:v>
      </x:c>
      <x:c r="J110" s="14" t="str">
        <x:v>보고서의 다음 항목은 비용 비교입니다.</x:v>
      </x:c>
    </x:row>
    <x:row r="111" ht="52" customHeight="1">
      <x:c r="A111" s="14" t="str">
        <x:v>S06-04</x:v>
      </x:c>
      <x:c r="B111" s="14" t="str">
        <x:v>B</x:v>
      </x:c>
      <x:c r="C111" s="14" t="n">
        <x:v>0.918333333</x:v>
      </x:c>
      <x:c r="D111" s="14" t="n">
        <x:v>0.918333333</x:v>
      </x:c>
      <x:c r="E111" s="17" t="n">
        <x:v>1</x:v>
      </x:c>
      <x:c r="F111" s="17" t="n">
        <x:v>1</x:v>
      </x:c>
      <x:c r="G111" s="17" t="n">
        <x:v>1</x:v>
      </x:c>
      <x:c r="H111" s="14" t="str">
        <x:v>S06-04:input</x:v>
      </x:c>
      <x:c r="I111" s="14" t="str">
        <x:v>보고서의 다음 항목은 비용 비교입니다.</x:v>
      </x:c>
      <x:c r="J111" s="14" t="str">
        <x:v>보고서의 다음 항목은 비용 비교입니다.</x:v>
      </x:c>
    </x:row>
    <x:row r="112" ht="52" customHeight="1">
      <x:c r="A112" s="14" t="str">
        <x:v>S06-05</x:v>
      </x:c>
      <x:c r="B112" s="14" t="str">
        <x:v>A</x:v>
      </x:c>
      <x:c r="C112" s="14" t="n">
        <x:v>0.946666667</x:v>
      </x:c>
      <x:c r="D112" s="14" t="n">
        <x:v>0.946666667</x:v>
      </x:c>
      <x:c r="E112" s="17" t="n">
        <x:v>1</x:v>
      </x:c>
      <x:c r="F112" s="17" t="n">
        <x:v>1</x:v>
      </x:c>
      <x:c r="G112" s="17" t="n">
        <x:v>1</x:v>
      </x:c>
      <x:c r="H112" s="14" t="str">
        <x:v>S06-05:input</x:v>
      </x:c>
      <x:c r="I112" s="14" t="str">
        <x:v>보고서의 다음 항목은 비용 비교입니다.</x:v>
      </x:c>
      <x:c r="J112" s="14" t="str">
        <x:v>보고서의 다음 항목은 비용 비교입니다.</x:v>
      </x:c>
    </x:row>
    <x:row r="113" ht="52" customHeight="1">
      <x:c r="A113" s="14" t="str">
        <x:v>S06-05</x:v>
      </x:c>
      <x:c r="B113" s="14" t="str">
        <x:v>B</x:v>
      </x:c>
      <x:c r="C113" s="14" t="n">
        <x:v>0.946666667</x:v>
      </x:c>
      <x:c r="D113" s="14" t="n">
        <x:v>0.946666667</x:v>
      </x:c>
      <x:c r="E113" s="17" t="n">
        <x:v>1</x:v>
      </x:c>
      <x:c r="F113" s="17" t="n">
        <x:v>1</x:v>
      </x:c>
      <x:c r="G113" s="17" t="n">
        <x:v>1</x:v>
      </x:c>
      <x:c r="H113" s="14" t="str">
        <x:v>S06-05:input</x:v>
      </x:c>
      <x:c r="I113" s="14" t="str">
        <x:v>보고서의 다음 항목은 비용 비교입니다.</x:v>
      </x:c>
      <x:c r="J113" s="14" t="str">
        <x:v>보고서의 다음 항목은 비용 비교입니다.</x:v>
      </x:c>
    </x:row>
    <x:row r="114" ht="52" customHeight="1">
      <x:c r="A114" s="14" t="str">
        <x:v>S06-06</x:v>
      </x:c>
      <x:c r="B114" s="14" t="str">
        <x:v>A</x:v>
      </x:c>
      <x:c r="C114" s="14" t="n">
        <x:v>0.9</x:v>
      </x:c>
      <x:c r="D114" s="14" t="n">
        <x:v>0.9</x:v>
      </x:c>
      <x:c r="E114" s="17" t="n">
        <x:v>1</x:v>
      </x:c>
      <x:c r="F114" s="17" t="n">
        <x:v>1</x:v>
      </x:c>
      <x:c r="G114" s="17" t="n">
        <x:v>1</x:v>
      </x:c>
      <x:c r="H114" s="14" t="str">
        <x:v>S06-06:input</x:v>
      </x:c>
      <x:c r="I114" s="14" t="str">
        <x:v>보고서의 다음 항목은 비용 비교입니다.</x:v>
      </x:c>
      <x:c r="J114" s="14" t="str">
        <x:v>보고서의 다음 항목은 비용 비교입니다.</x:v>
      </x:c>
    </x:row>
    <x:row r="115" ht="52" customHeight="1">
      <x:c r="A115" s="14" t="str">
        <x:v>S06-06</x:v>
      </x:c>
      <x:c r="B115" s="14" t="str">
        <x:v>B</x:v>
      </x:c>
      <x:c r="C115" s="14" t="n">
        <x:v>0.9</x:v>
      </x:c>
      <x:c r="D115" s="14" t="n">
        <x:v>0.9</x:v>
      </x:c>
      <x:c r="E115" s="17" t="n">
        <x:v>1</x:v>
      </x:c>
      <x:c r="F115" s="17" t="n">
        <x:v>1</x:v>
      </x:c>
      <x:c r="G115" s="17" t="n">
        <x:v>1</x:v>
      </x:c>
      <x:c r="H115" s="14" t="str">
        <x:v>S06-06:input</x:v>
      </x:c>
      <x:c r="I115" s="14" t="str">
        <x:v>보고서의 다음 항목은 비용 비교입니다.</x:v>
      </x:c>
      <x:c r="J115" s="14" t="str">
        <x:v>보고서의 다음 항목은 비용 비교입니다.</x:v>
      </x:c>
    </x:row>
    <x:row r="116" ht="52" customHeight="1">
      <x:c r="A116" s="14" t="str">
        <x:v>S06-07</x:v>
      </x:c>
      <x:c r="B116" s="14" t="str">
        <x:v>A</x:v>
      </x:c>
      <x:c r="C116" s="14" t="n">
        <x:v>0.928333333</x:v>
      </x:c>
      <x:c r="D116" s="14" t="n">
        <x:v>0.928333333</x:v>
      </x:c>
      <x:c r="E116" s="17" t="n">
        <x:v>1</x:v>
      </x:c>
      <x:c r="F116" s="17" t="n">
        <x:v>1</x:v>
      </x:c>
      <x:c r="G116" s="17" t="n">
        <x:v>1</x:v>
      </x:c>
      <x:c r="H116" s="14" t="str">
        <x:v>S06-07:input</x:v>
      </x:c>
      <x:c r="I116" s="14" t="str">
        <x:v>보고서의 다음 항목은 비용 비교입니다.</x:v>
      </x:c>
      <x:c r="J116" s="14" t="str">
        <x:v>보고서의 다음 항목은 비용 비교입니다.</x:v>
      </x:c>
    </x:row>
    <x:row r="117" ht="52" customHeight="1">
      <x:c r="A117" s="14" t="str">
        <x:v>S06-07</x:v>
      </x:c>
      <x:c r="B117" s="14" t="str">
        <x:v>B</x:v>
      </x:c>
      <x:c r="C117" s="14" t="n">
        <x:v>0.928333333</x:v>
      </x:c>
      <x:c r="D117" s="14" t="n">
        <x:v>0.928333333</x:v>
      </x:c>
      <x:c r="E117" s="17" t="n">
        <x:v>1</x:v>
      </x:c>
      <x:c r="F117" s="17" t="n">
        <x:v>1</x:v>
      </x:c>
      <x:c r="G117" s="17" t="n">
        <x:v>1</x:v>
      </x:c>
      <x:c r="H117" s="14" t="str">
        <x:v>S06-07:input</x:v>
      </x:c>
      <x:c r="I117" s="14" t="str">
        <x:v>보고서의 다음 항목은 비용 비교입니다.</x:v>
      </x:c>
      <x:c r="J117" s="14" t="str">
        <x:v>보고서의 다음 항목은 비용 비교입니다.</x:v>
      </x:c>
    </x:row>
    <x:row r="118" ht="52" customHeight="1">
      <x:c r="A118" s="14" t="str">
        <x:v>S06-08</x:v>
      </x:c>
      <x:c r="B118" s="14" t="str">
        <x:v>A</x:v>
      </x:c>
      <x:c r="C118" s="14" t="n">
        <x:v>0.956666667</x:v>
      </x:c>
      <x:c r="D118" s="14" t="n">
        <x:v>0.956666667</x:v>
      </x:c>
      <x:c r="E118" s="17" t="n">
        <x:v>1</x:v>
      </x:c>
      <x:c r="F118" s="17" t="n">
        <x:v>1</x:v>
      </x:c>
      <x:c r="G118" s="17" t="n">
        <x:v>1</x:v>
      </x:c>
      <x:c r="H118" s="14" t="str">
        <x:v>S06-08:input</x:v>
      </x:c>
      <x:c r="I118" s="14" t="str">
        <x:v>보고서의 다음 항목은 비용 비교입니다.</x:v>
      </x:c>
      <x:c r="J118" s="14" t="str">
        <x:v>보고서의 다음 항목은 비용 비교입니다.</x:v>
      </x:c>
    </x:row>
    <x:row r="119" ht="52" customHeight="1">
      <x:c r="A119" s="14" t="str">
        <x:v>S06-08</x:v>
      </x:c>
      <x:c r="B119" s="14" t="str">
        <x:v>B</x:v>
      </x:c>
      <x:c r="C119" s="14" t="n">
        <x:v>0.956666667</x:v>
      </x:c>
      <x:c r="D119" s="14" t="n">
        <x:v>0.956666667</x:v>
      </x:c>
      <x:c r="E119" s="17" t="n">
        <x:v>1</x:v>
      </x:c>
      <x:c r="F119" s="17" t="n">
        <x:v>1</x:v>
      </x:c>
      <x:c r="G119" s="17" t="n">
        <x:v>1</x:v>
      </x:c>
      <x:c r="H119" s="14" t="str">
        <x:v>S06-08:input</x:v>
      </x:c>
      <x:c r="I119" s="14" t="str">
        <x:v>보고서의 다음 항목은 비용 비교입니다.</x:v>
      </x:c>
      <x:c r="J119" s="14" t="str">
        <x:v>보고서의 다음 항목은 비용 비교입니다.</x:v>
      </x:c>
    </x:row>
    <x:row r="120" ht="52" customHeight="1">
      <x:c r="A120" s="14" t="str">
        <x:v>S06-09</x:v>
      </x:c>
      <x:c r="B120" s="14" t="str">
        <x:v>A</x:v>
      </x:c>
      <x:c r="C120" s="14" t="n">
        <x:v>0.91</x:v>
      </x:c>
      <x:c r="D120" s="14" t="n">
        <x:v>0.91</x:v>
      </x:c>
      <x:c r="E120" s="17" t="n">
        <x:v>1</x:v>
      </x:c>
      <x:c r="F120" s="17" t="n">
        <x:v>1</x:v>
      </x:c>
      <x:c r="G120" s="17" t="n">
        <x:v>1</x:v>
      </x:c>
      <x:c r="H120" s="14" t="str">
        <x:v>S06-09:input</x:v>
      </x:c>
      <x:c r="I120" s="14" t="str">
        <x:v>보고서의 다음 항목은 비용 비교입니다.</x:v>
      </x:c>
      <x:c r="J120" s="14" t="str">
        <x:v>보고서의 다음 항목은 비용 비교입니다.</x:v>
      </x:c>
    </x:row>
    <x:row r="121" ht="52" customHeight="1">
      <x:c r="A121" s="14" t="str">
        <x:v>S06-09</x:v>
      </x:c>
      <x:c r="B121" s="14" t="str">
        <x:v>B</x:v>
      </x:c>
      <x:c r="C121" s="14" t="n">
        <x:v>0.91</x:v>
      </x:c>
      <x:c r="D121" s="14" t="n">
        <x:v>0.91</x:v>
      </x:c>
      <x:c r="E121" s="17" t="n">
        <x:v>1</x:v>
      </x:c>
      <x:c r="F121" s="17" t="n">
        <x:v>1</x:v>
      </x:c>
      <x:c r="G121" s="17" t="n">
        <x:v>1</x:v>
      </x:c>
      <x:c r="H121" s="14" t="str">
        <x:v>S06-09:input</x:v>
      </x:c>
      <x:c r="I121" s="14" t="str">
        <x:v>보고서의 다음 항목은 비용 비교입니다.</x:v>
      </x:c>
      <x:c r="J121" s="14" t="str">
        <x:v>보고서의 다음 항목은 비용 비교입니다.</x:v>
      </x:c>
    </x:row>
    <x:row r="122" ht="52" customHeight="1">
      <x:c r="A122" s="14" t="str">
        <x:v>S06-10</x:v>
      </x:c>
      <x:c r="B122" s="14" t="str">
        <x:v>A</x:v>
      </x:c>
      <x:c r="C122" s="14" t="n">
        <x:v>0.938333333</x:v>
      </x:c>
      <x:c r="D122" s="14" t="n">
        <x:v>0.938333333</x:v>
      </x:c>
      <x:c r="E122" s="17" t="n">
        <x:v>1</x:v>
      </x:c>
      <x:c r="F122" s="17" t="n">
        <x:v>1</x:v>
      </x:c>
      <x:c r="G122" s="17" t="n">
        <x:v>1</x:v>
      </x:c>
      <x:c r="H122" s="14" t="str">
        <x:v>S06-10:input</x:v>
      </x:c>
      <x:c r="I122" s="14" t="str">
        <x:v>보고서의 다음 항목은 비용 비교입니다.</x:v>
      </x:c>
      <x:c r="J122" s="14" t="str">
        <x:v>보고서의 다음 항목은 비용 비교입니다.</x:v>
      </x:c>
    </x:row>
    <x:row r="123" ht="52" customHeight="1">
      <x:c r="A123" s="14" t="str">
        <x:v>S06-10</x:v>
      </x:c>
      <x:c r="B123" s="14" t="str">
        <x:v>B</x:v>
      </x:c>
      <x:c r="C123" s="14" t="n">
        <x:v>0.938333333</x:v>
      </x:c>
      <x:c r="D123" s="14" t="n">
        <x:v>0.938333333</x:v>
      </x:c>
      <x:c r="E123" s="17" t="n">
        <x:v>1</x:v>
      </x:c>
      <x:c r="F123" s="17" t="n">
        <x:v>1</x:v>
      </x:c>
      <x:c r="G123" s="17" t="n">
        <x:v>1</x:v>
      </x:c>
      <x:c r="H123" s="14" t="str">
        <x:v>S06-10:input</x:v>
      </x:c>
      <x:c r="I123" s="14" t="str">
        <x:v>보고서의 다음 항목은 비용 비교입니다.</x:v>
      </x:c>
      <x:c r="J123" s="14" t="str">
        <x:v>보고서의 다음 항목은 비용 비교입니다.</x:v>
      </x:c>
    </x:row>
    <x:row r="124" ht="52" customHeight="1">
      <x:c r="A124" s="14" t="str">
        <x:v>S07-01</x:v>
      </x:c>
      <x:c r="B124" s="14" t="str">
        <x:v>A</x:v>
      </x:c>
      <x:c r="C124" s="14" t="n">
        <x:v>0.908333333</x:v>
      </x:c>
      <x:c r="D124" s="14" t="n">
        <x:v>0.908333333</x:v>
      </x:c>
      <x:c r="E124" s="17" t="n">
        <x:v>3</x:v>
      </x:c>
      <x:c r="F124" s="17" t="n">
        <x:v>3</x:v>
      </x:c>
      <x:c r="G124" s="17" t="n">
        <x:v>1</x:v>
      </x:c>
      <x:c r="H124" s="14" t="str">
        <x:v>S07-01:input</x:v>
      </x:c>
      <x:c r="I124" s="14" t="str">
        <x:v>일정, 메일, 보고서 순서로 읽겠습니다.</x:v>
      </x:c>
      <x:c r="J124" s="14" t="str">
        <x:v>내일 회의는 오후 세 시입니다.</x:v>
      </x:c>
    </x:row>
    <x:row r="125" ht="52" customHeight="1">
      <x:c r="A125" s="14" t="str">
        <x:v>S07-01</x:v>
      </x:c>
      <x:c r="B125" s="14" t="str">
        <x:v>B</x:v>
      </x:c>
      <x:c r="C125" s="14" t="n">
        <x:v>0.908333333</x:v>
      </x:c>
      <x:c r="D125" s="14" t="n">
        <x:v>1.310666666</x:v>
      </x:c>
      <x:c r="E125" s="17" t="n">
        <x:v>3</x:v>
      </x:c>
      <x:c r="F125" s="17" t="n">
        <x:v>3</x:v>
      </x:c>
      <x:c r="G125" s="17" t="n">
        <x:v>1</x:v>
      </x:c>
      <x:c r="H125" s="14" t="str">
        <x:v>S07-01:input</x:v>
      </x:c>
      <x:c r="I125" s="14" t="str">
        <x:v>일정, 메일, 보고서 순서로 읽겠습니다.</x:v>
      </x:c>
      <x:c r="J125" s="14" t="str">
        <x:v>내일 회의는 오후 세 시입니다.</x:v>
      </x:c>
    </x:row>
    <x:row r="126" ht="52" customHeight="1">
      <x:c r="A126" s="14" t="str">
        <x:v>S07-02</x:v>
      </x:c>
      <x:c r="B126" s="14" t="str">
        <x:v>A</x:v>
      </x:c>
      <x:c r="C126" s="14" t="n">
        <x:v>0.936666667</x:v>
      </x:c>
      <x:c r="D126" s="14" t="n">
        <x:v>0.936666667</x:v>
      </x:c>
      <x:c r="E126" s="17" t="n">
        <x:v>3</x:v>
      </x:c>
      <x:c r="F126" s="17" t="n">
        <x:v>3</x:v>
      </x:c>
      <x:c r="G126" s="17" t="n">
        <x:v>1</x:v>
      </x:c>
      <x:c r="H126" s="14" t="str">
        <x:v>S07-02:input</x:v>
      </x:c>
      <x:c r="I126" s="14" t="str">
        <x:v>일정, 메일, 보고서 순서로 읽겠습니다.</x:v>
      </x:c>
      <x:c r="J126" s="14" t="str">
        <x:v>내일 회의는 오후 세 시입니다.</x:v>
      </x:c>
    </x:row>
    <x:row r="127" ht="52" customHeight="1">
      <x:c r="A127" s="14" t="str">
        <x:v>S07-02</x:v>
      </x:c>
      <x:c r="B127" s="14" t="str">
        <x:v>B</x:v>
      </x:c>
      <x:c r="C127" s="14" t="n">
        <x:v>0.936666667</x:v>
      </x:c>
      <x:c r="D127" s="14" t="n">
        <x:v>1.339</x:v>
      </x:c>
      <x:c r="E127" s="17" t="n">
        <x:v>3</x:v>
      </x:c>
      <x:c r="F127" s="17" t="n">
        <x:v>3</x:v>
      </x:c>
      <x:c r="G127" s="17" t="n">
        <x:v>1</x:v>
      </x:c>
      <x:c r="H127" s="14" t="str">
        <x:v>S07-02:input</x:v>
      </x:c>
      <x:c r="I127" s="14" t="str">
        <x:v>일정, 메일, 보고서 순서로 읽겠습니다.</x:v>
      </x:c>
      <x:c r="J127" s="14" t="str">
        <x:v>내일 회의는 오후 세 시입니다.</x:v>
      </x:c>
    </x:row>
    <x:row r="128" ht="52" customHeight="1">
      <x:c r="A128" s="14" t="str">
        <x:v>S07-03</x:v>
      </x:c>
      <x:c r="B128" s="14" t="str">
        <x:v>A</x:v>
      </x:c>
      <x:c r="C128" s="14" t="n">
        <x:v>0.89</x:v>
      </x:c>
      <x:c r="D128" s="14" t="n">
        <x:v>0.89</x:v>
      </x:c>
      <x:c r="E128" s="17" t="n">
        <x:v>3</x:v>
      </x:c>
      <x:c r="F128" s="17" t="n">
        <x:v>3</x:v>
      </x:c>
      <x:c r="G128" s="17" t="n">
        <x:v>1</x:v>
      </x:c>
      <x:c r="H128" s="14" t="str">
        <x:v>S07-03:input</x:v>
      </x:c>
      <x:c r="I128" s="14" t="str">
        <x:v>일정, 메일, 보고서 순서로 읽겠습니다.</x:v>
      </x:c>
      <x:c r="J128" s="14" t="str">
        <x:v>내일 회의는 오후 세 시입니다.</x:v>
      </x:c>
    </x:row>
    <x:row r="129" ht="52" customHeight="1">
      <x:c r="A129" s="14" t="str">
        <x:v>S07-03</x:v>
      </x:c>
      <x:c r="B129" s="14" t="str">
        <x:v>B</x:v>
      </x:c>
      <x:c r="C129" s="14" t="n">
        <x:v>0.89</x:v>
      </x:c>
      <x:c r="D129" s="14" t="n">
        <x:v>1.292333333</x:v>
      </x:c>
      <x:c r="E129" s="17" t="n">
        <x:v>3</x:v>
      </x:c>
      <x:c r="F129" s="17" t="n">
        <x:v>3</x:v>
      </x:c>
      <x:c r="G129" s="17" t="n">
        <x:v>1</x:v>
      </x:c>
      <x:c r="H129" s="14" t="str">
        <x:v>S07-03:input</x:v>
      </x:c>
      <x:c r="I129" s="14" t="str">
        <x:v>일정, 메일, 보고서 순서로 읽겠습니다.</x:v>
      </x:c>
      <x:c r="J129" s="14" t="str">
        <x:v>내일 회의는 오후 세 시입니다.</x:v>
      </x:c>
    </x:row>
    <x:row r="130" ht="52" customHeight="1">
      <x:c r="A130" s="14" t="str">
        <x:v>S07-04</x:v>
      </x:c>
      <x:c r="B130" s="14" t="str">
        <x:v>A</x:v>
      </x:c>
      <x:c r="C130" s="14" t="n">
        <x:v>0.918333333</x:v>
      </x:c>
      <x:c r="D130" s="14" t="n">
        <x:v>0.918333333</x:v>
      </x:c>
      <x:c r="E130" s="17" t="n">
        <x:v>3</x:v>
      </x:c>
      <x:c r="F130" s="17" t="n">
        <x:v>3</x:v>
      </x:c>
      <x:c r="G130" s="17" t="n">
        <x:v>1</x:v>
      </x:c>
      <x:c r="H130" s="14" t="str">
        <x:v>S07-04:input</x:v>
      </x:c>
      <x:c r="I130" s="14" t="str">
        <x:v>일정, 메일, 보고서 순서로 읽겠습니다.</x:v>
      </x:c>
      <x:c r="J130" s="14" t="str">
        <x:v>내일 회의는 오후 세 시입니다.</x:v>
      </x:c>
    </x:row>
    <x:row r="131" ht="52" customHeight="1">
      <x:c r="A131" s="14" t="str">
        <x:v>S07-04</x:v>
      </x:c>
      <x:c r="B131" s="14" t="str">
        <x:v>B</x:v>
      </x:c>
      <x:c r="C131" s="14" t="n">
        <x:v>0.918333333</x:v>
      </x:c>
      <x:c r="D131" s="14" t="n">
        <x:v>1.320666666</x:v>
      </x:c>
      <x:c r="E131" s="17" t="n">
        <x:v>3</x:v>
      </x:c>
      <x:c r="F131" s="17" t="n">
        <x:v>3</x:v>
      </x:c>
      <x:c r="G131" s="17" t="n">
        <x:v>1</x:v>
      </x:c>
      <x:c r="H131" s="14" t="str">
        <x:v>S07-04:input</x:v>
      </x:c>
      <x:c r="I131" s="14" t="str">
        <x:v>일정, 메일, 보고서 순서로 읽겠습니다.</x:v>
      </x:c>
      <x:c r="J131" s="14" t="str">
        <x:v>내일 회의는 오후 세 시입니다.</x:v>
      </x:c>
    </x:row>
    <x:row r="132" ht="52" customHeight="1">
      <x:c r="A132" s="14" t="str">
        <x:v>S07-05</x:v>
      </x:c>
      <x:c r="B132" s="14" t="str">
        <x:v>A</x:v>
      </x:c>
      <x:c r="C132" s="14" t="n">
        <x:v>0.946666667</x:v>
      </x:c>
      <x:c r="D132" s="14" t="n">
        <x:v>0.946666667</x:v>
      </x:c>
      <x:c r="E132" s="17" t="n">
        <x:v>3</x:v>
      </x:c>
      <x:c r="F132" s="17" t="n">
        <x:v>3</x:v>
      </x:c>
      <x:c r="G132" s="17" t="n">
        <x:v>1</x:v>
      </x:c>
      <x:c r="H132" s="14" t="str">
        <x:v>S07-05:input</x:v>
      </x:c>
      <x:c r="I132" s="14" t="str">
        <x:v>일정, 메일, 보고서 순서로 읽겠습니다.</x:v>
      </x:c>
      <x:c r="J132" s="14" t="str">
        <x:v>내일 회의는 오후 세 시입니다.</x:v>
      </x:c>
    </x:row>
    <x:row r="133" ht="52" customHeight="1">
      <x:c r="A133" s="14" t="str">
        <x:v>S07-05</x:v>
      </x:c>
      <x:c r="B133" s="14" t="str">
        <x:v>B</x:v>
      </x:c>
      <x:c r="C133" s="14" t="n">
        <x:v>0.946666667</x:v>
      </x:c>
      <x:c r="D133" s="14" t="n">
        <x:v>1.349</x:v>
      </x:c>
      <x:c r="E133" s="17" t="n">
        <x:v>3</x:v>
      </x:c>
      <x:c r="F133" s="17" t="n">
        <x:v>3</x:v>
      </x:c>
      <x:c r="G133" s="17" t="n">
        <x:v>1</x:v>
      </x:c>
      <x:c r="H133" s="14" t="str">
        <x:v>S07-05:input</x:v>
      </x:c>
      <x:c r="I133" s="14" t="str">
        <x:v>일정, 메일, 보고서 순서로 읽겠습니다.</x:v>
      </x:c>
      <x:c r="J133" s="14" t="str">
        <x:v>내일 회의는 오후 세 시입니다.</x:v>
      </x:c>
    </x:row>
    <x:row r="134" ht="52" customHeight="1">
      <x:c r="A134" s="14" t="str">
        <x:v>S07-06</x:v>
      </x:c>
      <x:c r="B134" s="14" t="str">
        <x:v>A</x:v>
      </x:c>
      <x:c r="C134" s="14" t="n">
        <x:v>0.9</x:v>
      </x:c>
      <x:c r="D134" s="14" t="n">
        <x:v>0.9</x:v>
      </x:c>
      <x:c r="E134" s="17" t="n">
        <x:v>3</x:v>
      </x:c>
      <x:c r="F134" s="17" t="n">
        <x:v>3</x:v>
      </x:c>
      <x:c r="G134" s="17" t="n">
        <x:v>1</x:v>
      </x:c>
      <x:c r="H134" s="14" t="str">
        <x:v>S07-06:input</x:v>
      </x:c>
      <x:c r="I134" s="14" t="str">
        <x:v>일정, 메일, 보고서 순서로 읽겠습니다.</x:v>
      </x:c>
      <x:c r="J134" s="14" t="str">
        <x:v>내일 회의는 오후 세 시입니다.</x:v>
      </x:c>
    </x:row>
    <x:row r="135" ht="52" customHeight="1">
      <x:c r="A135" s="14" t="str">
        <x:v>S07-06</x:v>
      </x:c>
      <x:c r="B135" s="14" t="str">
        <x:v>B</x:v>
      </x:c>
      <x:c r="C135" s="14" t="n">
        <x:v>0.9</x:v>
      </x:c>
      <x:c r="D135" s="14" t="n">
        <x:v>1.302333333</x:v>
      </x:c>
      <x:c r="E135" s="17" t="n">
        <x:v>3</x:v>
      </x:c>
      <x:c r="F135" s="17" t="n">
        <x:v>3</x:v>
      </x:c>
      <x:c r="G135" s="17" t="n">
        <x:v>1</x:v>
      </x:c>
      <x:c r="H135" s="14" t="str">
        <x:v>S07-06:input</x:v>
      </x:c>
      <x:c r="I135" s="14" t="str">
        <x:v>일정, 메일, 보고서 순서로 읽겠습니다.</x:v>
      </x:c>
      <x:c r="J135" s="14" t="str">
        <x:v>내일 회의는 오후 세 시입니다.</x:v>
      </x:c>
    </x:row>
    <x:row r="136" ht="52" customHeight="1">
      <x:c r="A136" s="14" t="str">
        <x:v>S07-07</x:v>
      </x:c>
      <x:c r="B136" s="14" t="str">
        <x:v>A</x:v>
      </x:c>
      <x:c r="C136" s="14" t="n">
        <x:v>0.928333333</x:v>
      </x:c>
      <x:c r="D136" s="14" t="n">
        <x:v>0.928333333</x:v>
      </x:c>
      <x:c r="E136" s="17" t="n">
        <x:v>3</x:v>
      </x:c>
      <x:c r="F136" s="17" t="n">
        <x:v>3</x:v>
      </x:c>
      <x:c r="G136" s="17" t="n">
        <x:v>1</x:v>
      </x:c>
      <x:c r="H136" s="14" t="str">
        <x:v>S07-07:input</x:v>
      </x:c>
      <x:c r="I136" s="14" t="str">
        <x:v>일정, 메일, 보고서 순서로 읽겠습니다.</x:v>
      </x:c>
      <x:c r="J136" s="14" t="str">
        <x:v>내일 회의는 오후 세 시입니다.</x:v>
      </x:c>
    </x:row>
    <x:row r="137" ht="52" customHeight="1">
      <x:c r="A137" s="14" t="str">
        <x:v>S07-07</x:v>
      </x:c>
      <x:c r="B137" s="14" t="str">
        <x:v>B</x:v>
      </x:c>
      <x:c r="C137" s="14" t="n">
        <x:v>0.928333333</x:v>
      </x:c>
      <x:c r="D137" s="14" t="n">
        <x:v>1.330666666</x:v>
      </x:c>
      <x:c r="E137" s="17" t="n">
        <x:v>3</x:v>
      </x:c>
      <x:c r="F137" s="17" t="n">
        <x:v>3</x:v>
      </x:c>
      <x:c r="G137" s="17" t="n">
        <x:v>1</x:v>
      </x:c>
      <x:c r="H137" s="14" t="str">
        <x:v>S07-07:input</x:v>
      </x:c>
      <x:c r="I137" s="14" t="str">
        <x:v>일정, 메일, 보고서 순서로 읽겠습니다.</x:v>
      </x:c>
      <x:c r="J137" s="14" t="str">
        <x:v>내일 회의는 오후 세 시입니다.</x:v>
      </x:c>
    </x:row>
    <x:row r="138" ht="52" customHeight="1">
      <x:c r="A138" s="14" t="str">
        <x:v>S07-08</x:v>
      </x:c>
      <x:c r="B138" s="14" t="str">
        <x:v>A</x:v>
      </x:c>
      <x:c r="C138" s="14" t="n">
        <x:v>0.956666667</x:v>
      </x:c>
      <x:c r="D138" s="14" t="n">
        <x:v>0.956666667</x:v>
      </x:c>
      <x:c r="E138" s="17" t="n">
        <x:v>3</x:v>
      </x:c>
      <x:c r="F138" s="17" t="n">
        <x:v>3</x:v>
      </x:c>
      <x:c r="G138" s="17" t="n">
        <x:v>1</x:v>
      </x:c>
      <x:c r="H138" s="14" t="str">
        <x:v>S07-08:input</x:v>
      </x:c>
      <x:c r="I138" s="14" t="str">
        <x:v>일정, 메일, 보고서 순서로 읽겠습니다.</x:v>
      </x:c>
      <x:c r="J138" s="14" t="str">
        <x:v>내일 회의는 오후 세 시입니다.</x:v>
      </x:c>
    </x:row>
    <x:row r="139" ht="52" customHeight="1">
      <x:c r="A139" s="14" t="str">
        <x:v>S07-08</x:v>
      </x:c>
      <x:c r="B139" s="14" t="str">
        <x:v>B</x:v>
      </x:c>
      <x:c r="C139" s="14" t="n">
        <x:v>0.956666667</x:v>
      </x:c>
      <x:c r="D139" s="14" t="n">
        <x:v>1.359</x:v>
      </x:c>
      <x:c r="E139" s="17" t="n">
        <x:v>3</x:v>
      </x:c>
      <x:c r="F139" s="17" t="n">
        <x:v>3</x:v>
      </x:c>
      <x:c r="G139" s="17" t="n">
        <x:v>1</x:v>
      </x:c>
      <x:c r="H139" s="14" t="str">
        <x:v>S07-08:input</x:v>
      </x:c>
      <x:c r="I139" s="14" t="str">
        <x:v>일정, 메일, 보고서 순서로 읽겠습니다.</x:v>
      </x:c>
      <x:c r="J139" s="14" t="str">
        <x:v>내일 회의는 오후 세 시입니다.</x:v>
      </x:c>
    </x:row>
    <x:row r="140" ht="52" customHeight="1">
      <x:c r="A140" s="14" t="str">
        <x:v>S07-09</x:v>
      </x:c>
      <x:c r="B140" s="14" t="str">
        <x:v>A</x:v>
      </x:c>
      <x:c r="C140" s="14" t="n">
        <x:v>0.91</x:v>
      </x:c>
      <x:c r="D140" s="14" t="n">
        <x:v>0.91</x:v>
      </x:c>
      <x:c r="E140" s="17" t="n">
        <x:v>3</x:v>
      </x:c>
      <x:c r="F140" s="17" t="n">
        <x:v>3</x:v>
      </x:c>
      <x:c r="G140" s="17" t="n">
        <x:v>1</x:v>
      </x:c>
      <x:c r="H140" s="14" t="str">
        <x:v>S07-09:input</x:v>
      </x:c>
      <x:c r="I140" s="14" t="str">
        <x:v>일정, 메일, 보고서 순서로 읽겠습니다.</x:v>
      </x:c>
      <x:c r="J140" s="14" t="str">
        <x:v>내일 회의는 오후 세 시입니다.</x:v>
      </x:c>
    </x:row>
    <x:row r="141" ht="52" customHeight="1">
      <x:c r="A141" s="14" t="str">
        <x:v>S07-09</x:v>
      </x:c>
      <x:c r="B141" s="14" t="str">
        <x:v>B</x:v>
      </x:c>
      <x:c r="C141" s="14" t="n">
        <x:v>0.91</x:v>
      </x:c>
      <x:c r="D141" s="14" t="n">
        <x:v>1.312333333</x:v>
      </x:c>
      <x:c r="E141" s="17" t="n">
        <x:v>3</x:v>
      </x:c>
      <x:c r="F141" s="17" t="n">
        <x:v>3</x:v>
      </x:c>
      <x:c r="G141" s="17" t="n">
        <x:v>1</x:v>
      </x:c>
      <x:c r="H141" s="14" t="str">
        <x:v>S07-09:input</x:v>
      </x:c>
      <x:c r="I141" s="14" t="str">
        <x:v>일정, 메일, 보고서 순서로 읽겠습니다.</x:v>
      </x:c>
      <x:c r="J141" s="14" t="str">
        <x:v>내일 회의는 오후 세 시입니다.</x:v>
      </x:c>
    </x:row>
    <x:row r="142" ht="52" customHeight="1">
      <x:c r="A142" s="14" t="str">
        <x:v>S07-10</x:v>
      </x:c>
      <x:c r="B142" s="14" t="str">
        <x:v>A</x:v>
      </x:c>
      <x:c r="C142" s="14" t="n">
        <x:v>0.938333333</x:v>
      </x:c>
      <x:c r="D142" s="14" t="n">
        <x:v>0.938333333</x:v>
      </x:c>
      <x:c r="E142" s="17" t="n">
        <x:v>3</x:v>
      </x:c>
      <x:c r="F142" s="17" t="n">
        <x:v>3</x:v>
      </x:c>
      <x:c r="G142" s="17" t="n">
        <x:v>1</x:v>
      </x:c>
      <x:c r="H142" s="14" t="str">
        <x:v>S07-10:input</x:v>
      </x:c>
      <x:c r="I142" s="14" t="str">
        <x:v>일정, 메일, 보고서 순서로 읽겠습니다.</x:v>
      </x:c>
      <x:c r="J142" s="14" t="str">
        <x:v>내일 회의는 오후 세 시입니다.</x:v>
      </x:c>
    </x:row>
    <x:row r="143" ht="52" customHeight="1">
      <x:c r="A143" s="14" t="str">
        <x:v>S07-10</x:v>
      </x:c>
      <x:c r="B143" s="14" t="str">
        <x:v>B</x:v>
      </x:c>
      <x:c r="C143" s="14" t="n">
        <x:v>0.938333333</x:v>
      </x:c>
      <x:c r="D143" s="14" t="n">
        <x:v>1.340666666</x:v>
      </x:c>
      <x:c r="E143" s="17" t="n">
        <x:v>3</x:v>
      </x:c>
      <x:c r="F143" s="17" t="n">
        <x:v>3</x:v>
      </x:c>
      <x:c r="G143" s="17" t="n">
        <x:v>1</x:v>
      </x:c>
      <x:c r="H143" s="14" t="str">
        <x:v>S07-10:input</x:v>
      </x:c>
      <x:c r="I143" s="14" t="str">
        <x:v>일정, 메일, 보고서 순서로 읽겠습니다.</x:v>
      </x:c>
      <x:c r="J143" s="14" t="str">
        <x:v>내일 회의는 오후 세 시입니다.</x:v>
      </x:c>
    </x:row>
    <x:row r="144" ht="52" customHeight="1">
      <x:c r="A144" s="14" t="str">
        <x:v>S08-01</x:v>
      </x:c>
      <x:c r="B144" s="14" t="str">
        <x:v>A</x:v>
      </x:c>
      <x:c r="C144" s="14" t="n">
        <x:v>0.908333333</x:v>
      </x:c>
      <x:c r="D144" s="14" t="n">
        <x:v>1.259333333</x:v>
      </x:c>
      <x:c r="E144" s="17" t="n">
        <x:v>1</x:v>
      </x:c>
      <x:c r="F144" s="17" t="n">
        <x:v>1</x:v>
      </x:c>
      <x:c r="G144" s="17" t="n">
        <x:v>1</x:v>
      </x:c>
      <x:c r="H144" s="14" t="str">
        <x:v>S08-01:input</x:v>
      </x:c>
      <x:c r="I144" s="14" t="str">
        <x:v>수신자는 김 대리인가요?</x:v>
      </x:c>
      <x:c r="J144" s="14" t="str">
        <x:v>수신자는 김 대리인가요?</x:v>
      </x:c>
    </x:row>
    <x:row r="145" ht="52" customHeight="1">
      <x:c r="A145" s="14" t="str">
        <x:v>S08-01</x:v>
      </x:c>
      <x:c r="B145" s="14" t="str">
        <x:v>B</x:v>
      </x:c>
      <x:c r="C145" s="14" t="n">
        <x:v>0.908333333</x:v>
      </x:c>
      <x:c r="D145" s="14" t="n">
        <x:v>1.309333333</x:v>
      </x:c>
      <x:c r="E145" s="17" t="n">
        <x:v>1</x:v>
      </x:c>
      <x:c r="F145" s="17" t="n">
        <x:v>1</x:v>
      </x:c>
      <x:c r="G145" s="17" t="n">
        <x:v>1</x:v>
      </x:c>
      <x:c r="H145" s="14" t="str">
        <x:v>S08-01:input</x:v>
      </x:c>
      <x:c r="I145" s="14" t="str">
        <x:v>수신자는 김 대리인가요?</x:v>
      </x:c>
      <x:c r="J145" s="14" t="str">
        <x:v>수신자는 김 대리인가요?</x:v>
      </x:c>
    </x:row>
    <x:row r="146" ht="52" customHeight="1">
      <x:c r="A146" s="14" t="str">
        <x:v>S08-02</x:v>
      </x:c>
      <x:c r="B146" s="14" t="str">
        <x:v>A</x:v>
      </x:c>
      <x:c r="C146" s="14" t="n">
        <x:v>0.936666667</x:v>
      </x:c>
      <x:c r="D146" s="14" t="n">
        <x:v>1.287666667</x:v>
      </x:c>
      <x:c r="E146" s="17" t="n">
        <x:v>1</x:v>
      </x:c>
      <x:c r="F146" s="17" t="n">
        <x:v>1</x:v>
      </x:c>
      <x:c r="G146" s="17" t="n">
        <x:v>1</x:v>
      </x:c>
      <x:c r="H146" s="14" t="str">
        <x:v>S08-02:input</x:v>
      </x:c>
      <x:c r="I146" s="14" t="str">
        <x:v>수신자는 김 대리인가요?</x:v>
      </x:c>
      <x:c r="J146" s="14" t="str">
        <x:v>수신자는 김 대리인가요?</x:v>
      </x:c>
    </x:row>
    <x:row r="147" ht="52" customHeight="1">
      <x:c r="A147" s="14" t="str">
        <x:v>S08-02</x:v>
      </x:c>
      <x:c r="B147" s="14" t="str">
        <x:v>B</x:v>
      </x:c>
      <x:c r="C147" s="14" t="n">
        <x:v>0.936666667</x:v>
      </x:c>
      <x:c r="D147" s="14" t="n">
        <x:v>1.337666667</x:v>
      </x:c>
      <x:c r="E147" s="17" t="n">
        <x:v>1</x:v>
      </x:c>
      <x:c r="F147" s="17" t="n">
        <x:v>1</x:v>
      </x:c>
      <x:c r="G147" s="17" t="n">
        <x:v>1</x:v>
      </x:c>
      <x:c r="H147" s="14" t="str">
        <x:v>S08-02:input</x:v>
      </x:c>
      <x:c r="I147" s="14" t="str">
        <x:v>수신자는 김 대리인가요?</x:v>
      </x:c>
      <x:c r="J147" s="14" t="str">
        <x:v>수신자는 김 대리인가요?</x:v>
      </x:c>
    </x:row>
    <x:row r="148" ht="52" customHeight="1">
      <x:c r="A148" s="14" t="str">
        <x:v>S08-03</x:v>
      </x:c>
      <x:c r="B148" s="14" t="str">
        <x:v>A</x:v>
      </x:c>
      <x:c r="C148" s="14" t="n">
        <x:v>0.89</x:v>
      </x:c>
      <x:c r="D148" s="14" t="n">
        <x:v>1.241</x:v>
      </x:c>
      <x:c r="E148" s="17" t="n">
        <x:v>1</x:v>
      </x:c>
      <x:c r="F148" s="17" t="n">
        <x:v>1</x:v>
      </x:c>
      <x:c r="G148" s="17" t="n">
        <x:v>1</x:v>
      </x:c>
      <x:c r="H148" s="14" t="str">
        <x:v>S08-03:input</x:v>
      </x:c>
      <x:c r="I148" s="14" t="str">
        <x:v>수신자는 김 대리인가요?</x:v>
      </x:c>
      <x:c r="J148" s="14" t="str">
        <x:v>수신자는 김 대리인가요?</x:v>
      </x:c>
    </x:row>
    <x:row r="149" ht="52" customHeight="1">
      <x:c r="A149" s="14" t="str">
        <x:v>S08-03</x:v>
      </x:c>
      <x:c r="B149" s="14" t="str">
        <x:v>B</x:v>
      </x:c>
      <x:c r="C149" s="14" t="n">
        <x:v>0.89</x:v>
      </x:c>
      <x:c r="D149" s="14" t="n">
        <x:v>1.291</x:v>
      </x:c>
      <x:c r="E149" s="17" t="n">
        <x:v>1</x:v>
      </x:c>
      <x:c r="F149" s="17" t="n">
        <x:v>1</x:v>
      </x:c>
      <x:c r="G149" s="17" t="n">
        <x:v>1</x:v>
      </x:c>
      <x:c r="H149" s="14" t="str">
        <x:v>S08-03:input</x:v>
      </x:c>
      <x:c r="I149" s="14" t="str">
        <x:v>수신자는 김 대리인가요?</x:v>
      </x:c>
      <x:c r="J149" s="14" t="str">
        <x:v>수신자는 김 대리인가요?</x:v>
      </x:c>
    </x:row>
    <x:row r="150" ht="52" customHeight="1">
      <x:c r="A150" s="14" t="str">
        <x:v>S08-04</x:v>
      </x:c>
      <x:c r="B150" s="14" t="str">
        <x:v>A</x:v>
      </x:c>
      <x:c r="C150" s="14" t="n">
        <x:v>0.918333333</x:v>
      </x:c>
      <x:c r="D150" s="14" t="n">
        <x:v>1.269333333</x:v>
      </x:c>
      <x:c r="E150" s="17" t="n">
        <x:v>1</x:v>
      </x:c>
      <x:c r="F150" s="17" t="n">
        <x:v>1</x:v>
      </x:c>
      <x:c r="G150" s="17" t="n">
        <x:v>1</x:v>
      </x:c>
      <x:c r="H150" s="14" t="str">
        <x:v>S08-04:input</x:v>
      </x:c>
      <x:c r="I150" s="14" t="str">
        <x:v>수신자는 김 대리인가요?</x:v>
      </x:c>
      <x:c r="J150" s="14" t="str">
        <x:v>수신자는 김 대리인가요?</x:v>
      </x:c>
    </x:row>
    <x:row r="151" ht="52" customHeight="1">
      <x:c r="A151" s="14" t="str">
        <x:v>S08-04</x:v>
      </x:c>
      <x:c r="B151" s="14" t="str">
        <x:v>B</x:v>
      </x:c>
      <x:c r="C151" s="14" t="n">
        <x:v>0.918333333</x:v>
      </x:c>
      <x:c r="D151" s="14" t="n">
        <x:v>1.319333333</x:v>
      </x:c>
      <x:c r="E151" s="17" t="n">
        <x:v>1</x:v>
      </x:c>
      <x:c r="F151" s="17" t="n">
        <x:v>1</x:v>
      </x:c>
      <x:c r="G151" s="17" t="n">
        <x:v>1</x:v>
      </x:c>
      <x:c r="H151" s="14" t="str">
        <x:v>S08-04:input</x:v>
      </x:c>
      <x:c r="I151" s="14" t="str">
        <x:v>수신자는 김 대리인가요?</x:v>
      </x:c>
      <x:c r="J151" s="14" t="str">
        <x:v>수신자는 김 대리인가요?</x:v>
      </x:c>
    </x:row>
    <x:row r="152" ht="52" customHeight="1">
      <x:c r="A152" s="14" t="str">
        <x:v>S08-05</x:v>
      </x:c>
      <x:c r="B152" s="14" t="str">
        <x:v>A</x:v>
      </x:c>
      <x:c r="C152" s="14" t="n">
        <x:v>0.946666667</x:v>
      </x:c>
      <x:c r="D152" s="14" t="n">
        <x:v>1.297666667</x:v>
      </x:c>
      <x:c r="E152" s="17" t="n">
        <x:v>1</x:v>
      </x:c>
      <x:c r="F152" s="17" t="n">
        <x:v>1</x:v>
      </x:c>
      <x:c r="G152" s="17" t="n">
        <x:v>1</x:v>
      </x:c>
      <x:c r="H152" s="14" t="str">
        <x:v>S08-05:input</x:v>
      </x:c>
      <x:c r="I152" s="14" t="str">
        <x:v>수신자는 김 대리인가요?</x:v>
      </x:c>
      <x:c r="J152" s="14" t="str">
        <x:v>수신자는 김 대리인가요?</x:v>
      </x:c>
    </x:row>
    <x:row r="153" ht="52" customHeight="1">
      <x:c r="A153" s="14" t="str">
        <x:v>S08-05</x:v>
      </x:c>
      <x:c r="B153" s="14" t="str">
        <x:v>B</x:v>
      </x:c>
      <x:c r="C153" s="14" t="n">
        <x:v>0.946666667</x:v>
      </x:c>
      <x:c r="D153" s="14" t="n">
        <x:v>1.347666667</x:v>
      </x:c>
      <x:c r="E153" s="17" t="n">
        <x:v>1</x:v>
      </x:c>
      <x:c r="F153" s="17" t="n">
        <x:v>1</x:v>
      </x:c>
      <x:c r="G153" s="17" t="n">
        <x:v>1</x:v>
      </x:c>
      <x:c r="H153" s="14" t="str">
        <x:v>S08-05:input</x:v>
      </x:c>
      <x:c r="I153" s="14" t="str">
        <x:v>수신자는 김 대리인가요?</x:v>
      </x:c>
      <x:c r="J153" s="14" t="str">
        <x:v>수신자는 김 대리인가요?</x:v>
      </x:c>
    </x:row>
    <x:row r="154" ht="52" customHeight="1">
      <x:c r="A154" s="14" t="str">
        <x:v>S08-06</x:v>
      </x:c>
      <x:c r="B154" s="14" t="str">
        <x:v>A</x:v>
      </x:c>
      <x:c r="C154" s="14" t="n">
        <x:v>0.9</x:v>
      </x:c>
      <x:c r="D154" s="14" t="n">
        <x:v>1.251</x:v>
      </x:c>
      <x:c r="E154" s="17" t="n">
        <x:v>1</x:v>
      </x:c>
      <x:c r="F154" s="17" t="n">
        <x:v>1</x:v>
      </x:c>
      <x:c r="G154" s="17" t="n">
        <x:v>1</x:v>
      </x:c>
      <x:c r="H154" s="14" t="str">
        <x:v>S08-06:input</x:v>
      </x:c>
      <x:c r="I154" s="14" t="str">
        <x:v>수신자는 김 대리인가요?</x:v>
      </x:c>
      <x:c r="J154" s="14" t="str">
        <x:v>수신자는 김 대리인가요?</x:v>
      </x:c>
    </x:row>
    <x:row r="155" ht="52" customHeight="1">
      <x:c r="A155" s="14" t="str">
        <x:v>S08-06</x:v>
      </x:c>
      <x:c r="B155" s="14" t="str">
        <x:v>B</x:v>
      </x:c>
      <x:c r="C155" s="14" t="n">
        <x:v>0.9</x:v>
      </x:c>
      <x:c r="D155" s="14" t="n">
        <x:v>1.301</x:v>
      </x:c>
      <x:c r="E155" s="17" t="n">
        <x:v>1</x:v>
      </x:c>
      <x:c r="F155" s="17" t="n">
        <x:v>1</x:v>
      </x:c>
      <x:c r="G155" s="17" t="n">
        <x:v>1</x:v>
      </x:c>
      <x:c r="H155" s="14" t="str">
        <x:v>S08-06:input</x:v>
      </x:c>
      <x:c r="I155" s="14" t="str">
        <x:v>수신자는 김 대리인가요?</x:v>
      </x:c>
      <x:c r="J155" s="14" t="str">
        <x:v>수신자는 김 대리인가요?</x:v>
      </x:c>
    </x:row>
    <x:row r="156" ht="52" customHeight="1">
      <x:c r="A156" s="14" t="str">
        <x:v>S08-07</x:v>
      </x:c>
      <x:c r="B156" s="14" t="str">
        <x:v>A</x:v>
      </x:c>
      <x:c r="C156" s="14" t="n">
        <x:v>0.928333333</x:v>
      </x:c>
      <x:c r="D156" s="14" t="n">
        <x:v>1.279333333</x:v>
      </x:c>
      <x:c r="E156" s="17" t="n">
        <x:v>1</x:v>
      </x:c>
      <x:c r="F156" s="17" t="n">
        <x:v>1</x:v>
      </x:c>
      <x:c r="G156" s="17" t="n">
        <x:v>1</x:v>
      </x:c>
      <x:c r="H156" s="14" t="str">
        <x:v>S08-07:input</x:v>
      </x:c>
      <x:c r="I156" s="14" t="str">
        <x:v>수신자는 김 대리인가요?</x:v>
      </x:c>
      <x:c r="J156" s="14" t="str">
        <x:v>수신자는 김 대리인가요?</x:v>
      </x:c>
    </x:row>
    <x:row r="157" ht="52" customHeight="1">
      <x:c r="A157" s="14" t="str">
        <x:v>S08-07</x:v>
      </x:c>
      <x:c r="B157" s="14" t="str">
        <x:v>B</x:v>
      </x:c>
      <x:c r="C157" s="14" t="n">
        <x:v>0.928333333</x:v>
      </x:c>
      <x:c r="D157" s="14" t="n">
        <x:v>1.329333333</x:v>
      </x:c>
      <x:c r="E157" s="17" t="n">
        <x:v>1</x:v>
      </x:c>
      <x:c r="F157" s="17" t="n">
        <x:v>1</x:v>
      </x:c>
      <x:c r="G157" s="17" t="n">
        <x:v>1</x:v>
      </x:c>
      <x:c r="H157" s="14" t="str">
        <x:v>S08-07:input</x:v>
      </x:c>
      <x:c r="I157" s="14" t="str">
        <x:v>수신자는 김 대리인가요?</x:v>
      </x:c>
      <x:c r="J157" s="14" t="str">
        <x:v>수신자는 김 대리인가요?</x:v>
      </x:c>
    </x:row>
    <x:row r="158" ht="52" customHeight="1">
      <x:c r="A158" s="14" t="str">
        <x:v>S08-08</x:v>
      </x:c>
      <x:c r="B158" s="14" t="str">
        <x:v>A</x:v>
      </x:c>
      <x:c r="C158" s="14" t="n">
        <x:v>0.956666667</x:v>
      </x:c>
      <x:c r="D158" s="14" t="n">
        <x:v>1.307666667</x:v>
      </x:c>
      <x:c r="E158" s="17" t="n">
        <x:v>1</x:v>
      </x:c>
      <x:c r="F158" s="17" t="n">
        <x:v>1</x:v>
      </x:c>
      <x:c r="G158" s="17" t="n">
        <x:v>1</x:v>
      </x:c>
      <x:c r="H158" s="14" t="str">
        <x:v>S08-08:input</x:v>
      </x:c>
      <x:c r="I158" s="14" t="str">
        <x:v>수신자는 김 대리인가요?</x:v>
      </x:c>
      <x:c r="J158" s="14" t="str">
        <x:v>수신자는 김 대리인가요?</x:v>
      </x:c>
    </x:row>
    <x:row r="159" ht="52" customHeight="1">
      <x:c r="A159" s="14" t="str">
        <x:v>S08-08</x:v>
      </x:c>
      <x:c r="B159" s="14" t="str">
        <x:v>B</x:v>
      </x:c>
      <x:c r="C159" s="14" t="n">
        <x:v>0.956666667</x:v>
      </x:c>
      <x:c r="D159" s="14" t="n">
        <x:v>1.357666667</x:v>
      </x:c>
      <x:c r="E159" s="17" t="n">
        <x:v>1</x:v>
      </x:c>
      <x:c r="F159" s="17" t="n">
        <x:v>1</x:v>
      </x:c>
      <x:c r="G159" s="17" t="n">
        <x:v>1</x:v>
      </x:c>
      <x:c r="H159" s="14" t="str">
        <x:v>S08-08:input</x:v>
      </x:c>
      <x:c r="I159" s="14" t="str">
        <x:v>수신자는 김 대리인가요?</x:v>
      </x:c>
      <x:c r="J159" s="14" t="str">
        <x:v>수신자는 김 대리인가요?</x:v>
      </x:c>
    </x:row>
    <x:row r="160" ht="52" customHeight="1">
      <x:c r="A160" s="14" t="str">
        <x:v>S08-09</x:v>
      </x:c>
      <x:c r="B160" s="14" t="str">
        <x:v>A</x:v>
      </x:c>
      <x:c r="C160" s="14" t="n">
        <x:v>0.91</x:v>
      </x:c>
      <x:c r="D160" s="14" t="n">
        <x:v>1.261</x:v>
      </x:c>
      <x:c r="E160" s="17" t="n">
        <x:v>1</x:v>
      </x:c>
      <x:c r="F160" s="17" t="n">
        <x:v>1</x:v>
      </x:c>
      <x:c r="G160" s="17" t="n">
        <x:v>1</x:v>
      </x:c>
      <x:c r="H160" s="14" t="str">
        <x:v>S08-09:input</x:v>
      </x:c>
      <x:c r="I160" s="14" t="str">
        <x:v>수신자는 김 대리인가요?</x:v>
      </x:c>
      <x:c r="J160" s="14" t="str">
        <x:v>수신자는 김 대리인가요?</x:v>
      </x:c>
    </x:row>
    <x:row r="161" ht="52" customHeight="1">
      <x:c r="A161" s="14" t="str">
        <x:v>S08-09</x:v>
      </x:c>
      <x:c r="B161" s="14" t="str">
        <x:v>B</x:v>
      </x:c>
      <x:c r="C161" s="14" t="n">
        <x:v>0.91</x:v>
      </x:c>
      <x:c r="D161" s="14" t="n">
        <x:v>1.311</x:v>
      </x:c>
      <x:c r="E161" s="17" t="n">
        <x:v>1</x:v>
      </x:c>
      <x:c r="F161" s="17" t="n">
        <x:v>1</x:v>
      </x:c>
      <x:c r="G161" s="17" t="n">
        <x:v>1</x:v>
      </x:c>
      <x:c r="H161" s="14" t="str">
        <x:v>S08-09:input</x:v>
      </x:c>
      <x:c r="I161" s="14" t="str">
        <x:v>수신자는 김 대리인가요?</x:v>
      </x:c>
      <x:c r="J161" s="14" t="str">
        <x:v>수신자는 김 대리인가요?</x:v>
      </x:c>
    </x:row>
    <x:row r="162" ht="52" customHeight="1">
      <x:c r="A162" s="14" t="str">
        <x:v>S08-10</x:v>
      </x:c>
      <x:c r="B162" s="14" t="str">
        <x:v>A</x:v>
      </x:c>
      <x:c r="C162" s="14" t="n">
        <x:v>0.938333333</x:v>
      </x:c>
      <x:c r="D162" s="14" t="n">
        <x:v>1.289333333</x:v>
      </x:c>
      <x:c r="E162" s="17" t="n">
        <x:v>1</x:v>
      </x:c>
      <x:c r="F162" s="17" t="n">
        <x:v>1</x:v>
      </x:c>
      <x:c r="G162" s="17" t="n">
        <x:v>1</x:v>
      </x:c>
      <x:c r="H162" s="14" t="str">
        <x:v>S08-10:input</x:v>
      </x:c>
      <x:c r="I162" s="14" t="str">
        <x:v>수신자는 김 대리인가요?</x:v>
      </x:c>
      <x:c r="J162" s="14" t="str">
        <x:v>수신자는 김 대리인가요?</x:v>
      </x:c>
    </x:row>
    <x:row r="163" ht="52" customHeight="1">
      <x:c r="A163" s="14" t="str">
        <x:v>S08-10</x:v>
      </x:c>
      <x:c r="B163" s="14" t="str">
        <x:v>B</x:v>
      </x:c>
      <x:c r="C163" s="14" t="n">
        <x:v>0.938333333</x:v>
      </x:c>
      <x:c r="D163" s="14" t="n">
        <x:v>1.339333333</x:v>
      </x:c>
      <x:c r="E163" s="17" t="n">
        <x:v>1</x:v>
      </x:c>
      <x:c r="F163" s="17" t="n">
        <x:v>1</x:v>
      </x:c>
      <x:c r="G163" s="17" t="n">
        <x:v>1</x:v>
      </x:c>
      <x:c r="H163" s="14" t="str">
        <x:v>S08-10:input</x:v>
      </x:c>
      <x:c r="I163" s="14" t="str">
        <x:v>수신자는 김 대리인가요?</x:v>
      </x:c>
      <x:c r="J163" s="14" t="str">
        <x:v>수신자는 김 대리인가요?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83881ae379046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55" hidden="0" customWidth="1"/>
    <x:col min="6" max="6" width="55" hidden="0" customWidth="1"/>
  </x:cols>
  <x:sheetData>
    <x:row r="1" ht="32" customHeight="1">
      <x:c r="A1" s="15" t="str">
        <x:v>원래 목표별 VIA 인과 처리시간</x:v>
      </x:c>
      <x:c r="B1" s="15"/>
      <x:c r="C1" s="15"/>
      <x:c r="D1" s="15"/>
      <x:c r="E1" s="15"/>
      <x:c r="F1" s="15"/>
    </x:row>
    <x:row r="2" ht="28" customHeight="1">
      <x:c r="A2" s="16" t="str">
        <x:v>작성 가정 기반 합성 자료. 원본: synthetic-data.json. 실제 모델 실행 및 제품 시험 아님.</x:v>
      </x:c>
      <x:c r="B2" s="16"/>
      <x:c r="C2" s="16"/>
      <x:c r="D2" s="16"/>
      <x:c r="E2" s="16"/>
      <x:c r="F2" s="16"/>
    </x:row>
    <x:row r="3" ht="34" customHeight="1">
      <x:c r="A3" s="8" t="str">
        <x:v>목표 ID</x:v>
      </x:c>
      <x:c r="B3" s="8" t="str">
        <x:v>안</x:v>
      </x:c>
      <x:c r="C3" s="8" t="str">
        <x:v>시작 초</x:v>
      </x:c>
      <x:c r="D3" s="8" t="str">
        <x:v>QA03 초</x:v>
      </x:c>
      <x:c r="E3" s="8" t="str">
        <x:v>terminal node IDs</x:v>
      </x:c>
      <x:c r="F3" s="8" t="str">
        <x:v>완료 범위</x:v>
      </x:c>
    </x:row>
    <x:row r="4" ht="112" customHeight="1">
      <x:c r="A4" s="14" t="str">
        <x:v>S01-01:delivery_request</x:v>
      </x:c>
      <x:c r="B4" s="14" t="str">
        <x:v>A</x:v>
      </x:c>
      <x:c r="C4" s="14" t="n">
        <x:v>0</x:v>
      </x:c>
      <x:c r="D4" s="14" t="n">
        <x:v>1.9595</x:v>
      </x:c>
      <x:c r="E4" s="14" t="str">
        <x:v>S01-01:A:status_tail
S01-01:A:display_status
S01-01:A:status_played</x:v>
      </x:c>
      <x:c r="F4" s="14" t="str">
        <x:v>이번 전달 요청의 의미 채택, 표시와 필수 전체 음성 준비. 재생과 사용자 대기는 제외</x:v>
      </x:c>
    </x:row>
    <x:row r="5" ht="112" customHeight="1">
      <x:c r="A5" s="14" t="str">
        <x:v>S01-01:delivery_request</x:v>
      </x:c>
      <x:c r="B5" s="14" t="str">
        <x:v>B</x:v>
      </x:c>
      <x:c r="C5" s="14" t="n">
        <x:v>0</x:v>
      </x:c>
      <x:c r="D5" s="14" t="n">
        <x:v>1.9595</x:v>
      </x:c>
      <x:c r="E5" s="14" t="str">
        <x:v>S01-01:B:status_tail
S01-01:B:display_status
S01-01:B:status_played</x:v>
      </x:c>
      <x:c r="F5" s="14" t="str">
        <x:v>이번 전달 요청의 의미 채택, 표시와 필수 전체 음성 준비. 재생과 사용자 대기는 제외</x:v>
      </x:c>
    </x:row>
    <x:row r="6" ht="112" customHeight="1">
      <x:c r="A6" s="14" t="str">
        <x:v>S01-02:delivery_request</x:v>
      </x:c>
      <x:c r="B6" s="14" t="str">
        <x:v>A</x:v>
      </x:c>
      <x:c r="C6" s="14" t="n">
        <x:v>0</x:v>
      </x:c>
      <x:c r="D6" s="14" t="n">
        <x:v>1.990833334</x:v>
      </x:c>
      <x:c r="E6" s="14" t="str">
        <x:v>S01-02:A:status_tail
S01-02:A:display_status
S01-02:A:status_played</x:v>
      </x:c>
      <x:c r="F6" s="14" t="str">
        <x:v>이번 전달 요청의 의미 채택, 표시와 필수 전체 음성 준비. 재생과 사용자 대기는 제외</x:v>
      </x:c>
    </x:row>
    <x:row r="7" ht="112" customHeight="1">
      <x:c r="A7" s="14" t="str">
        <x:v>S01-02:delivery_request</x:v>
      </x:c>
      <x:c r="B7" s="14" t="str">
        <x:v>B</x:v>
      </x:c>
      <x:c r="C7" s="14" t="n">
        <x:v>0</x:v>
      </x:c>
      <x:c r="D7" s="14" t="n">
        <x:v>1.990833334</x:v>
      </x:c>
      <x:c r="E7" s="14" t="str">
        <x:v>S01-02:B:status_tail
S01-02:B:display_status
S01-02:B:status_played</x:v>
      </x:c>
      <x:c r="F7" s="14" t="str">
        <x:v>이번 전달 요청의 의미 채택, 표시와 필수 전체 음성 준비. 재생과 사용자 대기는 제외</x:v>
      </x:c>
    </x:row>
    <x:row r="8" ht="112" customHeight="1">
      <x:c r="A8" s="14" t="str">
        <x:v>S01-03:delivery_request</x:v>
      </x:c>
      <x:c r="B8" s="14" t="str">
        <x:v>A</x:v>
      </x:c>
      <x:c r="C8" s="14" t="n">
        <x:v>0</x:v>
      </x:c>
      <x:c r="D8" s="14" t="n">
        <x:v>1.947166667</x:v>
      </x:c>
      <x:c r="E8" s="14" t="str">
        <x:v>S01-03:A:status_tail
S01-03:A:display_status
S01-03:A:status_played</x:v>
      </x:c>
      <x:c r="F8" s="14" t="str">
        <x:v>이번 전달 요청의 의미 채택, 표시와 필수 전체 음성 준비. 재생과 사용자 대기는 제외</x:v>
      </x:c>
    </x:row>
    <x:row r="9" ht="112" customHeight="1">
      <x:c r="A9" s="14" t="str">
        <x:v>S01-03:delivery_request</x:v>
      </x:c>
      <x:c r="B9" s="14" t="str">
        <x:v>B</x:v>
      </x:c>
      <x:c r="C9" s="14" t="n">
        <x:v>0</x:v>
      </x:c>
      <x:c r="D9" s="14" t="n">
        <x:v>1.947166667</x:v>
      </x:c>
      <x:c r="E9" s="14" t="str">
        <x:v>S01-03:B:status_tail
S01-03:B:display_status
S01-03:B:status_played</x:v>
      </x:c>
      <x:c r="F9" s="14" t="str">
        <x:v>이번 전달 요청의 의미 채택, 표시와 필수 전체 음성 준비. 재생과 사용자 대기는 제외</x:v>
      </x:c>
    </x:row>
    <x:row r="10" ht="112" customHeight="1">
      <x:c r="A10" s="14" t="str">
        <x:v>S01-04:delivery_request</x:v>
      </x:c>
      <x:c r="B10" s="14" t="str">
        <x:v>A</x:v>
      </x:c>
      <x:c r="C10" s="14" t="n">
        <x:v>0</x:v>
      </x:c>
      <x:c r="D10" s="14" t="n">
        <x:v>1.9785</x:v>
      </x:c>
      <x:c r="E10" s="14" t="str">
        <x:v>S01-04:A:status_tail
S01-04:A:display_status
S01-04:A:status_played</x:v>
      </x:c>
      <x:c r="F10" s="14" t="str">
        <x:v>이번 전달 요청의 의미 채택, 표시와 필수 전체 음성 준비. 재생과 사용자 대기는 제외</x:v>
      </x:c>
    </x:row>
    <x:row r="11" ht="112" customHeight="1">
      <x:c r="A11" s="14" t="str">
        <x:v>S01-04:delivery_request</x:v>
      </x:c>
      <x:c r="B11" s="14" t="str">
        <x:v>B</x:v>
      </x:c>
      <x:c r="C11" s="14" t="n">
        <x:v>0</x:v>
      </x:c>
      <x:c r="D11" s="14" t="n">
        <x:v>1.9785</x:v>
      </x:c>
      <x:c r="E11" s="14" t="str">
        <x:v>S01-04:B:status_tail
S01-04:B:display_status
S01-04:B:status_played</x:v>
      </x:c>
      <x:c r="F11" s="14" t="str">
        <x:v>이번 전달 요청의 의미 채택, 표시와 필수 전체 음성 준비. 재생과 사용자 대기는 제외</x:v>
      </x:c>
    </x:row>
    <x:row r="12" ht="112" customHeight="1">
      <x:c r="A12" s="14" t="str">
        <x:v>S01-05:delivery_request</x:v>
      </x:c>
      <x:c r="B12" s="14" t="str">
        <x:v>A</x:v>
      </x:c>
      <x:c r="C12" s="14" t="n">
        <x:v>0</x:v>
      </x:c>
      <x:c r="D12" s="14" t="n">
        <x:v>2.009833334</x:v>
      </x:c>
      <x:c r="E12" s="14" t="str">
        <x:v>S01-05:A:status_tail
S01-05:A:display_status
S01-05:A:status_played</x:v>
      </x:c>
      <x:c r="F12" s="14" t="str">
        <x:v>이번 전달 요청의 의미 채택, 표시와 필수 전체 음성 준비. 재생과 사용자 대기는 제외</x:v>
      </x:c>
    </x:row>
    <x:row r="13" ht="112" customHeight="1">
      <x:c r="A13" s="14" t="str">
        <x:v>S01-05:delivery_request</x:v>
      </x:c>
      <x:c r="B13" s="14" t="str">
        <x:v>B</x:v>
      </x:c>
      <x:c r="C13" s="14" t="n">
        <x:v>0</x:v>
      </x:c>
      <x:c r="D13" s="14" t="n">
        <x:v>2.009833334</x:v>
      </x:c>
      <x:c r="E13" s="14" t="str">
        <x:v>S01-05:B:status_tail
S01-05:B:display_status
S01-05:B:status_played</x:v>
      </x:c>
      <x:c r="F13" s="14" t="str">
        <x:v>이번 전달 요청의 의미 채택, 표시와 필수 전체 음성 준비. 재생과 사용자 대기는 제외</x:v>
      </x:c>
    </x:row>
    <x:row r="14" ht="112" customHeight="1">
      <x:c r="A14" s="14" t="str">
        <x:v>S01-06:delivery_request</x:v>
      </x:c>
      <x:c r="B14" s="14" t="str">
        <x:v>A</x:v>
      </x:c>
      <x:c r="C14" s="14" t="n">
        <x:v>0</x:v>
      </x:c>
      <x:c r="D14" s="14" t="n">
        <x:v>1.966166667</x:v>
      </x:c>
      <x:c r="E14" s="14" t="str">
        <x:v>S01-06:A:status_tail
S01-06:A:display_status
S01-06:A:status_played</x:v>
      </x:c>
      <x:c r="F14" s="14" t="str">
        <x:v>이번 전달 요청의 의미 채택, 표시와 필수 전체 음성 준비. 재생과 사용자 대기는 제외</x:v>
      </x:c>
    </x:row>
    <x:row r="15" ht="112" customHeight="1">
      <x:c r="A15" s="14" t="str">
        <x:v>S01-06:delivery_request</x:v>
      </x:c>
      <x:c r="B15" s="14" t="str">
        <x:v>B</x:v>
      </x:c>
      <x:c r="C15" s="14" t="n">
        <x:v>0</x:v>
      </x:c>
      <x:c r="D15" s="14" t="n">
        <x:v>1.966166667</x:v>
      </x:c>
      <x:c r="E15" s="14" t="str">
        <x:v>S01-06:B:status_tail
S01-06:B:display_status
S01-06:B:status_played</x:v>
      </x:c>
      <x:c r="F15" s="14" t="str">
        <x:v>이번 전달 요청의 의미 채택, 표시와 필수 전체 음성 준비. 재생과 사용자 대기는 제외</x:v>
      </x:c>
    </x:row>
    <x:row r="16" ht="112" customHeight="1">
      <x:c r="A16" s="14" t="str">
        <x:v>S01-07:delivery_request</x:v>
      </x:c>
      <x:c r="B16" s="14" t="str">
        <x:v>A</x:v>
      </x:c>
      <x:c r="C16" s="14" t="n">
        <x:v>0</x:v>
      </x:c>
      <x:c r="D16" s="14" t="n">
        <x:v>1.9975</x:v>
      </x:c>
      <x:c r="E16" s="14" t="str">
        <x:v>S01-07:A:status_tail
S01-07:A:display_status
S01-07:A:status_played</x:v>
      </x:c>
      <x:c r="F16" s="14" t="str">
        <x:v>이번 전달 요청의 의미 채택, 표시와 필수 전체 음성 준비. 재생과 사용자 대기는 제외</x:v>
      </x:c>
    </x:row>
    <x:row r="17" ht="112" customHeight="1">
      <x:c r="A17" s="14" t="str">
        <x:v>S01-07:delivery_request</x:v>
      </x:c>
      <x:c r="B17" s="14" t="str">
        <x:v>B</x:v>
      </x:c>
      <x:c r="C17" s="14" t="n">
        <x:v>0</x:v>
      </x:c>
      <x:c r="D17" s="14" t="n">
        <x:v>1.9975</x:v>
      </x:c>
      <x:c r="E17" s="14" t="str">
        <x:v>S01-07:B:status_tail
S01-07:B:display_status
S01-07:B:status_played</x:v>
      </x:c>
      <x:c r="F17" s="14" t="str">
        <x:v>이번 전달 요청의 의미 채택, 표시와 필수 전체 음성 준비. 재생과 사용자 대기는 제외</x:v>
      </x:c>
    </x:row>
    <x:row r="18" ht="112" customHeight="1">
      <x:c r="A18" s="14" t="str">
        <x:v>S01-08:delivery_request</x:v>
      </x:c>
      <x:c r="B18" s="14" t="str">
        <x:v>A</x:v>
      </x:c>
      <x:c r="C18" s="14" t="n">
        <x:v>0</x:v>
      </x:c>
      <x:c r="D18" s="14" t="n">
        <x:v>2.028833334</x:v>
      </x:c>
      <x:c r="E18" s="14" t="str">
        <x:v>S01-08:A:status_tail
S01-08:A:display_status
S01-08:A:status_played</x:v>
      </x:c>
      <x:c r="F18" s="14" t="str">
        <x:v>이번 전달 요청의 의미 채택, 표시와 필수 전체 음성 준비. 재생과 사용자 대기는 제외</x:v>
      </x:c>
    </x:row>
    <x:row r="19" ht="112" customHeight="1">
      <x:c r="A19" s="14" t="str">
        <x:v>S01-08:delivery_request</x:v>
      </x:c>
      <x:c r="B19" s="14" t="str">
        <x:v>B</x:v>
      </x:c>
      <x:c r="C19" s="14" t="n">
        <x:v>0</x:v>
      </x:c>
      <x:c r="D19" s="14" t="n">
        <x:v>2.028833334</x:v>
      </x:c>
      <x:c r="E19" s="14" t="str">
        <x:v>S01-08:B:status_tail
S01-08:B:display_status
S01-08:B:status_played</x:v>
      </x:c>
      <x:c r="F19" s="14" t="str">
        <x:v>이번 전달 요청의 의미 채택, 표시와 필수 전체 음성 준비. 재생과 사용자 대기는 제외</x:v>
      </x:c>
    </x:row>
    <x:row r="20" ht="112" customHeight="1">
      <x:c r="A20" s="14" t="str">
        <x:v>S01-09:delivery_request</x:v>
      </x:c>
      <x:c r="B20" s="14" t="str">
        <x:v>A</x:v>
      </x:c>
      <x:c r="C20" s="14" t="n">
        <x:v>0</x:v>
      </x:c>
      <x:c r="D20" s="14" t="n">
        <x:v>1.985166667</x:v>
      </x:c>
      <x:c r="E20" s="14" t="str">
        <x:v>S01-09:A:status_tail
S01-09:A:display_status
S01-09:A:status_played</x:v>
      </x:c>
      <x:c r="F20" s="14" t="str">
        <x:v>이번 전달 요청의 의미 채택, 표시와 필수 전체 음성 준비. 재생과 사용자 대기는 제외</x:v>
      </x:c>
    </x:row>
    <x:row r="21" ht="112" customHeight="1">
      <x:c r="A21" s="14" t="str">
        <x:v>S01-09:delivery_request</x:v>
      </x:c>
      <x:c r="B21" s="14" t="str">
        <x:v>B</x:v>
      </x:c>
      <x:c r="C21" s="14" t="n">
        <x:v>0</x:v>
      </x:c>
      <x:c r="D21" s="14" t="n">
        <x:v>1.985166667</x:v>
      </x:c>
      <x:c r="E21" s="14" t="str">
        <x:v>S01-09:B:status_tail
S01-09:B:display_status
S01-09:B:status_played</x:v>
      </x:c>
      <x:c r="F21" s="14" t="str">
        <x:v>이번 전달 요청의 의미 채택, 표시와 필수 전체 음성 준비. 재생과 사용자 대기는 제외</x:v>
      </x:c>
    </x:row>
    <x:row r="22" ht="112" customHeight="1">
      <x:c r="A22" s="14" t="str">
        <x:v>S01-10:delivery_request</x:v>
      </x:c>
      <x:c r="B22" s="14" t="str">
        <x:v>A</x:v>
      </x:c>
      <x:c r="C22" s="14" t="n">
        <x:v>0</x:v>
      </x:c>
      <x:c r="D22" s="14" t="n">
        <x:v>2.0165</x:v>
      </x:c>
      <x:c r="E22" s="14" t="str">
        <x:v>S01-10:A:status_tail
S01-10:A:display_status
S01-10:A:status_played</x:v>
      </x:c>
      <x:c r="F22" s="14" t="str">
        <x:v>이번 전달 요청의 의미 채택, 표시와 필수 전체 음성 준비. 재생과 사용자 대기는 제외</x:v>
      </x:c>
    </x:row>
    <x:row r="23" ht="112" customHeight="1">
      <x:c r="A23" s="14" t="str">
        <x:v>S01-10:delivery_request</x:v>
      </x:c>
      <x:c r="B23" s="14" t="str">
        <x:v>B</x:v>
      </x:c>
      <x:c r="C23" s="14" t="n">
        <x:v>0</x:v>
      </x:c>
      <x:c r="D23" s="14" t="n">
        <x:v>2.0165</x:v>
      </x:c>
      <x:c r="E23" s="14" t="str">
        <x:v>S01-10:B:status_tail
S01-10:B:display_status
S01-10:B:status_played</x:v>
      </x:c>
      <x:c r="F23" s="14" t="str">
        <x:v>이번 전달 요청의 의미 채택, 표시와 필수 전체 음성 준비. 재생과 사용자 대기는 제외</x:v>
      </x:c>
    </x:row>
    <x:row r="24" ht="112" customHeight="1">
      <x:c r="A24" s="14" t="str">
        <x:v>S02-01:delivery_request</x:v>
      </x:c>
      <x:c r="B24" s="14" t="str">
        <x:v>A</x:v>
      </x:c>
      <x:c r="C24" s="14" t="n">
        <x:v>0</x:v>
      </x:c>
      <x:c r="D24" s="14" t="n">
        <x:v>0.908333333</x:v>
      </x:c>
      <x:c r="E24" s="14" t="str">
        <x:v>S02-01:A:question_tail
S02-01:A:evaluation_first_display
S02-01:A:question_played</x:v>
      </x:c>
      <x:c r="F24" s="14" t="str">
        <x:v>이번 전달 요청의 의미 채택, 표시와 필수 전체 음성 준비. 재생과 사용자 대기는 제외</x:v>
      </x:c>
    </x:row>
    <x:row r="25" ht="112" customHeight="1">
      <x:c r="A25" s="14" t="str">
        <x:v>S02-01:delivery_request</x:v>
      </x:c>
      <x:c r="B25" s="14" t="str">
        <x:v>B</x:v>
      </x:c>
      <x:c r="C25" s="14" t="n">
        <x:v>0</x:v>
      </x:c>
      <x:c r="D25" s="14" t="n">
        <x:v>1.905833333</x:v>
      </x:c>
      <x:c r="E25" s="14" t="str">
        <x:v>S02-01:B:question_tail
S02-01:B:evaluation_first_display
S02-01:B:question_played</x:v>
      </x:c>
      <x:c r="F25" s="14" t="str">
        <x:v>이번 전달 요청의 의미 채택, 표시와 필수 전체 음성 준비. 재생과 사용자 대기는 제외</x:v>
      </x:c>
    </x:row>
    <x:row r="26" ht="112" customHeight="1">
      <x:c r="A26" s="14" t="str">
        <x:v>S02-02:delivery_request</x:v>
      </x:c>
      <x:c r="B26" s="14" t="str">
        <x:v>A</x:v>
      </x:c>
      <x:c r="C26" s="14" t="n">
        <x:v>0</x:v>
      </x:c>
      <x:c r="D26" s="14" t="n">
        <x:v>0.936666667</x:v>
      </x:c>
      <x:c r="E26" s="14" t="str">
        <x:v>S02-02:A:question_tail
S02-02:A:evaluation_first_display
S02-02:A:question_played</x:v>
      </x:c>
      <x:c r="F26" s="14" t="str">
        <x:v>이번 전달 요청의 의미 채택, 표시와 필수 전체 음성 준비. 재생과 사용자 대기는 제외</x:v>
      </x:c>
    </x:row>
    <x:row r="27" ht="112" customHeight="1">
      <x:c r="A27" s="14" t="str">
        <x:v>S02-02:delivery_request</x:v>
      </x:c>
      <x:c r="B27" s="14" t="str">
        <x:v>B</x:v>
      </x:c>
      <x:c r="C27" s="14" t="n">
        <x:v>0</x:v>
      </x:c>
      <x:c r="D27" s="14" t="n">
        <x:v>1.937166667</x:v>
      </x:c>
      <x:c r="E27" s="14" t="str">
        <x:v>S02-02:B:question_tail
S02-02:B:evaluation_first_display
S02-02:B:question_played</x:v>
      </x:c>
      <x:c r="F27" s="14" t="str">
        <x:v>이번 전달 요청의 의미 채택, 표시와 필수 전체 음성 준비. 재생과 사용자 대기는 제외</x:v>
      </x:c>
    </x:row>
    <x:row r="28" ht="112" customHeight="1">
      <x:c r="A28" s="14" t="str">
        <x:v>S02-03:delivery_request</x:v>
      </x:c>
      <x:c r="B28" s="14" t="str">
        <x:v>A</x:v>
      </x:c>
      <x:c r="C28" s="14" t="n">
        <x:v>0</x:v>
      </x:c>
      <x:c r="D28" s="14" t="n">
        <x:v>0.89</x:v>
      </x:c>
      <x:c r="E28" s="14" t="str">
        <x:v>S02-03:A:question_tail
S02-03:A:evaluation_first_display
S02-03:A:question_played</x:v>
      </x:c>
      <x:c r="F28" s="14" t="str">
        <x:v>이번 전달 요청의 의미 채택, 표시와 필수 전체 음성 준비. 재생과 사용자 대기는 제외</x:v>
      </x:c>
    </x:row>
    <x:row r="29" ht="112" customHeight="1">
      <x:c r="A29" s="14" t="str">
        <x:v>S02-03:delivery_request</x:v>
      </x:c>
      <x:c r="B29" s="14" t="str">
        <x:v>B</x:v>
      </x:c>
      <x:c r="C29" s="14" t="n">
        <x:v>0</x:v>
      </x:c>
      <x:c r="D29" s="14" t="n">
        <x:v>1.8935</x:v>
      </x:c>
      <x:c r="E29" s="14" t="str">
        <x:v>S02-03:B:question_tail
S02-03:B:evaluation_first_display
S02-03:B:question_played</x:v>
      </x:c>
      <x:c r="F29" s="14" t="str">
        <x:v>이번 전달 요청의 의미 채택, 표시와 필수 전체 음성 준비. 재생과 사용자 대기는 제외</x:v>
      </x:c>
    </x:row>
    <x:row r="30" ht="112" customHeight="1">
      <x:c r="A30" s="14" t="str">
        <x:v>S02-04:delivery_request</x:v>
      </x:c>
      <x:c r="B30" s="14" t="str">
        <x:v>A</x:v>
      </x:c>
      <x:c r="C30" s="14" t="n">
        <x:v>0</x:v>
      </x:c>
      <x:c r="D30" s="14" t="n">
        <x:v>0.918333333</x:v>
      </x:c>
      <x:c r="E30" s="14" t="str">
        <x:v>S02-04:A:question_tail
S02-04:A:evaluation_first_display
S02-04:A:question_played</x:v>
      </x:c>
      <x:c r="F30" s="14" t="str">
        <x:v>이번 전달 요청의 의미 채택, 표시와 필수 전체 음성 준비. 재생과 사용자 대기는 제외</x:v>
      </x:c>
    </x:row>
    <x:row r="31" ht="112" customHeight="1">
      <x:c r="A31" s="14" t="str">
        <x:v>S02-04:delivery_request</x:v>
      </x:c>
      <x:c r="B31" s="14" t="str">
        <x:v>B</x:v>
      </x:c>
      <x:c r="C31" s="14" t="n">
        <x:v>0</x:v>
      </x:c>
      <x:c r="D31" s="14" t="n">
        <x:v>1.924833333</x:v>
      </x:c>
      <x:c r="E31" s="14" t="str">
        <x:v>S02-04:B:question_tail
S02-04:B:evaluation_first_display
S02-04:B:question_played</x:v>
      </x:c>
      <x:c r="F31" s="14" t="str">
        <x:v>이번 전달 요청의 의미 채택, 표시와 필수 전체 음성 준비. 재생과 사용자 대기는 제외</x:v>
      </x:c>
    </x:row>
    <x:row r="32" ht="112" customHeight="1">
      <x:c r="A32" s="14" t="str">
        <x:v>S02-05:delivery_request</x:v>
      </x:c>
      <x:c r="B32" s="14" t="str">
        <x:v>A</x:v>
      </x:c>
      <x:c r="C32" s="14" t="n">
        <x:v>0</x:v>
      </x:c>
      <x:c r="D32" s="14" t="n">
        <x:v>0.946666667</x:v>
      </x:c>
      <x:c r="E32" s="14" t="str">
        <x:v>S02-05:A:question_tail
S02-05:A:evaluation_first_display
S02-05:A:question_played</x:v>
      </x:c>
      <x:c r="F32" s="14" t="str">
        <x:v>이번 전달 요청의 의미 채택, 표시와 필수 전체 음성 준비. 재생과 사용자 대기는 제외</x:v>
      </x:c>
    </x:row>
    <x:row r="33" ht="112" customHeight="1">
      <x:c r="A33" s="14" t="str">
        <x:v>S02-05:delivery_request</x:v>
      </x:c>
      <x:c r="B33" s="14" t="str">
        <x:v>B</x:v>
      </x:c>
      <x:c r="C33" s="14" t="n">
        <x:v>0</x:v>
      </x:c>
      <x:c r="D33" s="14" t="n">
        <x:v>1.956166667</x:v>
      </x:c>
      <x:c r="E33" s="14" t="str">
        <x:v>S02-05:B:question_tail
S02-05:B:evaluation_first_display
S02-05:B:question_played</x:v>
      </x:c>
      <x:c r="F33" s="14" t="str">
        <x:v>이번 전달 요청의 의미 채택, 표시와 필수 전체 음성 준비. 재생과 사용자 대기는 제외</x:v>
      </x:c>
    </x:row>
    <x:row r="34" ht="112" customHeight="1">
      <x:c r="A34" s="14" t="str">
        <x:v>S02-06:delivery_request</x:v>
      </x:c>
      <x:c r="B34" s="14" t="str">
        <x:v>A</x:v>
      </x:c>
      <x:c r="C34" s="14" t="n">
        <x:v>0</x:v>
      </x:c>
      <x:c r="D34" s="14" t="n">
        <x:v>0.9</x:v>
      </x:c>
      <x:c r="E34" s="14" t="str">
        <x:v>S02-06:A:question_tail
S02-06:A:evaluation_first_display
S02-06:A:question_played</x:v>
      </x:c>
      <x:c r="F34" s="14" t="str">
        <x:v>이번 전달 요청의 의미 채택, 표시와 필수 전체 음성 준비. 재생과 사용자 대기는 제외</x:v>
      </x:c>
    </x:row>
    <x:row r="35" ht="112" customHeight="1">
      <x:c r="A35" s="14" t="str">
        <x:v>S02-06:delivery_request</x:v>
      </x:c>
      <x:c r="B35" s="14" t="str">
        <x:v>B</x:v>
      </x:c>
      <x:c r="C35" s="14" t="n">
        <x:v>0</x:v>
      </x:c>
      <x:c r="D35" s="14" t="n">
        <x:v>1.9125</x:v>
      </x:c>
      <x:c r="E35" s="14" t="str">
        <x:v>S02-06:B:question_tail
S02-06:B:evaluation_first_display
S02-06:B:question_played</x:v>
      </x:c>
      <x:c r="F35" s="14" t="str">
        <x:v>이번 전달 요청의 의미 채택, 표시와 필수 전체 음성 준비. 재생과 사용자 대기는 제외</x:v>
      </x:c>
    </x:row>
    <x:row r="36" ht="112" customHeight="1">
      <x:c r="A36" s="14" t="str">
        <x:v>S02-07:delivery_request</x:v>
      </x:c>
      <x:c r="B36" s="14" t="str">
        <x:v>A</x:v>
      </x:c>
      <x:c r="C36" s="14" t="n">
        <x:v>0</x:v>
      </x:c>
      <x:c r="D36" s="14" t="n">
        <x:v>0.928333333</x:v>
      </x:c>
      <x:c r="E36" s="14" t="str">
        <x:v>S02-07:A:question_tail
S02-07:A:evaluation_first_display
S02-07:A:question_played</x:v>
      </x:c>
      <x:c r="F36" s="14" t="str">
        <x:v>이번 전달 요청의 의미 채택, 표시와 필수 전체 음성 준비. 재생과 사용자 대기는 제외</x:v>
      </x:c>
    </x:row>
    <x:row r="37" ht="112" customHeight="1">
      <x:c r="A37" s="14" t="str">
        <x:v>S02-07:delivery_request</x:v>
      </x:c>
      <x:c r="B37" s="14" t="str">
        <x:v>B</x:v>
      </x:c>
      <x:c r="C37" s="14" t="n">
        <x:v>0</x:v>
      </x:c>
      <x:c r="D37" s="14" t="n">
        <x:v>1.943833333</x:v>
      </x:c>
      <x:c r="E37" s="14" t="str">
        <x:v>S02-07:B:question_tail
S02-07:B:evaluation_first_display
S02-07:B:question_played</x:v>
      </x:c>
      <x:c r="F37" s="14" t="str">
        <x:v>이번 전달 요청의 의미 채택, 표시와 필수 전체 음성 준비. 재생과 사용자 대기는 제외</x:v>
      </x:c>
    </x:row>
    <x:row r="38" ht="112" customHeight="1">
      <x:c r="A38" s="14" t="str">
        <x:v>S02-08:delivery_request</x:v>
      </x:c>
      <x:c r="B38" s="14" t="str">
        <x:v>A</x:v>
      </x:c>
      <x:c r="C38" s="14" t="n">
        <x:v>0</x:v>
      </x:c>
      <x:c r="D38" s="14" t="n">
        <x:v>0.956666667</x:v>
      </x:c>
      <x:c r="E38" s="14" t="str">
        <x:v>S02-08:A:question_tail
S02-08:A:evaluation_first_display
S02-08:A:question_played</x:v>
      </x:c>
      <x:c r="F38" s="14" t="str">
        <x:v>이번 전달 요청의 의미 채택, 표시와 필수 전체 음성 준비. 재생과 사용자 대기는 제외</x:v>
      </x:c>
    </x:row>
    <x:row r="39" ht="112" customHeight="1">
      <x:c r="A39" s="14" t="str">
        <x:v>S02-08:delivery_request</x:v>
      </x:c>
      <x:c r="B39" s="14" t="str">
        <x:v>B</x:v>
      </x:c>
      <x:c r="C39" s="14" t="n">
        <x:v>0</x:v>
      </x:c>
      <x:c r="D39" s="14" t="n">
        <x:v>1.975166667</x:v>
      </x:c>
      <x:c r="E39" s="14" t="str">
        <x:v>S02-08:B:question_tail
S02-08:B:evaluation_first_display
S02-08:B:question_played</x:v>
      </x:c>
      <x:c r="F39" s="14" t="str">
        <x:v>이번 전달 요청의 의미 채택, 표시와 필수 전체 음성 준비. 재생과 사용자 대기는 제외</x:v>
      </x:c>
    </x:row>
    <x:row r="40" ht="112" customHeight="1">
      <x:c r="A40" s="14" t="str">
        <x:v>S02-09:delivery_request</x:v>
      </x:c>
      <x:c r="B40" s="14" t="str">
        <x:v>A</x:v>
      </x:c>
      <x:c r="C40" s="14" t="n">
        <x:v>0</x:v>
      </x:c>
      <x:c r="D40" s="14" t="n">
        <x:v>0.91</x:v>
      </x:c>
      <x:c r="E40" s="14" t="str">
        <x:v>S02-09:A:question_tail
S02-09:A:evaluation_first_display
S02-09:A:question_played</x:v>
      </x:c>
      <x:c r="F40" s="14" t="str">
        <x:v>이번 전달 요청의 의미 채택, 표시와 필수 전체 음성 준비. 재생과 사용자 대기는 제외</x:v>
      </x:c>
    </x:row>
    <x:row r="41" ht="112" customHeight="1">
      <x:c r="A41" s="14" t="str">
        <x:v>S02-09:delivery_request</x:v>
      </x:c>
      <x:c r="B41" s="14" t="str">
        <x:v>B</x:v>
      </x:c>
      <x:c r="C41" s="14" t="n">
        <x:v>0</x:v>
      </x:c>
      <x:c r="D41" s="14" t="n">
        <x:v>1.9315</x:v>
      </x:c>
      <x:c r="E41" s="14" t="str">
        <x:v>S02-09:B:question_tail
S02-09:B:evaluation_first_display
S02-09:B:question_played</x:v>
      </x:c>
      <x:c r="F41" s="14" t="str">
        <x:v>이번 전달 요청의 의미 채택, 표시와 필수 전체 음성 준비. 재생과 사용자 대기는 제외</x:v>
      </x:c>
    </x:row>
    <x:row r="42" ht="112" customHeight="1">
      <x:c r="A42" s="14" t="str">
        <x:v>S02-10:delivery_request</x:v>
      </x:c>
      <x:c r="B42" s="14" t="str">
        <x:v>A</x:v>
      </x:c>
      <x:c r="C42" s="14" t="n">
        <x:v>0</x:v>
      </x:c>
      <x:c r="D42" s="14" t="n">
        <x:v>0.938333333</x:v>
      </x:c>
      <x:c r="E42" s="14" t="str">
        <x:v>S02-10:A:question_tail
S02-10:A:evaluation_first_display
S02-10:A:question_played</x:v>
      </x:c>
      <x:c r="F42" s="14" t="str">
        <x:v>이번 전달 요청의 의미 채택, 표시와 필수 전체 음성 준비. 재생과 사용자 대기는 제외</x:v>
      </x:c>
    </x:row>
    <x:row r="43" ht="112" customHeight="1">
      <x:c r="A43" s="14" t="str">
        <x:v>S02-10:delivery_request</x:v>
      </x:c>
      <x:c r="B43" s="14" t="str">
        <x:v>B</x:v>
      </x:c>
      <x:c r="C43" s="14" t="n">
        <x:v>0</x:v>
      </x:c>
      <x:c r="D43" s="14" t="n">
        <x:v>1.962833333</x:v>
      </x:c>
      <x:c r="E43" s="14" t="str">
        <x:v>S02-10:B:question_tail
S02-10:B:evaluation_first_display
S02-10:B:question_played</x:v>
      </x:c>
      <x:c r="F43" s="14" t="str">
        <x:v>이번 전달 요청의 의미 채택, 표시와 필수 전체 음성 준비. 재생과 사용자 대기는 제외</x:v>
      </x:c>
    </x:row>
    <x:row r="44" ht="112" customHeight="1">
      <x:c r="A44" s="14" t="str">
        <x:v>S03-01:report_original</x:v>
      </x:c>
      <x:c r="B44" s="14" t="str">
        <x:v>A</x:v>
      </x:c>
      <x:c r="C44" s="14" t="n">
        <x:v>-6</x:v>
      </x:c>
      <x:c r="D44" s="14" t="n">
        <x:v>3.873833333</x:v>
      </x:c>
      <x:c r="E44" s="14" t="str">
        <x:v>S03-01:A:report_v2_tail
S03-01:A:display_report_v2
S03-01:A:report_v2_played</x:v>
      </x:c>
      <x:c r="F44" s="14" t="str">
        <x:v>원래 보고서 요청과 정정 전 VIA 처리부터 6월 결과의 표시 및 전체 음성 준비. 외부 업무와 재생 제외</x:v>
      </x:c>
    </x:row>
    <x:row r="45" ht="112" customHeight="1">
      <x:c r="A45" s="14" t="str">
        <x:v>S03-01:read_question</x:v>
      </x:c>
      <x:c r="B45" s="14" t="str">
        <x:v>A</x:v>
      </x:c>
      <x:c r="C45" s="14" t="n">
        <x:v>0</x:v>
      </x:c>
      <x:c r="D45" s="14" t="n">
        <x:v>0.908333333</x:v>
      </x:c>
      <x:c r="E45" s="14" t="str">
        <x:v>S03-01:A:question_tail
S03-01:A:evaluation_first_display
S03-01:A:question_played</x:v>
      </x:c>
      <x:c r="F45" s="14" t="str">
        <x:v>이번 전달 요청의 의미 채택, 표시와 필수 전체 음성 준비. 재생과 사용자 대기는 제외</x:v>
      </x:c>
    </x:row>
    <x:row r="46" ht="112" customHeight="1">
      <x:c r="A46" s="14" t="str">
        <x:v>S03-01:report_original</x:v>
      </x:c>
      <x:c r="B46" s="14" t="str">
        <x:v>B</x:v>
      </x:c>
      <x:c r="C46" s="14" t="n">
        <x:v>-6</x:v>
      </x:c>
      <x:c r="D46" s="14" t="n">
        <x:v>4.194833333</x:v>
      </x:c>
      <x:c r="E46" s="14" t="str">
        <x:v>S03-01:B:report_v2_tail
S03-01:B:display_report_v2
S03-01:B:report_v2_played</x:v>
      </x:c>
      <x:c r="F46" s="14" t="str">
        <x:v>원래 보고서 요청과 정정 전 VIA 처리부터 6월 결과의 표시 및 전체 음성 준비. 외부 업무와 재생 제외</x:v>
      </x:c>
    </x:row>
    <x:row r="47" ht="112" customHeight="1">
      <x:c r="A47" s="14" t="str">
        <x:v>S03-01:read_question</x:v>
      </x:c>
      <x:c r="B47" s="14" t="str">
        <x:v>B</x:v>
      </x:c>
      <x:c r="C47" s="14" t="n">
        <x:v>0</x:v>
      </x:c>
      <x:c r="D47" s="14" t="n">
        <x:v>1.905833333</x:v>
      </x:c>
      <x:c r="E47" s="14" t="str">
        <x:v>S03-01:B:question_tail
S03-01:B:evaluation_first_display
S03-01:B:question_played</x:v>
      </x:c>
      <x:c r="F47" s="14" t="str">
        <x:v>이번 전달 요청의 의미 채택, 표시와 필수 전체 음성 준비. 재생과 사용자 대기는 제외</x:v>
      </x:c>
    </x:row>
    <x:row r="48" ht="112" customHeight="1">
      <x:c r="A48" s="14" t="str">
        <x:v>S03-02:report_original</x:v>
      </x:c>
      <x:c r="B48" s="14" t="str">
        <x:v>A</x:v>
      </x:c>
      <x:c r="C48" s="14" t="n">
        <x:v>-6</x:v>
      </x:c>
      <x:c r="D48" s="14" t="n">
        <x:v>3.905166667</x:v>
      </x:c>
      <x:c r="E48" s="14" t="str">
        <x:v>S03-02:A:report_v2_tail
S03-02:A:display_report_v2
S03-02:A:report_v2_played</x:v>
      </x:c>
      <x:c r="F48" s="14" t="str">
        <x:v>원래 보고서 요청과 정정 전 VIA 처리부터 6월 결과의 표시 및 전체 음성 준비. 외부 업무와 재생 제외</x:v>
      </x:c>
    </x:row>
    <x:row r="49" ht="112" customHeight="1">
      <x:c r="A49" s="14" t="str">
        <x:v>S03-02:read_question</x:v>
      </x:c>
      <x:c r="B49" s="14" t="str">
        <x:v>A</x:v>
      </x:c>
      <x:c r="C49" s="14" t="n">
        <x:v>0</x:v>
      </x:c>
      <x:c r="D49" s="14" t="n">
        <x:v>0.936666667</x:v>
      </x:c>
      <x:c r="E49" s="14" t="str">
        <x:v>S03-02:A:question_tail
S03-02:A:evaluation_first_display
S03-02:A:question_played</x:v>
      </x:c>
      <x:c r="F49" s="14" t="str">
        <x:v>이번 전달 요청의 의미 채택, 표시와 필수 전체 음성 준비. 재생과 사용자 대기는 제외</x:v>
      </x:c>
    </x:row>
    <x:row r="50" ht="112" customHeight="1">
      <x:c r="A50" s="14" t="str">
        <x:v>S03-02:report_original</x:v>
      </x:c>
      <x:c r="B50" s="14" t="str">
        <x:v>B</x:v>
      </x:c>
      <x:c r="C50" s="14" t="n">
        <x:v>-6</x:v>
      </x:c>
      <x:c r="D50" s="14" t="n">
        <x:v>4.226166667</x:v>
      </x:c>
      <x:c r="E50" s="14" t="str">
        <x:v>S03-02:B:report_v2_tail
S03-02:B:display_report_v2
S03-02:B:report_v2_played</x:v>
      </x:c>
      <x:c r="F50" s="14" t="str">
        <x:v>원래 보고서 요청과 정정 전 VIA 처리부터 6월 결과의 표시 및 전체 음성 준비. 외부 업무와 재생 제외</x:v>
      </x:c>
    </x:row>
    <x:row r="51" ht="112" customHeight="1">
      <x:c r="A51" s="14" t="str">
        <x:v>S03-02:read_question</x:v>
      </x:c>
      <x:c r="B51" s="14" t="str">
        <x:v>B</x:v>
      </x:c>
      <x:c r="C51" s="14" t="n">
        <x:v>0</x:v>
      </x:c>
      <x:c r="D51" s="14" t="n">
        <x:v>1.937166667</x:v>
      </x:c>
      <x:c r="E51" s="14" t="str">
        <x:v>S03-02:B:question_tail
S03-02:B:evaluation_first_display
S03-02:B:question_played</x:v>
      </x:c>
      <x:c r="F51" s="14" t="str">
        <x:v>이번 전달 요청의 의미 채택, 표시와 필수 전체 음성 준비. 재생과 사용자 대기는 제외</x:v>
      </x:c>
    </x:row>
    <x:row r="52" ht="112" customHeight="1">
      <x:c r="A52" s="14" t="str">
        <x:v>S03-03:report_original</x:v>
      </x:c>
      <x:c r="B52" s="14" t="str">
        <x:v>A</x:v>
      </x:c>
      <x:c r="C52" s="14" t="n">
        <x:v>-6</x:v>
      </x:c>
      <x:c r="D52" s="14" t="n">
        <x:v>3.8615</x:v>
      </x:c>
      <x:c r="E52" s="14" t="str">
        <x:v>S03-03:A:report_v2_tail
S03-03:A:display_report_v2
S03-03:A:report_v2_played</x:v>
      </x:c>
      <x:c r="F52" s="14" t="str">
        <x:v>원래 보고서 요청과 정정 전 VIA 처리부터 6월 결과의 표시 및 전체 음성 준비. 외부 업무와 재생 제외</x:v>
      </x:c>
    </x:row>
    <x:row r="53" ht="112" customHeight="1">
      <x:c r="A53" s="14" t="str">
        <x:v>S03-03:read_question</x:v>
      </x:c>
      <x:c r="B53" s="14" t="str">
        <x:v>A</x:v>
      </x:c>
      <x:c r="C53" s="14" t="n">
        <x:v>0</x:v>
      </x:c>
      <x:c r="D53" s="14" t="n">
        <x:v>0.89</x:v>
      </x:c>
      <x:c r="E53" s="14" t="str">
        <x:v>S03-03:A:question_tail
S03-03:A:evaluation_first_display
S03-03:A:question_played</x:v>
      </x:c>
      <x:c r="F53" s="14" t="str">
        <x:v>이번 전달 요청의 의미 채택, 표시와 필수 전체 음성 준비. 재생과 사용자 대기는 제외</x:v>
      </x:c>
    </x:row>
    <x:row r="54" ht="112" customHeight="1">
      <x:c r="A54" s="14" t="str">
        <x:v>S03-03:report_original</x:v>
      </x:c>
      <x:c r="B54" s="14" t="str">
        <x:v>B</x:v>
      </x:c>
      <x:c r="C54" s="14" t="n">
        <x:v>-6</x:v>
      </x:c>
      <x:c r="D54" s="14" t="n">
        <x:v>4.1825</x:v>
      </x:c>
      <x:c r="E54" s="14" t="str">
        <x:v>S03-03:B:report_v2_tail
S03-03:B:display_report_v2
S03-03:B:report_v2_played</x:v>
      </x:c>
      <x:c r="F54" s="14" t="str">
        <x:v>원래 보고서 요청과 정정 전 VIA 처리부터 6월 결과의 표시 및 전체 음성 준비. 외부 업무와 재생 제외</x:v>
      </x:c>
    </x:row>
    <x:row r="55" ht="112" customHeight="1">
      <x:c r="A55" s="14" t="str">
        <x:v>S03-03:read_question</x:v>
      </x:c>
      <x:c r="B55" s="14" t="str">
        <x:v>B</x:v>
      </x:c>
      <x:c r="C55" s="14" t="n">
        <x:v>0</x:v>
      </x:c>
      <x:c r="D55" s="14" t="n">
        <x:v>1.8935</x:v>
      </x:c>
      <x:c r="E55" s="14" t="str">
        <x:v>S03-03:B:question_tail
S03-03:B:evaluation_first_display
S03-03:B:question_played</x:v>
      </x:c>
      <x:c r="F55" s="14" t="str">
        <x:v>이번 전달 요청의 의미 채택, 표시와 필수 전체 음성 준비. 재생과 사용자 대기는 제외</x:v>
      </x:c>
    </x:row>
    <x:row r="56" ht="112" customHeight="1">
      <x:c r="A56" s="14" t="str">
        <x:v>S03-04:report_original</x:v>
      </x:c>
      <x:c r="B56" s="14" t="str">
        <x:v>A</x:v>
      </x:c>
      <x:c r="C56" s="14" t="n">
        <x:v>-6</x:v>
      </x:c>
      <x:c r="D56" s="14" t="n">
        <x:v>3.892833333</x:v>
      </x:c>
      <x:c r="E56" s="14" t="str">
        <x:v>S03-04:A:report_v2_tail
S03-04:A:display_report_v2
S03-04:A:report_v2_played</x:v>
      </x:c>
      <x:c r="F56" s="14" t="str">
        <x:v>원래 보고서 요청과 정정 전 VIA 처리부터 6월 결과의 표시 및 전체 음성 준비. 외부 업무와 재생 제외</x:v>
      </x:c>
    </x:row>
    <x:row r="57" ht="112" customHeight="1">
      <x:c r="A57" s="14" t="str">
        <x:v>S03-04:read_question</x:v>
      </x:c>
      <x:c r="B57" s="14" t="str">
        <x:v>A</x:v>
      </x:c>
      <x:c r="C57" s="14" t="n">
        <x:v>0</x:v>
      </x:c>
      <x:c r="D57" s="14" t="n">
        <x:v>0.918333333</x:v>
      </x:c>
      <x:c r="E57" s="14" t="str">
        <x:v>S03-04:A:question_tail
S03-04:A:evaluation_first_display
S03-04:A:question_played</x:v>
      </x:c>
      <x:c r="F57" s="14" t="str">
        <x:v>이번 전달 요청의 의미 채택, 표시와 필수 전체 음성 준비. 재생과 사용자 대기는 제외</x:v>
      </x:c>
    </x:row>
    <x:row r="58" ht="112" customHeight="1">
      <x:c r="A58" s="14" t="str">
        <x:v>S03-04:report_original</x:v>
      </x:c>
      <x:c r="B58" s="14" t="str">
        <x:v>B</x:v>
      </x:c>
      <x:c r="C58" s="14" t="n">
        <x:v>-6</x:v>
      </x:c>
      <x:c r="D58" s="14" t="n">
        <x:v>4.213833333</x:v>
      </x:c>
      <x:c r="E58" s="14" t="str">
        <x:v>S03-04:B:report_v2_tail
S03-04:B:display_report_v2
S03-04:B:report_v2_played</x:v>
      </x:c>
      <x:c r="F58" s="14" t="str">
        <x:v>원래 보고서 요청과 정정 전 VIA 처리부터 6월 결과의 표시 및 전체 음성 준비. 외부 업무와 재생 제외</x:v>
      </x:c>
    </x:row>
    <x:row r="59" ht="112" customHeight="1">
      <x:c r="A59" s="14" t="str">
        <x:v>S03-04:read_question</x:v>
      </x:c>
      <x:c r="B59" s="14" t="str">
        <x:v>B</x:v>
      </x:c>
      <x:c r="C59" s="14" t="n">
        <x:v>0</x:v>
      </x:c>
      <x:c r="D59" s="14" t="n">
        <x:v>1.924833333</x:v>
      </x:c>
      <x:c r="E59" s="14" t="str">
        <x:v>S03-04:B:question_tail
S03-04:B:evaluation_first_display
S03-04:B:question_played</x:v>
      </x:c>
      <x:c r="F59" s="14" t="str">
        <x:v>이번 전달 요청의 의미 채택, 표시와 필수 전체 음성 준비. 재생과 사용자 대기는 제외</x:v>
      </x:c>
    </x:row>
    <x:row r="60" ht="112" customHeight="1">
      <x:c r="A60" s="14" t="str">
        <x:v>S03-05:report_original</x:v>
      </x:c>
      <x:c r="B60" s="14" t="str">
        <x:v>A</x:v>
      </x:c>
      <x:c r="C60" s="14" t="n">
        <x:v>-6</x:v>
      </x:c>
      <x:c r="D60" s="14" t="n">
        <x:v>3.924166667</x:v>
      </x:c>
      <x:c r="E60" s="14" t="str">
        <x:v>S03-05:A:report_v2_tail
S03-05:A:display_report_v2
S03-05:A:report_v2_played</x:v>
      </x:c>
      <x:c r="F60" s="14" t="str">
        <x:v>원래 보고서 요청과 정정 전 VIA 처리부터 6월 결과의 표시 및 전체 음성 준비. 외부 업무와 재생 제외</x:v>
      </x:c>
    </x:row>
    <x:row r="61" ht="112" customHeight="1">
      <x:c r="A61" s="14" t="str">
        <x:v>S03-05:read_question</x:v>
      </x:c>
      <x:c r="B61" s="14" t="str">
        <x:v>A</x:v>
      </x:c>
      <x:c r="C61" s="14" t="n">
        <x:v>0</x:v>
      </x:c>
      <x:c r="D61" s="14" t="n">
        <x:v>0.946666667</x:v>
      </x:c>
      <x:c r="E61" s="14" t="str">
        <x:v>S03-05:A:question_tail
S03-05:A:evaluation_first_display
S03-05:A:question_played</x:v>
      </x:c>
      <x:c r="F61" s="14" t="str">
        <x:v>이번 전달 요청의 의미 채택, 표시와 필수 전체 음성 준비. 재생과 사용자 대기는 제외</x:v>
      </x:c>
    </x:row>
    <x:row r="62" ht="112" customHeight="1">
      <x:c r="A62" s="14" t="str">
        <x:v>S03-05:report_original</x:v>
      </x:c>
      <x:c r="B62" s="14" t="str">
        <x:v>B</x:v>
      </x:c>
      <x:c r="C62" s="14" t="n">
        <x:v>-6</x:v>
      </x:c>
      <x:c r="D62" s="14" t="n">
        <x:v>4.245166667</x:v>
      </x:c>
      <x:c r="E62" s="14" t="str">
        <x:v>S03-05:B:report_v2_tail
S03-05:B:display_report_v2
S03-05:B:report_v2_played</x:v>
      </x:c>
      <x:c r="F62" s="14" t="str">
        <x:v>원래 보고서 요청과 정정 전 VIA 처리부터 6월 결과의 표시 및 전체 음성 준비. 외부 업무와 재생 제외</x:v>
      </x:c>
    </x:row>
    <x:row r="63" ht="112" customHeight="1">
      <x:c r="A63" s="14" t="str">
        <x:v>S03-05:read_question</x:v>
      </x:c>
      <x:c r="B63" s="14" t="str">
        <x:v>B</x:v>
      </x:c>
      <x:c r="C63" s="14" t="n">
        <x:v>0</x:v>
      </x:c>
      <x:c r="D63" s="14" t="n">
        <x:v>1.956166667</x:v>
      </x:c>
      <x:c r="E63" s="14" t="str">
        <x:v>S03-05:B:question_tail
S03-05:B:evaluation_first_display
S03-05:B:question_played</x:v>
      </x:c>
      <x:c r="F63" s="14" t="str">
        <x:v>이번 전달 요청의 의미 채택, 표시와 필수 전체 음성 준비. 재생과 사용자 대기는 제외</x:v>
      </x:c>
    </x:row>
    <x:row r="64" ht="112" customHeight="1">
      <x:c r="A64" s="14" t="str">
        <x:v>S03-06:report_original</x:v>
      </x:c>
      <x:c r="B64" s="14" t="str">
        <x:v>A</x:v>
      </x:c>
      <x:c r="C64" s="14" t="n">
        <x:v>-6</x:v>
      </x:c>
      <x:c r="D64" s="14" t="n">
        <x:v>3.8805</x:v>
      </x:c>
      <x:c r="E64" s="14" t="str">
        <x:v>S03-06:A:report_v2_tail
S03-06:A:display_report_v2
S03-06:A:report_v2_played</x:v>
      </x:c>
      <x:c r="F64" s="14" t="str">
        <x:v>원래 보고서 요청과 정정 전 VIA 처리부터 6월 결과의 표시 및 전체 음성 준비. 외부 업무와 재생 제외</x:v>
      </x:c>
    </x:row>
    <x:row r="65" ht="112" customHeight="1">
      <x:c r="A65" s="14" t="str">
        <x:v>S03-06:read_question</x:v>
      </x:c>
      <x:c r="B65" s="14" t="str">
        <x:v>A</x:v>
      </x:c>
      <x:c r="C65" s="14" t="n">
        <x:v>0</x:v>
      </x:c>
      <x:c r="D65" s="14" t="n">
        <x:v>0.9</x:v>
      </x:c>
      <x:c r="E65" s="14" t="str">
        <x:v>S03-06:A:question_tail
S03-06:A:evaluation_first_display
S03-06:A:question_played</x:v>
      </x:c>
      <x:c r="F65" s="14" t="str">
        <x:v>이번 전달 요청의 의미 채택, 표시와 필수 전체 음성 준비. 재생과 사용자 대기는 제외</x:v>
      </x:c>
    </x:row>
    <x:row r="66" ht="112" customHeight="1">
      <x:c r="A66" s="14" t="str">
        <x:v>S03-06:report_original</x:v>
      </x:c>
      <x:c r="B66" s="14" t="str">
        <x:v>B</x:v>
      </x:c>
      <x:c r="C66" s="14" t="n">
        <x:v>-6</x:v>
      </x:c>
      <x:c r="D66" s="14" t="n">
        <x:v>4.2015</x:v>
      </x:c>
      <x:c r="E66" s="14" t="str">
        <x:v>S03-06:B:report_v2_tail
S03-06:B:display_report_v2
S03-06:B:report_v2_played</x:v>
      </x:c>
      <x:c r="F66" s="14" t="str">
        <x:v>원래 보고서 요청과 정정 전 VIA 처리부터 6월 결과의 표시 및 전체 음성 준비. 외부 업무와 재생 제외</x:v>
      </x:c>
    </x:row>
    <x:row r="67" ht="112" customHeight="1">
      <x:c r="A67" s="14" t="str">
        <x:v>S03-06:read_question</x:v>
      </x:c>
      <x:c r="B67" s="14" t="str">
        <x:v>B</x:v>
      </x:c>
      <x:c r="C67" s="14" t="n">
        <x:v>0</x:v>
      </x:c>
      <x:c r="D67" s="14" t="n">
        <x:v>1.9125</x:v>
      </x:c>
      <x:c r="E67" s="14" t="str">
        <x:v>S03-06:B:question_tail
S03-06:B:evaluation_first_display
S03-06:B:question_played</x:v>
      </x:c>
      <x:c r="F67" s="14" t="str">
        <x:v>이번 전달 요청의 의미 채택, 표시와 필수 전체 음성 준비. 재생과 사용자 대기는 제외</x:v>
      </x:c>
    </x:row>
    <x:row r="68" ht="112" customHeight="1">
      <x:c r="A68" s="14" t="str">
        <x:v>S03-07:report_original</x:v>
      </x:c>
      <x:c r="B68" s="14" t="str">
        <x:v>A</x:v>
      </x:c>
      <x:c r="C68" s="14" t="n">
        <x:v>-6</x:v>
      </x:c>
      <x:c r="D68" s="14" t="n">
        <x:v>3.911833333</x:v>
      </x:c>
      <x:c r="E68" s="14" t="str">
        <x:v>S03-07:A:report_v2_tail
S03-07:A:display_report_v2
S03-07:A:report_v2_played</x:v>
      </x:c>
      <x:c r="F68" s="14" t="str">
        <x:v>원래 보고서 요청과 정정 전 VIA 처리부터 6월 결과의 표시 및 전체 음성 준비. 외부 업무와 재생 제외</x:v>
      </x:c>
    </x:row>
    <x:row r="69" ht="112" customHeight="1">
      <x:c r="A69" s="14" t="str">
        <x:v>S03-07:read_question</x:v>
      </x:c>
      <x:c r="B69" s="14" t="str">
        <x:v>A</x:v>
      </x:c>
      <x:c r="C69" s="14" t="n">
        <x:v>0</x:v>
      </x:c>
      <x:c r="D69" s="14" t="n">
        <x:v>0.928333333</x:v>
      </x:c>
      <x:c r="E69" s="14" t="str">
        <x:v>S03-07:A:question_tail
S03-07:A:evaluation_first_display
S03-07:A:question_played</x:v>
      </x:c>
      <x:c r="F69" s="14" t="str">
        <x:v>이번 전달 요청의 의미 채택, 표시와 필수 전체 음성 준비. 재생과 사용자 대기는 제외</x:v>
      </x:c>
    </x:row>
    <x:row r="70" ht="112" customHeight="1">
      <x:c r="A70" s="14" t="str">
        <x:v>S03-07:report_original</x:v>
      </x:c>
      <x:c r="B70" s="14" t="str">
        <x:v>B</x:v>
      </x:c>
      <x:c r="C70" s="14" t="n">
        <x:v>-6</x:v>
      </x:c>
      <x:c r="D70" s="14" t="n">
        <x:v>4.232833333</x:v>
      </x:c>
      <x:c r="E70" s="14" t="str">
        <x:v>S03-07:B:report_v2_tail
S03-07:B:display_report_v2
S03-07:B:report_v2_played</x:v>
      </x:c>
      <x:c r="F70" s="14" t="str">
        <x:v>원래 보고서 요청과 정정 전 VIA 처리부터 6월 결과의 표시 및 전체 음성 준비. 외부 업무와 재생 제외</x:v>
      </x:c>
    </x:row>
    <x:row r="71" ht="112" customHeight="1">
      <x:c r="A71" s="14" t="str">
        <x:v>S03-07:read_question</x:v>
      </x:c>
      <x:c r="B71" s="14" t="str">
        <x:v>B</x:v>
      </x:c>
      <x:c r="C71" s="14" t="n">
        <x:v>0</x:v>
      </x:c>
      <x:c r="D71" s="14" t="n">
        <x:v>1.943833333</x:v>
      </x:c>
      <x:c r="E71" s="14" t="str">
        <x:v>S03-07:B:question_tail
S03-07:B:evaluation_first_display
S03-07:B:question_played</x:v>
      </x:c>
      <x:c r="F71" s="14" t="str">
        <x:v>이번 전달 요청의 의미 채택, 표시와 필수 전체 음성 준비. 재생과 사용자 대기는 제외</x:v>
      </x:c>
    </x:row>
    <x:row r="72" ht="112" customHeight="1">
      <x:c r="A72" s="14" t="str">
        <x:v>S03-08:report_original</x:v>
      </x:c>
      <x:c r="B72" s="14" t="str">
        <x:v>A</x:v>
      </x:c>
      <x:c r="C72" s="14" t="n">
        <x:v>-6</x:v>
      </x:c>
      <x:c r="D72" s="14" t="n">
        <x:v>3.943166667</x:v>
      </x:c>
      <x:c r="E72" s="14" t="str">
        <x:v>S03-08:A:report_v2_tail
S03-08:A:display_report_v2
S03-08:A:report_v2_played</x:v>
      </x:c>
      <x:c r="F72" s="14" t="str">
        <x:v>원래 보고서 요청과 정정 전 VIA 처리부터 6월 결과의 표시 및 전체 음성 준비. 외부 업무와 재생 제외</x:v>
      </x:c>
    </x:row>
    <x:row r="73" ht="112" customHeight="1">
      <x:c r="A73" s="14" t="str">
        <x:v>S03-08:read_question</x:v>
      </x:c>
      <x:c r="B73" s="14" t="str">
        <x:v>A</x:v>
      </x:c>
      <x:c r="C73" s="14" t="n">
        <x:v>0</x:v>
      </x:c>
      <x:c r="D73" s="14" t="n">
        <x:v>0.956666667</x:v>
      </x:c>
      <x:c r="E73" s="14" t="str">
        <x:v>S03-08:A:question_tail
S03-08:A:evaluation_first_display
S03-08:A:question_played</x:v>
      </x:c>
      <x:c r="F73" s="14" t="str">
        <x:v>이번 전달 요청의 의미 채택, 표시와 필수 전체 음성 준비. 재생과 사용자 대기는 제외</x:v>
      </x:c>
    </x:row>
    <x:row r="74" ht="112" customHeight="1">
      <x:c r="A74" s="14" t="str">
        <x:v>S03-08:report_original</x:v>
      </x:c>
      <x:c r="B74" s="14" t="str">
        <x:v>B</x:v>
      </x:c>
      <x:c r="C74" s="14" t="n">
        <x:v>-6</x:v>
      </x:c>
      <x:c r="D74" s="14" t="n">
        <x:v>4.264166667</x:v>
      </x:c>
      <x:c r="E74" s="14" t="str">
        <x:v>S03-08:B:report_v2_tail
S03-08:B:display_report_v2
S03-08:B:report_v2_played</x:v>
      </x:c>
      <x:c r="F74" s="14" t="str">
        <x:v>원래 보고서 요청과 정정 전 VIA 처리부터 6월 결과의 표시 및 전체 음성 준비. 외부 업무와 재생 제외</x:v>
      </x:c>
    </x:row>
    <x:row r="75" ht="112" customHeight="1">
      <x:c r="A75" s="14" t="str">
        <x:v>S03-08:read_question</x:v>
      </x:c>
      <x:c r="B75" s="14" t="str">
        <x:v>B</x:v>
      </x:c>
      <x:c r="C75" s="14" t="n">
        <x:v>0</x:v>
      </x:c>
      <x:c r="D75" s="14" t="n">
        <x:v>1.975166667</x:v>
      </x:c>
      <x:c r="E75" s="14" t="str">
        <x:v>S03-08:B:question_tail
S03-08:B:evaluation_first_display
S03-08:B:question_played</x:v>
      </x:c>
      <x:c r="F75" s="14" t="str">
        <x:v>이번 전달 요청의 의미 채택, 표시와 필수 전체 음성 준비. 재생과 사용자 대기는 제외</x:v>
      </x:c>
    </x:row>
    <x:row r="76" ht="112" customHeight="1">
      <x:c r="A76" s="14" t="str">
        <x:v>S03-09:report_original</x:v>
      </x:c>
      <x:c r="B76" s="14" t="str">
        <x:v>A</x:v>
      </x:c>
      <x:c r="C76" s="14" t="n">
        <x:v>-6</x:v>
      </x:c>
      <x:c r="D76" s="14" t="n">
        <x:v>3.8995</x:v>
      </x:c>
      <x:c r="E76" s="14" t="str">
        <x:v>S03-09:A:report_v2_tail
S03-09:A:display_report_v2
S03-09:A:report_v2_played</x:v>
      </x:c>
      <x:c r="F76" s="14" t="str">
        <x:v>원래 보고서 요청과 정정 전 VIA 처리부터 6월 결과의 표시 및 전체 음성 준비. 외부 업무와 재생 제외</x:v>
      </x:c>
    </x:row>
    <x:row r="77" ht="112" customHeight="1">
      <x:c r="A77" s="14" t="str">
        <x:v>S03-09:read_question</x:v>
      </x:c>
      <x:c r="B77" s="14" t="str">
        <x:v>A</x:v>
      </x:c>
      <x:c r="C77" s="14" t="n">
        <x:v>0</x:v>
      </x:c>
      <x:c r="D77" s="14" t="n">
        <x:v>0.91</x:v>
      </x:c>
      <x:c r="E77" s="14" t="str">
        <x:v>S03-09:A:question_tail
S03-09:A:evaluation_first_display
S03-09:A:question_played</x:v>
      </x:c>
      <x:c r="F77" s="14" t="str">
        <x:v>이번 전달 요청의 의미 채택, 표시와 필수 전체 음성 준비. 재생과 사용자 대기는 제외</x:v>
      </x:c>
    </x:row>
    <x:row r="78" ht="112" customHeight="1">
      <x:c r="A78" s="14" t="str">
        <x:v>S03-09:report_original</x:v>
      </x:c>
      <x:c r="B78" s="14" t="str">
        <x:v>B</x:v>
      </x:c>
      <x:c r="C78" s="14" t="n">
        <x:v>-6</x:v>
      </x:c>
      <x:c r="D78" s="14" t="n">
        <x:v>4.2205</x:v>
      </x:c>
      <x:c r="E78" s="14" t="str">
        <x:v>S03-09:B:report_v2_tail
S03-09:B:display_report_v2
S03-09:B:report_v2_played</x:v>
      </x:c>
      <x:c r="F78" s="14" t="str">
        <x:v>원래 보고서 요청과 정정 전 VIA 처리부터 6월 결과의 표시 및 전체 음성 준비. 외부 업무와 재생 제외</x:v>
      </x:c>
    </x:row>
    <x:row r="79" ht="112" customHeight="1">
      <x:c r="A79" s="14" t="str">
        <x:v>S03-09:read_question</x:v>
      </x:c>
      <x:c r="B79" s="14" t="str">
        <x:v>B</x:v>
      </x:c>
      <x:c r="C79" s="14" t="n">
        <x:v>0</x:v>
      </x:c>
      <x:c r="D79" s="14" t="n">
        <x:v>1.9315</x:v>
      </x:c>
      <x:c r="E79" s="14" t="str">
        <x:v>S03-09:B:question_tail
S03-09:B:evaluation_first_display
S03-09:B:question_played</x:v>
      </x:c>
      <x:c r="F79" s="14" t="str">
        <x:v>이번 전달 요청의 의미 채택, 표시와 필수 전체 음성 준비. 재생과 사용자 대기는 제외</x:v>
      </x:c>
    </x:row>
    <x:row r="80" ht="112" customHeight="1">
      <x:c r="A80" s="14" t="str">
        <x:v>S03-10:report_original</x:v>
      </x:c>
      <x:c r="B80" s="14" t="str">
        <x:v>A</x:v>
      </x:c>
      <x:c r="C80" s="14" t="n">
        <x:v>-6</x:v>
      </x:c>
      <x:c r="D80" s="14" t="n">
        <x:v>3.930833333</x:v>
      </x:c>
      <x:c r="E80" s="14" t="str">
        <x:v>S03-10:A:report_v2_tail
S03-10:A:display_report_v2
S03-10:A:report_v2_played</x:v>
      </x:c>
      <x:c r="F80" s="14" t="str">
        <x:v>원래 보고서 요청과 정정 전 VIA 처리부터 6월 결과의 표시 및 전체 음성 준비. 외부 업무와 재생 제외</x:v>
      </x:c>
    </x:row>
    <x:row r="81" ht="112" customHeight="1">
      <x:c r="A81" s="14" t="str">
        <x:v>S03-10:read_question</x:v>
      </x:c>
      <x:c r="B81" s="14" t="str">
        <x:v>A</x:v>
      </x:c>
      <x:c r="C81" s="14" t="n">
        <x:v>0</x:v>
      </x:c>
      <x:c r="D81" s="14" t="n">
        <x:v>0.938333333</x:v>
      </x:c>
      <x:c r="E81" s="14" t="str">
        <x:v>S03-10:A:question_tail
S03-10:A:evaluation_first_display
S03-10:A:question_played</x:v>
      </x:c>
      <x:c r="F81" s="14" t="str">
        <x:v>이번 전달 요청의 의미 채택, 표시와 필수 전체 음성 준비. 재생과 사용자 대기는 제외</x:v>
      </x:c>
    </x:row>
    <x:row r="82" ht="112" customHeight="1">
      <x:c r="A82" s="14" t="str">
        <x:v>S03-10:report_original</x:v>
      </x:c>
      <x:c r="B82" s="14" t="str">
        <x:v>B</x:v>
      </x:c>
      <x:c r="C82" s="14" t="n">
        <x:v>-6</x:v>
      </x:c>
      <x:c r="D82" s="14" t="n">
        <x:v>4.251833333</x:v>
      </x:c>
      <x:c r="E82" s="14" t="str">
        <x:v>S03-10:B:report_v2_tail
S03-10:B:display_report_v2
S03-10:B:report_v2_played</x:v>
      </x:c>
      <x:c r="F82" s="14" t="str">
        <x:v>원래 보고서 요청과 정정 전 VIA 처리부터 6월 결과의 표시 및 전체 음성 준비. 외부 업무와 재생 제외</x:v>
      </x:c>
    </x:row>
    <x:row r="83" ht="112" customHeight="1">
      <x:c r="A83" s="14" t="str">
        <x:v>S03-10:read_question</x:v>
      </x:c>
      <x:c r="B83" s="14" t="str">
        <x:v>B</x:v>
      </x:c>
      <x:c r="C83" s="14" t="n">
        <x:v>0</x:v>
      </x:c>
      <x:c r="D83" s="14" t="n">
        <x:v>1.962833333</x:v>
      </x:c>
      <x:c r="E83" s="14" t="str">
        <x:v>S03-10:B:question_tail
S03-10:B:evaluation_first_display
S03-10:B:question_played</x:v>
      </x:c>
      <x:c r="F83" s="14" t="str">
        <x:v>이번 전달 요청의 의미 채택, 표시와 필수 전체 음성 준비. 재생과 사용자 대기는 제외</x:v>
      </x:c>
    </x:row>
    <x:row r="84" ht="112" customHeight="1">
      <x:c r="A84" s="14" t="str">
        <x:v>S04-01:delivery_request</x:v>
      </x:c>
      <x:c r="B84" s="14" t="str">
        <x:v>A</x:v>
      </x:c>
      <x:c r="C84" s="14" t="n">
        <x:v>0</x:v>
      </x:c>
      <x:c r="D84" s="14" t="n">
        <x:v>2.112166666</x:v>
      </x:c>
      <x:c r="E84" s="14" t="str">
        <x:v>S04-01:A:withdraw_ack_tail
S04-01:A:evaluation_first_display
S04-01:A:withdraw_ack_played</x:v>
      </x:c>
      <x:c r="F84" s="14" t="str">
        <x:v>이번 전달 요청의 의미 채택, 표시와 필수 전체 음성 준비. 재생과 사용자 대기는 제외</x:v>
      </x:c>
    </x:row>
    <x:row r="85" ht="112" customHeight="1">
      <x:c r="A85" s="14" t="str">
        <x:v>S04-01:delivery_request</x:v>
      </x:c>
      <x:c r="B85" s="14" t="str">
        <x:v>B</x:v>
      </x:c>
      <x:c r="C85" s="14" t="n">
        <x:v>0</x:v>
      </x:c>
      <x:c r="D85" s="14" t="n">
        <x:v>2.112166666</x:v>
      </x:c>
      <x:c r="E85" s="14" t="str">
        <x:v>S04-01:B:withdraw_ack_tail
S04-01:B:evaluation_first_display
S04-01:B:withdraw_ack_played</x:v>
      </x:c>
      <x:c r="F85" s="14" t="str">
        <x:v>이번 전달 요청의 의미 채택, 표시와 필수 전체 음성 준비. 재생과 사용자 대기는 제외</x:v>
      </x:c>
    </x:row>
    <x:row r="86" ht="112" customHeight="1">
      <x:c r="A86" s="14" t="str">
        <x:v>S04-02:delivery_request</x:v>
      </x:c>
      <x:c r="B86" s="14" t="str">
        <x:v>A</x:v>
      </x:c>
      <x:c r="C86" s="14" t="n">
        <x:v>0</x:v>
      </x:c>
      <x:c r="D86" s="14" t="n">
        <x:v>2.1435</x:v>
      </x:c>
      <x:c r="E86" s="14" t="str">
        <x:v>S04-02:A:withdraw_ack_tail
S04-02:A:evaluation_first_display
S04-02:A:withdraw_ack_played</x:v>
      </x:c>
      <x:c r="F86" s="14" t="str">
        <x:v>이번 전달 요청의 의미 채택, 표시와 필수 전체 음성 준비. 재생과 사용자 대기는 제외</x:v>
      </x:c>
    </x:row>
    <x:row r="87" ht="112" customHeight="1">
      <x:c r="A87" s="14" t="str">
        <x:v>S04-02:delivery_request</x:v>
      </x:c>
      <x:c r="B87" s="14" t="str">
        <x:v>B</x:v>
      </x:c>
      <x:c r="C87" s="14" t="n">
        <x:v>0</x:v>
      </x:c>
      <x:c r="D87" s="14" t="n">
        <x:v>2.1435</x:v>
      </x:c>
      <x:c r="E87" s="14" t="str">
        <x:v>S04-02:B:withdraw_ack_tail
S04-02:B:evaluation_first_display
S04-02:B:withdraw_ack_played</x:v>
      </x:c>
      <x:c r="F87" s="14" t="str">
        <x:v>이번 전달 요청의 의미 채택, 표시와 필수 전체 음성 준비. 재생과 사용자 대기는 제외</x:v>
      </x:c>
    </x:row>
    <x:row r="88" ht="112" customHeight="1">
      <x:c r="A88" s="14" t="str">
        <x:v>S04-03:delivery_request</x:v>
      </x:c>
      <x:c r="B88" s="14" t="str">
        <x:v>A</x:v>
      </x:c>
      <x:c r="C88" s="14" t="n">
        <x:v>0</x:v>
      </x:c>
      <x:c r="D88" s="14" t="n">
        <x:v>2.099833333</x:v>
      </x:c>
      <x:c r="E88" s="14" t="str">
        <x:v>S04-03:A:withdraw_ack_tail
S04-03:A:evaluation_first_display
S04-03:A:withdraw_ack_played</x:v>
      </x:c>
      <x:c r="F88" s="14" t="str">
        <x:v>이번 전달 요청의 의미 채택, 표시와 필수 전체 음성 준비. 재생과 사용자 대기는 제외</x:v>
      </x:c>
    </x:row>
    <x:row r="89" ht="112" customHeight="1">
      <x:c r="A89" s="14" t="str">
        <x:v>S04-03:delivery_request</x:v>
      </x:c>
      <x:c r="B89" s="14" t="str">
        <x:v>B</x:v>
      </x:c>
      <x:c r="C89" s="14" t="n">
        <x:v>0</x:v>
      </x:c>
      <x:c r="D89" s="14" t="n">
        <x:v>2.099833333</x:v>
      </x:c>
      <x:c r="E89" s="14" t="str">
        <x:v>S04-03:B:withdraw_ack_tail
S04-03:B:evaluation_first_display
S04-03:B:withdraw_ack_played</x:v>
      </x:c>
      <x:c r="F89" s="14" t="str">
        <x:v>이번 전달 요청의 의미 채택, 표시와 필수 전체 음성 준비. 재생과 사용자 대기는 제외</x:v>
      </x:c>
    </x:row>
    <x:row r="90" ht="112" customHeight="1">
      <x:c r="A90" s="14" t="str">
        <x:v>S04-04:delivery_request</x:v>
      </x:c>
      <x:c r="B90" s="14" t="str">
        <x:v>A</x:v>
      </x:c>
      <x:c r="C90" s="14" t="n">
        <x:v>0</x:v>
      </x:c>
      <x:c r="D90" s="14" t="n">
        <x:v>2.131166666</x:v>
      </x:c>
      <x:c r="E90" s="14" t="str">
        <x:v>S04-04:A:withdraw_ack_tail
S04-04:A:evaluation_first_display
S04-04:A:withdraw_ack_played</x:v>
      </x:c>
      <x:c r="F90" s="14" t="str">
        <x:v>이번 전달 요청의 의미 채택, 표시와 필수 전체 음성 준비. 재생과 사용자 대기는 제외</x:v>
      </x:c>
    </x:row>
    <x:row r="91" ht="112" customHeight="1">
      <x:c r="A91" s="14" t="str">
        <x:v>S04-04:delivery_request</x:v>
      </x:c>
      <x:c r="B91" s="14" t="str">
        <x:v>B</x:v>
      </x:c>
      <x:c r="C91" s="14" t="n">
        <x:v>0</x:v>
      </x:c>
      <x:c r="D91" s="14" t="n">
        <x:v>2.131166666</x:v>
      </x:c>
      <x:c r="E91" s="14" t="str">
        <x:v>S04-04:B:withdraw_ack_tail
S04-04:B:evaluation_first_display
S04-04:B:withdraw_ack_played</x:v>
      </x:c>
      <x:c r="F91" s="14" t="str">
        <x:v>이번 전달 요청의 의미 채택, 표시와 필수 전체 음성 준비. 재생과 사용자 대기는 제외</x:v>
      </x:c>
    </x:row>
    <x:row r="92" ht="112" customHeight="1">
      <x:c r="A92" s="14" t="str">
        <x:v>S04-05:delivery_request</x:v>
      </x:c>
      <x:c r="B92" s="14" t="str">
        <x:v>A</x:v>
      </x:c>
      <x:c r="C92" s="14" t="n">
        <x:v>0</x:v>
      </x:c>
      <x:c r="D92" s="14" t="n">
        <x:v>2.1625</x:v>
      </x:c>
      <x:c r="E92" s="14" t="str">
        <x:v>S04-05:A:withdraw_ack_tail
S04-05:A:evaluation_first_display
S04-05:A:withdraw_ack_played</x:v>
      </x:c>
      <x:c r="F92" s="14" t="str">
        <x:v>이번 전달 요청의 의미 채택, 표시와 필수 전체 음성 준비. 재생과 사용자 대기는 제외</x:v>
      </x:c>
    </x:row>
    <x:row r="93" ht="112" customHeight="1">
      <x:c r="A93" s="14" t="str">
        <x:v>S04-05:delivery_request</x:v>
      </x:c>
      <x:c r="B93" s="14" t="str">
        <x:v>B</x:v>
      </x:c>
      <x:c r="C93" s="14" t="n">
        <x:v>0</x:v>
      </x:c>
      <x:c r="D93" s="14" t="n">
        <x:v>2.1625</x:v>
      </x:c>
      <x:c r="E93" s="14" t="str">
        <x:v>S04-05:B:withdraw_ack_tail
S04-05:B:evaluation_first_display
S04-05:B:withdraw_ack_played</x:v>
      </x:c>
      <x:c r="F93" s="14" t="str">
        <x:v>이번 전달 요청의 의미 채택, 표시와 필수 전체 음성 준비. 재생과 사용자 대기는 제외</x:v>
      </x:c>
    </x:row>
    <x:row r="94" ht="112" customHeight="1">
      <x:c r="A94" s="14" t="str">
        <x:v>S04-06:delivery_request</x:v>
      </x:c>
      <x:c r="B94" s="14" t="str">
        <x:v>A</x:v>
      </x:c>
      <x:c r="C94" s="14" t="n">
        <x:v>0</x:v>
      </x:c>
      <x:c r="D94" s="14" t="n">
        <x:v>2.118833333</x:v>
      </x:c>
      <x:c r="E94" s="14" t="str">
        <x:v>S04-06:A:withdraw_ack_tail
S04-06:A:evaluation_first_display
S04-06:A:withdraw_ack_played</x:v>
      </x:c>
      <x:c r="F94" s="14" t="str">
        <x:v>이번 전달 요청의 의미 채택, 표시와 필수 전체 음성 준비. 재생과 사용자 대기는 제외</x:v>
      </x:c>
    </x:row>
    <x:row r="95" ht="112" customHeight="1">
      <x:c r="A95" s="14" t="str">
        <x:v>S04-06:delivery_request</x:v>
      </x:c>
      <x:c r="B95" s="14" t="str">
        <x:v>B</x:v>
      </x:c>
      <x:c r="C95" s="14" t="n">
        <x:v>0</x:v>
      </x:c>
      <x:c r="D95" s="14" t="n">
        <x:v>2.118833333</x:v>
      </x:c>
      <x:c r="E95" s="14" t="str">
        <x:v>S04-06:B:withdraw_ack_tail
S04-06:B:evaluation_first_display
S04-06:B:withdraw_ack_played</x:v>
      </x:c>
      <x:c r="F95" s="14" t="str">
        <x:v>이번 전달 요청의 의미 채택, 표시와 필수 전체 음성 준비. 재생과 사용자 대기는 제외</x:v>
      </x:c>
    </x:row>
    <x:row r="96" ht="112" customHeight="1">
      <x:c r="A96" s="14" t="str">
        <x:v>S04-07:delivery_request</x:v>
      </x:c>
      <x:c r="B96" s="14" t="str">
        <x:v>A</x:v>
      </x:c>
      <x:c r="C96" s="14" t="n">
        <x:v>0</x:v>
      </x:c>
      <x:c r="D96" s="14" t="n">
        <x:v>2.150166666</x:v>
      </x:c>
      <x:c r="E96" s="14" t="str">
        <x:v>S04-07:A:withdraw_ack_tail
S04-07:A:evaluation_first_display
S04-07:A:withdraw_ack_played</x:v>
      </x:c>
      <x:c r="F96" s="14" t="str">
        <x:v>이번 전달 요청의 의미 채택, 표시와 필수 전체 음성 준비. 재생과 사용자 대기는 제외</x:v>
      </x:c>
    </x:row>
    <x:row r="97" ht="112" customHeight="1">
      <x:c r="A97" s="14" t="str">
        <x:v>S04-07:delivery_request</x:v>
      </x:c>
      <x:c r="B97" s="14" t="str">
        <x:v>B</x:v>
      </x:c>
      <x:c r="C97" s="14" t="n">
        <x:v>0</x:v>
      </x:c>
      <x:c r="D97" s="14" t="n">
        <x:v>2.150166666</x:v>
      </x:c>
      <x:c r="E97" s="14" t="str">
        <x:v>S04-07:B:withdraw_ack_tail
S04-07:B:evaluation_first_display
S04-07:B:withdraw_ack_played</x:v>
      </x:c>
      <x:c r="F97" s="14" t="str">
        <x:v>이번 전달 요청의 의미 채택, 표시와 필수 전체 음성 준비. 재생과 사용자 대기는 제외</x:v>
      </x:c>
    </x:row>
    <x:row r="98" ht="112" customHeight="1">
      <x:c r="A98" s="14" t="str">
        <x:v>S04-08:delivery_request</x:v>
      </x:c>
      <x:c r="B98" s="14" t="str">
        <x:v>A</x:v>
      </x:c>
      <x:c r="C98" s="14" t="n">
        <x:v>0</x:v>
      </x:c>
      <x:c r="D98" s="14" t="n">
        <x:v>2.1815</x:v>
      </x:c>
      <x:c r="E98" s="14" t="str">
        <x:v>S04-08:A:withdraw_ack_tail
S04-08:A:evaluation_first_display
S04-08:A:withdraw_ack_played</x:v>
      </x:c>
      <x:c r="F98" s="14" t="str">
        <x:v>이번 전달 요청의 의미 채택, 표시와 필수 전체 음성 준비. 재생과 사용자 대기는 제외</x:v>
      </x:c>
    </x:row>
    <x:row r="99" ht="112" customHeight="1">
      <x:c r="A99" s="14" t="str">
        <x:v>S04-08:delivery_request</x:v>
      </x:c>
      <x:c r="B99" s="14" t="str">
        <x:v>B</x:v>
      </x:c>
      <x:c r="C99" s="14" t="n">
        <x:v>0</x:v>
      </x:c>
      <x:c r="D99" s="14" t="n">
        <x:v>2.1815</x:v>
      </x:c>
      <x:c r="E99" s="14" t="str">
        <x:v>S04-08:B:withdraw_ack_tail
S04-08:B:evaluation_first_display
S04-08:B:withdraw_ack_played</x:v>
      </x:c>
      <x:c r="F99" s="14" t="str">
        <x:v>이번 전달 요청의 의미 채택, 표시와 필수 전체 음성 준비. 재생과 사용자 대기는 제외</x:v>
      </x:c>
    </x:row>
    <x:row r="100" ht="112" customHeight="1">
      <x:c r="A100" s="14" t="str">
        <x:v>S04-09:delivery_request</x:v>
      </x:c>
      <x:c r="B100" s="14" t="str">
        <x:v>A</x:v>
      </x:c>
      <x:c r="C100" s="14" t="n">
        <x:v>0</x:v>
      </x:c>
      <x:c r="D100" s="14" t="n">
        <x:v>2.137833333</x:v>
      </x:c>
      <x:c r="E100" s="14" t="str">
        <x:v>S04-09:A:withdraw_ack_tail
S04-09:A:evaluation_first_display
S04-09:A:withdraw_ack_played</x:v>
      </x:c>
      <x:c r="F100" s="14" t="str">
        <x:v>이번 전달 요청의 의미 채택, 표시와 필수 전체 음성 준비. 재생과 사용자 대기는 제외</x:v>
      </x:c>
    </x:row>
    <x:row r="101" ht="112" customHeight="1">
      <x:c r="A101" s="14" t="str">
        <x:v>S04-09:delivery_request</x:v>
      </x:c>
      <x:c r="B101" s="14" t="str">
        <x:v>B</x:v>
      </x:c>
      <x:c r="C101" s="14" t="n">
        <x:v>0</x:v>
      </x:c>
      <x:c r="D101" s="14" t="n">
        <x:v>2.137833333</x:v>
      </x:c>
      <x:c r="E101" s="14" t="str">
        <x:v>S04-09:B:withdraw_ack_tail
S04-09:B:evaluation_first_display
S04-09:B:withdraw_ack_played</x:v>
      </x:c>
      <x:c r="F101" s="14" t="str">
        <x:v>이번 전달 요청의 의미 채택, 표시와 필수 전체 음성 준비. 재생과 사용자 대기는 제외</x:v>
      </x:c>
    </x:row>
    <x:row r="102" ht="112" customHeight="1">
      <x:c r="A102" s="14" t="str">
        <x:v>S04-10:delivery_request</x:v>
      </x:c>
      <x:c r="B102" s="14" t="str">
        <x:v>A</x:v>
      </x:c>
      <x:c r="C102" s="14" t="n">
        <x:v>0</x:v>
      </x:c>
      <x:c r="D102" s="14" t="n">
        <x:v>2.169166666</x:v>
      </x:c>
      <x:c r="E102" s="14" t="str">
        <x:v>S04-10:A:withdraw_ack_tail
S04-10:A:evaluation_first_display
S04-10:A:withdraw_ack_played</x:v>
      </x:c>
      <x:c r="F102" s="14" t="str">
        <x:v>이번 전달 요청의 의미 채택, 표시와 필수 전체 음성 준비. 재생과 사용자 대기는 제외</x:v>
      </x:c>
    </x:row>
    <x:row r="103" ht="112" customHeight="1">
      <x:c r="A103" s="14" t="str">
        <x:v>S04-10:delivery_request</x:v>
      </x:c>
      <x:c r="B103" s="14" t="str">
        <x:v>B</x:v>
      </x:c>
      <x:c r="C103" s="14" t="n">
        <x:v>0</x:v>
      </x:c>
      <x:c r="D103" s="14" t="n">
        <x:v>2.169166666</x:v>
      </x:c>
      <x:c r="E103" s="14" t="str">
        <x:v>S04-10:B:withdraw_ack_tail
S04-10:B:evaluation_first_display
S04-10:B:withdraw_ack_played</x:v>
      </x:c>
      <x:c r="F103" s="14" t="str">
        <x:v>이번 전달 요청의 의미 채택, 표시와 필수 전체 음성 준비. 재생과 사용자 대기는 제외</x:v>
      </x:c>
    </x:row>
    <x:row r="104" ht="112" customHeight="1">
      <x:c r="A104" s="14" t="str">
        <x:v>S05-01:delivery_request</x:v>
      </x:c>
      <x:c r="B104" s="14" t="str">
        <x:v>A</x:v>
      </x:c>
      <x:c r="C104" s="14" t="n">
        <x:v>0</x:v>
      </x:c>
      <x:c r="D104" s="14" t="n">
        <x:v>4.611833333</x:v>
      </x:c>
      <x:c r="E104" s="14" t="str">
        <x:v>S05-01:A:long_report_tail
S05-01:A:question_tail
S05-01:A:evaluation_first_display
S05-01:A:resume_report_played</x:v>
      </x:c>
      <x:c r="F104" s="14" t="str">
        <x:v>이번 전달 요청의 의미 채택, 표시와 필수 전체 음성 준비. 재생과 사용자 대기는 제외</x:v>
      </x:c>
    </x:row>
    <x:row r="105" ht="112" customHeight="1">
      <x:c r="A105" s="14" t="str">
        <x:v>S05-01:delivery_request</x:v>
      </x:c>
      <x:c r="B105" s="14" t="str">
        <x:v>B</x:v>
      </x:c>
      <x:c r="C105" s="14" t="n">
        <x:v>0</x:v>
      </x:c>
      <x:c r="D105" s="14" t="n">
        <x:v>5.418166666</x:v>
      </x:c>
      <x:c r="E105" s="14" t="str">
        <x:v>S05-01:B:resume_suffix_tail
S05-01:B:question_tail
S05-01:B:evaluation_first_display
S05-01:B:resume_suffix_played</x:v>
      </x:c>
      <x:c r="F105" s="14" t="str">
        <x:v>이번 전달 요청의 의미 채택, 표시와 필수 전체 음성 준비. 재생과 사용자 대기는 제외</x:v>
      </x:c>
    </x:row>
    <x:row r="106" ht="112" customHeight="1">
      <x:c r="A106" s="14" t="str">
        <x:v>S05-02:delivery_request</x:v>
      </x:c>
      <x:c r="B106" s="14" t="str">
        <x:v>A</x:v>
      </x:c>
      <x:c r="C106" s="14" t="n">
        <x:v>0</x:v>
      </x:c>
      <x:c r="D106" s="14" t="n">
        <x:v>4.614833333</x:v>
      </x:c>
      <x:c r="E106" s="14" t="str">
        <x:v>S05-02:A:long_report_tail
S05-02:A:question_tail
S05-02:A:evaluation_first_display
S05-02:A:resume_report_played</x:v>
      </x:c>
      <x:c r="F106" s="14" t="str">
        <x:v>이번 전달 요청의 의미 채택, 표시와 필수 전체 음성 준비. 재생과 사용자 대기는 제외</x:v>
      </x:c>
    </x:row>
    <x:row r="107" ht="112" customHeight="1">
      <x:c r="A107" s="14" t="str">
        <x:v>S05-02:delivery_request</x:v>
      </x:c>
      <x:c r="B107" s="14" t="str">
        <x:v>B</x:v>
      </x:c>
      <x:c r="C107" s="14" t="n">
        <x:v>0</x:v>
      </x:c>
      <x:c r="D107" s="14" t="n">
        <x:v>5.421166666</x:v>
      </x:c>
      <x:c r="E107" s="14" t="str">
        <x:v>S05-02:B:resume_suffix_tail
S05-02:B:question_tail
S05-02:B:evaluation_first_display
S05-02:B:resume_suffix_played</x:v>
      </x:c>
      <x:c r="F107" s="14" t="str">
        <x:v>이번 전달 요청의 의미 채택, 표시와 필수 전체 음성 준비. 재생과 사용자 대기는 제외</x:v>
      </x:c>
    </x:row>
    <x:row r="108" ht="112" customHeight="1">
      <x:c r="A108" s="14" t="str">
        <x:v>S05-03:delivery_request</x:v>
      </x:c>
      <x:c r="B108" s="14" t="str">
        <x:v>A</x:v>
      </x:c>
      <x:c r="C108" s="14" t="n">
        <x:v>0</x:v>
      </x:c>
      <x:c r="D108" s="14" t="n">
        <x:v>4.617833333</x:v>
      </x:c>
      <x:c r="E108" s="14" t="str">
        <x:v>S05-03:A:long_report_tail
S05-03:A:question_tail
S05-03:A:evaluation_first_display
S05-03:A:resume_report_played</x:v>
      </x:c>
      <x:c r="F108" s="14" t="str">
        <x:v>이번 전달 요청의 의미 채택, 표시와 필수 전체 음성 준비. 재생과 사용자 대기는 제외</x:v>
      </x:c>
    </x:row>
    <x:row r="109" ht="112" customHeight="1">
      <x:c r="A109" s="14" t="str">
        <x:v>S05-03:delivery_request</x:v>
      </x:c>
      <x:c r="B109" s="14" t="str">
        <x:v>B</x:v>
      </x:c>
      <x:c r="C109" s="14" t="n">
        <x:v>0</x:v>
      </x:c>
      <x:c r="D109" s="14" t="n">
        <x:v>5.424166666</x:v>
      </x:c>
      <x:c r="E109" s="14" t="str">
        <x:v>S05-03:B:resume_suffix_tail
S05-03:B:question_tail
S05-03:B:evaluation_first_display
S05-03:B:resume_suffix_played</x:v>
      </x:c>
      <x:c r="F109" s="14" t="str">
        <x:v>이번 전달 요청의 의미 채택, 표시와 필수 전체 음성 준비. 재생과 사용자 대기는 제외</x:v>
      </x:c>
    </x:row>
    <x:row r="110" ht="112" customHeight="1">
      <x:c r="A110" s="14" t="str">
        <x:v>S05-04:delivery_request</x:v>
      </x:c>
      <x:c r="B110" s="14" t="str">
        <x:v>A</x:v>
      </x:c>
      <x:c r="C110" s="14" t="n">
        <x:v>0</x:v>
      </x:c>
      <x:c r="D110" s="14" t="n">
        <x:v>4.620833333</x:v>
      </x:c>
      <x:c r="E110" s="14" t="str">
        <x:v>S05-04:A:long_report_tail
S05-04:A:question_tail
S05-04:A:evaluation_first_display
S05-04:A:resume_report_played</x:v>
      </x:c>
      <x:c r="F110" s="14" t="str">
        <x:v>이번 전달 요청의 의미 채택, 표시와 필수 전체 음성 준비. 재생과 사용자 대기는 제외</x:v>
      </x:c>
    </x:row>
    <x:row r="111" ht="112" customHeight="1">
      <x:c r="A111" s="14" t="str">
        <x:v>S05-04:delivery_request</x:v>
      </x:c>
      <x:c r="B111" s="14" t="str">
        <x:v>B</x:v>
      </x:c>
      <x:c r="C111" s="14" t="n">
        <x:v>0</x:v>
      </x:c>
      <x:c r="D111" s="14" t="n">
        <x:v>5.427166666</x:v>
      </x:c>
      <x:c r="E111" s="14" t="str">
        <x:v>S05-04:B:resume_suffix_tail
S05-04:B:question_tail
S05-04:B:evaluation_first_display
S05-04:B:resume_suffix_played</x:v>
      </x:c>
      <x:c r="F111" s="14" t="str">
        <x:v>이번 전달 요청의 의미 채택, 표시와 필수 전체 음성 준비. 재생과 사용자 대기는 제외</x:v>
      </x:c>
    </x:row>
    <x:row r="112" ht="112" customHeight="1">
      <x:c r="A112" s="14" t="str">
        <x:v>S05-05:delivery_request</x:v>
      </x:c>
      <x:c r="B112" s="14" t="str">
        <x:v>A</x:v>
      </x:c>
      <x:c r="C112" s="14" t="n">
        <x:v>0</x:v>
      </x:c>
      <x:c r="D112" s="14" t="n">
        <x:v>4.623833333</x:v>
      </x:c>
      <x:c r="E112" s="14" t="str">
        <x:v>S05-05:A:long_report_tail
S05-05:A:question_tail
S05-05:A:evaluation_first_display
S05-05:A:resume_report_played</x:v>
      </x:c>
      <x:c r="F112" s="14" t="str">
        <x:v>이번 전달 요청의 의미 채택, 표시와 필수 전체 음성 준비. 재생과 사용자 대기는 제외</x:v>
      </x:c>
    </x:row>
    <x:row r="113" ht="112" customHeight="1">
      <x:c r="A113" s="14" t="str">
        <x:v>S05-05:delivery_request</x:v>
      </x:c>
      <x:c r="B113" s="14" t="str">
        <x:v>B</x:v>
      </x:c>
      <x:c r="C113" s="14" t="n">
        <x:v>0</x:v>
      </x:c>
      <x:c r="D113" s="14" t="n">
        <x:v>5.430166666</x:v>
      </x:c>
      <x:c r="E113" s="14" t="str">
        <x:v>S05-05:B:resume_suffix_tail
S05-05:B:question_tail
S05-05:B:evaluation_first_display
S05-05:B:resume_suffix_played</x:v>
      </x:c>
      <x:c r="F113" s="14" t="str">
        <x:v>이번 전달 요청의 의미 채택, 표시와 필수 전체 음성 준비. 재생과 사용자 대기는 제외</x:v>
      </x:c>
    </x:row>
    <x:row r="114" ht="112" customHeight="1">
      <x:c r="A114" s="14" t="str">
        <x:v>S05-06:delivery_request</x:v>
      </x:c>
      <x:c r="B114" s="14" t="str">
        <x:v>A</x:v>
      </x:c>
      <x:c r="C114" s="14" t="n">
        <x:v>0</x:v>
      </x:c>
      <x:c r="D114" s="14" t="n">
        <x:v>4.626833333</x:v>
      </x:c>
      <x:c r="E114" s="14" t="str">
        <x:v>S05-06:A:long_report_tail
S05-06:A:question_tail
S05-06:A:evaluation_first_display
S05-06:A:resume_report_played</x:v>
      </x:c>
      <x:c r="F114" s="14" t="str">
        <x:v>이번 전달 요청의 의미 채택, 표시와 필수 전체 음성 준비. 재생과 사용자 대기는 제외</x:v>
      </x:c>
    </x:row>
    <x:row r="115" ht="112" customHeight="1">
      <x:c r="A115" s="14" t="str">
        <x:v>S05-06:delivery_request</x:v>
      </x:c>
      <x:c r="B115" s="14" t="str">
        <x:v>B</x:v>
      </x:c>
      <x:c r="C115" s="14" t="n">
        <x:v>0</x:v>
      </x:c>
      <x:c r="D115" s="14" t="n">
        <x:v>5.433166666</x:v>
      </x:c>
      <x:c r="E115" s="14" t="str">
        <x:v>S05-06:B:resume_suffix_tail
S05-06:B:question_tail
S05-06:B:evaluation_first_display
S05-06:B:resume_suffix_played</x:v>
      </x:c>
      <x:c r="F115" s="14" t="str">
        <x:v>이번 전달 요청의 의미 채택, 표시와 필수 전체 음성 준비. 재생과 사용자 대기는 제외</x:v>
      </x:c>
    </x:row>
    <x:row r="116" ht="112" customHeight="1">
      <x:c r="A116" s="14" t="str">
        <x:v>S05-07:delivery_request</x:v>
      </x:c>
      <x:c r="B116" s="14" t="str">
        <x:v>A</x:v>
      </x:c>
      <x:c r="C116" s="14" t="n">
        <x:v>0</x:v>
      </x:c>
      <x:c r="D116" s="14" t="n">
        <x:v>4.629833333</x:v>
      </x:c>
      <x:c r="E116" s="14" t="str">
        <x:v>S05-07:A:long_report_tail
S05-07:A:question_tail
S05-07:A:evaluation_first_display
S05-07:A:resume_report_played</x:v>
      </x:c>
      <x:c r="F116" s="14" t="str">
        <x:v>이번 전달 요청의 의미 채택, 표시와 필수 전체 음성 준비. 재생과 사용자 대기는 제외</x:v>
      </x:c>
    </x:row>
    <x:row r="117" ht="112" customHeight="1">
      <x:c r="A117" s="14" t="str">
        <x:v>S05-07:delivery_request</x:v>
      </x:c>
      <x:c r="B117" s="14" t="str">
        <x:v>B</x:v>
      </x:c>
      <x:c r="C117" s="14" t="n">
        <x:v>0</x:v>
      </x:c>
      <x:c r="D117" s="14" t="n">
        <x:v>5.436166666</x:v>
      </x:c>
      <x:c r="E117" s="14" t="str">
        <x:v>S05-07:B:resume_suffix_tail
S05-07:B:question_tail
S05-07:B:evaluation_first_display
S05-07:B:resume_suffix_played</x:v>
      </x:c>
      <x:c r="F117" s="14" t="str">
        <x:v>이번 전달 요청의 의미 채택, 표시와 필수 전체 음성 준비. 재생과 사용자 대기는 제외</x:v>
      </x:c>
    </x:row>
    <x:row r="118" ht="112" customHeight="1">
      <x:c r="A118" s="14" t="str">
        <x:v>S05-08:delivery_request</x:v>
      </x:c>
      <x:c r="B118" s="14" t="str">
        <x:v>A</x:v>
      </x:c>
      <x:c r="C118" s="14" t="n">
        <x:v>0</x:v>
      </x:c>
      <x:c r="D118" s="14" t="n">
        <x:v>4.632833333</x:v>
      </x:c>
      <x:c r="E118" s="14" t="str">
        <x:v>S05-08:A:long_report_tail
S05-08:A:question_tail
S05-08:A:evaluation_first_display
S05-08:A:resume_report_played</x:v>
      </x:c>
      <x:c r="F118" s="14" t="str">
        <x:v>이번 전달 요청의 의미 채택, 표시와 필수 전체 음성 준비. 재생과 사용자 대기는 제외</x:v>
      </x:c>
    </x:row>
    <x:row r="119" ht="112" customHeight="1">
      <x:c r="A119" s="14" t="str">
        <x:v>S05-08:delivery_request</x:v>
      </x:c>
      <x:c r="B119" s="14" t="str">
        <x:v>B</x:v>
      </x:c>
      <x:c r="C119" s="14" t="n">
        <x:v>0</x:v>
      </x:c>
      <x:c r="D119" s="14" t="n">
        <x:v>5.439166666</x:v>
      </x:c>
      <x:c r="E119" s="14" t="str">
        <x:v>S05-08:B:resume_suffix_tail
S05-08:B:question_tail
S05-08:B:evaluation_first_display
S05-08:B:resume_suffix_played</x:v>
      </x:c>
      <x:c r="F119" s="14" t="str">
        <x:v>이번 전달 요청의 의미 채택, 표시와 필수 전체 음성 준비. 재생과 사용자 대기는 제외</x:v>
      </x:c>
    </x:row>
    <x:row r="120" ht="112" customHeight="1">
      <x:c r="A120" s="14" t="str">
        <x:v>S05-09:delivery_request</x:v>
      </x:c>
      <x:c r="B120" s="14" t="str">
        <x:v>A</x:v>
      </x:c>
      <x:c r="C120" s="14" t="n">
        <x:v>0</x:v>
      </x:c>
      <x:c r="D120" s="14" t="n">
        <x:v>4.635833333</x:v>
      </x:c>
      <x:c r="E120" s="14" t="str">
        <x:v>S05-09:A:long_report_tail
S05-09:A:question_tail
S05-09:A:evaluation_first_display
S05-09:A:resume_report_played</x:v>
      </x:c>
      <x:c r="F120" s="14" t="str">
        <x:v>이번 전달 요청의 의미 채택, 표시와 필수 전체 음성 준비. 재생과 사용자 대기는 제외</x:v>
      </x:c>
    </x:row>
    <x:row r="121" ht="112" customHeight="1">
      <x:c r="A121" s="14" t="str">
        <x:v>S05-09:delivery_request</x:v>
      </x:c>
      <x:c r="B121" s="14" t="str">
        <x:v>B</x:v>
      </x:c>
      <x:c r="C121" s="14" t="n">
        <x:v>0</x:v>
      </x:c>
      <x:c r="D121" s="14" t="n">
        <x:v>5.442166666</x:v>
      </x:c>
      <x:c r="E121" s="14" t="str">
        <x:v>S05-09:B:resume_suffix_tail
S05-09:B:question_tail
S05-09:B:evaluation_first_display
S05-09:B:resume_suffix_played</x:v>
      </x:c>
      <x:c r="F121" s="14" t="str">
        <x:v>이번 전달 요청의 의미 채택, 표시와 필수 전체 음성 준비. 재생과 사용자 대기는 제외</x:v>
      </x:c>
    </x:row>
    <x:row r="122" ht="112" customHeight="1">
      <x:c r="A122" s="14" t="str">
        <x:v>S05-10:delivery_request</x:v>
      </x:c>
      <x:c r="B122" s="14" t="str">
        <x:v>A</x:v>
      </x:c>
      <x:c r="C122" s="14" t="n">
        <x:v>0</x:v>
      </x:c>
      <x:c r="D122" s="14" t="n">
        <x:v>4.638833333</x:v>
      </x:c>
      <x:c r="E122" s="14" t="str">
        <x:v>S05-10:A:long_report_tail
S05-10:A:question_tail
S05-10:A:evaluation_first_display
S05-10:A:resume_report_played</x:v>
      </x:c>
      <x:c r="F122" s="14" t="str">
        <x:v>이번 전달 요청의 의미 채택, 표시와 필수 전체 음성 준비. 재생과 사용자 대기는 제외</x:v>
      </x:c>
    </x:row>
    <x:row r="123" ht="112" customHeight="1">
      <x:c r="A123" s="14" t="str">
        <x:v>S05-10:delivery_request</x:v>
      </x:c>
      <x:c r="B123" s="14" t="str">
        <x:v>B</x:v>
      </x:c>
      <x:c r="C123" s="14" t="n">
        <x:v>0</x:v>
      </x:c>
      <x:c r="D123" s="14" t="n">
        <x:v>5.445166666</x:v>
      </x:c>
      <x:c r="E123" s="14" t="str">
        <x:v>S05-10:B:resume_suffix_tail
S05-10:B:question_tail
S05-10:B:evaluation_first_display
S05-10:B:resume_suffix_played</x:v>
      </x:c>
      <x:c r="F123" s="14" t="str">
        <x:v>이번 전달 요청의 의미 채택, 표시와 필수 전체 음성 준비. 재생과 사용자 대기는 제외</x:v>
      </x:c>
    </x:row>
    <x:row r="124" ht="112" customHeight="1">
      <x:c r="A124" s="14" t="str">
        <x:v>S06-01:delivery_request</x:v>
      </x:c>
      <x:c r="B124" s="14" t="str">
        <x:v>A</x:v>
      </x:c>
      <x:c r="C124" s="14" t="n">
        <x:v>0</x:v>
      </x:c>
      <x:c r="D124" s="14" t="n">
        <x:v>0.908333333</x:v>
      </x:c>
      <x:c r="E124" s="14" t="str">
        <x:v>S06-01:A:explanation_tail
S06-01:A:evaluation_first_display
S06-01:A:continue_part2</x:v>
      </x:c>
      <x:c r="F124" s="14" t="str">
        <x:v>이번 전달 요청의 의미 채택, 표시와 필수 전체 음성 준비. 재생과 사용자 대기는 제외</x:v>
      </x:c>
    </x:row>
    <x:row r="125" ht="112" customHeight="1">
      <x:c r="A125" s="14" t="str">
        <x:v>S06-01:delivery_request</x:v>
      </x:c>
      <x:c r="B125" s="14" t="str">
        <x:v>B</x:v>
      </x:c>
      <x:c r="C125" s="14" t="n">
        <x:v>0</x:v>
      </x:c>
      <x:c r="D125" s="14" t="n">
        <x:v>0.908333333</x:v>
      </x:c>
      <x:c r="E125" s="14" t="str">
        <x:v>S06-01:B:explanation_tail
S06-01:B:evaluation_first_display
S06-01:B:continue_part2</x:v>
      </x:c>
      <x:c r="F125" s="14" t="str">
        <x:v>이번 전달 요청의 의미 채택, 표시와 필수 전체 음성 준비. 재생과 사용자 대기는 제외</x:v>
      </x:c>
    </x:row>
    <x:row r="126" ht="112" customHeight="1">
      <x:c r="A126" s="14" t="str">
        <x:v>S06-02:delivery_request</x:v>
      </x:c>
      <x:c r="B126" s="14" t="str">
        <x:v>A</x:v>
      </x:c>
      <x:c r="C126" s="14" t="n">
        <x:v>0</x:v>
      </x:c>
      <x:c r="D126" s="14" t="n">
        <x:v>0.936666667</x:v>
      </x:c>
      <x:c r="E126" s="14" t="str">
        <x:v>S06-02:A:explanation_tail
S06-02:A:evaluation_first_display
S06-02:A:continue_part2</x:v>
      </x:c>
      <x:c r="F126" s="14" t="str">
        <x:v>이번 전달 요청의 의미 채택, 표시와 필수 전체 음성 준비. 재생과 사용자 대기는 제외</x:v>
      </x:c>
    </x:row>
    <x:row r="127" ht="112" customHeight="1">
      <x:c r="A127" s="14" t="str">
        <x:v>S06-02:delivery_request</x:v>
      </x:c>
      <x:c r="B127" s="14" t="str">
        <x:v>B</x:v>
      </x:c>
      <x:c r="C127" s="14" t="n">
        <x:v>0</x:v>
      </x:c>
      <x:c r="D127" s="14" t="n">
        <x:v>0.936666667</x:v>
      </x:c>
      <x:c r="E127" s="14" t="str">
        <x:v>S06-02:B:explanation_tail
S06-02:B:evaluation_first_display
S06-02:B:continue_part2</x:v>
      </x:c>
      <x:c r="F127" s="14" t="str">
        <x:v>이번 전달 요청의 의미 채택, 표시와 필수 전체 음성 준비. 재생과 사용자 대기는 제외</x:v>
      </x:c>
    </x:row>
    <x:row r="128" ht="112" customHeight="1">
      <x:c r="A128" s="14" t="str">
        <x:v>S06-03:delivery_request</x:v>
      </x:c>
      <x:c r="B128" s="14" t="str">
        <x:v>A</x:v>
      </x:c>
      <x:c r="C128" s="14" t="n">
        <x:v>0</x:v>
      </x:c>
      <x:c r="D128" s="14" t="n">
        <x:v>0.89</x:v>
      </x:c>
      <x:c r="E128" s="14" t="str">
        <x:v>S06-03:A:explanation_tail
S06-03:A:evaluation_first_display
S06-03:A:continue_part2</x:v>
      </x:c>
      <x:c r="F128" s="14" t="str">
        <x:v>이번 전달 요청의 의미 채택, 표시와 필수 전체 음성 준비. 재생과 사용자 대기는 제외</x:v>
      </x:c>
    </x:row>
    <x:row r="129" ht="112" customHeight="1">
      <x:c r="A129" s="14" t="str">
        <x:v>S06-03:delivery_request</x:v>
      </x:c>
      <x:c r="B129" s="14" t="str">
        <x:v>B</x:v>
      </x:c>
      <x:c r="C129" s="14" t="n">
        <x:v>0</x:v>
      </x:c>
      <x:c r="D129" s="14" t="n">
        <x:v>0.89</x:v>
      </x:c>
      <x:c r="E129" s="14" t="str">
        <x:v>S06-03:B:explanation_tail
S06-03:B:evaluation_first_display
S06-03:B:continue_part2</x:v>
      </x:c>
      <x:c r="F129" s="14" t="str">
        <x:v>이번 전달 요청의 의미 채택, 표시와 필수 전체 음성 준비. 재생과 사용자 대기는 제외</x:v>
      </x:c>
    </x:row>
    <x:row r="130" ht="112" customHeight="1">
      <x:c r="A130" s="14" t="str">
        <x:v>S06-04:delivery_request</x:v>
      </x:c>
      <x:c r="B130" s="14" t="str">
        <x:v>A</x:v>
      </x:c>
      <x:c r="C130" s="14" t="n">
        <x:v>0</x:v>
      </x:c>
      <x:c r="D130" s="14" t="n">
        <x:v>0.918333333</x:v>
      </x:c>
      <x:c r="E130" s="14" t="str">
        <x:v>S06-04:A:explanation_tail
S06-04:A:evaluation_first_display
S06-04:A:continue_part2</x:v>
      </x:c>
      <x:c r="F130" s="14" t="str">
        <x:v>이번 전달 요청의 의미 채택, 표시와 필수 전체 음성 준비. 재생과 사용자 대기는 제외</x:v>
      </x:c>
    </x:row>
    <x:row r="131" ht="112" customHeight="1">
      <x:c r="A131" s="14" t="str">
        <x:v>S06-04:delivery_request</x:v>
      </x:c>
      <x:c r="B131" s="14" t="str">
        <x:v>B</x:v>
      </x:c>
      <x:c r="C131" s="14" t="n">
        <x:v>0</x:v>
      </x:c>
      <x:c r="D131" s="14" t="n">
        <x:v>0.918333333</x:v>
      </x:c>
      <x:c r="E131" s="14" t="str">
        <x:v>S06-04:B:explanation_tail
S06-04:B:evaluation_first_display
S06-04:B:continue_part2</x:v>
      </x:c>
      <x:c r="F131" s="14" t="str">
        <x:v>이번 전달 요청의 의미 채택, 표시와 필수 전체 음성 준비. 재생과 사용자 대기는 제외</x:v>
      </x:c>
    </x:row>
    <x:row r="132" ht="112" customHeight="1">
      <x:c r="A132" s="14" t="str">
        <x:v>S06-05:delivery_request</x:v>
      </x:c>
      <x:c r="B132" s="14" t="str">
        <x:v>A</x:v>
      </x:c>
      <x:c r="C132" s="14" t="n">
        <x:v>0</x:v>
      </x:c>
      <x:c r="D132" s="14" t="n">
        <x:v>0.946666667</x:v>
      </x:c>
      <x:c r="E132" s="14" t="str">
        <x:v>S06-05:A:explanation_tail
S06-05:A:evaluation_first_display
S06-05:A:continue_part2</x:v>
      </x:c>
      <x:c r="F132" s="14" t="str">
        <x:v>이번 전달 요청의 의미 채택, 표시와 필수 전체 음성 준비. 재생과 사용자 대기는 제외</x:v>
      </x:c>
    </x:row>
    <x:row r="133" ht="112" customHeight="1">
      <x:c r="A133" s="14" t="str">
        <x:v>S06-05:delivery_request</x:v>
      </x:c>
      <x:c r="B133" s="14" t="str">
        <x:v>B</x:v>
      </x:c>
      <x:c r="C133" s="14" t="n">
        <x:v>0</x:v>
      </x:c>
      <x:c r="D133" s="14" t="n">
        <x:v>0.946666667</x:v>
      </x:c>
      <x:c r="E133" s="14" t="str">
        <x:v>S06-05:B:explanation_tail
S06-05:B:evaluation_first_display
S06-05:B:continue_part2</x:v>
      </x:c>
      <x:c r="F133" s="14" t="str">
        <x:v>이번 전달 요청의 의미 채택, 표시와 필수 전체 음성 준비. 재생과 사용자 대기는 제외</x:v>
      </x:c>
    </x:row>
    <x:row r="134" ht="112" customHeight="1">
      <x:c r="A134" s="14" t="str">
        <x:v>S06-06:delivery_request</x:v>
      </x:c>
      <x:c r="B134" s="14" t="str">
        <x:v>A</x:v>
      </x:c>
      <x:c r="C134" s="14" t="n">
        <x:v>0</x:v>
      </x:c>
      <x:c r="D134" s="14" t="n">
        <x:v>0.9</x:v>
      </x:c>
      <x:c r="E134" s="14" t="str">
        <x:v>S06-06:A:explanation_tail
S06-06:A:evaluation_first_display
S06-06:A:continue_part2</x:v>
      </x:c>
      <x:c r="F134" s="14" t="str">
        <x:v>이번 전달 요청의 의미 채택, 표시와 필수 전체 음성 준비. 재생과 사용자 대기는 제외</x:v>
      </x:c>
    </x:row>
    <x:row r="135" ht="112" customHeight="1">
      <x:c r="A135" s="14" t="str">
        <x:v>S06-06:delivery_request</x:v>
      </x:c>
      <x:c r="B135" s="14" t="str">
        <x:v>B</x:v>
      </x:c>
      <x:c r="C135" s="14" t="n">
        <x:v>0</x:v>
      </x:c>
      <x:c r="D135" s="14" t="n">
        <x:v>0.9</x:v>
      </x:c>
      <x:c r="E135" s="14" t="str">
        <x:v>S06-06:B:explanation_tail
S06-06:B:evaluation_first_display
S06-06:B:continue_part2</x:v>
      </x:c>
      <x:c r="F135" s="14" t="str">
        <x:v>이번 전달 요청의 의미 채택, 표시와 필수 전체 음성 준비. 재생과 사용자 대기는 제외</x:v>
      </x:c>
    </x:row>
    <x:row r="136" ht="112" customHeight="1">
      <x:c r="A136" s="14" t="str">
        <x:v>S06-07:delivery_request</x:v>
      </x:c>
      <x:c r="B136" s="14" t="str">
        <x:v>A</x:v>
      </x:c>
      <x:c r="C136" s="14" t="n">
        <x:v>0</x:v>
      </x:c>
      <x:c r="D136" s="14" t="n">
        <x:v>0.928333333</x:v>
      </x:c>
      <x:c r="E136" s="14" t="str">
        <x:v>S06-07:A:explanation_tail
S06-07:A:evaluation_first_display
S06-07:A:continue_part2</x:v>
      </x:c>
      <x:c r="F136" s="14" t="str">
        <x:v>이번 전달 요청의 의미 채택, 표시와 필수 전체 음성 준비. 재생과 사용자 대기는 제외</x:v>
      </x:c>
    </x:row>
    <x:row r="137" ht="112" customHeight="1">
      <x:c r="A137" s="14" t="str">
        <x:v>S06-07:delivery_request</x:v>
      </x:c>
      <x:c r="B137" s="14" t="str">
        <x:v>B</x:v>
      </x:c>
      <x:c r="C137" s="14" t="n">
        <x:v>0</x:v>
      </x:c>
      <x:c r="D137" s="14" t="n">
        <x:v>0.928333333</x:v>
      </x:c>
      <x:c r="E137" s="14" t="str">
        <x:v>S06-07:B:explanation_tail
S06-07:B:evaluation_first_display
S06-07:B:continue_part2</x:v>
      </x:c>
      <x:c r="F137" s="14" t="str">
        <x:v>이번 전달 요청의 의미 채택, 표시와 필수 전체 음성 준비. 재생과 사용자 대기는 제외</x:v>
      </x:c>
    </x:row>
    <x:row r="138" ht="112" customHeight="1">
      <x:c r="A138" s="14" t="str">
        <x:v>S06-08:delivery_request</x:v>
      </x:c>
      <x:c r="B138" s="14" t="str">
        <x:v>A</x:v>
      </x:c>
      <x:c r="C138" s="14" t="n">
        <x:v>0</x:v>
      </x:c>
      <x:c r="D138" s="14" t="n">
        <x:v>0.956666667</x:v>
      </x:c>
      <x:c r="E138" s="14" t="str">
        <x:v>S06-08:A:explanation_tail
S06-08:A:evaluation_first_display
S06-08:A:continue_part2</x:v>
      </x:c>
      <x:c r="F138" s="14" t="str">
        <x:v>이번 전달 요청의 의미 채택, 표시와 필수 전체 음성 준비. 재생과 사용자 대기는 제외</x:v>
      </x:c>
    </x:row>
    <x:row r="139" ht="112" customHeight="1">
      <x:c r="A139" s="14" t="str">
        <x:v>S06-08:delivery_request</x:v>
      </x:c>
      <x:c r="B139" s="14" t="str">
        <x:v>B</x:v>
      </x:c>
      <x:c r="C139" s="14" t="n">
        <x:v>0</x:v>
      </x:c>
      <x:c r="D139" s="14" t="n">
        <x:v>0.956666667</x:v>
      </x:c>
      <x:c r="E139" s="14" t="str">
        <x:v>S06-08:B:explanation_tail
S06-08:B:evaluation_first_display
S06-08:B:continue_part2</x:v>
      </x:c>
      <x:c r="F139" s="14" t="str">
        <x:v>이번 전달 요청의 의미 채택, 표시와 필수 전체 음성 준비. 재생과 사용자 대기는 제외</x:v>
      </x:c>
    </x:row>
    <x:row r="140" ht="112" customHeight="1">
      <x:c r="A140" s="14" t="str">
        <x:v>S06-09:delivery_request</x:v>
      </x:c>
      <x:c r="B140" s="14" t="str">
        <x:v>A</x:v>
      </x:c>
      <x:c r="C140" s="14" t="n">
        <x:v>0</x:v>
      </x:c>
      <x:c r="D140" s="14" t="n">
        <x:v>0.91</x:v>
      </x:c>
      <x:c r="E140" s="14" t="str">
        <x:v>S06-09:A:explanation_tail
S06-09:A:evaluation_first_display
S06-09:A:continue_part2</x:v>
      </x:c>
      <x:c r="F140" s="14" t="str">
        <x:v>이번 전달 요청의 의미 채택, 표시와 필수 전체 음성 준비. 재생과 사용자 대기는 제외</x:v>
      </x:c>
    </x:row>
    <x:row r="141" ht="112" customHeight="1">
      <x:c r="A141" s="14" t="str">
        <x:v>S06-09:delivery_request</x:v>
      </x:c>
      <x:c r="B141" s="14" t="str">
        <x:v>B</x:v>
      </x:c>
      <x:c r="C141" s="14" t="n">
        <x:v>0</x:v>
      </x:c>
      <x:c r="D141" s="14" t="n">
        <x:v>0.91</x:v>
      </x:c>
      <x:c r="E141" s="14" t="str">
        <x:v>S06-09:B:explanation_tail
S06-09:B:evaluation_first_display
S06-09:B:continue_part2</x:v>
      </x:c>
      <x:c r="F141" s="14" t="str">
        <x:v>이번 전달 요청의 의미 채택, 표시와 필수 전체 음성 준비. 재생과 사용자 대기는 제외</x:v>
      </x:c>
    </x:row>
    <x:row r="142" ht="112" customHeight="1">
      <x:c r="A142" s="14" t="str">
        <x:v>S06-10:delivery_request</x:v>
      </x:c>
      <x:c r="B142" s="14" t="str">
        <x:v>A</x:v>
      </x:c>
      <x:c r="C142" s="14" t="n">
        <x:v>0</x:v>
      </x:c>
      <x:c r="D142" s="14" t="n">
        <x:v>0.938333333</x:v>
      </x:c>
      <x:c r="E142" s="14" t="str">
        <x:v>S06-10:A:explanation_tail
S06-10:A:evaluation_first_display
S06-10:A:continue_part2</x:v>
      </x:c>
      <x:c r="F142" s="14" t="str">
        <x:v>이번 전달 요청의 의미 채택, 표시와 필수 전체 음성 준비. 재생과 사용자 대기는 제외</x:v>
      </x:c>
    </x:row>
    <x:row r="143" ht="112" customHeight="1">
      <x:c r="A143" s="14" t="str">
        <x:v>S06-10:delivery_request</x:v>
      </x:c>
      <x:c r="B143" s="14" t="str">
        <x:v>B</x:v>
      </x:c>
      <x:c r="C143" s="14" t="n">
        <x:v>0</x:v>
      </x:c>
      <x:c r="D143" s="14" t="n">
        <x:v>0.938333333</x:v>
      </x:c>
      <x:c r="E143" s="14" t="str">
        <x:v>S06-10:B:explanation_tail
S06-10:B:evaluation_first_display
S06-10:B:continue_part2</x:v>
      </x:c>
      <x:c r="F143" s="14" t="str">
        <x:v>이번 전달 요청의 의미 채택, 표시와 필수 전체 음성 준비. 재생과 사용자 대기는 제외</x:v>
      </x:c>
    </x:row>
    <x:row r="144" ht="112" customHeight="1">
      <x:c r="A144" s="14" t="str">
        <x:v>S07-01:delivery_request</x:v>
      </x:c>
      <x:c r="B144" s="14" t="str">
        <x:v>A</x:v>
      </x:c>
      <x:c r="C144" s="14" t="n">
        <x:v>0</x:v>
      </x:c>
      <x:c r="D144" s="14" t="n">
        <x:v>1.1965</x:v>
      </x:c>
      <x:c r="E144" s="14" t="str">
        <x:v>S07-01:A:calendar_tail
S07-01:A:display_calendar
S07-01:A:burst0_played
S07-01:A:mail_tail
S07-01:A:display_mail
S07-01:A:burst1_played
S07-01:A:report_tail
S07-01:A:display_report
S07-01:A:burst2_played
S07-01:A:evaluation_first_display</x:v>
      </x:c>
      <x:c r="F144" s="14" t="str">
        <x:v>이번 전달 요청의 의미 채택, 표시와 필수 전체 음성 준비. 재생과 사용자 대기는 제외</x:v>
      </x:c>
    </x:row>
    <x:row r="145" ht="112" customHeight="1">
      <x:c r="A145" s="14" t="str">
        <x:v>S07-01:delivery_request</x:v>
      </x:c>
      <x:c r="B145" s="14" t="str">
        <x:v>B</x:v>
      </x:c>
      <x:c r="C145" s="14" t="n">
        <x:v>0</x:v>
      </x:c>
      <x:c r="D145" s="14" t="n">
        <x:v>3.853166666</x:v>
      </x:c>
      <x:c r="E145" s="14" t="str">
        <x:v>S07-01:B:calendar_tail
S07-01:B:display_calendar
S07-01:B:burst0_played
S07-01:B:mail_tail
S07-01:B:display_mail
S07-01:B:burst1_played
S07-01:B:report_tail
S07-01:B:display_report
S07-01:B:burst2_played
S07-01:B:evaluation_first_display</x:v>
      </x:c>
      <x:c r="F145" s="14" t="str">
        <x:v>이번 전달 요청의 의미 채택, 표시와 필수 전체 음성 준비. 재생과 사용자 대기는 제외</x:v>
      </x:c>
    </x:row>
    <x:row r="146" ht="112" customHeight="1">
      <x:c r="A146" s="14" t="str">
        <x:v>S07-02:delivery_request</x:v>
      </x:c>
      <x:c r="B146" s="14" t="str">
        <x:v>A</x:v>
      </x:c>
      <x:c r="C146" s="14" t="n">
        <x:v>0</x:v>
      </x:c>
      <x:c r="D146" s="14" t="n">
        <x:v>1.1995</x:v>
      </x:c>
      <x:c r="E146" s="14" t="str">
        <x:v>S07-02:A:calendar_tail
S07-02:A:display_calendar
S07-02:A:burst0_played
S07-02:A:mail_tail
S07-02:A:display_mail
S07-02:A:burst1_played
S07-02:A:report_tail
S07-02:A:display_report
S07-02:A:burst2_played
S07-02:A:evaluation_first_display</x:v>
      </x:c>
      <x:c r="F146" s="14" t="str">
        <x:v>이번 전달 요청의 의미 채택, 표시와 필수 전체 음성 준비. 재생과 사용자 대기는 제외</x:v>
      </x:c>
    </x:row>
    <x:row r="147" ht="112" customHeight="1">
      <x:c r="A147" s="14" t="str">
        <x:v>S07-02:delivery_request</x:v>
      </x:c>
      <x:c r="B147" s="14" t="str">
        <x:v>B</x:v>
      </x:c>
      <x:c r="C147" s="14" t="n">
        <x:v>0</x:v>
      </x:c>
      <x:c r="D147" s="14" t="n">
        <x:v>3.8845</x:v>
      </x:c>
      <x:c r="E147" s="14" t="str">
        <x:v>S07-02:B:calendar_tail
S07-02:B:display_calendar
S07-02:B:burst0_played
S07-02:B:mail_tail
S07-02:B:display_mail
S07-02:B:burst1_played
S07-02:B:report_tail
S07-02:B:display_report
S07-02:B:burst2_played
S07-02:B:evaluation_first_display</x:v>
      </x:c>
      <x:c r="F147" s="14" t="str">
        <x:v>이번 전달 요청의 의미 채택, 표시와 필수 전체 음성 준비. 재생과 사용자 대기는 제외</x:v>
      </x:c>
    </x:row>
    <x:row r="148" ht="112" customHeight="1">
      <x:c r="A148" s="14" t="str">
        <x:v>S07-03:delivery_request</x:v>
      </x:c>
      <x:c r="B148" s="14" t="str">
        <x:v>A</x:v>
      </x:c>
      <x:c r="C148" s="14" t="n">
        <x:v>0</x:v>
      </x:c>
      <x:c r="D148" s="14" t="n">
        <x:v>1.2025</x:v>
      </x:c>
      <x:c r="E148" s="14" t="str">
        <x:v>S07-03:A:calendar_tail
S07-03:A:display_calendar
S07-03:A:burst0_played
S07-03:A:mail_tail
S07-03:A:display_mail
S07-03:A:burst1_played
S07-03:A:report_tail
S07-03:A:display_report
S07-03:A:burst2_played
S07-03:A:evaluation_first_display</x:v>
      </x:c>
      <x:c r="F148" s="14" t="str">
        <x:v>이번 전달 요청의 의미 채택, 표시와 필수 전체 음성 준비. 재생과 사용자 대기는 제외</x:v>
      </x:c>
    </x:row>
    <x:row r="149" ht="112" customHeight="1">
      <x:c r="A149" s="14" t="str">
        <x:v>S07-03:delivery_request</x:v>
      </x:c>
      <x:c r="B149" s="14" t="str">
        <x:v>B</x:v>
      </x:c>
      <x:c r="C149" s="14" t="n">
        <x:v>0</x:v>
      </x:c>
      <x:c r="D149" s="14" t="n">
        <x:v>3.840833333</x:v>
      </x:c>
      <x:c r="E149" s="14" t="str">
        <x:v>S07-03:B:calendar_tail
S07-03:B:display_calendar
S07-03:B:burst0_played
S07-03:B:mail_tail
S07-03:B:display_mail
S07-03:B:burst1_played
S07-03:B:report_tail
S07-03:B:display_report
S07-03:B:burst2_played
S07-03:B:evaluation_first_display</x:v>
      </x:c>
      <x:c r="F149" s="14" t="str">
        <x:v>이번 전달 요청의 의미 채택, 표시와 필수 전체 음성 준비. 재생과 사용자 대기는 제외</x:v>
      </x:c>
    </x:row>
    <x:row r="150" ht="112" customHeight="1">
      <x:c r="A150" s="14" t="str">
        <x:v>S07-04:delivery_request</x:v>
      </x:c>
      <x:c r="B150" s="14" t="str">
        <x:v>A</x:v>
      </x:c>
      <x:c r="C150" s="14" t="n">
        <x:v>0</x:v>
      </x:c>
      <x:c r="D150" s="14" t="n">
        <x:v>1.2055</x:v>
      </x:c>
      <x:c r="E150" s="14" t="str">
        <x:v>S07-04:A:calendar_tail
S07-04:A:display_calendar
S07-04:A:burst0_played
S07-04:A:mail_tail
S07-04:A:display_mail
S07-04:A:burst1_played
S07-04:A:report_tail
S07-04:A:display_report
S07-04:A:burst2_played
S07-04:A:evaluation_first_display</x:v>
      </x:c>
      <x:c r="F150" s="14" t="str">
        <x:v>이번 전달 요청의 의미 채택, 표시와 필수 전체 음성 준비. 재생과 사용자 대기는 제외</x:v>
      </x:c>
    </x:row>
    <x:row r="151" ht="112" customHeight="1">
      <x:c r="A151" s="14" t="str">
        <x:v>S07-04:delivery_request</x:v>
      </x:c>
      <x:c r="B151" s="14" t="str">
        <x:v>B</x:v>
      </x:c>
      <x:c r="C151" s="14" t="n">
        <x:v>0</x:v>
      </x:c>
      <x:c r="D151" s="14" t="n">
        <x:v>3.872166666</x:v>
      </x:c>
      <x:c r="E151" s="14" t="str">
        <x:v>S07-04:B:calendar_tail
S07-04:B:display_calendar
S07-04:B:burst0_played
S07-04:B:mail_tail
S07-04:B:display_mail
S07-04:B:burst1_played
S07-04:B:report_tail
S07-04:B:display_report
S07-04:B:burst2_played
S07-04:B:evaluation_first_display</x:v>
      </x:c>
      <x:c r="F151" s="14" t="str">
        <x:v>이번 전달 요청의 의미 채택, 표시와 필수 전체 음성 준비. 재생과 사용자 대기는 제외</x:v>
      </x:c>
    </x:row>
    <x:row r="152" ht="112" customHeight="1">
      <x:c r="A152" s="14" t="str">
        <x:v>S07-05:delivery_request</x:v>
      </x:c>
      <x:c r="B152" s="14" t="str">
        <x:v>A</x:v>
      </x:c>
      <x:c r="C152" s="14" t="n">
        <x:v>0</x:v>
      </x:c>
      <x:c r="D152" s="14" t="n">
        <x:v>1.2085</x:v>
      </x:c>
      <x:c r="E152" s="14" t="str">
        <x:v>S07-05:A:calendar_tail
S07-05:A:display_calendar
S07-05:A:burst0_played
S07-05:A:mail_tail
S07-05:A:display_mail
S07-05:A:burst1_played
S07-05:A:report_tail
S07-05:A:display_report
S07-05:A:burst2_played
S07-05:A:evaluation_first_display</x:v>
      </x:c>
      <x:c r="F152" s="14" t="str">
        <x:v>이번 전달 요청의 의미 채택, 표시와 필수 전체 음성 준비. 재생과 사용자 대기는 제외</x:v>
      </x:c>
    </x:row>
    <x:row r="153" ht="112" customHeight="1">
      <x:c r="A153" s="14" t="str">
        <x:v>S07-05:delivery_request</x:v>
      </x:c>
      <x:c r="B153" s="14" t="str">
        <x:v>B</x:v>
      </x:c>
      <x:c r="C153" s="14" t="n">
        <x:v>0</x:v>
      </x:c>
      <x:c r="D153" s="14" t="n">
        <x:v>3.9035</x:v>
      </x:c>
      <x:c r="E153" s="14" t="str">
        <x:v>S07-05:B:calendar_tail
S07-05:B:display_calendar
S07-05:B:burst0_played
S07-05:B:mail_tail
S07-05:B:display_mail
S07-05:B:burst1_played
S07-05:B:report_tail
S07-05:B:display_report
S07-05:B:burst2_played
S07-05:B:evaluation_first_display</x:v>
      </x:c>
      <x:c r="F153" s="14" t="str">
        <x:v>이번 전달 요청의 의미 채택, 표시와 필수 전체 음성 준비. 재생과 사용자 대기는 제외</x:v>
      </x:c>
    </x:row>
    <x:row r="154" ht="112" customHeight="1">
      <x:c r="A154" s="14" t="str">
        <x:v>S07-06:delivery_request</x:v>
      </x:c>
      <x:c r="B154" s="14" t="str">
        <x:v>A</x:v>
      </x:c>
      <x:c r="C154" s="14" t="n">
        <x:v>0</x:v>
      </x:c>
      <x:c r="D154" s="14" t="n">
        <x:v>1.2115</x:v>
      </x:c>
      <x:c r="E154" s="14" t="str">
        <x:v>S07-06:A:calendar_tail
S07-06:A:display_calendar
S07-06:A:burst0_played
S07-06:A:mail_tail
S07-06:A:display_mail
S07-06:A:burst1_played
S07-06:A:report_tail
S07-06:A:display_report
S07-06:A:burst2_played
S07-06:A:evaluation_first_display</x:v>
      </x:c>
      <x:c r="F154" s="14" t="str">
        <x:v>이번 전달 요청의 의미 채택, 표시와 필수 전체 음성 준비. 재생과 사용자 대기는 제외</x:v>
      </x:c>
    </x:row>
    <x:row r="155" ht="112" customHeight="1">
      <x:c r="A155" s="14" t="str">
        <x:v>S07-06:delivery_request</x:v>
      </x:c>
      <x:c r="B155" s="14" t="str">
        <x:v>B</x:v>
      </x:c>
      <x:c r="C155" s="14" t="n">
        <x:v>0</x:v>
      </x:c>
      <x:c r="D155" s="14" t="n">
        <x:v>3.859833333</x:v>
      </x:c>
      <x:c r="E155" s="14" t="str">
        <x:v>S07-06:B:calendar_tail
S07-06:B:display_calendar
S07-06:B:burst0_played
S07-06:B:mail_tail
S07-06:B:display_mail
S07-06:B:burst1_played
S07-06:B:report_tail
S07-06:B:display_report
S07-06:B:burst2_played
S07-06:B:evaluation_first_display</x:v>
      </x:c>
      <x:c r="F155" s="14" t="str">
        <x:v>이번 전달 요청의 의미 채택, 표시와 필수 전체 음성 준비. 재생과 사용자 대기는 제외</x:v>
      </x:c>
    </x:row>
    <x:row r="156" ht="112" customHeight="1">
      <x:c r="A156" s="14" t="str">
        <x:v>S07-07:delivery_request</x:v>
      </x:c>
      <x:c r="B156" s="14" t="str">
        <x:v>A</x:v>
      </x:c>
      <x:c r="C156" s="14" t="n">
        <x:v>0</x:v>
      </x:c>
      <x:c r="D156" s="14" t="n">
        <x:v>1.2145</x:v>
      </x:c>
      <x:c r="E156" s="14" t="str">
        <x:v>S07-07:A:calendar_tail
S07-07:A:display_calendar
S07-07:A:burst0_played
S07-07:A:mail_tail
S07-07:A:display_mail
S07-07:A:burst1_played
S07-07:A:report_tail
S07-07:A:display_report
S07-07:A:burst2_played
S07-07:A:evaluation_first_display</x:v>
      </x:c>
      <x:c r="F156" s="14" t="str">
        <x:v>이번 전달 요청의 의미 채택, 표시와 필수 전체 음성 준비. 재생과 사용자 대기는 제외</x:v>
      </x:c>
    </x:row>
    <x:row r="157" ht="112" customHeight="1">
      <x:c r="A157" s="14" t="str">
        <x:v>S07-07:delivery_request</x:v>
      </x:c>
      <x:c r="B157" s="14" t="str">
        <x:v>B</x:v>
      </x:c>
      <x:c r="C157" s="14" t="n">
        <x:v>0</x:v>
      </x:c>
      <x:c r="D157" s="14" t="n">
        <x:v>3.891166666</x:v>
      </x:c>
      <x:c r="E157" s="14" t="str">
        <x:v>S07-07:B:calendar_tail
S07-07:B:display_calendar
S07-07:B:burst0_played
S07-07:B:mail_tail
S07-07:B:display_mail
S07-07:B:burst1_played
S07-07:B:report_tail
S07-07:B:display_report
S07-07:B:burst2_played
S07-07:B:evaluation_first_display</x:v>
      </x:c>
      <x:c r="F157" s="14" t="str">
        <x:v>이번 전달 요청의 의미 채택, 표시와 필수 전체 음성 준비. 재생과 사용자 대기는 제외</x:v>
      </x:c>
    </x:row>
    <x:row r="158" ht="112" customHeight="1">
      <x:c r="A158" s="14" t="str">
        <x:v>S07-08:delivery_request</x:v>
      </x:c>
      <x:c r="B158" s="14" t="str">
        <x:v>A</x:v>
      </x:c>
      <x:c r="C158" s="14" t="n">
        <x:v>0</x:v>
      </x:c>
      <x:c r="D158" s="14" t="n">
        <x:v>1.2175</x:v>
      </x:c>
      <x:c r="E158" s="14" t="str">
        <x:v>S07-08:A:calendar_tail
S07-08:A:display_calendar
S07-08:A:burst0_played
S07-08:A:mail_tail
S07-08:A:display_mail
S07-08:A:burst1_played
S07-08:A:report_tail
S07-08:A:display_report
S07-08:A:burst2_played
S07-08:A:evaluation_first_display</x:v>
      </x:c>
      <x:c r="F158" s="14" t="str">
        <x:v>이번 전달 요청의 의미 채택, 표시와 필수 전체 음성 준비. 재생과 사용자 대기는 제외</x:v>
      </x:c>
    </x:row>
    <x:row r="159" ht="112" customHeight="1">
      <x:c r="A159" s="14" t="str">
        <x:v>S07-08:delivery_request</x:v>
      </x:c>
      <x:c r="B159" s="14" t="str">
        <x:v>B</x:v>
      </x:c>
      <x:c r="C159" s="14" t="n">
        <x:v>0</x:v>
      </x:c>
      <x:c r="D159" s="14" t="n">
        <x:v>3.9225</x:v>
      </x:c>
      <x:c r="E159" s="14" t="str">
        <x:v>S07-08:B:calendar_tail
S07-08:B:display_calendar
S07-08:B:burst0_played
S07-08:B:mail_tail
S07-08:B:display_mail
S07-08:B:burst1_played
S07-08:B:report_tail
S07-08:B:display_report
S07-08:B:burst2_played
S07-08:B:evaluation_first_display</x:v>
      </x:c>
      <x:c r="F159" s="14" t="str">
        <x:v>이번 전달 요청의 의미 채택, 표시와 필수 전체 음성 준비. 재생과 사용자 대기는 제외</x:v>
      </x:c>
    </x:row>
    <x:row r="160" ht="112" customHeight="1">
      <x:c r="A160" s="14" t="str">
        <x:v>S07-09:delivery_request</x:v>
      </x:c>
      <x:c r="B160" s="14" t="str">
        <x:v>A</x:v>
      </x:c>
      <x:c r="C160" s="14" t="n">
        <x:v>0</x:v>
      </x:c>
      <x:c r="D160" s="14" t="n">
        <x:v>1.2205</x:v>
      </x:c>
      <x:c r="E160" s="14" t="str">
        <x:v>S07-09:A:calendar_tail
S07-09:A:display_calendar
S07-09:A:burst0_played
S07-09:A:mail_tail
S07-09:A:display_mail
S07-09:A:burst1_played
S07-09:A:report_tail
S07-09:A:display_report
S07-09:A:burst2_played
S07-09:A:evaluation_first_display</x:v>
      </x:c>
      <x:c r="F160" s="14" t="str">
        <x:v>이번 전달 요청의 의미 채택, 표시와 필수 전체 음성 준비. 재생과 사용자 대기는 제외</x:v>
      </x:c>
    </x:row>
    <x:row r="161" ht="112" customHeight="1">
      <x:c r="A161" s="14" t="str">
        <x:v>S07-09:delivery_request</x:v>
      </x:c>
      <x:c r="B161" s="14" t="str">
        <x:v>B</x:v>
      </x:c>
      <x:c r="C161" s="14" t="n">
        <x:v>0</x:v>
      </x:c>
      <x:c r="D161" s="14" t="n">
        <x:v>3.878833333</x:v>
      </x:c>
      <x:c r="E161" s="14" t="str">
        <x:v>S07-09:B:calendar_tail
S07-09:B:display_calendar
S07-09:B:burst0_played
S07-09:B:mail_tail
S07-09:B:display_mail
S07-09:B:burst1_played
S07-09:B:report_tail
S07-09:B:display_report
S07-09:B:burst2_played
S07-09:B:evaluation_first_display</x:v>
      </x:c>
      <x:c r="F161" s="14" t="str">
        <x:v>이번 전달 요청의 의미 채택, 표시와 필수 전체 음성 준비. 재생과 사용자 대기는 제외</x:v>
      </x:c>
    </x:row>
    <x:row r="162" ht="112" customHeight="1">
      <x:c r="A162" s="14" t="str">
        <x:v>S07-10:delivery_request</x:v>
      </x:c>
      <x:c r="B162" s="14" t="str">
        <x:v>A</x:v>
      </x:c>
      <x:c r="C162" s="14" t="n">
        <x:v>0</x:v>
      </x:c>
      <x:c r="D162" s="14" t="n">
        <x:v>1.2235</x:v>
      </x:c>
      <x:c r="E162" s="14" t="str">
        <x:v>S07-10:A:calendar_tail
S07-10:A:display_calendar
S07-10:A:burst0_played
S07-10:A:mail_tail
S07-10:A:display_mail
S07-10:A:burst1_played
S07-10:A:report_tail
S07-10:A:display_report
S07-10:A:burst2_played
S07-10:A:evaluation_first_display</x:v>
      </x:c>
      <x:c r="F162" s="14" t="str">
        <x:v>이번 전달 요청의 의미 채택, 표시와 필수 전체 음성 준비. 재생과 사용자 대기는 제외</x:v>
      </x:c>
    </x:row>
    <x:row r="163" ht="112" customHeight="1">
      <x:c r="A163" s="14" t="str">
        <x:v>S07-10:delivery_request</x:v>
      </x:c>
      <x:c r="B163" s="14" t="str">
        <x:v>B</x:v>
      </x:c>
      <x:c r="C163" s="14" t="n">
        <x:v>0</x:v>
      </x:c>
      <x:c r="D163" s="14" t="n">
        <x:v>3.910166666</x:v>
      </x:c>
      <x:c r="E163" s="14" t="str">
        <x:v>S07-10:B:calendar_tail
S07-10:B:display_calendar
S07-10:B:burst0_played
S07-10:B:mail_tail
S07-10:B:display_mail
S07-10:B:burst1_played
S07-10:B:report_tail
S07-10:B:display_report
S07-10:B:burst2_played
S07-10:B:evaluation_first_display</x:v>
      </x:c>
      <x:c r="F163" s="14" t="str">
        <x:v>이번 전달 요청의 의미 채택, 표시와 필수 전체 음성 준비. 재생과 사용자 대기는 제외</x:v>
      </x:c>
    </x:row>
    <x:row r="164" ht="112" customHeight="1">
      <x:c r="A164" s="14" t="str">
        <x:v>S08-01:delivery_request</x:v>
      </x:c>
      <x:c r="B164" s="14" t="str">
        <x:v>A</x:v>
      </x:c>
      <x:c r="C164" s="14" t="n">
        <x:v>0</x:v>
      </x:c>
      <x:c r="D164" s="14" t="n">
        <x:v>1.0375</x:v>
      </x:c>
      <x:c r="E164" s="14" t="str">
        <x:v>S08-01:A:question_tail
S08-01:A:evaluation_first_display
S08-01:A:question_played</x:v>
      </x:c>
      <x:c r="F164" s="14" t="str">
        <x:v>이번 전달 요청의 의미 채택, 표시와 필수 전체 음성 준비. 재생과 사용자 대기는 제외</x:v>
      </x:c>
    </x:row>
    <x:row r="165" ht="112" customHeight="1">
      <x:c r="A165" s="14" t="str">
        <x:v>S08-01:delivery_request</x:v>
      </x:c>
      <x:c r="B165" s="14" t="str">
        <x:v>B</x:v>
      </x:c>
      <x:c r="C165" s="14" t="n">
        <x:v>0</x:v>
      </x:c>
      <x:c r="D165" s="14" t="n">
        <x:v>1.905833333</x:v>
      </x:c>
      <x:c r="E165" s="14" t="str">
        <x:v>S08-01:B:question_tail
S08-01:B:evaluation_first_display
S08-01:B:question_played</x:v>
      </x:c>
      <x:c r="F165" s="14" t="str">
        <x:v>이번 전달 요청의 의미 채택, 표시와 필수 전체 음성 준비. 재생과 사용자 대기는 제외</x:v>
      </x:c>
    </x:row>
    <x:row r="166" ht="112" customHeight="1">
      <x:c r="A166" s="14" t="str">
        <x:v>S08-02:delivery_request</x:v>
      </x:c>
      <x:c r="B166" s="14" t="str">
        <x:v>A</x:v>
      </x:c>
      <x:c r="C166" s="14" t="n">
        <x:v>0</x:v>
      </x:c>
      <x:c r="D166" s="14" t="n">
        <x:v>1.0405</x:v>
      </x:c>
      <x:c r="E166" s="14" t="str">
        <x:v>S08-02:A:question_tail
S08-02:A:evaluation_first_display
S08-02:A:question_played</x:v>
      </x:c>
      <x:c r="F166" s="14" t="str">
        <x:v>이번 전달 요청의 의미 채택, 표시와 필수 전체 음성 준비. 재생과 사용자 대기는 제외</x:v>
      </x:c>
    </x:row>
    <x:row r="167" ht="112" customHeight="1">
      <x:c r="A167" s="14" t="str">
        <x:v>S08-02:delivery_request</x:v>
      </x:c>
      <x:c r="B167" s="14" t="str">
        <x:v>B</x:v>
      </x:c>
      <x:c r="C167" s="14" t="n">
        <x:v>0</x:v>
      </x:c>
      <x:c r="D167" s="14" t="n">
        <x:v>1.937166667</x:v>
      </x:c>
      <x:c r="E167" s="14" t="str">
        <x:v>S08-02:B:question_tail
S08-02:B:evaluation_first_display
S08-02:B:question_played</x:v>
      </x:c>
      <x:c r="F167" s="14" t="str">
        <x:v>이번 전달 요청의 의미 채택, 표시와 필수 전체 음성 준비. 재생과 사용자 대기는 제외</x:v>
      </x:c>
    </x:row>
    <x:row r="168" ht="112" customHeight="1">
      <x:c r="A168" s="14" t="str">
        <x:v>S08-03:delivery_request</x:v>
      </x:c>
      <x:c r="B168" s="14" t="str">
        <x:v>A</x:v>
      </x:c>
      <x:c r="C168" s="14" t="n">
        <x:v>0</x:v>
      </x:c>
      <x:c r="D168" s="14" t="n">
        <x:v>1.0435</x:v>
      </x:c>
      <x:c r="E168" s="14" t="str">
        <x:v>S08-03:A:question_tail
S08-03:A:evaluation_first_display
S08-03:A:question_played</x:v>
      </x:c>
      <x:c r="F168" s="14" t="str">
        <x:v>이번 전달 요청의 의미 채택, 표시와 필수 전체 음성 준비. 재생과 사용자 대기는 제외</x:v>
      </x:c>
    </x:row>
    <x:row r="169" ht="112" customHeight="1">
      <x:c r="A169" s="14" t="str">
        <x:v>S08-03:delivery_request</x:v>
      </x:c>
      <x:c r="B169" s="14" t="str">
        <x:v>B</x:v>
      </x:c>
      <x:c r="C169" s="14" t="n">
        <x:v>0</x:v>
      </x:c>
      <x:c r="D169" s="14" t="n">
        <x:v>1.8935</x:v>
      </x:c>
      <x:c r="E169" s="14" t="str">
        <x:v>S08-03:B:question_tail
S08-03:B:evaluation_first_display
S08-03:B:question_played</x:v>
      </x:c>
      <x:c r="F169" s="14" t="str">
        <x:v>이번 전달 요청의 의미 채택, 표시와 필수 전체 음성 준비. 재생과 사용자 대기는 제외</x:v>
      </x:c>
    </x:row>
    <x:row r="170" ht="112" customHeight="1">
      <x:c r="A170" s="14" t="str">
        <x:v>S08-04:delivery_request</x:v>
      </x:c>
      <x:c r="B170" s="14" t="str">
        <x:v>A</x:v>
      </x:c>
      <x:c r="C170" s="14" t="n">
        <x:v>0</x:v>
      </x:c>
      <x:c r="D170" s="14" t="n">
        <x:v>1.0465</x:v>
      </x:c>
      <x:c r="E170" s="14" t="str">
        <x:v>S08-04:A:question_tail
S08-04:A:evaluation_first_display
S08-04:A:question_played</x:v>
      </x:c>
      <x:c r="F170" s="14" t="str">
        <x:v>이번 전달 요청의 의미 채택, 표시와 필수 전체 음성 준비. 재생과 사용자 대기는 제외</x:v>
      </x:c>
    </x:row>
    <x:row r="171" ht="112" customHeight="1">
      <x:c r="A171" s="14" t="str">
        <x:v>S08-04:delivery_request</x:v>
      </x:c>
      <x:c r="B171" s="14" t="str">
        <x:v>B</x:v>
      </x:c>
      <x:c r="C171" s="14" t="n">
        <x:v>0</x:v>
      </x:c>
      <x:c r="D171" s="14" t="n">
        <x:v>1.924833333</x:v>
      </x:c>
      <x:c r="E171" s="14" t="str">
        <x:v>S08-04:B:question_tail
S08-04:B:evaluation_first_display
S08-04:B:question_played</x:v>
      </x:c>
      <x:c r="F171" s="14" t="str">
        <x:v>이번 전달 요청의 의미 채택, 표시와 필수 전체 음성 준비. 재생과 사용자 대기는 제외</x:v>
      </x:c>
    </x:row>
    <x:row r="172" ht="112" customHeight="1">
      <x:c r="A172" s="14" t="str">
        <x:v>S08-05:delivery_request</x:v>
      </x:c>
      <x:c r="B172" s="14" t="str">
        <x:v>A</x:v>
      </x:c>
      <x:c r="C172" s="14" t="n">
        <x:v>0</x:v>
      </x:c>
      <x:c r="D172" s="14" t="n">
        <x:v>1.0495</x:v>
      </x:c>
      <x:c r="E172" s="14" t="str">
        <x:v>S08-05:A:question_tail
S08-05:A:evaluation_first_display
S08-05:A:question_played</x:v>
      </x:c>
      <x:c r="F172" s="14" t="str">
        <x:v>이번 전달 요청의 의미 채택, 표시와 필수 전체 음성 준비. 재생과 사용자 대기는 제외</x:v>
      </x:c>
    </x:row>
    <x:row r="173" ht="112" customHeight="1">
      <x:c r="A173" s="14" t="str">
        <x:v>S08-05:delivery_request</x:v>
      </x:c>
      <x:c r="B173" s="14" t="str">
        <x:v>B</x:v>
      </x:c>
      <x:c r="C173" s="14" t="n">
        <x:v>0</x:v>
      </x:c>
      <x:c r="D173" s="14" t="n">
        <x:v>1.956166667</x:v>
      </x:c>
      <x:c r="E173" s="14" t="str">
        <x:v>S08-05:B:question_tail
S08-05:B:evaluation_first_display
S08-05:B:question_played</x:v>
      </x:c>
      <x:c r="F173" s="14" t="str">
        <x:v>이번 전달 요청의 의미 채택, 표시와 필수 전체 음성 준비. 재생과 사용자 대기는 제외</x:v>
      </x:c>
    </x:row>
    <x:row r="174" ht="112" customHeight="1">
      <x:c r="A174" s="14" t="str">
        <x:v>S08-06:delivery_request</x:v>
      </x:c>
      <x:c r="B174" s="14" t="str">
        <x:v>A</x:v>
      </x:c>
      <x:c r="C174" s="14" t="n">
        <x:v>0</x:v>
      </x:c>
      <x:c r="D174" s="14" t="n">
        <x:v>1.0525</x:v>
      </x:c>
      <x:c r="E174" s="14" t="str">
        <x:v>S08-06:A:question_tail
S08-06:A:evaluation_first_display
S08-06:A:question_played</x:v>
      </x:c>
      <x:c r="F174" s="14" t="str">
        <x:v>이번 전달 요청의 의미 채택, 표시와 필수 전체 음성 준비. 재생과 사용자 대기는 제외</x:v>
      </x:c>
    </x:row>
    <x:row r="175" ht="112" customHeight="1">
      <x:c r="A175" s="14" t="str">
        <x:v>S08-06:delivery_request</x:v>
      </x:c>
      <x:c r="B175" s="14" t="str">
        <x:v>B</x:v>
      </x:c>
      <x:c r="C175" s="14" t="n">
        <x:v>0</x:v>
      </x:c>
      <x:c r="D175" s="14" t="n">
        <x:v>1.9125</x:v>
      </x:c>
      <x:c r="E175" s="14" t="str">
        <x:v>S08-06:B:question_tail
S08-06:B:evaluation_first_display
S08-06:B:question_played</x:v>
      </x:c>
      <x:c r="F175" s="14" t="str">
        <x:v>이번 전달 요청의 의미 채택, 표시와 필수 전체 음성 준비. 재생과 사용자 대기는 제외</x:v>
      </x:c>
    </x:row>
    <x:row r="176" ht="112" customHeight="1">
      <x:c r="A176" s="14" t="str">
        <x:v>S08-07:delivery_request</x:v>
      </x:c>
      <x:c r="B176" s="14" t="str">
        <x:v>A</x:v>
      </x:c>
      <x:c r="C176" s="14" t="n">
        <x:v>0</x:v>
      </x:c>
      <x:c r="D176" s="14" t="n">
        <x:v>1.0555</x:v>
      </x:c>
      <x:c r="E176" s="14" t="str">
        <x:v>S08-07:A:question_tail
S08-07:A:evaluation_first_display
S08-07:A:question_played</x:v>
      </x:c>
      <x:c r="F176" s="14" t="str">
        <x:v>이번 전달 요청의 의미 채택, 표시와 필수 전체 음성 준비. 재생과 사용자 대기는 제외</x:v>
      </x:c>
    </x:row>
    <x:row r="177" ht="112" customHeight="1">
      <x:c r="A177" s="14" t="str">
        <x:v>S08-07:delivery_request</x:v>
      </x:c>
      <x:c r="B177" s="14" t="str">
        <x:v>B</x:v>
      </x:c>
      <x:c r="C177" s="14" t="n">
        <x:v>0</x:v>
      </x:c>
      <x:c r="D177" s="14" t="n">
        <x:v>1.943833333</x:v>
      </x:c>
      <x:c r="E177" s="14" t="str">
        <x:v>S08-07:B:question_tail
S08-07:B:evaluation_first_display
S08-07:B:question_played</x:v>
      </x:c>
      <x:c r="F177" s="14" t="str">
        <x:v>이번 전달 요청의 의미 채택, 표시와 필수 전체 음성 준비. 재생과 사용자 대기는 제외</x:v>
      </x:c>
    </x:row>
    <x:row r="178" ht="112" customHeight="1">
      <x:c r="A178" s="14" t="str">
        <x:v>S08-08:delivery_request</x:v>
      </x:c>
      <x:c r="B178" s="14" t="str">
        <x:v>A</x:v>
      </x:c>
      <x:c r="C178" s="14" t="n">
        <x:v>0</x:v>
      </x:c>
      <x:c r="D178" s="14" t="n">
        <x:v>1.0585</x:v>
      </x:c>
      <x:c r="E178" s="14" t="str">
        <x:v>S08-08:A:question_tail
S08-08:A:evaluation_first_display
S08-08:A:question_played</x:v>
      </x:c>
      <x:c r="F178" s="14" t="str">
        <x:v>이번 전달 요청의 의미 채택, 표시와 필수 전체 음성 준비. 재생과 사용자 대기는 제외</x:v>
      </x:c>
    </x:row>
    <x:row r="179" ht="112" customHeight="1">
      <x:c r="A179" s="14" t="str">
        <x:v>S08-08:delivery_request</x:v>
      </x:c>
      <x:c r="B179" s="14" t="str">
        <x:v>B</x:v>
      </x:c>
      <x:c r="C179" s="14" t="n">
        <x:v>0</x:v>
      </x:c>
      <x:c r="D179" s="14" t="n">
        <x:v>1.975166667</x:v>
      </x:c>
      <x:c r="E179" s="14" t="str">
        <x:v>S08-08:B:question_tail
S08-08:B:evaluation_first_display
S08-08:B:question_played</x:v>
      </x:c>
      <x:c r="F179" s="14" t="str">
        <x:v>이번 전달 요청의 의미 채택, 표시와 필수 전체 음성 준비. 재생과 사용자 대기는 제외</x:v>
      </x:c>
    </x:row>
    <x:row r="180" ht="112" customHeight="1">
      <x:c r="A180" s="14" t="str">
        <x:v>S08-09:delivery_request</x:v>
      </x:c>
      <x:c r="B180" s="14" t="str">
        <x:v>A</x:v>
      </x:c>
      <x:c r="C180" s="14" t="n">
        <x:v>0</x:v>
      </x:c>
      <x:c r="D180" s="14" t="n">
        <x:v>1.0615</x:v>
      </x:c>
      <x:c r="E180" s="14" t="str">
        <x:v>S08-09:A:question_tail
S08-09:A:evaluation_first_display
S08-09:A:question_played</x:v>
      </x:c>
      <x:c r="F180" s="14" t="str">
        <x:v>이번 전달 요청의 의미 채택, 표시와 필수 전체 음성 준비. 재생과 사용자 대기는 제외</x:v>
      </x:c>
    </x:row>
    <x:row r="181" ht="112" customHeight="1">
      <x:c r="A181" s="14" t="str">
        <x:v>S08-09:delivery_request</x:v>
      </x:c>
      <x:c r="B181" s="14" t="str">
        <x:v>B</x:v>
      </x:c>
      <x:c r="C181" s="14" t="n">
        <x:v>0</x:v>
      </x:c>
      <x:c r="D181" s="14" t="n">
        <x:v>1.9315</x:v>
      </x:c>
      <x:c r="E181" s="14" t="str">
        <x:v>S08-09:B:question_tail
S08-09:B:evaluation_first_display
S08-09:B:question_played</x:v>
      </x:c>
      <x:c r="F181" s="14" t="str">
        <x:v>이번 전달 요청의 의미 채택, 표시와 필수 전체 음성 준비. 재생과 사용자 대기는 제외</x:v>
      </x:c>
    </x:row>
    <x:row r="182" ht="112" customHeight="1">
      <x:c r="A182" s="14" t="str">
        <x:v>S08-10:delivery_request</x:v>
      </x:c>
      <x:c r="B182" s="14" t="str">
        <x:v>A</x:v>
      </x:c>
      <x:c r="C182" s="14" t="n">
        <x:v>0</x:v>
      </x:c>
      <x:c r="D182" s="14" t="n">
        <x:v>1.0645</x:v>
      </x:c>
      <x:c r="E182" s="14" t="str">
        <x:v>S08-10:A:question_tail
S08-10:A:evaluation_first_display
S08-10:A:question_played</x:v>
      </x:c>
      <x:c r="F182" s="14" t="str">
        <x:v>이번 전달 요청의 의미 채택, 표시와 필수 전체 음성 준비. 재생과 사용자 대기는 제외</x:v>
      </x:c>
    </x:row>
    <x:row r="183" ht="112" customHeight="1">
      <x:c r="A183" s="14" t="str">
        <x:v>S08-10:delivery_request</x:v>
      </x:c>
      <x:c r="B183" s="14" t="str">
        <x:v>B</x:v>
      </x:c>
      <x:c r="C183" s="14" t="n">
        <x:v>0</x:v>
      </x:c>
      <x:c r="D183" s="14" t="n">
        <x:v>1.962833333</x:v>
      </x:c>
      <x:c r="E183" s="14" t="str">
        <x:v>S08-10:B:question_tail
S08-10:B:evaluation_first_display
S08-10:B:question_played</x:v>
      </x:c>
      <x:c r="F183" s="14" t="str">
        <x:v>이번 전달 요청의 의미 채택, 표시와 필수 전체 음성 준비. 재생과 사용자 대기는 제외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3d1d0b3b908499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5" hidden="0" customWidth="1"/>
    <x:col min="2" max="2" width="19" hidden="0" customWidth="1"/>
    <x:col min="3" max="3" width="2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60" hidden="0" customWidth="1"/>
  </x:cols>
  <x:sheetData>
    <x:row r="1" ht="32" customHeight="1">
      <x:c r="A1" s="15" t="str">
        <x:v>선행 관계와 실제 경과시간 가정</x:v>
      </x:c>
      <x:c r="B1" s="15"/>
      <x:c r="C1" s="15"/>
      <x:c r="D1" s="15"/>
      <x:c r="E1" s="15"/>
      <x:c r="F1" s="15"/>
      <x:c r="G1" s="15"/>
      <x:c r="H1" s="15"/>
    </x:row>
    <x:row r="2" ht="28" customHeight="1">
      <x:c r="A2" s="16" t="str">
        <x:v>작성 가정 기반 합성 자료. 원본: synthetic-data.json. 실제 모델 실행 및 제품 시험 아님.</x:v>
      </x:c>
      <x:c r="B2" s="16"/>
      <x:c r="C2" s="16"/>
      <x:c r="D2" s="16"/>
      <x:c r="E2" s="16"/>
      <x:c r="F2" s="16"/>
      <x:c r="G2" s="16"/>
      <x:c r="H2" s="16"/>
    </x:row>
    <x:row r="3" ht="34" customHeight="1">
      <x:c r="A3" s="8" t="str">
        <x:v>단계 ID</x:v>
      </x:c>
      <x:c r="B3" s="8" t="str">
        <x:v>안</x:v>
      </x:c>
      <x:c r="C3" s="8" t="str">
        <x:v>단계명</x:v>
      </x:c>
      <x:c r="D3" s="8" t="str">
        <x:v>시작 초</x:v>
      </x:c>
      <x:c r="E3" s="8" t="str">
        <x:v>종료 초</x:v>
      </x:c>
      <x:c r="F3" s="8" t="str">
        <x:v>duration 초</x:v>
      </x:c>
      <x:c r="G3" s="8" t="str">
        <x:v>VIA 포함</x:v>
      </x:c>
      <x:c r="H3" s="8" t="str">
        <x:v>선행 단계</x:v>
      </x:c>
    </x:row>
    <x:row r="4" ht="72" customHeight="1">
      <x:c r="A4" s="14" t="str">
        <x:v>S01-01:A:origin</x:v>
      </x:c>
      <x:c r="B4" s="14" t="str">
        <x:v>A</x:v>
      </x:c>
      <x:c r="C4" s="14" t="str">
        <x:v>origin</x:v>
      </x:c>
      <x:c r="D4" s="14" t="n">
        <x:v>-6</x:v>
      </x:c>
      <x:c r="E4" s="14" t="n">
        <x:v>-6</x:v>
      </x:c>
      <x:c r="F4" s="14" t="n">
        <x:v>0</x:v>
      </x:c>
      <x:c r="G4" s="17" t="n">
        <x:v>0</x:v>
      </x:c>
      <x:c r="H4" s="14" t="str"/>
    </x:row>
    <x:row r="5" ht="72" customHeight="1">
      <x:c r="A5" s="14" t="str">
        <x:v>S01-01:A:origin_interpretation</x:v>
      </x:c>
      <x:c r="B5" s="14" t="str">
        <x:v>A</x:v>
      </x:c>
      <x:c r="C5" s="14" t="str">
        <x:v>origin_interpretation</x:v>
      </x:c>
      <x:c r="D5" s="14" t="n">
        <x:v>-6</x:v>
      </x:c>
      <x:c r="E5" s="14" t="n">
        <x:v>-5.16</x:v>
      </x:c>
      <x:c r="F5" s="14" t="n">
        <x:v>0.84</x:v>
      </x:c>
      <x:c r="G5" s="17" t="n">
        <x:v>1</x:v>
      </x:c>
      <x:c r="H5" s="14" t="str">
        <x:v>S01-01:A:origin</x:v>
      </x:c>
    </x:row>
    <x:row r="6" ht="72" customHeight="1">
      <x:c r="A6" s="14" t="str">
        <x:v>S01-01:A:original_handoff</x:v>
      </x:c>
      <x:c r="B6" s="14" t="str">
        <x:v>A</x:v>
      </x:c>
      <x:c r="C6" s="14" t="str">
        <x:v>original_handoff</x:v>
      </x:c>
      <x:c r="D6" s="14" t="n">
        <x:v>-5.16</x:v>
      </x:c>
      <x:c r="E6" s="14" t="n">
        <x:v>-5.04</x:v>
      </x:c>
      <x:c r="F6" s="14" t="n">
        <x:v>0.12</x:v>
      </x:c>
      <x:c r="G6" s="17" t="n">
        <x:v>1</x:v>
      </x:c>
      <x:c r="H6" s="14" t="str">
        <x:v>S01-01:A:origin_interpretation</x:v>
      </x:c>
    </x:row>
    <x:row r="7" ht="72" customHeight="1">
      <x:c r="A7" s="14" t="str">
        <x:v>S01-01:A:evaluation_utterance_end</x:v>
      </x:c>
      <x:c r="B7" s="14" t="str">
        <x:v>A</x:v>
      </x:c>
      <x:c r="C7" s="14" t="str">
        <x:v>evaluation_utterance_end</x:v>
      </x:c>
      <x:c r="D7" s="14" t="n">
        <x:v>-6</x:v>
      </x:c>
      <x:c r="E7" s="14" t="n">
        <x:v>0</x:v>
      </x:c>
      <x:c r="F7" s="14" t="n">
        <x:v>6</x:v>
      </x:c>
      <x:c r="G7" s="17" t="n">
        <x:v>0</x:v>
      </x:c>
      <x:c r="H7" s="14" t="str">
        <x:v>S01-01:A:origin</x:v>
      </x:c>
    </x:row>
    <x:row r="8" ht="72" customHeight="1">
      <x:c r="A8" s="14" t="str">
        <x:v>S01-01:A:final_transcript</x:v>
      </x:c>
      <x:c r="B8" s="14" t="str">
        <x:v>A</x:v>
      </x:c>
      <x:c r="C8" s="14" t="str">
        <x:v>final_transcript</x:v>
      </x:c>
      <x:c r="D8" s="14" t="n">
        <x:v>0</x:v>
      </x:c>
      <x:c r="E8" s="14" t="n">
        <x:v>0.3</x:v>
      </x:c>
      <x:c r="F8" s="14" t="n">
        <x:v>0.3</x:v>
      </x:c>
      <x:c r="G8" s="17" t="n">
        <x:v>1</x:v>
      </x:c>
      <x:c r="H8" s="14" t="str">
        <x:v>S01-01:A:evaluation_utterance_end</x:v>
      </x:c>
    </x:row>
    <x:row r="9" ht="72" customHeight="1">
      <x:c r="A9" s="14" t="str">
        <x:v>S01-01:A:meaning_adoption</x:v>
      </x:c>
      <x:c r="B9" s="14" t="str">
        <x:v>A</x:v>
      </x:c>
      <x:c r="C9" s="14" t="str">
        <x:v>meaning_adoption</x:v>
      </x:c>
      <x:c r="D9" s="14" t="n">
        <x:v>0.3</x:v>
      </x:c>
      <x:c r="E9" s="14" t="n">
        <x:v>0.828333333</x:v>
      </x:c>
      <x:c r="F9" s="14" t="n">
        <x:v>0.528333333</x:v>
      </x:c>
      <x:c r="G9" s="17" t="n">
        <x:v>1</x:v>
      </x:c>
      <x:c r="H9" s="14" t="str">
        <x:v>S01-01:A:final_transcript
S01-01:A:origin_interpretation</x:v>
      </x:c>
    </x:row>
    <x:row r="10" ht="72" customHeight="1">
      <x:c r="A10" s="14" t="str">
        <x:v>S01-01:A:apply_relation</x:v>
      </x:c>
      <x:c r="B10" s="14" t="str">
        <x:v>A</x:v>
      </x:c>
      <x:c r="C10" s="14" t="str">
        <x:v>apply_relation</x:v>
      </x:c>
      <x:c r="D10" s="14" t="n">
        <x:v>0.828333333</x:v>
      </x:c>
      <x:c r="E10" s="14" t="n">
        <x:v>0.868333333</x:v>
      </x:c>
      <x:c r="F10" s="14" t="n">
        <x:v>0.04</x:v>
      </x:c>
      <x:c r="G10" s="17" t="n">
        <x:v>1</x:v>
      </x:c>
      <x:c r="H10" s="14" t="str">
        <x:v>S01-01:A:meaning_adoption</x:v>
      </x:c>
    </x:row>
    <x:row r="11" ht="72" customHeight="1">
      <x:c r="A11" s="14" t="str">
        <x:v>S01-01:A:evaluation_first_display</x:v>
      </x:c>
      <x:c r="B11" s="14" t="str">
        <x:v>A</x:v>
      </x:c>
      <x:c r="C11" s="14" t="str">
        <x:v>evaluation_first_display</x:v>
      </x:c>
      <x:c r="D11" s="14" t="n">
        <x:v>0.868333333</x:v>
      </x:c>
      <x:c r="E11" s="14" t="n">
        <x:v>0.908333333</x:v>
      </x:c>
      <x:c r="F11" s="14" t="n">
        <x:v>0.04</x:v>
      </x:c>
      <x:c r="G11" s="17" t="n">
        <x:v>1</x:v>
      </x:c>
      <x:c r="H11" s="14" t="str">
        <x:v>S01-01:A:apply_relation</x:v>
      </x:c>
    </x:row>
    <x:row r="12" ht="72" customHeight="1">
      <x:c r="A12" s="14" t="str">
        <x:v>S01-01:A:source_status</x:v>
      </x:c>
      <x:c r="B12" s="14" t="str">
        <x:v>A</x:v>
      </x:c>
      <x:c r="C12" s="14" t="str">
        <x:v>source_status</x:v>
      </x:c>
      <x:c r="D12" s="14" t="n">
        <x:v>0.868333333</x:v>
      </x:c>
      <x:c r="E12" s="14" t="n">
        <x:v>0.868333333</x:v>
      </x:c>
      <x:c r="F12" s="14" t="n">
        <x:v>0</x:v>
      </x:c>
      <x:c r="G12" s="17" t="n">
        <x:v>0</x:v>
      </x:c>
      <x:c r="H12" s="14" t="str">
        <x:v>S01-01:A:apply_relation</x:v>
      </x:c>
    </x:row>
    <x:row r="13" ht="72" customHeight="1">
      <x:c r="A13" s="14" t="str">
        <x:v>S01-01:A:display_status</x:v>
      </x:c>
      <x:c r="B13" s="14" t="str">
        <x:v>A</x:v>
      </x:c>
      <x:c r="C13" s="14" t="str">
        <x:v>display_status</x:v>
      </x:c>
      <x:c r="D13" s="14" t="n">
        <x:v>0.868333333</x:v>
      </x:c>
      <x:c r="E13" s="14" t="n">
        <x:v>0.908333333</x:v>
      </x:c>
      <x:c r="F13" s="14" t="n">
        <x:v>0.04</x:v>
      </x:c>
      <x:c r="G13" s="17" t="n">
        <x:v>1</x:v>
      </x:c>
      <x:c r="H13" s="14" t="str">
        <x:v>S01-01:A:source_status</x:v>
      </x:c>
    </x:row>
    <x:row r="14" ht="72" customHeight="1">
      <x:c r="A14" s="14" t="str">
        <x:v>S01-01:A:status_first</x:v>
      </x:c>
      <x:c r="B14" s="14" t="str">
        <x:v>A</x:v>
      </x:c>
      <x:c r="C14" s="14" t="str">
        <x:v>status_first</x:v>
      </x:c>
      <x:c r="D14" s="14" t="n">
        <x:v>0.868333333</x:v>
      </x:c>
      <x:c r="E14" s="14" t="n">
        <x:v>1.273</x:v>
      </x:c>
      <x:c r="F14" s="14" t="n">
        <x:v>0.404666667</x:v>
      </x:c>
      <x:c r="G14" s="17" t="n">
        <x:v>1</x:v>
      </x:c>
      <x:c r="H14" s="14" t="str">
        <x:v>S01-01:A:source_status</x:v>
      </x:c>
    </x:row>
    <x:row r="15" ht="72" customHeight="1">
      <x:c r="A15" s="14" t="str">
        <x:v>S01-01:A:status_tail</x:v>
      </x:c>
      <x:c r="B15" s="14" t="str">
        <x:v>A</x:v>
      </x:c>
      <x:c r="C15" s="14" t="str">
        <x:v>status_tail</x:v>
      </x:c>
      <x:c r="D15" s="14" t="n">
        <x:v>1.273</x:v>
      </x:c>
      <x:c r="E15" s="14" t="n">
        <x:v>1.9595</x:v>
      </x:c>
      <x:c r="F15" s="14" t="n">
        <x:v>0.6865</x:v>
      </x:c>
      <x:c r="G15" s="17" t="n">
        <x:v>1</x:v>
      </x:c>
      <x:c r="H15" s="14" t="str">
        <x:v>S01-01:A:status_first</x:v>
      </x:c>
    </x:row>
    <x:row r="16" ht="72" customHeight="1">
      <x:c r="A16" s="14" t="str">
        <x:v>S01-01:A:status_device</x:v>
      </x:c>
      <x:c r="B16" s="14" t="str">
        <x:v>A</x:v>
      </x:c>
      <x:c r="C16" s="14" t="str">
        <x:v>status_device</x:v>
      </x:c>
      <x:c r="D16" s="14" t="n">
        <x:v>1.273</x:v>
      </x:c>
      <x:c r="E16" s="14" t="n">
        <x:v>1.313</x:v>
      </x:c>
      <x:c r="F16" s="14" t="n">
        <x:v>0.04</x:v>
      </x:c>
      <x:c r="G16" s="17" t="n">
        <x:v>1</x:v>
      </x:c>
      <x:c r="H16" s="14" t="str">
        <x:v>S01-01:A:apply_relation
S01-01:A:status_first</x:v>
      </x:c>
    </x:row>
    <x:row r="17" ht="72" customHeight="1">
      <x:c r="A17" s="14" t="str">
        <x:v>S01-01:A:status_played</x:v>
      </x:c>
      <x:c r="B17" s="14" t="str">
        <x:v>A</x:v>
      </x:c>
      <x:c r="C17" s="14" t="str">
        <x:v>status_played</x:v>
      </x:c>
      <x:c r="D17" s="14" t="n">
        <x:v>1.313</x:v>
      </x:c>
      <x:c r="E17" s="14" t="n">
        <x:v>4.258999999</x:v>
      </x:c>
      <x:c r="F17" s="14" t="n">
        <x:v>2.945999999</x:v>
      </x:c>
      <x:c r="G17" s="17" t="n">
        <x:v>0</x:v>
      </x:c>
      <x:c r="H17" s="14" t="str">
        <x:v>S01-01:A:status_device</x:v>
      </x:c>
    </x:row>
    <x:row r="18" ht="72" customHeight="1">
      <x:c r="A18" s="14" t="str">
        <x:v>S01-01:B:origin</x:v>
      </x:c>
      <x:c r="B18" s="14" t="str">
        <x:v>B</x:v>
      </x:c>
      <x:c r="C18" s="14" t="str">
        <x:v>origin</x:v>
      </x:c>
      <x:c r="D18" s="14" t="n">
        <x:v>-6</x:v>
      </x:c>
      <x:c r="E18" s="14" t="n">
        <x:v>-6</x:v>
      </x:c>
      <x:c r="F18" s="14" t="n">
        <x:v>0</x:v>
      </x:c>
      <x:c r="G18" s="17" t="n">
        <x:v>0</x:v>
      </x:c>
      <x:c r="H18" s="14" t="str"/>
    </x:row>
    <x:row r="19" ht="72" customHeight="1">
      <x:c r="A19" s="14" t="str">
        <x:v>S01-01:B:origin_interpretation</x:v>
      </x:c>
      <x:c r="B19" s="14" t="str">
        <x:v>B</x:v>
      </x:c>
      <x:c r="C19" s="14" t="str">
        <x:v>origin_interpretation</x:v>
      </x:c>
      <x:c r="D19" s="14" t="n">
        <x:v>-6</x:v>
      </x:c>
      <x:c r="E19" s="14" t="n">
        <x:v>-5.16</x:v>
      </x:c>
      <x:c r="F19" s="14" t="n">
        <x:v>0.84</x:v>
      </x:c>
      <x:c r="G19" s="17" t="n">
        <x:v>1</x:v>
      </x:c>
      <x:c r="H19" s="14" t="str">
        <x:v>S01-01:B:origin</x:v>
      </x:c>
    </x:row>
    <x:row r="20" ht="72" customHeight="1">
      <x:c r="A20" s="14" t="str">
        <x:v>S01-01:B:original_handoff</x:v>
      </x:c>
      <x:c r="B20" s="14" t="str">
        <x:v>B</x:v>
      </x:c>
      <x:c r="C20" s="14" t="str">
        <x:v>original_handoff</x:v>
      </x:c>
      <x:c r="D20" s="14" t="n">
        <x:v>-5.16</x:v>
      </x:c>
      <x:c r="E20" s="14" t="n">
        <x:v>-5.04</x:v>
      </x:c>
      <x:c r="F20" s="14" t="n">
        <x:v>0.12</x:v>
      </x:c>
      <x:c r="G20" s="17" t="n">
        <x:v>1</x:v>
      </x:c>
      <x:c r="H20" s="14" t="str">
        <x:v>S01-01:B:origin_interpretation</x:v>
      </x:c>
    </x:row>
    <x:row r="21" ht="72" customHeight="1">
      <x:c r="A21" s="14" t="str">
        <x:v>S01-01:B:evaluation_utterance_end</x:v>
      </x:c>
      <x:c r="B21" s="14" t="str">
        <x:v>B</x:v>
      </x:c>
      <x:c r="C21" s="14" t="str">
        <x:v>evaluation_utterance_end</x:v>
      </x:c>
      <x:c r="D21" s="14" t="n">
        <x:v>-6</x:v>
      </x:c>
      <x:c r="E21" s="14" t="n">
        <x:v>0</x:v>
      </x:c>
      <x:c r="F21" s="14" t="n">
        <x:v>6</x:v>
      </x:c>
      <x:c r="G21" s="17" t="n">
        <x:v>0</x:v>
      </x:c>
      <x:c r="H21" s="14" t="str">
        <x:v>S01-01:B:origin</x:v>
      </x:c>
    </x:row>
    <x:row r="22" ht="72" customHeight="1">
      <x:c r="A22" s="14" t="str">
        <x:v>S01-01:B:final_transcript</x:v>
      </x:c>
      <x:c r="B22" s="14" t="str">
        <x:v>B</x:v>
      </x:c>
      <x:c r="C22" s="14" t="str">
        <x:v>final_transcript</x:v>
      </x:c>
      <x:c r="D22" s="14" t="n">
        <x:v>0</x:v>
      </x:c>
      <x:c r="E22" s="14" t="n">
        <x:v>0.3</x:v>
      </x:c>
      <x:c r="F22" s="14" t="n">
        <x:v>0.3</x:v>
      </x:c>
      <x:c r="G22" s="17" t="n">
        <x:v>1</x:v>
      </x:c>
      <x:c r="H22" s="14" t="str">
        <x:v>S01-01:B:evaluation_utterance_end</x:v>
      </x:c>
    </x:row>
    <x:row r="23" ht="72" customHeight="1">
      <x:c r="A23" s="14" t="str">
        <x:v>S01-01:B:meaning_adoption</x:v>
      </x:c>
      <x:c r="B23" s="14" t="str">
        <x:v>B</x:v>
      </x:c>
      <x:c r="C23" s="14" t="str">
        <x:v>meaning_adoption</x:v>
      </x:c>
      <x:c r="D23" s="14" t="n">
        <x:v>0.3</x:v>
      </x:c>
      <x:c r="E23" s="14" t="n">
        <x:v>0.828333333</x:v>
      </x:c>
      <x:c r="F23" s="14" t="n">
        <x:v>0.528333333</x:v>
      </x:c>
      <x:c r="G23" s="17" t="n">
        <x:v>1</x:v>
      </x:c>
      <x:c r="H23" s="14" t="str">
        <x:v>S01-01:B:final_transcript
S01-01:B:origin_interpretation</x:v>
      </x:c>
    </x:row>
    <x:row r="24" ht="72" customHeight="1">
      <x:c r="A24" s="14" t="str">
        <x:v>S01-01:B:apply_relation</x:v>
      </x:c>
      <x:c r="B24" s="14" t="str">
        <x:v>B</x:v>
      </x:c>
      <x:c r="C24" s="14" t="str">
        <x:v>apply_relation</x:v>
      </x:c>
      <x:c r="D24" s="14" t="n">
        <x:v>0.828333333</x:v>
      </x:c>
      <x:c r="E24" s="14" t="n">
        <x:v>0.868333333</x:v>
      </x:c>
      <x:c r="F24" s="14" t="n">
        <x:v>0.04</x:v>
      </x:c>
      <x:c r="G24" s="17" t="n">
        <x:v>1</x:v>
      </x:c>
      <x:c r="H24" s="14" t="str">
        <x:v>S01-01:B:meaning_adoption</x:v>
      </x:c>
    </x:row>
    <x:row r="25" ht="72" customHeight="1">
      <x:c r="A25" s="14" t="str">
        <x:v>S01-01:B:evaluation_first_display</x:v>
      </x:c>
      <x:c r="B25" s="14" t="str">
        <x:v>B</x:v>
      </x:c>
      <x:c r="C25" s="14" t="str">
        <x:v>evaluation_first_display</x:v>
      </x:c>
      <x:c r="D25" s="14" t="n">
        <x:v>0.868333333</x:v>
      </x:c>
      <x:c r="E25" s="14" t="n">
        <x:v>0.908333333</x:v>
      </x:c>
      <x:c r="F25" s="14" t="n">
        <x:v>0.04</x:v>
      </x:c>
      <x:c r="G25" s="17" t="n">
        <x:v>1</x:v>
      </x:c>
      <x:c r="H25" s="14" t="str">
        <x:v>S01-01:B:apply_relation</x:v>
      </x:c>
    </x:row>
    <x:row r="26" ht="72" customHeight="1">
      <x:c r="A26" s="14" t="str">
        <x:v>S01-01:B:source_status</x:v>
      </x:c>
      <x:c r="B26" s="14" t="str">
        <x:v>B</x:v>
      </x:c>
      <x:c r="C26" s="14" t="str">
        <x:v>source_status</x:v>
      </x:c>
      <x:c r="D26" s="14" t="n">
        <x:v>0.868333333</x:v>
      </x:c>
      <x:c r="E26" s="14" t="n">
        <x:v>0.868333333</x:v>
      </x:c>
      <x:c r="F26" s="14" t="n">
        <x:v>0</x:v>
      </x:c>
      <x:c r="G26" s="17" t="n">
        <x:v>0</x:v>
      </x:c>
      <x:c r="H26" s="14" t="str">
        <x:v>S01-01:B:apply_relation</x:v>
      </x:c>
    </x:row>
    <x:row r="27" ht="72" customHeight="1">
      <x:c r="A27" s="14" t="str">
        <x:v>S01-01:B:display_status</x:v>
      </x:c>
      <x:c r="B27" s="14" t="str">
        <x:v>B</x:v>
      </x:c>
      <x:c r="C27" s="14" t="str">
        <x:v>display_status</x:v>
      </x:c>
      <x:c r="D27" s="14" t="n">
        <x:v>0.868333333</x:v>
      </x:c>
      <x:c r="E27" s="14" t="n">
        <x:v>0.908333333</x:v>
      </x:c>
      <x:c r="F27" s="14" t="n">
        <x:v>0.04</x:v>
      </x:c>
      <x:c r="G27" s="17" t="n">
        <x:v>1</x:v>
      </x:c>
      <x:c r="H27" s="14" t="str">
        <x:v>S01-01:B:source_status</x:v>
      </x:c>
    </x:row>
    <x:row r="28" ht="72" customHeight="1">
      <x:c r="A28" s="14" t="str">
        <x:v>S01-01:B:status_first</x:v>
      </x:c>
      <x:c r="B28" s="14" t="str">
        <x:v>B</x:v>
      </x:c>
      <x:c r="C28" s="14" t="str">
        <x:v>status_first</x:v>
      </x:c>
      <x:c r="D28" s="14" t="n">
        <x:v>0.868333333</x:v>
      </x:c>
      <x:c r="E28" s="14" t="n">
        <x:v>1.273</x:v>
      </x:c>
      <x:c r="F28" s="14" t="n">
        <x:v>0.404666667</x:v>
      </x:c>
      <x:c r="G28" s="17" t="n">
        <x:v>1</x:v>
      </x:c>
      <x:c r="H28" s="14" t="str">
        <x:v>S01-01:B:apply_relation</x:v>
      </x:c>
    </x:row>
    <x:row r="29" ht="72" customHeight="1">
      <x:c r="A29" s="14" t="str">
        <x:v>S01-01:B:status_tail</x:v>
      </x:c>
      <x:c r="B29" s="14" t="str">
        <x:v>B</x:v>
      </x:c>
      <x:c r="C29" s="14" t="str">
        <x:v>status_tail</x:v>
      </x:c>
      <x:c r="D29" s="14" t="n">
        <x:v>1.273</x:v>
      </x:c>
      <x:c r="E29" s="14" t="n">
        <x:v>1.9595</x:v>
      </x:c>
      <x:c r="F29" s="14" t="n">
        <x:v>0.6865</x:v>
      </x:c>
      <x:c r="G29" s="17" t="n">
        <x:v>1</x:v>
      </x:c>
      <x:c r="H29" s="14" t="str">
        <x:v>S01-01:B:status_first</x:v>
      </x:c>
    </x:row>
    <x:row r="30" ht="72" customHeight="1">
      <x:c r="A30" s="14" t="str">
        <x:v>S01-01:B:status_device</x:v>
      </x:c>
      <x:c r="B30" s="14" t="str">
        <x:v>B</x:v>
      </x:c>
      <x:c r="C30" s="14" t="str">
        <x:v>status_device</x:v>
      </x:c>
      <x:c r="D30" s="14" t="n">
        <x:v>1.273</x:v>
      </x:c>
      <x:c r="E30" s="14" t="n">
        <x:v>1.313</x:v>
      </x:c>
      <x:c r="F30" s="14" t="n">
        <x:v>0.04</x:v>
      </x:c>
      <x:c r="G30" s="17" t="n">
        <x:v>1</x:v>
      </x:c>
      <x:c r="H30" s="14" t="str">
        <x:v>S01-01:B:apply_relation
S01-01:B:status_first</x:v>
      </x:c>
    </x:row>
    <x:row r="31" ht="72" customHeight="1">
      <x:c r="A31" s="14" t="str">
        <x:v>S01-01:B:status_played</x:v>
      </x:c>
      <x:c r="B31" s="14" t="str">
        <x:v>B</x:v>
      </x:c>
      <x:c r="C31" s="14" t="str">
        <x:v>status_played</x:v>
      </x:c>
      <x:c r="D31" s="14" t="n">
        <x:v>1.313</x:v>
      </x:c>
      <x:c r="E31" s="14" t="n">
        <x:v>4.258999999</x:v>
      </x:c>
      <x:c r="F31" s="14" t="n">
        <x:v>2.945999999</x:v>
      </x:c>
      <x:c r="G31" s="17" t="n">
        <x:v>0</x:v>
      </x:c>
      <x:c r="H31" s="14" t="str">
        <x:v>S01-01:B:status_device</x:v>
      </x:c>
    </x:row>
    <x:row r="32" ht="72" customHeight="1">
      <x:c r="A32" s="14" t="str">
        <x:v>S01-02:A:origin</x:v>
      </x:c>
      <x:c r="B32" s="14" t="str">
        <x:v>A</x:v>
      </x:c>
      <x:c r="C32" s="14" t="str">
        <x:v>origin</x:v>
      </x:c>
      <x:c r="D32" s="14" t="n">
        <x:v>-6</x:v>
      </x:c>
      <x:c r="E32" s="14" t="n">
        <x:v>-6</x:v>
      </x:c>
      <x:c r="F32" s="14" t="n">
        <x:v>0</x:v>
      </x:c>
      <x:c r="G32" s="17" t="n">
        <x:v>0</x:v>
      </x:c>
      <x:c r="H32" s="14" t="str"/>
    </x:row>
    <x:row r="33" ht="72" customHeight="1">
      <x:c r="A33" s="14" t="str">
        <x:v>S01-02:A:origin_interpretation</x:v>
      </x:c>
      <x:c r="B33" s="14" t="str">
        <x:v>A</x:v>
      </x:c>
      <x:c r="C33" s="14" t="str">
        <x:v>origin_interpretation</x:v>
      </x:c>
      <x:c r="D33" s="14" t="n">
        <x:v>-6</x:v>
      </x:c>
      <x:c r="E33" s="14" t="n">
        <x:v>-5.16</x:v>
      </x:c>
      <x:c r="F33" s="14" t="n">
        <x:v>0.84</x:v>
      </x:c>
      <x:c r="G33" s="17" t="n">
        <x:v>1</x:v>
      </x:c>
      <x:c r="H33" s="14" t="str">
        <x:v>S01-02:A:origin</x:v>
      </x:c>
    </x:row>
    <x:row r="34" ht="72" customHeight="1">
      <x:c r="A34" s="14" t="str">
        <x:v>S01-02:A:original_handoff</x:v>
      </x:c>
      <x:c r="B34" s="14" t="str">
        <x:v>A</x:v>
      </x:c>
      <x:c r="C34" s="14" t="str">
        <x:v>original_handoff</x:v>
      </x:c>
      <x:c r="D34" s="14" t="n">
        <x:v>-5.16</x:v>
      </x:c>
      <x:c r="E34" s="14" t="n">
        <x:v>-5.04</x:v>
      </x:c>
      <x:c r="F34" s="14" t="n">
        <x:v>0.12</x:v>
      </x:c>
      <x:c r="G34" s="17" t="n">
        <x:v>1</x:v>
      </x:c>
      <x:c r="H34" s="14" t="str">
        <x:v>S01-02:A:origin_interpretation</x:v>
      </x:c>
    </x:row>
    <x:row r="35" ht="72" customHeight="1">
      <x:c r="A35" s="14" t="str">
        <x:v>S01-02:A:evaluation_utterance_end</x:v>
      </x:c>
      <x:c r="B35" s="14" t="str">
        <x:v>A</x:v>
      </x:c>
      <x:c r="C35" s="14" t="str">
        <x:v>evaluation_utterance_end</x:v>
      </x:c>
      <x:c r="D35" s="14" t="n">
        <x:v>-6</x:v>
      </x:c>
      <x:c r="E35" s="14" t="n">
        <x:v>0</x:v>
      </x:c>
      <x:c r="F35" s="14" t="n">
        <x:v>6</x:v>
      </x:c>
      <x:c r="G35" s="17" t="n">
        <x:v>0</x:v>
      </x:c>
      <x:c r="H35" s="14" t="str">
        <x:v>S01-02:A:origin</x:v>
      </x:c>
    </x:row>
    <x:row r="36" ht="72" customHeight="1">
      <x:c r="A36" s="14" t="str">
        <x:v>S01-02:A:final_transcript</x:v>
      </x:c>
      <x:c r="B36" s="14" t="str">
        <x:v>A</x:v>
      </x:c>
      <x:c r="C36" s="14" t="str">
        <x:v>final_transcript</x:v>
      </x:c>
      <x:c r="D36" s="14" t="n">
        <x:v>0</x:v>
      </x:c>
      <x:c r="E36" s="14" t="n">
        <x:v>0.3</x:v>
      </x:c>
      <x:c r="F36" s="14" t="n">
        <x:v>0.3</x:v>
      </x:c>
      <x:c r="G36" s="17" t="n">
        <x:v>1</x:v>
      </x:c>
      <x:c r="H36" s="14" t="str">
        <x:v>S01-02:A:evaluation_utterance_end</x:v>
      </x:c>
    </x:row>
    <x:row r="37" ht="72" customHeight="1">
      <x:c r="A37" s="14" t="str">
        <x:v>S01-02:A:meaning_adoption</x:v>
      </x:c>
      <x:c r="B37" s="14" t="str">
        <x:v>A</x:v>
      </x:c>
      <x:c r="C37" s="14" t="str">
        <x:v>meaning_adoption</x:v>
      </x:c>
      <x:c r="D37" s="14" t="n">
        <x:v>0.3</x:v>
      </x:c>
      <x:c r="E37" s="14" t="n">
        <x:v>0.856666667</x:v>
      </x:c>
      <x:c r="F37" s="14" t="n">
        <x:v>0.556666667</x:v>
      </x:c>
      <x:c r="G37" s="17" t="n">
        <x:v>1</x:v>
      </x:c>
      <x:c r="H37" s="14" t="str">
        <x:v>S01-02:A:final_transcript
S01-02:A:origin_interpretation</x:v>
      </x:c>
    </x:row>
    <x:row r="38" ht="72" customHeight="1">
      <x:c r="A38" s="14" t="str">
        <x:v>S01-02:A:apply_relation</x:v>
      </x:c>
      <x:c r="B38" s="14" t="str">
        <x:v>A</x:v>
      </x:c>
      <x:c r="C38" s="14" t="str">
        <x:v>apply_relation</x:v>
      </x:c>
      <x:c r="D38" s="14" t="n">
        <x:v>0.856666667</x:v>
      </x:c>
      <x:c r="E38" s="14" t="n">
        <x:v>0.896666667</x:v>
      </x:c>
      <x:c r="F38" s="14" t="n">
        <x:v>0.04</x:v>
      </x:c>
      <x:c r="G38" s="17" t="n">
        <x:v>1</x:v>
      </x:c>
      <x:c r="H38" s="14" t="str">
        <x:v>S01-02:A:meaning_adoption</x:v>
      </x:c>
    </x:row>
    <x:row r="39" ht="72" customHeight="1">
      <x:c r="A39" s="14" t="str">
        <x:v>S01-02:A:evaluation_first_display</x:v>
      </x:c>
      <x:c r="B39" s="14" t="str">
        <x:v>A</x:v>
      </x:c>
      <x:c r="C39" s="14" t="str">
        <x:v>evaluation_first_display</x:v>
      </x:c>
      <x:c r="D39" s="14" t="n">
        <x:v>0.896666667</x:v>
      </x:c>
      <x:c r="E39" s="14" t="n">
        <x:v>0.936666667</x:v>
      </x:c>
      <x:c r="F39" s="14" t="n">
        <x:v>0.04</x:v>
      </x:c>
      <x:c r="G39" s="17" t="n">
        <x:v>1</x:v>
      </x:c>
      <x:c r="H39" s="14" t="str">
        <x:v>S01-02:A:apply_relation</x:v>
      </x:c>
    </x:row>
    <x:row r="40" ht="72" customHeight="1">
      <x:c r="A40" s="14" t="str">
        <x:v>S01-02:A:source_status</x:v>
      </x:c>
      <x:c r="B40" s="14" t="str">
        <x:v>A</x:v>
      </x:c>
      <x:c r="C40" s="14" t="str">
        <x:v>source_status</x:v>
      </x:c>
      <x:c r="D40" s="14" t="n">
        <x:v>0.896666667</x:v>
      </x:c>
      <x:c r="E40" s="14" t="n">
        <x:v>0.896666667</x:v>
      </x:c>
      <x:c r="F40" s="14" t="n">
        <x:v>0</x:v>
      </x:c>
      <x:c r="G40" s="17" t="n">
        <x:v>0</x:v>
      </x:c>
      <x:c r="H40" s="14" t="str">
        <x:v>S01-02:A:apply_relation</x:v>
      </x:c>
    </x:row>
    <x:row r="41" ht="72" customHeight="1">
      <x:c r="A41" s="14" t="str">
        <x:v>S01-02:A:display_status</x:v>
      </x:c>
      <x:c r="B41" s="14" t="str">
        <x:v>A</x:v>
      </x:c>
      <x:c r="C41" s="14" t="str">
        <x:v>display_status</x:v>
      </x:c>
      <x:c r="D41" s="14" t="n">
        <x:v>0.896666667</x:v>
      </x:c>
      <x:c r="E41" s="14" t="n">
        <x:v>0.936666667</x:v>
      </x:c>
      <x:c r="F41" s="14" t="n">
        <x:v>0.04</x:v>
      </x:c>
      <x:c r="G41" s="17" t="n">
        <x:v>1</x:v>
      </x:c>
      <x:c r="H41" s="14" t="str">
        <x:v>S01-02:A:source_status</x:v>
      </x:c>
    </x:row>
    <x:row r="42" ht="72" customHeight="1">
      <x:c r="A42" s="14" t="str">
        <x:v>S01-02:A:status_first</x:v>
      </x:c>
      <x:c r="B42" s="14" t="str">
        <x:v>A</x:v>
      </x:c>
      <x:c r="C42" s="14" t="str">
        <x:v>status_first</x:v>
      </x:c>
      <x:c r="D42" s="14" t="n">
        <x:v>0.896666667</x:v>
      </x:c>
      <x:c r="E42" s="14" t="n">
        <x:v>1.301333334</x:v>
      </x:c>
      <x:c r="F42" s="14" t="n">
        <x:v>0.404666667</x:v>
      </x:c>
      <x:c r="G42" s="17" t="n">
        <x:v>1</x:v>
      </x:c>
      <x:c r="H42" s="14" t="str">
        <x:v>S01-02:A:source_status</x:v>
      </x:c>
    </x:row>
    <x:row r="43" ht="72" customHeight="1">
      <x:c r="A43" s="14" t="str">
        <x:v>S01-02:A:status_tail</x:v>
      </x:c>
      <x:c r="B43" s="14" t="str">
        <x:v>A</x:v>
      </x:c>
      <x:c r="C43" s="14" t="str">
        <x:v>status_tail</x:v>
      </x:c>
      <x:c r="D43" s="14" t="n">
        <x:v>1.301333334</x:v>
      </x:c>
      <x:c r="E43" s="14" t="n">
        <x:v>1.990833334</x:v>
      </x:c>
      <x:c r="F43" s="14" t="n">
        <x:v>0.6895</x:v>
      </x:c>
      <x:c r="G43" s="17" t="n">
        <x:v>1</x:v>
      </x:c>
      <x:c r="H43" s="14" t="str">
        <x:v>S01-02:A:status_first</x:v>
      </x:c>
    </x:row>
    <x:row r="44" ht="72" customHeight="1">
      <x:c r="A44" s="14" t="str">
        <x:v>S01-02:A:status_device</x:v>
      </x:c>
      <x:c r="B44" s="14" t="str">
        <x:v>A</x:v>
      </x:c>
      <x:c r="C44" s="14" t="str">
        <x:v>status_device</x:v>
      </x:c>
      <x:c r="D44" s="14" t="n">
        <x:v>1.301333334</x:v>
      </x:c>
      <x:c r="E44" s="14" t="n">
        <x:v>1.341333334</x:v>
      </x:c>
      <x:c r="F44" s="14" t="n">
        <x:v>0.04</x:v>
      </x:c>
      <x:c r="G44" s="17" t="n">
        <x:v>1</x:v>
      </x:c>
      <x:c r="H44" s="14" t="str">
        <x:v>S01-02:A:apply_relation
S01-02:A:status_first</x:v>
      </x:c>
    </x:row>
    <x:row r="45" ht="72" customHeight="1">
      <x:c r="A45" s="14" t="str">
        <x:v>S01-02:A:status_played</x:v>
      </x:c>
      <x:c r="B45" s="14" t="str">
        <x:v>A</x:v>
      </x:c>
      <x:c r="C45" s="14" t="str">
        <x:v>status_played</x:v>
      </x:c>
      <x:c r="D45" s="14" t="n">
        <x:v>1.341333334</x:v>
      </x:c>
      <x:c r="E45" s="14" t="n">
        <x:v>4.299333333</x:v>
      </x:c>
      <x:c r="F45" s="14" t="n">
        <x:v>2.957999999</x:v>
      </x:c>
      <x:c r="G45" s="17" t="n">
        <x:v>0</x:v>
      </x:c>
      <x:c r="H45" s="14" t="str">
        <x:v>S01-02:A:status_device</x:v>
      </x:c>
    </x:row>
    <x:row r="46" ht="72" customHeight="1">
      <x:c r="A46" s="14" t="str">
        <x:v>S01-02:B:origin</x:v>
      </x:c>
      <x:c r="B46" s="14" t="str">
        <x:v>B</x:v>
      </x:c>
      <x:c r="C46" s="14" t="str">
        <x:v>origin</x:v>
      </x:c>
      <x:c r="D46" s="14" t="n">
        <x:v>-6</x:v>
      </x:c>
      <x:c r="E46" s="14" t="n">
        <x:v>-6</x:v>
      </x:c>
      <x:c r="F46" s="14" t="n">
        <x:v>0</x:v>
      </x:c>
      <x:c r="G46" s="17" t="n">
        <x:v>0</x:v>
      </x:c>
      <x:c r="H46" s="14" t="str"/>
    </x:row>
    <x:row r="47" ht="72" customHeight="1">
      <x:c r="A47" s="14" t="str">
        <x:v>S01-02:B:origin_interpretation</x:v>
      </x:c>
      <x:c r="B47" s="14" t="str">
        <x:v>B</x:v>
      </x:c>
      <x:c r="C47" s="14" t="str">
        <x:v>origin_interpretation</x:v>
      </x:c>
      <x:c r="D47" s="14" t="n">
        <x:v>-6</x:v>
      </x:c>
      <x:c r="E47" s="14" t="n">
        <x:v>-5.16</x:v>
      </x:c>
      <x:c r="F47" s="14" t="n">
        <x:v>0.84</x:v>
      </x:c>
      <x:c r="G47" s="17" t="n">
        <x:v>1</x:v>
      </x:c>
      <x:c r="H47" s="14" t="str">
        <x:v>S01-02:B:origin</x:v>
      </x:c>
    </x:row>
    <x:row r="48" ht="72" customHeight="1">
      <x:c r="A48" s="14" t="str">
        <x:v>S01-02:B:original_handoff</x:v>
      </x:c>
      <x:c r="B48" s="14" t="str">
        <x:v>B</x:v>
      </x:c>
      <x:c r="C48" s="14" t="str">
        <x:v>original_handoff</x:v>
      </x:c>
      <x:c r="D48" s="14" t="n">
        <x:v>-5.16</x:v>
      </x:c>
      <x:c r="E48" s="14" t="n">
        <x:v>-5.04</x:v>
      </x:c>
      <x:c r="F48" s="14" t="n">
        <x:v>0.12</x:v>
      </x:c>
      <x:c r="G48" s="17" t="n">
        <x:v>1</x:v>
      </x:c>
      <x:c r="H48" s="14" t="str">
        <x:v>S01-02:B:origin_interpretation</x:v>
      </x:c>
    </x:row>
    <x:row r="49" ht="72" customHeight="1">
      <x:c r="A49" s="14" t="str">
        <x:v>S01-02:B:evaluation_utterance_end</x:v>
      </x:c>
      <x:c r="B49" s="14" t="str">
        <x:v>B</x:v>
      </x:c>
      <x:c r="C49" s="14" t="str">
        <x:v>evaluation_utterance_end</x:v>
      </x:c>
      <x:c r="D49" s="14" t="n">
        <x:v>-6</x:v>
      </x:c>
      <x:c r="E49" s="14" t="n">
        <x:v>0</x:v>
      </x:c>
      <x:c r="F49" s="14" t="n">
        <x:v>6</x:v>
      </x:c>
      <x:c r="G49" s="17" t="n">
        <x:v>0</x:v>
      </x:c>
      <x:c r="H49" s="14" t="str">
        <x:v>S01-02:B:origin</x:v>
      </x:c>
    </x:row>
    <x:row r="50" ht="72" customHeight="1">
      <x:c r="A50" s="14" t="str">
        <x:v>S01-02:B:final_transcript</x:v>
      </x:c>
      <x:c r="B50" s="14" t="str">
        <x:v>B</x:v>
      </x:c>
      <x:c r="C50" s="14" t="str">
        <x:v>final_transcript</x:v>
      </x:c>
      <x:c r="D50" s="14" t="n">
        <x:v>0</x:v>
      </x:c>
      <x:c r="E50" s="14" t="n">
        <x:v>0.3</x:v>
      </x:c>
      <x:c r="F50" s="14" t="n">
        <x:v>0.3</x:v>
      </x:c>
      <x:c r="G50" s="17" t="n">
        <x:v>1</x:v>
      </x:c>
      <x:c r="H50" s="14" t="str">
        <x:v>S01-02:B:evaluation_utterance_end</x:v>
      </x:c>
    </x:row>
    <x:row r="51" ht="72" customHeight="1">
      <x:c r="A51" s="14" t="str">
        <x:v>S01-02:B:meaning_adoption</x:v>
      </x:c>
      <x:c r="B51" s="14" t="str">
        <x:v>B</x:v>
      </x:c>
      <x:c r="C51" s="14" t="str">
        <x:v>meaning_adoption</x:v>
      </x:c>
      <x:c r="D51" s="14" t="n">
        <x:v>0.3</x:v>
      </x:c>
      <x:c r="E51" s="14" t="n">
        <x:v>0.856666667</x:v>
      </x:c>
      <x:c r="F51" s="14" t="n">
        <x:v>0.556666667</x:v>
      </x:c>
      <x:c r="G51" s="17" t="n">
        <x:v>1</x:v>
      </x:c>
      <x:c r="H51" s="14" t="str">
        <x:v>S01-02:B:final_transcript
S01-02:B:origin_interpretation</x:v>
      </x:c>
    </x:row>
    <x:row r="52" ht="72" customHeight="1">
      <x:c r="A52" s="14" t="str">
        <x:v>S01-02:B:apply_relation</x:v>
      </x:c>
      <x:c r="B52" s="14" t="str">
        <x:v>B</x:v>
      </x:c>
      <x:c r="C52" s="14" t="str">
        <x:v>apply_relation</x:v>
      </x:c>
      <x:c r="D52" s="14" t="n">
        <x:v>0.856666667</x:v>
      </x:c>
      <x:c r="E52" s="14" t="n">
        <x:v>0.896666667</x:v>
      </x:c>
      <x:c r="F52" s="14" t="n">
        <x:v>0.04</x:v>
      </x:c>
      <x:c r="G52" s="17" t="n">
        <x:v>1</x:v>
      </x:c>
      <x:c r="H52" s="14" t="str">
        <x:v>S01-02:B:meaning_adoption</x:v>
      </x:c>
    </x:row>
    <x:row r="53" ht="72" customHeight="1">
      <x:c r="A53" s="14" t="str">
        <x:v>S01-02:B:evaluation_first_display</x:v>
      </x:c>
      <x:c r="B53" s="14" t="str">
        <x:v>B</x:v>
      </x:c>
      <x:c r="C53" s="14" t="str">
        <x:v>evaluation_first_display</x:v>
      </x:c>
      <x:c r="D53" s="14" t="n">
        <x:v>0.896666667</x:v>
      </x:c>
      <x:c r="E53" s="14" t="n">
        <x:v>0.936666667</x:v>
      </x:c>
      <x:c r="F53" s="14" t="n">
        <x:v>0.04</x:v>
      </x:c>
      <x:c r="G53" s="17" t="n">
        <x:v>1</x:v>
      </x:c>
      <x:c r="H53" s="14" t="str">
        <x:v>S01-02:B:apply_relation</x:v>
      </x:c>
    </x:row>
    <x:row r="54" ht="72" customHeight="1">
      <x:c r="A54" s="14" t="str">
        <x:v>S01-02:B:source_status</x:v>
      </x:c>
      <x:c r="B54" s="14" t="str">
        <x:v>B</x:v>
      </x:c>
      <x:c r="C54" s="14" t="str">
        <x:v>source_status</x:v>
      </x:c>
      <x:c r="D54" s="14" t="n">
        <x:v>0.896666667</x:v>
      </x:c>
      <x:c r="E54" s="14" t="n">
        <x:v>0.896666667</x:v>
      </x:c>
      <x:c r="F54" s="14" t="n">
        <x:v>0</x:v>
      </x:c>
      <x:c r="G54" s="17" t="n">
        <x:v>0</x:v>
      </x:c>
      <x:c r="H54" s="14" t="str">
        <x:v>S01-02:B:apply_relation</x:v>
      </x:c>
    </x:row>
    <x:row r="55" ht="72" customHeight="1">
      <x:c r="A55" s="14" t="str">
        <x:v>S01-02:B:display_status</x:v>
      </x:c>
      <x:c r="B55" s="14" t="str">
        <x:v>B</x:v>
      </x:c>
      <x:c r="C55" s="14" t="str">
        <x:v>display_status</x:v>
      </x:c>
      <x:c r="D55" s="14" t="n">
        <x:v>0.896666667</x:v>
      </x:c>
      <x:c r="E55" s="14" t="n">
        <x:v>0.936666667</x:v>
      </x:c>
      <x:c r="F55" s="14" t="n">
        <x:v>0.04</x:v>
      </x:c>
      <x:c r="G55" s="17" t="n">
        <x:v>1</x:v>
      </x:c>
      <x:c r="H55" s="14" t="str">
        <x:v>S01-02:B:source_status</x:v>
      </x:c>
    </x:row>
    <x:row r="56" ht="72" customHeight="1">
      <x:c r="A56" s="14" t="str">
        <x:v>S01-02:B:status_first</x:v>
      </x:c>
      <x:c r="B56" s="14" t="str">
        <x:v>B</x:v>
      </x:c>
      <x:c r="C56" s="14" t="str">
        <x:v>status_first</x:v>
      </x:c>
      <x:c r="D56" s="14" t="n">
        <x:v>0.896666667</x:v>
      </x:c>
      <x:c r="E56" s="14" t="n">
        <x:v>1.301333334</x:v>
      </x:c>
      <x:c r="F56" s="14" t="n">
        <x:v>0.404666667</x:v>
      </x:c>
      <x:c r="G56" s="17" t="n">
        <x:v>1</x:v>
      </x:c>
      <x:c r="H56" s="14" t="str">
        <x:v>S01-02:B:apply_relation</x:v>
      </x:c>
    </x:row>
    <x:row r="57" ht="72" customHeight="1">
      <x:c r="A57" s="14" t="str">
        <x:v>S01-02:B:status_tail</x:v>
      </x:c>
      <x:c r="B57" s="14" t="str">
        <x:v>B</x:v>
      </x:c>
      <x:c r="C57" s="14" t="str">
        <x:v>status_tail</x:v>
      </x:c>
      <x:c r="D57" s="14" t="n">
        <x:v>1.301333334</x:v>
      </x:c>
      <x:c r="E57" s="14" t="n">
        <x:v>1.990833334</x:v>
      </x:c>
      <x:c r="F57" s="14" t="n">
        <x:v>0.6895</x:v>
      </x:c>
      <x:c r="G57" s="17" t="n">
        <x:v>1</x:v>
      </x:c>
      <x:c r="H57" s="14" t="str">
        <x:v>S01-02:B:status_first</x:v>
      </x:c>
    </x:row>
    <x:row r="58" ht="72" customHeight="1">
      <x:c r="A58" s="14" t="str">
        <x:v>S01-02:B:status_device</x:v>
      </x:c>
      <x:c r="B58" s="14" t="str">
        <x:v>B</x:v>
      </x:c>
      <x:c r="C58" s="14" t="str">
        <x:v>status_device</x:v>
      </x:c>
      <x:c r="D58" s="14" t="n">
        <x:v>1.301333334</x:v>
      </x:c>
      <x:c r="E58" s="14" t="n">
        <x:v>1.341333334</x:v>
      </x:c>
      <x:c r="F58" s="14" t="n">
        <x:v>0.04</x:v>
      </x:c>
      <x:c r="G58" s="17" t="n">
        <x:v>1</x:v>
      </x:c>
      <x:c r="H58" s="14" t="str">
        <x:v>S01-02:B:apply_relation
S01-02:B:status_first</x:v>
      </x:c>
    </x:row>
    <x:row r="59" ht="72" customHeight="1">
      <x:c r="A59" s="14" t="str">
        <x:v>S01-02:B:status_played</x:v>
      </x:c>
      <x:c r="B59" s="14" t="str">
        <x:v>B</x:v>
      </x:c>
      <x:c r="C59" s="14" t="str">
        <x:v>status_played</x:v>
      </x:c>
      <x:c r="D59" s="14" t="n">
        <x:v>1.341333334</x:v>
      </x:c>
      <x:c r="E59" s="14" t="n">
        <x:v>4.299333333</x:v>
      </x:c>
      <x:c r="F59" s="14" t="n">
        <x:v>2.957999999</x:v>
      </x:c>
      <x:c r="G59" s="17" t="n">
        <x:v>0</x:v>
      </x:c>
      <x:c r="H59" s="14" t="str">
        <x:v>S01-02:B:status_device</x:v>
      </x:c>
    </x:row>
    <x:row r="60" ht="72" customHeight="1">
      <x:c r="A60" s="14" t="str">
        <x:v>S01-03:A:origin</x:v>
      </x:c>
      <x:c r="B60" s="14" t="str">
        <x:v>A</x:v>
      </x:c>
      <x:c r="C60" s="14" t="str">
        <x:v>origin</x:v>
      </x:c>
      <x:c r="D60" s="14" t="n">
        <x:v>-6</x:v>
      </x:c>
      <x:c r="E60" s="14" t="n">
        <x:v>-6</x:v>
      </x:c>
      <x:c r="F60" s="14" t="n">
        <x:v>0</x:v>
      </x:c>
      <x:c r="G60" s="17" t="n">
        <x:v>0</x:v>
      </x:c>
      <x:c r="H60" s="14" t="str"/>
    </x:row>
    <x:row r="61" ht="72" customHeight="1">
      <x:c r="A61" s="14" t="str">
        <x:v>S01-03:A:origin_interpretation</x:v>
      </x:c>
      <x:c r="B61" s="14" t="str">
        <x:v>A</x:v>
      </x:c>
      <x:c r="C61" s="14" t="str">
        <x:v>origin_interpretation</x:v>
      </x:c>
      <x:c r="D61" s="14" t="n">
        <x:v>-6</x:v>
      </x:c>
      <x:c r="E61" s="14" t="n">
        <x:v>-5.16</x:v>
      </x:c>
      <x:c r="F61" s="14" t="n">
        <x:v>0.84</x:v>
      </x:c>
      <x:c r="G61" s="17" t="n">
        <x:v>1</x:v>
      </x:c>
      <x:c r="H61" s="14" t="str">
        <x:v>S01-03:A:origin</x:v>
      </x:c>
    </x:row>
    <x:row r="62" ht="72" customHeight="1">
      <x:c r="A62" s="14" t="str">
        <x:v>S01-03:A:original_handoff</x:v>
      </x:c>
      <x:c r="B62" s="14" t="str">
        <x:v>A</x:v>
      </x:c>
      <x:c r="C62" s="14" t="str">
        <x:v>original_handoff</x:v>
      </x:c>
      <x:c r="D62" s="14" t="n">
        <x:v>-5.16</x:v>
      </x:c>
      <x:c r="E62" s="14" t="n">
        <x:v>-5.04</x:v>
      </x:c>
      <x:c r="F62" s="14" t="n">
        <x:v>0.12</x:v>
      </x:c>
      <x:c r="G62" s="17" t="n">
        <x:v>1</x:v>
      </x:c>
      <x:c r="H62" s="14" t="str">
        <x:v>S01-03:A:origin_interpretation</x:v>
      </x:c>
    </x:row>
    <x:row r="63" ht="72" customHeight="1">
      <x:c r="A63" s="14" t="str">
        <x:v>S01-03:A:evaluation_utterance_end</x:v>
      </x:c>
      <x:c r="B63" s="14" t="str">
        <x:v>A</x:v>
      </x:c>
      <x:c r="C63" s="14" t="str">
        <x:v>evaluation_utterance_end</x:v>
      </x:c>
      <x:c r="D63" s="14" t="n">
        <x:v>-6</x:v>
      </x:c>
      <x:c r="E63" s="14" t="n">
        <x:v>0</x:v>
      </x:c>
      <x:c r="F63" s="14" t="n">
        <x:v>6</x:v>
      </x:c>
      <x:c r="G63" s="17" t="n">
        <x:v>0</x:v>
      </x:c>
      <x:c r="H63" s="14" t="str">
        <x:v>S01-03:A:origin</x:v>
      </x:c>
    </x:row>
    <x:row r="64" ht="72" customHeight="1">
      <x:c r="A64" s="14" t="str">
        <x:v>S01-03:A:final_transcript</x:v>
      </x:c>
      <x:c r="B64" s="14" t="str">
        <x:v>A</x:v>
      </x:c>
      <x:c r="C64" s="14" t="str">
        <x:v>final_transcript</x:v>
      </x:c>
      <x:c r="D64" s="14" t="n">
        <x:v>0</x:v>
      </x:c>
      <x:c r="E64" s="14" t="n">
        <x:v>0.3</x:v>
      </x:c>
      <x:c r="F64" s="14" t="n">
        <x:v>0.3</x:v>
      </x:c>
      <x:c r="G64" s="17" t="n">
        <x:v>1</x:v>
      </x:c>
      <x:c r="H64" s="14" t="str">
        <x:v>S01-03:A:evaluation_utterance_end</x:v>
      </x:c>
    </x:row>
    <x:row r="65" ht="72" customHeight="1">
      <x:c r="A65" s="14" t="str">
        <x:v>S01-03:A:meaning_adoption</x:v>
      </x:c>
      <x:c r="B65" s="14" t="str">
        <x:v>A</x:v>
      </x:c>
      <x:c r="C65" s="14" t="str">
        <x:v>meaning_adoption</x:v>
      </x:c>
      <x:c r="D65" s="14" t="n">
        <x:v>0.3</x:v>
      </x:c>
      <x:c r="E65" s="14" t="n">
        <x:v>0.81</x:v>
      </x:c>
      <x:c r="F65" s="14" t="n">
        <x:v>0.51</x:v>
      </x:c>
      <x:c r="G65" s="17" t="n">
        <x:v>1</x:v>
      </x:c>
      <x:c r="H65" s="14" t="str">
        <x:v>S01-03:A:final_transcript
S01-03:A:origin_interpretation</x:v>
      </x:c>
    </x:row>
    <x:row r="66" ht="72" customHeight="1">
      <x:c r="A66" s="14" t="str">
        <x:v>S01-03:A:apply_relation</x:v>
      </x:c>
      <x:c r="B66" s="14" t="str">
        <x:v>A</x:v>
      </x:c>
      <x:c r="C66" s="14" t="str">
        <x:v>apply_relation</x:v>
      </x:c>
      <x:c r="D66" s="14" t="n">
        <x:v>0.81</x:v>
      </x:c>
      <x:c r="E66" s="14" t="n">
        <x:v>0.85</x:v>
      </x:c>
      <x:c r="F66" s="14" t="n">
        <x:v>0.04</x:v>
      </x:c>
      <x:c r="G66" s="17" t="n">
        <x:v>1</x:v>
      </x:c>
      <x:c r="H66" s="14" t="str">
        <x:v>S01-03:A:meaning_adoption</x:v>
      </x:c>
    </x:row>
    <x:row r="67" ht="72" customHeight="1">
      <x:c r="A67" s="14" t="str">
        <x:v>S01-03:A:evaluation_first_display</x:v>
      </x:c>
      <x:c r="B67" s="14" t="str">
        <x:v>A</x:v>
      </x:c>
      <x:c r="C67" s="14" t="str">
        <x:v>evaluation_first_display</x:v>
      </x:c>
      <x:c r="D67" s="14" t="n">
        <x:v>0.85</x:v>
      </x:c>
      <x:c r="E67" s="14" t="n">
        <x:v>0.89</x:v>
      </x:c>
      <x:c r="F67" s="14" t="n">
        <x:v>0.04</x:v>
      </x:c>
      <x:c r="G67" s="17" t="n">
        <x:v>1</x:v>
      </x:c>
      <x:c r="H67" s="14" t="str">
        <x:v>S01-03:A:apply_relation</x:v>
      </x:c>
    </x:row>
    <x:row r="68" ht="72" customHeight="1">
      <x:c r="A68" s="14" t="str">
        <x:v>S01-03:A:source_status</x:v>
      </x:c>
      <x:c r="B68" s="14" t="str">
        <x:v>A</x:v>
      </x:c>
      <x:c r="C68" s="14" t="str">
        <x:v>source_status</x:v>
      </x:c>
      <x:c r="D68" s="14" t="n">
        <x:v>0.85</x:v>
      </x:c>
      <x:c r="E68" s="14" t="n">
        <x:v>0.85</x:v>
      </x:c>
      <x:c r="F68" s="14" t="n">
        <x:v>0</x:v>
      </x:c>
      <x:c r="G68" s="17" t="n">
        <x:v>0</x:v>
      </x:c>
      <x:c r="H68" s="14" t="str">
        <x:v>S01-03:A:apply_relation</x:v>
      </x:c>
    </x:row>
    <x:row r="69" ht="72" customHeight="1">
      <x:c r="A69" s="14" t="str">
        <x:v>S01-03:A:display_status</x:v>
      </x:c>
      <x:c r="B69" s="14" t="str">
        <x:v>A</x:v>
      </x:c>
      <x:c r="C69" s="14" t="str">
        <x:v>display_status</x:v>
      </x:c>
      <x:c r="D69" s="14" t="n">
        <x:v>0.85</x:v>
      </x:c>
      <x:c r="E69" s="14" t="n">
        <x:v>0.89</x:v>
      </x:c>
      <x:c r="F69" s="14" t="n">
        <x:v>0.04</x:v>
      </x:c>
      <x:c r="G69" s="17" t="n">
        <x:v>1</x:v>
      </x:c>
      <x:c r="H69" s="14" t="str">
        <x:v>S01-03:A:source_status</x:v>
      </x:c>
    </x:row>
    <x:row r="70" ht="72" customHeight="1">
      <x:c r="A70" s="14" t="str">
        <x:v>S01-03:A:status_first</x:v>
      </x:c>
      <x:c r="B70" s="14" t="str">
        <x:v>A</x:v>
      </x:c>
      <x:c r="C70" s="14" t="str">
        <x:v>status_first</x:v>
      </x:c>
      <x:c r="D70" s="14" t="n">
        <x:v>0.85</x:v>
      </x:c>
      <x:c r="E70" s="14" t="n">
        <x:v>1.254666667</x:v>
      </x:c>
      <x:c r="F70" s="14" t="n">
        <x:v>0.404666667</x:v>
      </x:c>
      <x:c r="G70" s="17" t="n">
        <x:v>1</x:v>
      </x:c>
      <x:c r="H70" s="14" t="str">
        <x:v>S01-03:A:source_status</x:v>
      </x:c>
    </x:row>
    <x:row r="71" ht="72" customHeight="1">
      <x:c r="A71" s="14" t="str">
        <x:v>S01-03:A:status_tail</x:v>
      </x:c>
      <x:c r="B71" s="14" t="str">
        <x:v>A</x:v>
      </x:c>
      <x:c r="C71" s="14" t="str">
        <x:v>status_tail</x:v>
      </x:c>
      <x:c r="D71" s="14" t="n">
        <x:v>1.254666667</x:v>
      </x:c>
      <x:c r="E71" s="14" t="n">
        <x:v>1.947166667</x:v>
      </x:c>
      <x:c r="F71" s="14" t="n">
        <x:v>0.6925</x:v>
      </x:c>
      <x:c r="G71" s="17" t="n">
        <x:v>1</x:v>
      </x:c>
      <x:c r="H71" s="14" t="str">
        <x:v>S01-03:A:status_first</x:v>
      </x:c>
    </x:row>
    <x:row r="72" ht="72" customHeight="1">
      <x:c r="A72" s="14" t="str">
        <x:v>S01-03:A:status_device</x:v>
      </x:c>
      <x:c r="B72" s="14" t="str">
        <x:v>A</x:v>
      </x:c>
      <x:c r="C72" s="14" t="str">
        <x:v>status_device</x:v>
      </x:c>
      <x:c r="D72" s="14" t="n">
        <x:v>1.254666667</x:v>
      </x:c>
      <x:c r="E72" s="14" t="n">
        <x:v>1.294666667</x:v>
      </x:c>
      <x:c r="F72" s="14" t="n">
        <x:v>0.04</x:v>
      </x:c>
      <x:c r="G72" s="17" t="n">
        <x:v>1</x:v>
      </x:c>
      <x:c r="H72" s="14" t="str">
        <x:v>S01-03:A:apply_relation
S01-03:A:status_first</x:v>
      </x:c>
    </x:row>
    <x:row r="73" ht="72" customHeight="1">
      <x:c r="A73" s="14" t="str">
        <x:v>S01-03:A:status_played</x:v>
      </x:c>
      <x:c r="B73" s="14" t="str">
        <x:v>A</x:v>
      </x:c>
      <x:c r="C73" s="14" t="str">
        <x:v>status_played</x:v>
      </x:c>
      <x:c r="D73" s="14" t="n">
        <x:v>1.294666667</x:v>
      </x:c>
      <x:c r="E73" s="14" t="n">
        <x:v>4.264666666</x:v>
      </x:c>
      <x:c r="F73" s="14" t="n">
        <x:v>2.969999999</x:v>
      </x:c>
      <x:c r="G73" s="17" t="n">
        <x:v>0</x:v>
      </x:c>
      <x:c r="H73" s="14" t="str">
        <x:v>S01-03:A:status_device</x:v>
      </x:c>
    </x:row>
    <x:row r="74" ht="72" customHeight="1">
      <x:c r="A74" s="14" t="str">
        <x:v>S01-03:B:origin</x:v>
      </x:c>
      <x:c r="B74" s="14" t="str">
        <x:v>B</x:v>
      </x:c>
      <x:c r="C74" s="14" t="str">
        <x:v>origin</x:v>
      </x:c>
      <x:c r="D74" s="14" t="n">
        <x:v>-6</x:v>
      </x:c>
      <x:c r="E74" s="14" t="n">
        <x:v>-6</x:v>
      </x:c>
      <x:c r="F74" s="14" t="n">
        <x:v>0</x:v>
      </x:c>
      <x:c r="G74" s="17" t="n">
        <x:v>0</x:v>
      </x:c>
      <x:c r="H74" s="14" t="str"/>
    </x:row>
    <x:row r="75" ht="72" customHeight="1">
      <x:c r="A75" s="14" t="str">
        <x:v>S01-03:B:origin_interpretation</x:v>
      </x:c>
      <x:c r="B75" s="14" t="str">
        <x:v>B</x:v>
      </x:c>
      <x:c r="C75" s="14" t="str">
        <x:v>origin_interpretation</x:v>
      </x:c>
      <x:c r="D75" s="14" t="n">
        <x:v>-6</x:v>
      </x:c>
      <x:c r="E75" s="14" t="n">
        <x:v>-5.16</x:v>
      </x:c>
      <x:c r="F75" s="14" t="n">
        <x:v>0.84</x:v>
      </x:c>
      <x:c r="G75" s="17" t="n">
        <x:v>1</x:v>
      </x:c>
      <x:c r="H75" s="14" t="str">
        <x:v>S01-03:B:origin</x:v>
      </x:c>
    </x:row>
    <x:row r="76" ht="72" customHeight="1">
      <x:c r="A76" s="14" t="str">
        <x:v>S01-03:B:original_handoff</x:v>
      </x:c>
      <x:c r="B76" s="14" t="str">
        <x:v>B</x:v>
      </x:c>
      <x:c r="C76" s="14" t="str">
        <x:v>original_handoff</x:v>
      </x:c>
      <x:c r="D76" s="14" t="n">
        <x:v>-5.16</x:v>
      </x:c>
      <x:c r="E76" s="14" t="n">
        <x:v>-5.04</x:v>
      </x:c>
      <x:c r="F76" s="14" t="n">
        <x:v>0.12</x:v>
      </x:c>
      <x:c r="G76" s="17" t="n">
        <x:v>1</x:v>
      </x:c>
      <x:c r="H76" s="14" t="str">
        <x:v>S01-03:B:origin_interpretation</x:v>
      </x:c>
    </x:row>
    <x:row r="77" ht="72" customHeight="1">
      <x:c r="A77" s="14" t="str">
        <x:v>S01-03:B:evaluation_utterance_end</x:v>
      </x:c>
      <x:c r="B77" s="14" t="str">
        <x:v>B</x:v>
      </x:c>
      <x:c r="C77" s="14" t="str">
        <x:v>evaluation_utterance_end</x:v>
      </x:c>
      <x:c r="D77" s="14" t="n">
        <x:v>-6</x:v>
      </x:c>
      <x:c r="E77" s="14" t="n">
        <x:v>0</x:v>
      </x:c>
      <x:c r="F77" s="14" t="n">
        <x:v>6</x:v>
      </x:c>
      <x:c r="G77" s="17" t="n">
        <x:v>0</x:v>
      </x:c>
      <x:c r="H77" s="14" t="str">
        <x:v>S01-03:B:origin</x:v>
      </x:c>
    </x:row>
    <x:row r="78" ht="72" customHeight="1">
      <x:c r="A78" s="14" t="str">
        <x:v>S01-03:B:final_transcript</x:v>
      </x:c>
      <x:c r="B78" s="14" t="str">
        <x:v>B</x:v>
      </x:c>
      <x:c r="C78" s="14" t="str">
        <x:v>final_transcript</x:v>
      </x:c>
      <x:c r="D78" s="14" t="n">
        <x:v>0</x:v>
      </x:c>
      <x:c r="E78" s="14" t="n">
        <x:v>0.3</x:v>
      </x:c>
      <x:c r="F78" s="14" t="n">
        <x:v>0.3</x:v>
      </x:c>
      <x:c r="G78" s="17" t="n">
        <x:v>1</x:v>
      </x:c>
      <x:c r="H78" s="14" t="str">
        <x:v>S01-03:B:evaluation_utterance_end</x:v>
      </x:c>
    </x:row>
    <x:row r="79" ht="72" customHeight="1">
      <x:c r="A79" s="14" t="str">
        <x:v>S01-03:B:meaning_adoption</x:v>
      </x:c>
      <x:c r="B79" s="14" t="str">
        <x:v>B</x:v>
      </x:c>
      <x:c r="C79" s="14" t="str">
        <x:v>meaning_adoption</x:v>
      </x:c>
      <x:c r="D79" s="14" t="n">
        <x:v>0.3</x:v>
      </x:c>
      <x:c r="E79" s="14" t="n">
        <x:v>0.81</x:v>
      </x:c>
      <x:c r="F79" s="14" t="n">
        <x:v>0.51</x:v>
      </x:c>
      <x:c r="G79" s="17" t="n">
        <x:v>1</x:v>
      </x:c>
      <x:c r="H79" s="14" t="str">
        <x:v>S01-03:B:final_transcript
S01-03:B:origin_interpretation</x:v>
      </x:c>
    </x:row>
    <x:row r="80" ht="72" customHeight="1">
      <x:c r="A80" s="14" t="str">
        <x:v>S01-03:B:apply_relation</x:v>
      </x:c>
      <x:c r="B80" s="14" t="str">
        <x:v>B</x:v>
      </x:c>
      <x:c r="C80" s="14" t="str">
        <x:v>apply_relation</x:v>
      </x:c>
      <x:c r="D80" s="14" t="n">
        <x:v>0.81</x:v>
      </x:c>
      <x:c r="E80" s="14" t="n">
        <x:v>0.85</x:v>
      </x:c>
      <x:c r="F80" s="14" t="n">
        <x:v>0.04</x:v>
      </x:c>
      <x:c r="G80" s="17" t="n">
        <x:v>1</x:v>
      </x:c>
      <x:c r="H80" s="14" t="str">
        <x:v>S01-03:B:meaning_adoption</x:v>
      </x:c>
    </x:row>
    <x:row r="81" ht="72" customHeight="1">
      <x:c r="A81" s="14" t="str">
        <x:v>S01-03:B:evaluation_first_display</x:v>
      </x:c>
      <x:c r="B81" s="14" t="str">
        <x:v>B</x:v>
      </x:c>
      <x:c r="C81" s="14" t="str">
        <x:v>evaluation_first_display</x:v>
      </x:c>
      <x:c r="D81" s="14" t="n">
        <x:v>0.85</x:v>
      </x:c>
      <x:c r="E81" s="14" t="n">
        <x:v>0.89</x:v>
      </x:c>
      <x:c r="F81" s="14" t="n">
        <x:v>0.04</x:v>
      </x:c>
      <x:c r="G81" s="17" t="n">
        <x:v>1</x:v>
      </x:c>
      <x:c r="H81" s="14" t="str">
        <x:v>S01-03:B:apply_relation</x:v>
      </x:c>
    </x:row>
    <x:row r="82" ht="72" customHeight="1">
      <x:c r="A82" s="14" t="str">
        <x:v>S01-03:B:source_status</x:v>
      </x:c>
      <x:c r="B82" s="14" t="str">
        <x:v>B</x:v>
      </x:c>
      <x:c r="C82" s="14" t="str">
        <x:v>source_status</x:v>
      </x:c>
      <x:c r="D82" s="14" t="n">
        <x:v>0.85</x:v>
      </x:c>
      <x:c r="E82" s="14" t="n">
        <x:v>0.85</x:v>
      </x:c>
      <x:c r="F82" s="14" t="n">
        <x:v>0</x:v>
      </x:c>
      <x:c r="G82" s="17" t="n">
        <x:v>0</x:v>
      </x:c>
      <x:c r="H82" s="14" t="str">
        <x:v>S01-03:B:apply_relation</x:v>
      </x:c>
    </x:row>
    <x:row r="83" ht="72" customHeight="1">
      <x:c r="A83" s="14" t="str">
        <x:v>S01-03:B:display_status</x:v>
      </x:c>
      <x:c r="B83" s="14" t="str">
        <x:v>B</x:v>
      </x:c>
      <x:c r="C83" s="14" t="str">
        <x:v>display_status</x:v>
      </x:c>
      <x:c r="D83" s="14" t="n">
        <x:v>0.85</x:v>
      </x:c>
      <x:c r="E83" s="14" t="n">
        <x:v>0.89</x:v>
      </x:c>
      <x:c r="F83" s="14" t="n">
        <x:v>0.04</x:v>
      </x:c>
      <x:c r="G83" s="17" t="n">
        <x:v>1</x:v>
      </x:c>
      <x:c r="H83" s="14" t="str">
        <x:v>S01-03:B:source_status</x:v>
      </x:c>
    </x:row>
    <x:row r="84" ht="72" customHeight="1">
      <x:c r="A84" s="14" t="str">
        <x:v>S01-03:B:status_first</x:v>
      </x:c>
      <x:c r="B84" s="14" t="str">
        <x:v>B</x:v>
      </x:c>
      <x:c r="C84" s="14" t="str">
        <x:v>status_first</x:v>
      </x:c>
      <x:c r="D84" s="14" t="n">
        <x:v>0.85</x:v>
      </x:c>
      <x:c r="E84" s="14" t="n">
        <x:v>1.254666667</x:v>
      </x:c>
      <x:c r="F84" s="14" t="n">
        <x:v>0.404666667</x:v>
      </x:c>
      <x:c r="G84" s="17" t="n">
        <x:v>1</x:v>
      </x:c>
      <x:c r="H84" s="14" t="str">
        <x:v>S01-03:B:apply_relation</x:v>
      </x:c>
    </x:row>
    <x:row r="85" ht="72" customHeight="1">
      <x:c r="A85" s="14" t="str">
        <x:v>S01-03:B:status_tail</x:v>
      </x:c>
      <x:c r="B85" s="14" t="str">
        <x:v>B</x:v>
      </x:c>
      <x:c r="C85" s="14" t="str">
        <x:v>status_tail</x:v>
      </x:c>
      <x:c r="D85" s="14" t="n">
        <x:v>1.254666667</x:v>
      </x:c>
      <x:c r="E85" s="14" t="n">
        <x:v>1.947166667</x:v>
      </x:c>
      <x:c r="F85" s="14" t="n">
        <x:v>0.6925</x:v>
      </x:c>
      <x:c r="G85" s="17" t="n">
        <x:v>1</x:v>
      </x:c>
      <x:c r="H85" s="14" t="str">
        <x:v>S01-03:B:status_first</x:v>
      </x:c>
    </x:row>
    <x:row r="86" ht="72" customHeight="1">
      <x:c r="A86" s="14" t="str">
        <x:v>S01-03:B:status_device</x:v>
      </x:c>
      <x:c r="B86" s="14" t="str">
        <x:v>B</x:v>
      </x:c>
      <x:c r="C86" s="14" t="str">
        <x:v>status_device</x:v>
      </x:c>
      <x:c r="D86" s="14" t="n">
        <x:v>1.254666667</x:v>
      </x:c>
      <x:c r="E86" s="14" t="n">
        <x:v>1.294666667</x:v>
      </x:c>
      <x:c r="F86" s="14" t="n">
        <x:v>0.04</x:v>
      </x:c>
      <x:c r="G86" s="17" t="n">
        <x:v>1</x:v>
      </x:c>
      <x:c r="H86" s="14" t="str">
        <x:v>S01-03:B:apply_relation
S01-03:B:status_first</x:v>
      </x:c>
    </x:row>
    <x:row r="87" ht="72" customHeight="1">
      <x:c r="A87" s="14" t="str">
        <x:v>S01-03:B:status_played</x:v>
      </x:c>
      <x:c r="B87" s="14" t="str">
        <x:v>B</x:v>
      </x:c>
      <x:c r="C87" s="14" t="str">
        <x:v>status_played</x:v>
      </x:c>
      <x:c r="D87" s="14" t="n">
        <x:v>1.294666667</x:v>
      </x:c>
      <x:c r="E87" s="14" t="n">
        <x:v>4.264666666</x:v>
      </x:c>
      <x:c r="F87" s="14" t="n">
        <x:v>2.969999999</x:v>
      </x:c>
      <x:c r="G87" s="17" t="n">
        <x:v>0</x:v>
      </x:c>
      <x:c r="H87" s="14" t="str">
        <x:v>S01-03:B:status_device</x:v>
      </x:c>
    </x:row>
    <x:row r="88" ht="72" customHeight="1">
      <x:c r="A88" s="14" t="str">
        <x:v>S01-04:A:origin</x:v>
      </x:c>
      <x:c r="B88" s="14" t="str">
        <x:v>A</x:v>
      </x:c>
      <x:c r="C88" s="14" t="str">
        <x:v>origin</x:v>
      </x:c>
      <x:c r="D88" s="14" t="n">
        <x:v>-6</x:v>
      </x:c>
      <x:c r="E88" s="14" t="n">
        <x:v>-6</x:v>
      </x:c>
      <x:c r="F88" s="14" t="n">
        <x:v>0</x:v>
      </x:c>
      <x:c r="G88" s="17" t="n">
        <x:v>0</x:v>
      </x:c>
      <x:c r="H88" s="14" t="str"/>
    </x:row>
    <x:row r="89" ht="72" customHeight="1">
      <x:c r="A89" s="14" t="str">
        <x:v>S01-04:A:origin_interpretation</x:v>
      </x:c>
      <x:c r="B89" s="14" t="str">
        <x:v>A</x:v>
      </x:c>
      <x:c r="C89" s="14" t="str">
        <x:v>origin_interpretation</x:v>
      </x:c>
      <x:c r="D89" s="14" t="n">
        <x:v>-6</x:v>
      </x:c>
      <x:c r="E89" s="14" t="n">
        <x:v>-5.16</x:v>
      </x:c>
      <x:c r="F89" s="14" t="n">
        <x:v>0.84</x:v>
      </x:c>
      <x:c r="G89" s="17" t="n">
        <x:v>1</x:v>
      </x:c>
      <x:c r="H89" s="14" t="str">
        <x:v>S01-04:A:origin</x:v>
      </x:c>
    </x:row>
    <x:row r="90" ht="72" customHeight="1">
      <x:c r="A90" s="14" t="str">
        <x:v>S01-04:A:original_handoff</x:v>
      </x:c>
      <x:c r="B90" s="14" t="str">
        <x:v>A</x:v>
      </x:c>
      <x:c r="C90" s="14" t="str">
        <x:v>original_handoff</x:v>
      </x:c>
      <x:c r="D90" s="14" t="n">
        <x:v>-5.16</x:v>
      </x:c>
      <x:c r="E90" s="14" t="n">
        <x:v>-5.04</x:v>
      </x:c>
      <x:c r="F90" s="14" t="n">
        <x:v>0.12</x:v>
      </x:c>
      <x:c r="G90" s="17" t="n">
        <x:v>1</x:v>
      </x:c>
      <x:c r="H90" s="14" t="str">
        <x:v>S01-04:A:origin_interpretation</x:v>
      </x:c>
    </x:row>
    <x:row r="91" ht="72" customHeight="1">
      <x:c r="A91" s="14" t="str">
        <x:v>S01-04:A:evaluation_utterance_end</x:v>
      </x:c>
      <x:c r="B91" s="14" t="str">
        <x:v>A</x:v>
      </x:c>
      <x:c r="C91" s="14" t="str">
        <x:v>evaluation_utterance_end</x:v>
      </x:c>
      <x:c r="D91" s="14" t="n">
        <x:v>-6</x:v>
      </x:c>
      <x:c r="E91" s="14" t="n">
        <x:v>0</x:v>
      </x:c>
      <x:c r="F91" s="14" t="n">
        <x:v>6</x:v>
      </x:c>
      <x:c r="G91" s="17" t="n">
        <x:v>0</x:v>
      </x:c>
      <x:c r="H91" s="14" t="str">
        <x:v>S01-04:A:origin</x:v>
      </x:c>
    </x:row>
    <x:row r="92" ht="72" customHeight="1">
      <x:c r="A92" s="14" t="str">
        <x:v>S01-04:A:final_transcript</x:v>
      </x:c>
      <x:c r="B92" s="14" t="str">
        <x:v>A</x:v>
      </x:c>
      <x:c r="C92" s="14" t="str">
        <x:v>final_transcript</x:v>
      </x:c>
      <x:c r="D92" s="14" t="n">
        <x:v>0</x:v>
      </x:c>
      <x:c r="E92" s="14" t="n">
        <x:v>0.3</x:v>
      </x:c>
      <x:c r="F92" s="14" t="n">
        <x:v>0.3</x:v>
      </x:c>
      <x:c r="G92" s="17" t="n">
        <x:v>1</x:v>
      </x:c>
      <x:c r="H92" s="14" t="str">
        <x:v>S01-04:A:evaluation_utterance_end</x:v>
      </x:c>
    </x:row>
    <x:row r="93" ht="72" customHeight="1">
      <x:c r="A93" s="14" t="str">
        <x:v>S01-04:A:meaning_adoption</x:v>
      </x:c>
      <x:c r="B93" s="14" t="str">
        <x:v>A</x:v>
      </x:c>
      <x:c r="C93" s="14" t="str">
        <x:v>meaning_adoption</x:v>
      </x:c>
      <x:c r="D93" s="14" t="n">
        <x:v>0.3</x:v>
      </x:c>
      <x:c r="E93" s="14" t="n">
        <x:v>0.838333333</x:v>
      </x:c>
      <x:c r="F93" s="14" t="n">
        <x:v>0.538333333</x:v>
      </x:c>
      <x:c r="G93" s="17" t="n">
        <x:v>1</x:v>
      </x:c>
      <x:c r="H93" s="14" t="str">
        <x:v>S01-04:A:final_transcript
S01-04:A:origin_interpretation</x:v>
      </x:c>
    </x:row>
    <x:row r="94" ht="72" customHeight="1">
      <x:c r="A94" s="14" t="str">
        <x:v>S01-04:A:apply_relation</x:v>
      </x:c>
      <x:c r="B94" s="14" t="str">
        <x:v>A</x:v>
      </x:c>
      <x:c r="C94" s="14" t="str">
        <x:v>apply_relation</x:v>
      </x:c>
      <x:c r="D94" s="14" t="n">
        <x:v>0.838333333</x:v>
      </x:c>
      <x:c r="E94" s="14" t="n">
        <x:v>0.878333333</x:v>
      </x:c>
      <x:c r="F94" s="14" t="n">
        <x:v>0.04</x:v>
      </x:c>
      <x:c r="G94" s="17" t="n">
        <x:v>1</x:v>
      </x:c>
      <x:c r="H94" s="14" t="str">
        <x:v>S01-04:A:meaning_adoption</x:v>
      </x:c>
    </x:row>
    <x:row r="95" ht="72" customHeight="1">
      <x:c r="A95" s="14" t="str">
        <x:v>S01-04:A:evaluation_first_display</x:v>
      </x:c>
      <x:c r="B95" s="14" t="str">
        <x:v>A</x:v>
      </x:c>
      <x:c r="C95" s="14" t="str">
        <x:v>evaluation_first_display</x:v>
      </x:c>
      <x:c r="D95" s="14" t="n">
        <x:v>0.878333333</x:v>
      </x:c>
      <x:c r="E95" s="14" t="n">
        <x:v>0.918333333</x:v>
      </x:c>
      <x:c r="F95" s="14" t="n">
        <x:v>0.04</x:v>
      </x:c>
      <x:c r="G95" s="17" t="n">
        <x:v>1</x:v>
      </x:c>
      <x:c r="H95" s="14" t="str">
        <x:v>S01-04:A:apply_relation</x:v>
      </x:c>
    </x:row>
    <x:row r="96" ht="72" customHeight="1">
      <x:c r="A96" s="14" t="str">
        <x:v>S01-04:A:source_status</x:v>
      </x:c>
      <x:c r="B96" s="14" t="str">
        <x:v>A</x:v>
      </x:c>
      <x:c r="C96" s="14" t="str">
        <x:v>source_status</x:v>
      </x:c>
      <x:c r="D96" s="14" t="n">
        <x:v>0.878333333</x:v>
      </x:c>
      <x:c r="E96" s="14" t="n">
        <x:v>0.878333333</x:v>
      </x:c>
      <x:c r="F96" s="14" t="n">
        <x:v>0</x:v>
      </x:c>
      <x:c r="G96" s="17" t="n">
        <x:v>0</x:v>
      </x:c>
      <x:c r="H96" s="14" t="str">
        <x:v>S01-04:A:apply_relation</x:v>
      </x:c>
    </x:row>
    <x:row r="97" ht="72" customHeight="1">
      <x:c r="A97" s="14" t="str">
        <x:v>S01-04:A:display_status</x:v>
      </x:c>
      <x:c r="B97" s="14" t="str">
        <x:v>A</x:v>
      </x:c>
      <x:c r="C97" s="14" t="str">
        <x:v>display_status</x:v>
      </x:c>
      <x:c r="D97" s="14" t="n">
        <x:v>0.878333333</x:v>
      </x:c>
      <x:c r="E97" s="14" t="n">
        <x:v>0.918333333</x:v>
      </x:c>
      <x:c r="F97" s="14" t="n">
        <x:v>0.04</x:v>
      </x:c>
      <x:c r="G97" s="17" t="n">
        <x:v>1</x:v>
      </x:c>
      <x:c r="H97" s="14" t="str">
        <x:v>S01-04:A:source_status</x:v>
      </x:c>
    </x:row>
    <x:row r="98" ht="72" customHeight="1">
      <x:c r="A98" s="14" t="str">
        <x:v>S01-04:A:status_first</x:v>
      </x:c>
      <x:c r="B98" s="14" t="str">
        <x:v>A</x:v>
      </x:c>
      <x:c r="C98" s="14" t="str">
        <x:v>status_first</x:v>
      </x:c>
      <x:c r="D98" s="14" t="n">
        <x:v>0.878333333</x:v>
      </x:c>
      <x:c r="E98" s="14" t="n">
        <x:v>1.283</x:v>
      </x:c>
      <x:c r="F98" s="14" t="n">
        <x:v>0.404666667</x:v>
      </x:c>
      <x:c r="G98" s="17" t="n">
        <x:v>1</x:v>
      </x:c>
      <x:c r="H98" s="14" t="str">
        <x:v>S01-04:A:source_status</x:v>
      </x:c>
    </x:row>
    <x:row r="99" ht="72" customHeight="1">
      <x:c r="A99" s="14" t="str">
        <x:v>S01-04:A:status_tail</x:v>
      </x:c>
      <x:c r="B99" s="14" t="str">
        <x:v>A</x:v>
      </x:c>
      <x:c r="C99" s="14" t="str">
        <x:v>status_tail</x:v>
      </x:c>
      <x:c r="D99" s="14" t="n">
        <x:v>1.283</x:v>
      </x:c>
      <x:c r="E99" s="14" t="n">
        <x:v>1.9785</x:v>
      </x:c>
      <x:c r="F99" s="14" t="n">
        <x:v>0.6955</x:v>
      </x:c>
      <x:c r="G99" s="17" t="n">
        <x:v>1</x:v>
      </x:c>
      <x:c r="H99" s="14" t="str">
        <x:v>S01-04:A:status_first</x:v>
      </x:c>
    </x:row>
    <x:row r="100" ht="72" customHeight="1">
      <x:c r="A100" s="14" t="str">
        <x:v>S01-04:A:status_device</x:v>
      </x:c>
      <x:c r="B100" s="14" t="str">
        <x:v>A</x:v>
      </x:c>
      <x:c r="C100" s="14" t="str">
        <x:v>status_device</x:v>
      </x:c>
      <x:c r="D100" s="14" t="n">
        <x:v>1.283</x:v>
      </x:c>
      <x:c r="E100" s="14" t="n">
        <x:v>1.323</x:v>
      </x:c>
      <x:c r="F100" s="14" t="n">
        <x:v>0.04</x:v>
      </x:c>
      <x:c r="G100" s="17" t="n">
        <x:v>1</x:v>
      </x:c>
      <x:c r="H100" s="14" t="str">
        <x:v>S01-04:A:apply_relation
S01-04:A:status_first</x:v>
      </x:c>
    </x:row>
    <x:row r="101" ht="72" customHeight="1">
      <x:c r="A101" s="14" t="str">
        <x:v>S01-04:A:status_played</x:v>
      </x:c>
      <x:c r="B101" s="14" t="str">
        <x:v>A</x:v>
      </x:c>
      <x:c r="C101" s="14" t="str">
        <x:v>status_played</x:v>
      </x:c>
      <x:c r="D101" s="14" t="n">
        <x:v>1.323</x:v>
      </x:c>
      <x:c r="E101" s="14" t="n">
        <x:v>4.304999999</x:v>
      </x:c>
      <x:c r="F101" s="14" t="n">
        <x:v>2.981999999</x:v>
      </x:c>
      <x:c r="G101" s="17" t="n">
        <x:v>0</x:v>
      </x:c>
      <x:c r="H101" s="14" t="str">
        <x:v>S01-04:A:status_device</x:v>
      </x:c>
    </x:row>
    <x:row r="102" ht="72" customHeight="1">
      <x:c r="A102" s="14" t="str">
        <x:v>S01-04:B:origin</x:v>
      </x:c>
      <x:c r="B102" s="14" t="str">
        <x:v>B</x:v>
      </x:c>
      <x:c r="C102" s="14" t="str">
        <x:v>origin</x:v>
      </x:c>
      <x:c r="D102" s="14" t="n">
        <x:v>-6</x:v>
      </x:c>
      <x:c r="E102" s="14" t="n">
        <x:v>-6</x:v>
      </x:c>
      <x:c r="F102" s="14" t="n">
        <x:v>0</x:v>
      </x:c>
      <x:c r="G102" s="17" t="n">
        <x:v>0</x:v>
      </x:c>
      <x:c r="H102" s="14" t="str"/>
    </x:row>
    <x:row r="103" ht="72" customHeight="1">
      <x:c r="A103" s="14" t="str">
        <x:v>S01-04:B:origin_interpretation</x:v>
      </x:c>
      <x:c r="B103" s="14" t="str">
        <x:v>B</x:v>
      </x:c>
      <x:c r="C103" s="14" t="str">
        <x:v>origin_interpretation</x:v>
      </x:c>
      <x:c r="D103" s="14" t="n">
        <x:v>-6</x:v>
      </x:c>
      <x:c r="E103" s="14" t="n">
        <x:v>-5.16</x:v>
      </x:c>
      <x:c r="F103" s="14" t="n">
        <x:v>0.84</x:v>
      </x:c>
      <x:c r="G103" s="17" t="n">
        <x:v>1</x:v>
      </x:c>
      <x:c r="H103" s="14" t="str">
        <x:v>S01-04:B:origin</x:v>
      </x:c>
    </x:row>
    <x:row r="104" ht="72" customHeight="1">
      <x:c r="A104" s="14" t="str">
        <x:v>S01-04:B:original_handoff</x:v>
      </x:c>
      <x:c r="B104" s="14" t="str">
        <x:v>B</x:v>
      </x:c>
      <x:c r="C104" s="14" t="str">
        <x:v>original_handoff</x:v>
      </x:c>
      <x:c r="D104" s="14" t="n">
        <x:v>-5.16</x:v>
      </x:c>
      <x:c r="E104" s="14" t="n">
        <x:v>-5.04</x:v>
      </x:c>
      <x:c r="F104" s="14" t="n">
        <x:v>0.12</x:v>
      </x:c>
      <x:c r="G104" s="17" t="n">
        <x:v>1</x:v>
      </x:c>
      <x:c r="H104" s="14" t="str">
        <x:v>S01-04:B:origin_interpretation</x:v>
      </x:c>
    </x:row>
    <x:row r="105" ht="72" customHeight="1">
      <x:c r="A105" s="14" t="str">
        <x:v>S01-04:B:evaluation_utterance_end</x:v>
      </x:c>
      <x:c r="B105" s="14" t="str">
        <x:v>B</x:v>
      </x:c>
      <x:c r="C105" s="14" t="str">
        <x:v>evaluation_utterance_end</x:v>
      </x:c>
      <x:c r="D105" s="14" t="n">
        <x:v>-6</x:v>
      </x:c>
      <x:c r="E105" s="14" t="n">
        <x:v>0</x:v>
      </x:c>
      <x:c r="F105" s="14" t="n">
        <x:v>6</x:v>
      </x:c>
      <x:c r="G105" s="17" t="n">
        <x:v>0</x:v>
      </x:c>
      <x:c r="H105" s="14" t="str">
        <x:v>S01-04:B:origin</x:v>
      </x:c>
    </x:row>
    <x:row r="106" ht="72" customHeight="1">
      <x:c r="A106" s="14" t="str">
        <x:v>S01-04:B:final_transcript</x:v>
      </x:c>
      <x:c r="B106" s="14" t="str">
        <x:v>B</x:v>
      </x:c>
      <x:c r="C106" s="14" t="str">
        <x:v>final_transcript</x:v>
      </x:c>
      <x:c r="D106" s="14" t="n">
        <x:v>0</x:v>
      </x:c>
      <x:c r="E106" s="14" t="n">
        <x:v>0.3</x:v>
      </x:c>
      <x:c r="F106" s="14" t="n">
        <x:v>0.3</x:v>
      </x:c>
      <x:c r="G106" s="17" t="n">
        <x:v>1</x:v>
      </x:c>
      <x:c r="H106" s="14" t="str">
        <x:v>S01-04:B:evaluation_utterance_end</x:v>
      </x:c>
    </x:row>
    <x:row r="107" ht="72" customHeight="1">
      <x:c r="A107" s="14" t="str">
        <x:v>S01-04:B:meaning_adoption</x:v>
      </x:c>
      <x:c r="B107" s="14" t="str">
        <x:v>B</x:v>
      </x:c>
      <x:c r="C107" s="14" t="str">
        <x:v>meaning_adoption</x:v>
      </x:c>
      <x:c r="D107" s="14" t="n">
        <x:v>0.3</x:v>
      </x:c>
      <x:c r="E107" s="14" t="n">
        <x:v>0.838333333</x:v>
      </x:c>
      <x:c r="F107" s="14" t="n">
        <x:v>0.538333333</x:v>
      </x:c>
      <x:c r="G107" s="17" t="n">
        <x:v>1</x:v>
      </x:c>
      <x:c r="H107" s="14" t="str">
        <x:v>S01-04:B:final_transcript
S01-04:B:origin_interpretation</x:v>
      </x:c>
    </x:row>
    <x:row r="108" ht="72" customHeight="1">
      <x:c r="A108" s="14" t="str">
        <x:v>S01-04:B:apply_relation</x:v>
      </x:c>
      <x:c r="B108" s="14" t="str">
        <x:v>B</x:v>
      </x:c>
      <x:c r="C108" s="14" t="str">
        <x:v>apply_relation</x:v>
      </x:c>
      <x:c r="D108" s="14" t="n">
        <x:v>0.838333333</x:v>
      </x:c>
      <x:c r="E108" s="14" t="n">
        <x:v>0.878333333</x:v>
      </x:c>
      <x:c r="F108" s="14" t="n">
        <x:v>0.04</x:v>
      </x:c>
      <x:c r="G108" s="17" t="n">
        <x:v>1</x:v>
      </x:c>
      <x:c r="H108" s="14" t="str">
        <x:v>S01-04:B:meaning_adoption</x:v>
      </x:c>
    </x:row>
    <x:row r="109" ht="72" customHeight="1">
      <x:c r="A109" s="14" t="str">
        <x:v>S01-04:B:evaluation_first_display</x:v>
      </x:c>
      <x:c r="B109" s="14" t="str">
        <x:v>B</x:v>
      </x:c>
      <x:c r="C109" s="14" t="str">
        <x:v>evaluation_first_display</x:v>
      </x:c>
      <x:c r="D109" s="14" t="n">
        <x:v>0.878333333</x:v>
      </x:c>
      <x:c r="E109" s="14" t="n">
        <x:v>0.918333333</x:v>
      </x:c>
      <x:c r="F109" s="14" t="n">
        <x:v>0.04</x:v>
      </x:c>
      <x:c r="G109" s="17" t="n">
        <x:v>1</x:v>
      </x:c>
      <x:c r="H109" s="14" t="str">
        <x:v>S01-04:B:apply_relation</x:v>
      </x:c>
    </x:row>
    <x:row r="110" ht="72" customHeight="1">
      <x:c r="A110" s="14" t="str">
        <x:v>S01-04:B:source_status</x:v>
      </x:c>
      <x:c r="B110" s="14" t="str">
        <x:v>B</x:v>
      </x:c>
      <x:c r="C110" s="14" t="str">
        <x:v>source_status</x:v>
      </x:c>
      <x:c r="D110" s="14" t="n">
        <x:v>0.878333333</x:v>
      </x:c>
      <x:c r="E110" s="14" t="n">
        <x:v>0.878333333</x:v>
      </x:c>
      <x:c r="F110" s="14" t="n">
        <x:v>0</x:v>
      </x:c>
      <x:c r="G110" s="17" t="n">
        <x:v>0</x:v>
      </x:c>
      <x:c r="H110" s="14" t="str">
        <x:v>S01-04:B:apply_relation</x:v>
      </x:c>
    </x:row>
    <x:row r="111" ht="72" customHeight="1">
      <x:c r="A111" s="14" t="str">
        <x:v>S01-04:B:display_status</x:v>
      </x:c>
      <x:c r="B111" s="14" t="str">
        <x:v>B</x:v>
      </x:c>
      <x:c r="C111" s="14" t="str">
        <x:v>display_status</x:v>
      </x:c>
      <x:c r="D111" s="14" t="n">
        <x:v>0.878333333</x:v>
      </x:c>
      <x:c r="E111" s="14" t="n">
        <x:v>0.918333333</x:v>
      </x:c>
      <x:c r="F111" s="14" t="n">
        <x:v>0.04</x:v>
      </x:c>
      <x:c r="G111" s="17" t="n">
        <x:v>1</x:v>
      </x:c>
      <x:c r="H111" s="14" t="str">
        <x:v>S01-04:B:source_status</x:v>
      </x:c>
    </x:row>
    <x:row r="112" ht="72" customHeight="1">
      <x:c r="A112" s="14" t="str">
        <x:v>S01-04:B:status_first</x:v>
      </x:c>
      <x:c r="B112" s="14" t="str">
        <x:v>B</x:v>
      </x:c>
      <x:c r="C112" s="14" t="str">
        <x:v>status_first</x:v>
      </x:c>
      <x:c r="D112" s="14" t="n">
        <x:v>0.878333333</x:v>
      </x:c>
      <x:c r="E112" s="14" t="n">
        <x:v>1.283</x:v>
      </x:c>
      <x:c r="F112" s="14" t="n">
        <x:v>0.404666667</x:v>
      </x:c>
      <x:c r="G112" s="17" t="n">
        <x:v>1</x:v>
      </x:c>
      <x:c r="H112" s="14" t="str">
        <x:v>S01-04:B:apply_relation</x:v>
      </x:c>
    </x:row>
    <x:row r="113" ht="72" customHeight="1">
      <x:c r="A113" s="14" t="str">
        <x:v>S01-04:B:status_tail</x:v>
      </x:c>
      <x:c r="B113" s="14" t="str">
        <x:v>B</x:v>
      </x:c>
      <x:c r="C113" s="14" t="str">
        <x:v>status_tail</x:v>
      </x:c>
      <x:c r="D113" s="14" t="n">
        <x:v>1.283</x:v>
      </x:c>
      <x:c r="E113" s="14" t="n">
        <x:v>1.9785</x:v>
      </x:c>
      <x:c r="F113" s="14" t="n">
        <x:v>0.6955</x:v>
      </x:c>
      <x:c r="G113" s="17" t="n">
        <x:v>1</x:v>
      </x:c>
      <x:c r="H113" s="14" t="str">
        <x:v>S01-04:B:status_first</x:v>
      </x:c>
    </x:row>
    <x:row r="114" ht="72" customHeight="1">
      <x:c r="A114" s="14" t="str">
        <x:v>S01-04:B:status_device</x:v>
      </x:c>
      <x:c r="B114" s="14" t="str">
        <x:v>B</x:v>
      </x:c>
      <x:c r="C114" s="14" t="str">
        <x:v>status_device</x:v>
      </x:c>
      <x:c r="D114" s="14" t="n">
        <x:v>1.283</x:v>
      </x:c>
      <x:c r="E114" s="14" t="n">
        <x:v>1.323</x:v>
      </x:c>
      <x:c r="F114" s="14" t="n">
        <x:v>0.04</x:v>
      </x:c>
      <x:c r="G114" s="17" t="n">
        <x:v>1</x:v>
      </x:c>
      <x:c r="H114" s="14" t="str">
        <x:v>S01-04:B:apply_relation
S01-04:B:status_first</x:v>
      </x:c>
    </x:row>
    <x:row r="115" ht="72" customHeight="1">
      <x:c r="A115" s="14" t="str">
        <x:v>S01-04:B:status_played</x:v>
      </x:c>
      <x:c r="B115" s="14" t="str">
        <x:v>B</x:v>
      </x:c>
      <x:c r="C115" s="14" t="str">
        <x:v>status_played</x:v>
      </x:c>
      <x:c r="D115" s="14" t="n">
        <x:v>1.323</x:v>
      </x:c>
      <x:c r="E115" s="14" t="n">
        <x:v>4.304999999</x:v>
      </x:c>
      <x:c r="F115" s="14" t="n">
        <x:v>2.981999999</x:v>
      </x:c>
      <x:c r="G115" s="17" t="n">
        <x:v>0</x:v>
      </x:c>
      <x:c r="H115" s="14" t="str">
        <x:v>S01-04:B:status_device</x:v>
      </x:c>
    </x:row>
    <x:row r="116" ht="72" customHeight="1">
      <x:c r="A116" s="14" t="str">
        <x:v>S01-05:A:origin</x:v>
      </x:c>
      <x:c r="B116" s="14" t="str">
        <x:v>A</x:v>
      </x:c>
      <x:c r="C116" s="14" t="str">
        <x:v>origin</x:v>
      </x:c>
      <x:c r="D116" s="14" t="n">
        <x:v>-6</x:v>
      </x:c>
      <x:c r="E116" s="14" t="n">
        <x:v>-6</x:v>
      </x:c>
      <x:c r="F116" s="14" t="n">
        <x:v>0</x:v>
      </x:c>
      <x:c r="G116" s="17" t="n">
        <x:v>0</x:v>
      </x:c>
      <x:c r="H116" s="14" t="str"/>
    </x:row>
    <x:row r="117" ht="72" customHeight="1">
      <x:c r="A117" s="14" t="str">
        <x:v>S01-05:A:origin_interpretation</x:v>
      </x:c>
      <x:c r="B117" s="14" t="str">
        <x:v>A</x:v>
      </x:c>
      <x:c r="C117" s="14" t="str">
        <x:v>origin_interpretation</x:v>
      </x:c>
      <x:c r="D117" s="14" t="n">
        <x:v>-6</x:v>
      </x:c>
      <x:c r="E117" s="14" t="n">
        <x:v>-5.16</x:v>
      </x:c>
      <x:c r="F117" s="14" t="n">
        <x:v>0.84</x:v>
      </x:c>
      <x:c r="G117" s="17" t="n">
        <x:v>1</x:v>
      </x:c>
      <x:c r="H117" s="14" t="str">
        <x:v>S01-05:A:origin</x:v>
      </x:c>
    </x:row>
    <x:row r="118" ht="72" customHeight="1">
      <x:c r="A118" s="14" t="str">
        <x:v>S01-05:A:original_handoff</x:v>
      </x:c>
      <x:c r="B118" s="14" t="str">
        <x:v>A</x:v>
      </x:c>
      <x:c r="C118" s="14" t="str">
        <x:v>original_handoff</x:v>
      </x:c>
      <x:c r="D118" s="14" t="n">
        <x:v>-5.16</x:v>
      </x:c>
      <x:c r="E118" s="14" t="n">
        <x:v>-5.04</x:v>
      </x:c>
      <x:c r="F118" s="14" t="n">
        <x:v>0.12</x:v>
      </x:c>
      <x:c r="G118" s="17" t="n">
        <x:v>1</x:v>
      </x:c>
      <x:c r="H118" s="14" t="str">
        <x:v>S01-05:A:origin_interpretation</x:v>
      </x:c>
    </x:row>
    <x:row r="119" ht="72" customHeight="1">
      <x:c r="A119" s="14" t="str">
        <x:v>S01-05:A:evaluation_utterance_end</x:v>
      </x:c>
      <x:c r="B119" s="14" t="str">
        <x:v>A</x:v>
      </x:c>
      <x:c r="C119" s="14" t="str">
        <x:v>evaluation_utterance_end</x:v>
      </x:c>
      <x:c r="D119" s="14" t="n">
        <x:v>-6</x:v>
      </x:c>
      <x:c r="E119" s="14" t="n">
        <x:v>0</x:v>
      </x:c>
      <x:c r="F119" s="14" t="n">
        <x:v>6</x:v>
      </x:c>
      <x:c r="G119" s="17" t="n">
        <x:v>0</x:v>
      </x:c>
      <x:c r="H119" s="14" t="str">
        <x:v>S01-05:A:origin</x:v>
      </x:c>
    </x:row>
    <x:row r="120" ht="72" customHeight="1">
      <x:c r="A120" s="14" t="str">
        <x:v>S01-05:A:final_transcript</x:v>
      </x:c>
      <x:c r="B120" s="14" t="str">
        <x:v>A</x:v>
      </x:c>
      <x:c r="C120" s="14" t="str">
        <x:v>final_transcript</x:v>
      </x:c>
      <x:c r="D120" s="14" t="n">
        <x:v>0</x:v>
      </x:c>
      <x:c r="E120" s="14" t="n">
        <x:v>0.3</x:v>
      </x:c>
      <x:c r="F120" s="14" t="n">
        <x:v>0.3</x:v>
      </x:c>
      <x:c r="G120" s="17" t="n">
        <x:v>1</x:v>
      </x:c>
      <x:c r="H120" s="14" t="str">
        <x:v>S01-05:A:evaluation_utterance_end</x:v>
      </x:c>
    </x:row>
    <x:row r="121" ht="72" customHeight="1">
      <x:c r="A121" s="14" t="str">
        <x:v>S01-05:A:meaning_adoption</x:v>
      </x:c>
      <x:c r="B121" s="14" t="str">
        <x:v>A</x:v>
      </x:c>
      <x:c r="C121" s="14" t="str">
        <x:v>meaning_adoption</x:v>
      </x:c>
      <x:c r="D121" s="14" t="n">
        <x:v>0.3</x:v>
      </x:c>
      <x:c r="E121" s="14" t="n">
        <x:v>0.866666667</x:v>
      </x:c>
      <x:c r="F121" s="14" t="n">
        <x:v>0.566666667</x:v>
      </x:c>
      <x:c r="G121" s="17" t="n">
        <x:v>1</x:v>
      </x:c>
      <x:c r="H121" s="14" t="str">
        <x:v>S01-05:A:final_transcript
S01-05:A:origin_interpretation</x:v>
      </x:c>
    </x:row>
    <x:row r="122" ht="72" customHeight="1">
      <x:c r="A122" s="14" t="str">
        <x:v>S01-05:A:apply_relation</x:v>
      </x:c>
      <x:c r="B122" s="14" t="str">
        <x:v>A</x:v>
      </x:c>
      <x:c r="C122" s="14" t="str">
        <x:v>apply_relation</x:v>
      </x:c>
      <x:c r="D122" s="14" t="n">
        <x:v>0.866666667</x:v>
      </x:c>
      <x:c r="E122" s="14" t="n">
        <x:v>0.906666667</x:v>
      </x:c>
      <x:c r="F122" s="14" t="n">
        <x:v>0.04</x:v>
      </x:c>
      <x:c r="G122" s="17" t="n">
        <x:v>1</x:v>
      </x:c>
      <x:c r="H122" s="14" t="str">
        <x:v>S01-05:A:meaning_adoption</x:v>
      </x:c>
    </x:row>
    <x:row r="123" ht="72" customHeight="1">
      <x:c r="A123" s="14" t="str">
        <x:v>S01-05:A:evaluation_first_display</x:v>
      </x:c>
      <x:c r="B123" s="14" t="str">
        <x:v>A</x:v>
      </x:c>
      <x:c r="C123" s="14" t="str">
        <x:v>evaluation_first_display</x:v>
      </x:c>
      <x:c r="D123" s="14" t="n">
        <x:v>0.906666667</x:v>
      </x:c>
      <x:c r="E123" s="14" t="n">
        <x:v>0.946666667</x:v>
      </x:c>
      <x:c r="F123" s="14" t="n">
        <x:v>0.04</x:v>
      </x:c>
      <x:c r="G123" s="17" t="n">
        <x:v>1</x:v>
      </x:c>
      <x:c r="H123" s="14" t="str">
        <x:v>S01-05:A:apply_relation</x:v>
      </x:c>
    </x:row>
    <x:row r="124" ht="72" customHeight="1">
      <x:c r="A124" s="14" t="str">
        <x:v>S01-05:A:source_status</x:v>
      </x:c>
      <x:c r="B124" s="14" t="str">
        <x:v>A</x:v>
      </x:c>
      <x:c r="C124" s="14" t="str">
        <x:v>source_status</x:v>
      </x:c>
      <x:c r="D124" s="14" t="n">
        <x:v>0.906666667</x:v>
      </x:c>
      <x:c r="E124" s="14" t="n">
        <x:v>0.906666667</x:v>
      </x:c>
      <x:c r="F124" s="14" t="n">
        <x:v>0</x:v>
      </x:c>
      <x:c r="G124" s="17" t="n">
        <x:v>0</x:v>
      </x:c>
      <x:c r="H124" s="14" t="str">
        <x:v>S01-05:A:apply_relation</x:v>
      </x:c>
    </x:row>
    <x:row r="125" ht="72" customHeight="1">
      <x:c r="A125" s="14" t="str">
        <x:v>S01-05:A:display_status</x:v>
      </x:c>
      <x:c r="B125" s="14" t="str">
        <x:v>A</x:v>
      </x:c>
      <x:c r="C125" s="14" t="str">
        <x:v>display_status</x:v>
      </x:c>
      <x:c r="D125" s="14" t="n">
        <x:v>0.906666667</x:v>
      </x:c>
      <x:c r="E125" s="14" t="n">
        <x:v>0.946666667</x:v>
      </x:c>
      <x:c r="F125" s="14" t="n">
        <x:v>0.04</x:v>
      </x:c>
      <x:c r="G125" s="17" t="n">
        <x:v>1</x:v>
      </x:c>
      <x:c r="H125" s="14" t="str">
        <x:v>S01-05:A:source_status</x:v>
      </x:c>
    </x:row>
    <x:row r="126" ht="72" customHeight="1">
      <x:c r="A126" s="14" t="str">
        <x:v>S01-05:A:status_first</x:v>
      </x:c>
      <x:c r="B126" s="14" t="str">
        <x:v>A</x:v>
      </x:c>
      <x:c r="C126" s="14" t="str">
        <x:v>status_first</x:v>
      </x:c>
      <x:c r="D126" s="14" t="n">
        <x:v>0.906666667</x:v>
      </x:c>
      <x:c r="E126" s="14" t="n">
        <x:v>1.311333334</x:v>
      </x:c>
      <x:c r="F126" s="14" t="n">
        <x:v>0.404666667</x:v>
      </x:c>
      <x:c r="G126" s="17" t="n">
        <x:v>1</x:v>
      </x:c>
      <x:c r="H126" s="14" t="str">
        <x:v>S01-05:A:source_status</x:v>
      </x:c>
    </x:row>
    <x:row r="127" ht="72" customHeight="1">
      <x:c r="A127" s="14" t="str">
        <x:v>S01-05:A:status_tail</x:v>
      </x:c>
      <x:c r="B127" s="14" t="str">
        <x:v>A</x:v>
      </x:c>
      <x:c r="C127" s="14" t="str">
        <x:v>status_tail</x:v>
      </x:c>
      <x:c r="D127" s="14" t="n">
        <x:v>1.311333334</x:v>
      </x:c>
      <x:c r="E127" s="14" t="n">
        <x:v>2.009833334</x:v>
      </x:c>
      <x:c r="F127" s="14" t="n">
        <x:v>0.6985</x:v>
      </x:c>
      <x:c r="G127" s="17" t="n">
        <x:v>1</x:v>
      </x:c>
      <x:c r="H127" s="14" t="str">
        <x:v>S01-05:A:status_first</x:v>
      </x:c>
    </x:row>
    <x:row r="128" ht="72" customHeight="1">
      <x:c r="A128" s="14" t="str">
        <x:v>S01-05:A:status_device</x:v>
      </x:c>
      <x:c r="B128" s="14" t="str">
        <x:v>A</x:v>
      </x:c>
      <x:c r="C128" s="14" t="str">
        <x:v>status_device</x:v>
      </x:c>
      <x:c r="D128" s="14" t="n">
        <x:v>1.311333334</x:v>
      </x:c>
      <x:c r="E128" s="14" t="n">
        <x:v>1.351333334</x:v>
      </x:c>
      <x:c r="F128" s="14" t="n">
        <x:v>0.04</x:v>
      </x:c>
      <x:c r="G128" s="17" t="n">
        <x:v>1</x:v>
      </x:c>
      <x:c r="H128" s="14" t="str">
        <x:v>S01-05:A:apply_relation
S01-05:A:status_first</x:v>
      </x:c>
    </x:row>
    <x:row r="129" ht="72" customHeight="1">
      <x:c r="A129" s="14" t="str">
        <x:v>S01-05:A:status_played</x:v>
      </x:c>
      <x:c r="B129" s="14" t="str">
        <x:v>A</x:v>
      </x:c>
      <x:c r="C129" s="14" t="str">
        <x:v>status_played</x:v>
      </x:c>
      <x:c r="D129" s="14" t="n">
        <x:v>1.351333334</x:v>
      </x:c>
      <x:c r="E129" s="14" t="n">
        <x:v>4.345333333</x:v>
      </x:c>
      <x:c r="F129" s="14" t="n">
        <x:v>2.993999999</x:v>
      </x:c>
      <x:c r="G129" s="17" t="n">
        <x:v>0</x:v>
      </x:c>
      <x:c r="H129" s="14" t="str">
        <x:v>S01-05:A:status_device</x:v>
      </x:c>
    </x:row>
    <x:row r="130" ht="72" customHeight="1">
      <x:c r="A130" s="14" t="str">
        <x:v>S01-05:B:origin</x:v>
      </x:c>
      <x:c r="B130" s="14" t="str">
        <x:v>B</x:v>
      </x:c>
      <x:c r="C130" s="14" t="str">
        <x:v>origin</x:v>
      </x:c>
      <x:c r="D130" s="14" t="n">
        <x:v>-6</x:v>
      </x:c>
      <x:c r="E130" s="14" t="n">
        <x:v>-6</x:v>
      </x:c>
      <x:c r="F130" s="14" t="n">
        <x:v>0</x:v>
      </x:c>
      <x:c r="G130" s="17" t="n">
        <x:v>0</x:v>
      </x:c>
      <x:c r="H130" s="14" t="str"/>
    </x:row>
    <x:row r="131" ht="72" customHeight="1">
      <x:c r="A131" s="14" t="str">
        <x:v>S01-05:B:origin_interpretation</x:v>
      </x:c>
      <x:c r="B131" s="14" t="str">
        <x:v>B</x:v>
      </x:c>
      <x:c r="C131" s="14" t="str">
        <x:v>origin_interpretation</x:v>
      </x:c>
      <x:c r="D131" s="14" t="n">
        <x:v>-6</x:v>
      </x:c>
      <x:c r="E131" s="14" t="n">
        <x:v>-5.16</x:v>
      </x:c>
      <x:c r="F131" s="14" t="n">
        <x:v>0.84</x:v>
      </x:c>
      <x:c r="G131" s="17" t="n">
        <x:v>1</x:v>
      </x:c>
      <x:c r="H131" s="14" t="str">
        <x:v>S01-05:B:origin</x:v>
      </x:c>
    </x:row>
    <x:row r="132" ht="72" customHeight="1">
      <x:c r="A132" s="14" t="str">
        <x:v>S01-05:B:original_handoff</x:v>
      </x:c>
      <x:c r="B132" s="14" t="str">
        <x:v>B</x:v>
      </x:c>
      <x:c r="C132" s="14" t="str">
        <x:v>original_handoff</x:v>
      </x:c>
      <x:c r="D132" s="14" t="n">
        <x:v>-5.16</x:v>
      </x:c>
      <x:c r="E132" s="14" t="n">
        <x:v>-5.04</x:v>
      </x:c>
      <x:c r="F132" s="14" t="n">
        <x:v>0.12</x:v>
      </x:c>
      <x:c r="G132" s="17" t="n">
        <x:v>1</x:v>
      </x:c>
      <x:c r="H132" s="14" t="str">
        <x:v>S01-05:B:origin_interpretation</x:v>
      </x:c>
    </x:row>
    <x:row r="133" ht="72" customHeight="1">
      <x:c r="A133" s="14" t="str">
        <x:v>S01-05:B:evaluation_utterance_end</x:v>
      </x:c>
      <x:c r="B133" s="14" t="str">
        <x:v>B</x:v>
      </x:c>
      <x:c r="C133" s="14" t="str">
        <x:v>evaluation_utterance_end</x:v>
      </x:c>
      <x:c r="D133" s="14" t="n">
        <x:v>-6</x:v>
      </x:c>
      <x:c r="E133" s="14" t="n">
        <x:v>0</x:v>
      </x:c>
      <x:c r="F133" s="14" t="n">
        <x:v>6</x:v>
      </x:c>
      <x:c r="G133" s="17" t="n">
        <x:v>0</x:v>
      </x:c>
      <x:c r="H133" s="14" t="str">
        <x:v>S01-05:B:origin</x:v>
      </x:c>
    </x:row>
    <x:row r="134" ht="72" customHeight="1">
      <x:c r="A134" s="14" t="str">
        <x:v>S01-05:B:final_transcript</x:v>
      </x:c>
      <x:c r="B134" s="14" t="str">
        <x:v>B</x:v>
      </x:c>
      <x:c r="C134" s="14" t="str">
        <x:v>final_transcript</x:v>
      </x:c>
      <x:c r="D134" s="14" t="n">
        <x:v>0</x:v>
      </x:c>
      <x:c r="E134" s="14" t="n">
        <x:v>0.3</x:v>
      </x:c>
      <x:c r="F134" s="14" t="n">
        <x:v>0.3</x:v>
      </x:c>
      <x:c r="G134" s="17" t="n">
        <x:v>1</x:v>
      </x:c>
      <x:c r="H134" s="14" t="str">
        <x:v>S01-05:B:evaluation_utterance_end</x:v>
      </x:c>
    </x:row>
    <x:row r="135" ht="72" customHeight="1">
      <x:c r="A135" s="14" t="str">
        <x:v>S01-05:B:meaning_adoption</x:v>
      </x:c>
      <x:c r="B135" s="14" t="str">
        <x:v>B</x:v>
      </x:c>
      <x:c r="C135" s="14" t="str">
        <x:v>meaning_adoption</x:v>
      </x:c>
      <x:c r="D135" s="14" t="n">
        <x:v>0.3</x:v>
      </x:c>
      <x:c r="E135" s="14" t="n">
        <x:v>0.866666667</x:v>
      </x:c>
      <x:c r="F135" s="14" t="n">
        <x:v>0.566666667</x:v>
      </x:c>
      <x:c r="G135" s="17" t="n">
        <x:v>1</x:v>
      </x:c>
      <x:c r="H135" s="14" t="str">
        <x:v>S01-05:B:final_transcript
S01-05:B:origin_interpretation</x:v>
      </x:c>
    </x:row>
    <x:row r="136" ht="72" customHeight="1">
      <x:c r="A136" s="14" t="str">
        <x:v>S01-05:B:apply_relation</x:v>
      </x:c>
      <x:c r="B136" s="14" t="str">
        <x:v>B</x:v>
      </x:c>
      <x:c r="C136" s="14" t="str">
        <x:v>apply_relation</x:v>
      </x:c>
      <x:c r="D136" s="14" t="n">
        <x:v>0.866666667</x:v>
      </x:c>
      <x:c r="E136" s="14" t="n">
        <x:v>0.906666667</x:v>
      </x:c>
      <x:c r="F136" s="14" t="n">
        <x:v>0.04</x:v>
      </x:c>
      <x:c r="G136" s="17" t="n">
        <x:v>1</x:v>
      </x:c>
      <x:c r="H136" s="14" t="str">
        <x:v>S01-05:B:meaning_adoption</x:v>
      </x:c>
    </x:row>
    <x:row r="137" ht="72" customHeight="1">
      <x:c r="A137" s="14" t="str">
        <x:v>S01-05:B:evaluation_first_display</x:v>
      </x:c>
      <x:c r="B137" s="14" t="str">
        <x:v>B</x:v>
      </x:c>
      <x:c r="C137" s="14" t="str">
        <x:v>evaluation_first_display</x:v>
      </x:c>
      <x:c r="D137" s="14" t="n">
        <x:v>0.906666667</x:v>
      </x:c>
      <x:c r="E137" s="14" t="n">
        <x:v>0.946666667</x:v>
      </x:c>
      <x:c r="F137" s="14" t="n">
        <x:v>0.04</x:v>
      </x:c>
      <x:c r="G137" s="17" t="n">
        <x:v>1</x:v>
      </x:c>
      <x:c r="H137" s="14" t="str">
        <x:v>S01-05:B:apply_relation</x:v>
      </x:c>
    </x:row>
    <x:row r="138" ht="72" customHeight="1">
      <x:c r="A138" s="14" t="str">
        <x:v>S01-05:B:source_status</x:v>
      </x:c>
      <x:c r="B138" s="14" t="str">
        <x:v>B</x:v>
      </x:c>
      <x:c r="C138" s="14" t="str">
        <x:v>source_status</x:v>
      </x:c>
      <x:c r="D138" s="14" t="n">
        <x:v>0.906666667</x:v>
      </x:c>
      <x:c r="E138" s="14" t="n">
        <x:v>0.906666667</x:v>
      </x:c>
      <x:c r="F138" s="14" t="n">
        <x:v>0</x:v>
      </x:c>
      <x:c r="G138" s="17" t="n">
        <x:v>0</x:v>
      </x:c>
      <x:c r="H138" s="14" t="str">
        <x:v>S01-05:B:apply_relation</x:v>
      </x:c>
    </x:row>
    <x:row r="139" ht="72" customHeight="1">
      <x:c r="A139" s="14" t="str">
        <x:v>S01-05:B:display_status</x:v>
      </x:c>
      <x:c r="B139" s="14" t="str">
        <x:v>B</x:v>
      </x:c>
      <x:c r="C139" s="14" t="str">
        <x:v>display_status</x:v>
      </x:c>
      <x:c r="D139" s="14" t="n">
        <x:v>0.906666667</x:v>
      </x:c>
      <x:c r="E139" s="14" t="n">
        <x:v>0.946666667</x:v>
      </x:c>
      <x:c r="F139" s="14" t="n">
        <x:v>0.04</x:v>
      </x:c>
      <x:c r="G139" s="17" t="n">
        <x:v>1</x:v>
      </x:c>
      <x:c r="H139" s="14" t="str">
        <x:v>S01-05:B:source_status</x:v>
      </x:c>
    </x:row>
    <x:row r="140" ht="72" customHeight="1">
      <x:c r="A140" s="14" t="str">
        <x:v>S01-05:B:status_first</x:v>
      </x:c>
      <x:c r="B140" s="14" t="str">
        <x:v>B</x:v>
      </x:c>
      <x:c r="C140" s="14" t="str">
        <x:v>status_first</x:v>
      </x:c>
      <x:c r="D140" s="14" t="n">
        <x:v>0.906666667</x:v>
      </x:c>
      <x:c r="E140" s="14" t="n">
        <x:v>1.311333334</x:v>
      </x:c>
      <x:c r="F140" s="14" t="n">
        <x:v>0.404666667</x:v>
      </x:c>
      <x:c r="G140" s="17" t="n">
        <x:v>1</x:v>
      </x:c>
      <x:c r="H140" s="14" t="str">
        <x:v>S01-05:B:apply_relation</x:v>
      </x:c>
    </x:row>
    <x:row r="141" ht="72" customHeight="1">
      <x:c r="A141" s="14" t="str">
        <x:v>S01-05:B:status_tail</x:v>
      </x:c>
      <x:c r="B141" s="14" t="str">
        <x:v>B</x:v>
      </x:c>
      <x:c r="C141" s="14" t="str">
        <x:v>status_tail</x:v>
      </x:c>
      <x:c r="D141" s="14" t="n">
        <x:v>1.311333334</x:v>
      </x:c>
      <x:c r="E141" s="14" t="n">
        <x:v>2.009833334</x:v>
      </x:c>
      <x:c r="F141" s="14" t="n">
        <x:v>0.6985</x:v>
      </x:c>
      <x:c r="G141" s="17" t="n">
        <x:v>1</x:v>
      </x:c>
      <x:c r="H141" s="14" t="str">
        <x:v>S01-05:B:status_first</x:v>
      </x:c>
    </x:row>
    <x:row r="142" ht="72" customHeight="1">
      <x:c r="A142" s="14" t="str">
        <x:v>S01-05:B:status_device</x:v>
      </x:c>
      <x:c r="B142" s="14" t="str">
        <x:v>B</x:v>
      </x:c>
      <x:c r="C142" s="14" t="str">
        <x:v>status_device</x:v>
      </x:c>
      <x:c r="D142" s="14" t="n">
        <x:v>1.311333334</x:v>
      </x:c>
      <x:c r="E142" s="14" t="n">
        <x:v>1.351333334</x:v>
      </x:c>
      <x:c r="F142" s="14" t="n">
        <x:v>0.04</x:v>
      </x:c>
      <x:c r="G142" s="17" t="n">
        <x:v>1</x:v>
      </x:c>
      <x:c r="H142" s="14" t="str">
        <x:v>S01-05:B:apply_relation
S01-05:B:status_first</x:v>
      </x:c>
    </x:row>
    <x:row r="143" ht="72" customHeight="1">
      <x:c r="A143" s="14" t="str">
        <x:v>S01-05:B:status_played</x:v>
      </x:c>
      <x:c r="B143" s="14" t="str">
        <x:v>B</x:v>
      </x:c>
      <x:c r="C143" s="14" t="str">
        <x:v>status_played</x:v>
      </x:c>
      <x:c r="D143" s="14" t="n">
        <x:v>1.351333334</x:v>
      </x:c>
      <x:c r="E143" s="14" t="n">
        <x:v>4.345333333</x:v>
      </x:c>
      <x:c r="F143" s="14" t="n">
        <x:v>2.993999999</x:v>
      </x:c>
      <x:c r="G143" s="17" t="n">
        <x:v>0</x:v>
      </x:c>
      <x:c r="H143" s="14" t="str">
        <x:v>S01-05:B:status_device</x:v>
      </x:c>
    </x:row>
    <x:row r="144" ht="72" customHeight="1">
      <x:c r="A144" s="14" t="str">
        <x:v>S01-06:A:origin</x:v>
      </x:c>
      <x:c r="B144" s="14" t="str">
        <x:v>A</x:v>
      </x:c>
      <x:c r="C144" s="14" t="str">
        <x:v>origin</x:v>
      </x:c>
      <x:c r="D144" s="14" t="n">
        <x:v>-6</x:v>
      </x:c>
      <x:c r="E144" s="14" t="n">
        <x:v>-6</x:v>
      </x:c>
      <x:c r="F144" s="14" t="n">
        <x:v>0</x:v>
      </x:c>
      <x:c r="G144" s="17" t="n">
        <x:v>0</x:v>
      </x:c>
      <x:c r="H144" s="14" t="str"/>
    </x:row>
    <x:row r="145" ht="72" customHeight="1">
      <x:c r="A145" s="14" t="str">
        <x:v>S01-06:A:origin_interpretation</x:v>
      </x:c>
      <x:c r="B145" s="14" t="str">
        <x:v>A</x:v>
      </x:c>
      <x:c r="C145" s="14" t="str">
        <x:v>origin_interpretation</x:v>
      </x:c>
      <x:c r="D145" s="14" t="n">
        <x:v>-6</x:v>
      </x:c>
      <x:c r="E145" s="14" t="n">
        <x:v>-5.16</x:v>
      </x:c>
      <x:c r="F145" s="14" t="n">
        <x:v>0.84</x:v>
      </x:c>
      <x:c r="G145" s="17" t="n">
        <x:v>1</x:v>
      </x:c>
      <x:c r="H145" s="14" t="str">
        <x:v>S01-06:A:origin</x:v>
      </x:c>
    </x:row>
    <x:row r="146" ht="72" customHeight="1">
      <x:c r="A146" s="14" t="str">
        <x:v>S01-06:A:original_handoff</x:v>
      </x:c>
      <x:c r="B146" s="14" t="str">
        <x:v>A</x:v>
      </x:c>
      <x:c r="C146" s="14" t="str">
        <x:v>original_handoff</x:v>
      </x:c>
      <x:c r="D146" s="14" t="n">
        <x:v>-5.16</x:v>
      </x:c>
      <x:c r="E146" s="14" t="n">
        <x:v>-5.04</x:v>
      </x:c>
      <x:c r="F146" s="14" t="n">
        <x:v>0.12</x:v>
      </x:c>
      <x:c r="G146" s="17" t="n">
        <x:v>1</x:v>
      </x:c>
      <x:c r="H146" s="14" t="str">
        <x:v>S01-06:A:origin_interpretation</x:v>
      </x:c>
    </x:row>
    <x:row r="147" ht="72" customHeight="1">
      <x:c r="A147" s="14" t="str">
        <x:v>S01-06:A:evaluation_utterance_end</x:v>
      </x:c>
      <x:c r="B147" s="14" t="str">
        <x:v>A</x:v>
      </x:c>
      <x:c r="C147" s="14" t="str">
        <x:v>evaluation_utterance_end</x:v>
      </x:c>
      <x:c r="D147" s="14" t="n">
        <x:v>-6</x:v>
      </x:c>
      <x:c r="E147" s="14" t="n">
        <x:v>0</x:v>
      </x:c>
      <x:c r="F147" s="14" t="n">
        <x:v>6</x:v>
      </x:c>
      <x:c r="G147" s="17" t="n">
        <x:v>0</x:v>
      </x:c>
      <x:c r="H147" s="14" t="str">
        <x:v>S01-06:A:origin</x:v>
      </x:c>
    </x:row>
    <x:row r="148" ht="72" customHeight="1">
      <x:c r="A148" s="14" t="str">
        <x:v>S01-06:A:final_transcript</x:v>
      </x:c>
      <x:c r="B148" s="14" t="str">
        <x:v>A</x:v>
      </x:c>
      <x:c r="C148" s="14" t="str">
        <x:v>final_transcript</x:v>
      </x:c>
      <x:c r="D148" s="14" t="n">
        <x:v>0</x:v>
      </x:c>
      <x:c r="E148" s="14" t="n">
        <x:v>0.3</x:v>
      </x:c>
      <x:c r="F148" s="14" t="n">
        <x:v>0.3</x:v>
      </x:c>
      <x:c r="G148" s="17" t="n">
        <x:v>1</x:v>
      </x:c>
      <x:c r="H148" s="14" t="str">
        <x:v>S01-06:A:evaluation_utterance_end</x:v>
      </x:c>
    </x:row>
    <x:row r="149" ht="72" customHeight="1">
      <x:c r="A149" s="14" t="str">
        <x:v>S01-06:A:meaning_adoption</x:v>
      </x:c>
      <x:c r="B149" s="14" t="str">
        <x:v>A</x:v>
      </x:c>
      <x:c r="C149" s="14" t="str">
        <x:v>meaning_adoption</x:v>
      </x:c>
      <x:c r="D149" s="14" t="n">
        <x:v>0.3</x:v>
      </x:c>
      <x:c r="E149" s="14" t="n">
        <x:v>0.82</x:v>
      </x:c>
      <x:c r="F149" s="14" t="n">
        <x:v>0.52</x:v>
      </x:c>
      <x:c r="G149" s="17" t="n">
        <x:v>1</x:v>
      </x:c>
      <x:c r="H149" s="14" t="str">
        <x:v>S01-06:A:final_transcript
S01-06:A:origin_interpretation</x:v>
      </x:c>
    </x:row>
    <x:row r="150" ht="72" customHeight="1">
      <x:c r="A150" s="14" t="str">
        <x:v>S01-06:A:apply_relation</x:v>
      </x:c>
      <x:c r="B150" s="14" t="str">
        <x:v>A</x:v>
      </x:c>
      <x:c r="C150" s="14" t="str">
        <x:v>apply_relation</x:v>
      </x:c>
      <x:c r="D150" s="14" t="n">
        <x:v>0.82</x:v>
      </x:c>
      <x:c r="E150" s="14" t="n">
        <x:v>0.86</x:v>
      </x:c>
      <x:c r="F150" s="14" t="n">
        <x:v>0.04</x:v>
      </x:c>
      <x:c r="G150" s="17" t="n">
        <x:v>1</x:v>
      </x:c>
      <x:c r="H150" s="14" t="str">
        <x:v>S01-06:A:meaning_adoption</x:v>
      </x:c>
    </x:row>
    <x:row r="151" ht="72" customHeight="1">
      <x:c r="A151" s="14" t="str">
        <x:v>S01-06:A:evaluation_first_display</x:v>
      </x:c>
      <x:c r="B151" s="14" t="str">
        <x:v>A</x:v>
      </x:c>
      <x:c r="C151" s="14" t="str">
        <x:v>evaluation_first_display</x:v>
      </x:c>
      <x:c r="D151" s="14" t="n">
        <x:v>0.86</x:v>
      </x:c>
      <x:c r="E151" s="14" t="n">
        <x:v>0.9</x:v>
      </x:c>
      <x:c r="F151" s="14" t="n">
        <x:v>0.04</x:v>
      </x:c>
      <x:c r="G151" s="17" t="n">
        <x:v>1</x:v>
      </x:c>
      <x:c r="H151" s="14" t="str">
        <x:v>S01-06:A:apply_relation</x:v>
      </x:c>
    </x:row>
    <x:row r="152" ht="72" customHeight="1">
      <x:c r="A152" s="14" t="str">
        <x:v>S01-06:A:source_status</x:v>
      </x:c>
      <x:c r="B152" s="14" t="str">
        <x:v>A</x:v>
      </x:c>
      <x:c r="C152" s="14" t="str">
        <x:v>source_status</x:v>
      </x:c>
      <x:c r="D152" s="14" t="n">
        <x:v>0.86</x:v>
      </x:c>
      <x:c r="E152" s="14" t="n">
        <x:v>0.86</x:v>
      </x:c>
      <x:c r="F152" s="14" t="n">
        <x:v>0</x:v>
      </x:c>
      <x:c r="G152" s="17" t="n">
        <x:v>0</x:v>
      </x:c>
      <x:c r="H152" s="14" t="str">
        <x:v>S01-06:A:apply_relation</x:v>
      </x:c>
    </x:row>
    <x:row r="153" ht="72" customHeight="1">
      <x:c r="A153" s="14" t="str">
        <x:v>S01-06:A:display_status</x:v>
      </x:c>
      <x:c r="B153" s="14" t="str">
        <x:v>A</x:v>
      </x:c>
      <x:c r="C153" s="14" t="str">
        <x:v>display_status</x:v>
      </x:c>
      <x:c r="D153" s="14" t="n">
        <x:v>0.86</x:v>
      </x:c>
      <x:c r="E153" s="14" t="n">
        <x:v>0.9</x:v>
      </x:c>
      <x:c r="F153" s="14" t="n">
        <x:v>0.04</x:v>
      </x:c>
      <x:c r="G153" s="17" t="n">
        <x:v>1</x:v>
      </x:c>
      <x:c r="H153" s="14" t="str">
        <x:v>S01-06:A:source_status</x:v>
      </x:c>
    </x:row>
    <x:row r="154" ht="72" customHeight="1">
      <x:c r="A154" s="14" t="str">
        <x:v>S01-06:A:status_first</x:v>
      </x:c>
      <x:c r="B154" s="14" t="str">
        <x:v>A</x:v>
      </x:c>
      <x:c r="C154" s="14" t="str">
        <x:v>status_first</x:v>
      </x:c>
      <x:c r="D154" s="14" t="n">
        <x:v>0.86</x:v>
      </x:c>
      <x:c r="E154" s="14" t="n">
        <x:v>1.264666667</x:v>
      </x:c>
      <x:c r="F154" s="14" t="n">
        <x:v>0.404666667</x:v>
      </x:c>
      <x:c r="G154" s="17" t="n">
        <x:v>1</x:v>
      </x:c>
      <x:c r="H154" s="14" t="str">
        <x:v>S01-06:A:source_status</x:v>
      </x:c>
    </x:row>
    <x:row r="155" ht="72" customHeight="1">
      <x:c r="A155" s="14" t="str">
        <x:v>S01-06:A:status_tail</x:v>
      </x:c>
      <x:c r="B155" s="14" t="str">
        <x:v>A</x:v>
      </x:c>
      <x:c r="C155" s="14" t="str">
        <x:v>status_tail</x:v>
      </x:c>
      <x:c r="D155" s="14" t="n">
        <x:v>1.264666667</x:v>
      </x:c>
      <x:c r="E155" s="14" t="n">
        <x:v>1.966166667</x:v>
      </x:c>
      <x:c r="F155" s="14" t="n">
        <x:v>0.7015</x:v>
      </x:c>
      <x:c r="G155" s="17" t="n">
        <x:v>1</x:v>
      </x:c>
      <x:c r="H155" s="14" t="str">
        <x:v>S01-06:A:status_first</x:v>
      </x:c>
    </x:row>
    <x:row r="156" ht="72" customHeight="1">
      <x:c r="A156" s="14" t="str">
        <x:v>S01-06:A:status_device</x:v>
      </x:c>
      <x:c r="B156" s="14" t="str">
        <x:v>A</x:v>
      </x:c>
      <x:c r="C156" s="14" t="str">
        <x:v>status_device</x:v>
      </x:c>
      <x:c r="D156" s="14" t="n">
        <x:v>1.264666667</x:v>
      </x:c>
      <x:c r="E156" s="14" t="n">
        <x:v>1.304666667</x:v>
      </x:c>
      <x:c r="F156" s="14" t="n">
        <x:v>0.04</x:v>
      </x:c>
      <x:c r="G156" s="17" t="n">
        <x:v>1</x:v>
      </x:c>
      <x:c r="H156" s="14" t="str">
        <x:v>S01-06:A:apply_relation
S01-06:A:status_first</x:v>
      </x:c>
    </x:row>
    <x:row r="157" ht="72" customHeight="1">
      <x:c r="A157" s="14" t="str">
        <x:v>S01-06:A:status_played</x:v>
      </x:c>
      <x:c r="B157" s="14" t="str">
        <x:v>A</x:v>
      </x:c>
      <x:c r="C157" s="14" t="str">
        <x:v>status_played</x:v>
      </x:c>
      <x:c r="D157" s="14" t="n">
        <x:v>1.304666667</x:v>
      </x:c>
      <x:c r="E157" s="14" t="n">
        <x:v>4.310666666</x:v>
      </x:c>
      <x:c r="F157" s="14" t="n">
        <x:v>3.005999999</x:v>
      </x:c>
      <x:c r="G157" s="17" t="n">
        <x:v>0</x:v>
      </x:c>
      <x:c r="H157" s="14" t="str">
        <x:v>S01-06:A:status_device</x:v>
      </x:c>
    </x:row>
    <x:row r="158" ht="72" customHeight="1">
      <x:c r="A158" s="14" t="str">
        <x:v>S01-06:B:origin</x:v>
      </x:c>
      <x:c r="B158" s="14" t="str">
        <x:v>B</x:v>
      </x:c>
      <x:c r="C158" s="14" t="str">
        <x:v>origin</x:v>
      </x:c>
      <x:c r="D158" s="14" t="n">
        <x:v>-6</x:v>
      </x:c>
      <x:c r="E158" s="14" t="n">
        <x:v>-6</x:v>
      </x:c>
      <x:c r="F158" s="14" t="n">
        <x:v>0</x:v>
      </x:c>
      <x:c r="G158" s="17" t="n">
        <x:v>0</x:v>
      </x:c>
      <x:c r="H158" s="14" t="str"/>
    </x:row>
    <x:row r="159" ht="72" customHeight="1">
      <x:c r="A159" s="14" t="str">
        <x:v>S01-06:B:origin_interpretation</x:v>
      </x:c>
      <x:c r="B159" s="14" t="str">
        <x:v>B</x:v>
      </x:c>
      <x:c r="C159" s="14" t="str">
        <x:v>origin_interpretation</x:v>
      </x:c>
      <x:c r="D159" s="14" t="n">
        <x:v>-6</x:v>
      </x:c>
      <x:c r="E159" s="14" t="n">
        <x:v>-5.16</x:v>
      </x:c>
      <x:c r="F159" s="14" t="n">
        <x:v>0.84</x:v>
      </x:c>
      <x:c r="G159" s="17" t="n">
        <x:v>1</x:v>
      </x:c>
      <x:c r="H159" s="14" t="str">
        <x:v>S01-06:B:origin</x:v>
      </x:c>
    </x:row>
    <x:row r="160" ht="72" customHeight="1">
      <x:c r="A160" s="14" t="str">
        <x:v>S01-06:B:original_handoff</x:v>
      </x:c>
      <x:c r="B160" s="14" t="str">
        <x:v>B</x:v>
      </x:c>
      <x:c r="C160" s="14" t="str">
        <x:v>original_handoff</x:v>
      </x:c>
      <x:c r="D160" s="14" t="n">
        <x:v>-5.16</x:v>
      </x:c>
      <x:c r="E160" s="14" t="n">
        <x:v>-5.04</x:v>
      </x:c>
      <x:c r="F160" s="14" t="n">
        <x:v>0.12</x:v>
      </x:c>
      <x:c r="G160" s="17" t="n">
        <x:v>1</x:v>
      </x:c>
      <x:c r="H160" s="14" t="str">
        <x:v>S01-06:B:origin_interpretation</x:v>
      </x:c>
    </x:row>
    <x:row r="161" ht="72" customHeight="1">
      <x:c r="A161" s="14" t="str">
        <x:v>S01-06:B:evaluation_utterance_end</x:v>
      </x:c>
      <x:c r="B161" s="14" t="str">
        <x:v>B</x:v>
      </x:c>
      <x:c r="C161" s="14" t="str">
        <x:v>evaluation_utterance_end</x:v>
      </x:c>
      <x:c r="D161" s="14" t="n">
        <x:v>-6</x:v>
      </x:c>
      <x:c r="E161" s="14" t="n">
        <x:v>0</x:v>
      </x:c>
      <x:c r="F161" s="14" t="n">
        <x:v>6</x:v>
      </x:c>
      <x:c r="G161" s="17" t="n">
        <x:v>0</x:v>
      </x:c>
      <x:c r="H161" s="14" t="str">
        <x:v>S01-06:B:origin</x:v>
      </x:c>
    </x:row>
    <x:row r="162" ht="72" customHeight="1">
      <x:c r="A162" s="14" t="str">
        <x:v>S01-06:B:final_transcript</x:v>
      </x:c>
      <x:c r="B162" s="14" t="str">
        <x:v>B</x:v>
      </x:c>
      <x:c r="C162" s="14" t="str">
        <x:v>final_transcript</x:v>
      </x:c>
      <x:c r="D162" s="14" t="n">
        <x:v>0</x:v>
      </x:c>
      <x:c r="E162" s="14" t="n">
        <x:v>0.3</x:v>
      </x:c>
      <x:c r="F162" s="14" t="n">
        <x:v>0.3</x:v>
      </x:c>
      <x:c r="G162" s="17" t="n">
        <x:v>1</x:v>
      </x:c>
      <x:c r="H162" s="14" t="str">
        <x:v>S01-06:B:evaluation_utterance_end</x:v>
      </x:c>
    </x:row>
    <x:row r="163" ht="72" customHeight="1">
      <x:c r="A163" s="14" t="str">
        <x:v>S01-06:B:meaning_adoption</x:v>
      </x:c>
      <x:c r="B163" s="14" t="str">
        <x:v>B</x:v>
      </x:c>
      <x:c r="C163" s="14" t="str">
        <x:v>meaning_adoption</x:v>
      </x:c>
      <x:c r="D163" s="14" t="n">
        <x:v>0.3</x:v>
      </x:c>
      <x:c r="E163" s="14" t="n">
        <x:v>0.82</x:v>
      </x:c>
      <x:c r="F163" s="14" t="n">
        <x:v>0.52</x:v>
      </x:c>
      <x:c r="G163" s="17" t="n">
        <x:v>1</x:v>
      </x:c>
      <x:c r="H163" s="14" t="str">
        <x:v>S01-06:B:final_transcript
S01-06:B:origin_interpretation</x:v>
      </x:c>
    </x:row>
    <x:row r="164" ht="72" customHeight="1">
      <x:c r="A164" s="14" t="str">
        <x:v>S01-06:B:apply_relation</x:v>
      </x:c>
      <x:c r="B164" s="14" t="str">
        <x:v>B</x:v>
      </x:c>
      <x:c r="C164" s="14" t="str">
        <x:v>apply_relation</x:v>
      </x:c>
      <x:c r="D164" s="14" t="n">
        <x:v>0.82</x:v>
      </x:c>
      <x:c r="E164" s="14" t="n">
        <x:v>0.86</x:v>
      </x:c>
      <x:c r="F164" s="14" t="n">
        <x:v>0.04</x:v>
      </x:c>
      <x:c r="G164" s="17" t="n">
        <x:v>1</x:v>
      </x:c>
      <x:c r="H164" s="14" t="str">
        <x:v>S01-06:B:meaning_adoption</x:v>
      </x:c>
    </x:row>
    <x:row r="165" ht="72" customHeight="1">
      <x:c r="A165" s="14" t="str">
        <x:v>S01-06:B:evaluation_first_display</x:v>
      </x:c>
      <x:c r="B165" s="14" t="str">
        <x:v>B</x:v>
      </x:c>
      <x:c r="C165" s="14" t="str">
        <x:v>evaluation_first_display</x:v>
      </x:c>
      <x:c r="D165" s="14" t="n">
        <x:v>0.86</x:v>
      </x:c>
      <x:c r="E165" s="14" t="n">
        <x:v>0.9</x:v>
      </x:c>
      <x:c r="F165" s="14" t="n">
        <x:v>0.04</x:v>
      </x:c>
      <x:c r="G165" s="17" t="n">
        <x:v>1</x:v>
      </x:c>
      <x:c r="H165" s="14" t="str">
        <x:v>S01-06:B:apply_relation</x:v>
      </x:c>
    </x:row>
    <x:row r="166" ht="72" customHeight="1">
      <x:c r="A166" s="14" t="str">
        <x:v>S01-06:B:source_status</x:v>
      </x:c>
      <x:c r="B166" s="14" t="str">
        <x:v>B</x:v>
      </x:c>
      <x:c r="C166" s="14" t="str">
        <x:v>source_status</x:v>
      </x:c>
      <x:c r="D166" s="14" t="n">
        <x:v>0.86</x:v>
      </x:c>
      <x:c r="E166" s="14" t="n">
        <x:v>0.86</x:v>
      </x:c>
      <x:c r="F166" s="14" t="n">
        <x:v>0</x:v>
      </x:c>
      <x:c r="G166" s="17" t="n">
        <x:v>0</x:v>
      </x:c>
      <x:c r="H166" s="14" t="str">
        <x:v>S01-06:B:apply_relation</x:v>
      </x:c>
    </x:row>
    <x:row r="167" ht="72" customHeight="1">
      <x:c r="A167" s="14" t="str">
        <x:v>S01-06:B:display_status</x:v>
      </x:c>
      <x:c r="B167" s="14" t="str">
        <x:v>B</x:v>
      </x:c>
      <x:c r="C167" s="14" t="str">
        <x:v>display_status</x:v>
      </x:c>
      <x:c r="D167" s="14" t="n">
        <x:v>0.86</x:v>
      </x:c>
      <x:c r="E167" s="14" t="n">
        <x:v>0.9</x:v>
      </x:c>
      <x:c r="F167" s="14" t="n">
        <x:v>0.04</x:v>
      </x:c>
      <x:c r="G167" s="17" t="n">
        <x:v>1</x:v>
      </x:c>
      <x:c r="H167" s="14" t="str">
        <x:v>S01-06:B:source_status</x:v>
      </x:c>
    </x:row>
    <x:row r="168" ht="72" customHeight="1">
      <x:c r="A168" s="14" t="str">
        <x:v>S01-06:B:status_first</x:v>
      </x:c>
      <x:c r="B168" s="14" t="str">
        <x:v>B</x:v>
      </x:c>
      <x:c r="C168" s="14" t="str">
        <x:v>status_first</x:v>
      </x:c>
      <x:c r="D168" s="14" t="n">
        <x:v>0.86</x:v>
      </x:c>
      <x:c r="E168" s="14" t="n">
        <x:v>1.264666667</x:v>
      </x:c>
      <x:c r="F168" s="14" t="n">
        <x:v>0.404666667</x:v>
      </x:c>
      <x:c r="G168" s="17" t="n">
        <x:v>1</x:v>
      </x:c>
      <x:c r="H168" s="14" t="str">
        <x:v>S01-06:B:apply_relation</x:v>
      </x:c>
    </x:row>
    <x:row r="169" ht="72" customHeight="1">
      <x:c r="A169" s="14" t="str">
        <x:v>S01-06:B:status_tail</x:v>
      </x:c>
      <x:c r="B169" s="14" t="str">
        <x:v>B</x:v>
      </x:c>
      <x:c r="C169" s="14" t="str">
        <x:v>status_tail</x:v>
      </x:c>
      <x:c r="D169" s="14" t="n">
        <x:v>1.264666667</x:v>
      </x:c>
      <x:c r="E169" s="14" t="n">
        <x:v>1.966166667</x:v>
      </x:c>
      <x:c r="F169" s="14" t="n">
        <x:v>0.7015</x:v>
      </x:c>
      <x:c r="G169" s="17" t="n">
        <x:v>1</x:v>
      </x:c>
      <x:c r="H169" s="14" t="str">
        <x:v>S01-06:B:status_first</x:v>
      </x:c>
    </x:row>
    <x:row r="170" ht="72" customHeight="1">
      <x:c r="A170" s="14" t="str">
        <x:v>S01-06:B:status_device</x:v>
      </x:c>
      <x:c r="B170" s="14" t="str">
        <x:v>B</x:v>
      </x:c>
      <x:c r="C170" s="14" t="str">
        <x:v>status_device</x:v>
      </x:c>
      <x:c r="D170" s="14" t="n">
        <x:v>1.264666667</x:v>
      </x:c>
      <x:c r="E170" s="14" t="n">
        <x:v>1.304666667</x:v>
      </x:c>
      <x:c r="F170" s="14" t="n">
        <x:v>0.04</x:v>
      </x:c>
      <x:c r="G170" s="17" t="n">
        <x:v>1</x:v>
      </x:c>
      <x:c r="H170" s="14" t="str">
        <x:v>S01-06:B:apply_relation
S01-06:B:status_first</x:v>
      </x:c>
    </x:row>
    <x:row r="171" ht="72" customHeight="1">
      <x:c r="A171" s="14" t="str">
        <x:v>S01-06:B:status_played</x:v>
      </x:c>
      <x:c r="B171" s="14" t="str">
        <x:v>B</x:v>
      </x:c>
      <x:c r="C171" s="14" t="str">
        <x:v>status_played</x:v>
      </x:c>
      <x:c r="D171" s="14" t="n">
        <x:v>1.304666667</x:v>
      </x:c>
      <x:c r="E171" s="14" t="n">
        <x:v>4.310666666</x:v>
      </x:c>
      <x:c r="F171" s="14" t="n">
        <x:v>3.005999999</x:v>
      </x:c>
      <x:c r="G171" s="17" t="n">
        <x:v>0</x:v>
      </x:c>
      <x:c r="H171" s="14" t="str">
        <x:v>S01-06:B:status_device</x:v>
      </x:c>
    </x:row>
    <x:row r="172" ht="72" customHeight="1">
      <x:c r="A172" s="14" t="str">
        <x:v>S01-07:A:origin</x:v>
      </x:c>
      <x:c r="B172" s="14" t="str">
        <x:v>A</x:v>
      </x:c>
      <x:c r="C172" s="14" t="str">
        <x:v>origin</x:v>
      </x:c>
      <x:c r="D172" s="14" t="n">
        <x:v>-6</x:v>
      </x:c>
      <x:c r="E172" s="14" t="n">
        <x:v>-6</x:v>
      </x:c>
      <x:c r="F172" s="14" t="n">
        <x:v>0</x:v>
      </x:c>
      <x:c r="G172" s="17" t="n">
        <x:v>0</x:v>
      </x:c>
      <x:c r="H172" s="14" t="str"/>
    </x:row>
    <x:row r="173" ht="72" customHeight="1">
      <x:c r="A173" s="14" t="str">
        <x:v>S01-07:A:origin_interpretation</x:v>
      </x:c>
      <x:c r="B173" s="14" t="str">
        <x:v>A</x:v>
      </x:c>
      <x:c r="C173" s="14" t="str">
        <x:v>origin_interpretation</x:v>
      </x:c>
      <x:c r="D173" s="14" t="n">
        <x:v>-6</x:v>
      </x:c>
      <x:c r="E173" s="14" t="n">
        <x:v>-5.16</x:v>
      </x:c>
      <x:c r="F173" s="14" t="n">
        <x:v>0.84</x:v>
      </x:c>
      <x:c r="G173" s="17" t="n">
        <x:v>1</x:v>
      </x:c>
      <x:c r="H173" s="14" t="str">
        <x:v>S01-07:A:origin</x:v>
      </x:c>
    </x:row>
    <x:row r="174" ht="72" customHeight="1">
      <x:c r="A174" s="14" t="str">
        <x:v>S01-07:A:original_handoff</x:v>
      </x:c>
      <x:c r="B174" s="14" t="str">
        <x:v>A</x:v>
      </x:c>
      <x:c r="C174" s="14" t="str">
        <x:v>original_handoff</x:v>
      </x:c>
      <x:c r="D174" s="14" t="n">
        <x:v>-5.16</x:v>
      </x:c>
      <x:c r="E174" s="14" t="n">
        <x:v>-5.04</x:v>
      </x:c>
      <x:c r="F174" s="14" t="n">
        <x:v>0.12</x:v>
      </x:c>
      <x:c r="G174" s="17" t="n">
        <x:v>1</x:v>
      </x:c>
      <x:c r="H174" s="14" t="str">
        <x:v>S01-07:A:origin_interpretation</x:v>
      </x:c>
    </x:row>
    <x:row r="175" ht="72" customHeight="1">
      <x:c r="A175" s="14" t="str">
        <x:v>S01-07:A:evaluation_utterance_end</x:v>
      </x:c>
      <x:c r="B175" s="14" t="str">
        <x:v>A</x:v>
      </x:c>
      <x:c r="C175" s="14" t="str">
        <x:v>evaluation_utterance_end</x:v>
      </x:c>
      <x:c r="D175" s="14" t="n">
        <x:v>-6</x:v>
      </x:c>
      <x:c r="E175" s="14" t="n">
        <x:v>0</x:v>
      </x:c>
      <x:c r="F175" s="14" t="n">
        <x:v>6</x:v>
      </x:c>
      <x:c r="G175" s="17" t="n">
        <x:v>0</x:v>
      </x:c>
      <x:c r="H175" s="14" t="str">
        <x:v>S01-07:A:origin</x:v>
      </x:c>
    </x:row>
    <x:row r="176" ht="72" customHeight="1">
      <x:c r="A176" s="14" t="str">
        <x:v>S01-07:A:final_transcript</x:v>
      </x:c>
      <x:c r="B176" s="14" t="str">
        <x:v>A</x:v>
      </x:c>
      <x:c r="C176" s="14" t="str">
        <x:v>final_transcript</x:v>
      </x:c>
      <x:c r="D176" s="14" t="n">
        <x:v>0</x:v>
      </x:c>
      <x:c r="E176" s="14" t="n">
        <x:v>0.3</x:v>
      </x:c>
      <x:c r="F176" s="14" t="n">
        <x:v>0.3</x:v>
      </x:c>
      <x:c r="G176" s="17" t="n">
        <x:v>1</x:v>
      </x:c>
      <x:c r="H176" s="14" t="str">
        <x:v>S01-07:A:evaluation_utterance_end</x:v>
      </x:c>
    </x:row>
    <x:row r="177" ht="72" customHeight="1">
      <x:c r="A177" s="14" t="str">
        <x:v>S01-07:A:meaning_adoption</x:v>
      </x:c>
      <x:c r="B177" s="14" t="str">
        <x:v>A</x:v>
      </x:c>
      <x:c r="C177" s="14" t="str">
        <x:v>meaning_adoption</x:v>
      </x:c>
      <x:c r="D177" s="14" t="n">
        <x:v>0.3</x:v>
      </x:c>
      <x:c r="E177" s="14" t="n">
        <x:v>0.848333333</x:v>
      </x:c>
      <x:c r="F177" s="14" t="n">
        <x:v>0.548333333</x:v>
      </x:c>
      <x:c r="G177" s="17" t="n">
        <x:v>1</x:v>
      </x:c>
      <x:c r="H177" s="14" t="str">
        <x:v>S01-07:A:final_transcript
S01-07:A:origin_interpretation</x:v>
      </x:c>
    </x:row>
    <x:row r="178" ht="72" customHeight="1">
      <x:c r="A178" s="14" t="str">
        <x:v>S01-07:A:apply_relation</x:v>
      </x:c>
      <x:c r="B178" s="14" t="str">
        <x:v>A</x:v>
      </x:c>
      <x:c r="C178" s="14" t="str">
        <x:v>apply_relation</x:v>
      </x:c>
      <x:c r="D178" s="14" t="n">
        <x:v>0.848333333</x:v>
      </x:c>
      <x:c r="E178" s="14" t="n">
        <x:v>0.888333333</x:v>
      </x:c>
      <x:c r="F178" s="14" t="n">
        <x:v>0.04</x:v>
      </x:c>
      <x:c r="G178" s="17" t="n">
        <x:v>1</x:v>
      </x:c>
      <x:c r="H178" s="14" t="str">
        <x:v>S01-07:A:meaning_adoption</x:v>
      </x:c>
    </x:row>
    <x:row r="179" ht="72" customHeight="1">
      <x:c r="A179" s="14" t="str">
        <x:v>S01-07:A:evaluation_first_display</x:v>
      </x:c>
      <x:c r="B179" s="14" t="str">
        <x:v>A</x:v>
      </x:c>
      <x:c r="C179" s="14" t="str">
        <x:v>evaluation_first_display</x:v>
      </x:c>
      <x:c r="D179" s="14" t="n">
        <x:v>0.888333333</x:v>
      </x:c>
      <x:c r="E179" s="14" t="n">
        <x:v>0.928333333</x:v>
      </x:c>
      <x:c r="F179" s="14" t="n">
        <x:v>0.04</x:v>
      </x:c>
      <x:c r="G179" s="17" t="n">
        <x:v>1</x:v>
      </x:c>
      <x:c r="H179" s="14" t="str">
        <x:v>S01-07:A:apply_relation</x:v>
      </x:c>
    </x:row>
    <x:row r="180" ht="72" customHeight="1">
      <x:c r="A180" s="14" t="str">
        <x:v>S01-07:A:source_status</x:v>
      </x:c>
      <x:c r="B180" s="14" t="str">
        <x:v>A</x:v>
      </x:c>
      <x:c r="C180" s="14" t="str">
        <x:v>source_status</x:v>
      </x:c>
      <x:c r="D180" s="14" t="n">
        <x:v>0.888333333</x:v>
      </x:c>
      <x:c r="E180" s="14" t="n">
        <x:v>0.888333333</x:v>
      </x:c>
      <x:c r="F180" s="14" t="n">
        <x:v>0</x:v>
      </x:c>
      <x:c r="G180" s="17" t="n">
        <x:v>0</x:v>
      </x:c>
      <x:c r="H180" s="14" t="str">
        <x:v>S01-07:A:apply_relation</x:v>
      </x:c>
    </x:row>
    <x:row r="181" ht="72" customHeight="1">
      <x:c r="A181" s="14" t="str">
        <x:v>S01-07:A:display_status</x:v>
      </x:c>
      <x:c r="B181" s="14" t="str">
        <x:v>A</x:v>
      </x:c>
      <x:c r="C181" s="14" t="str">
        <x:v>display_status</x:v>
      </x:c>
      <x:c r="D181" s="14" t="n">
        <x:v>0.888333333</x:v>
      </x:c>
      <x:c r="E181" s="14" t="n">
        <x:v>0.928333333</x:v>
      </x:c>
      <x:c r="F181" s="14" t="n">
        <x:v>0.04</x:v>
      </x:c>
      <x:c r="G181" s="17" t="n">
        <x:v>1</x:v>
      </x:c>
      <x:c r="H181" s="14" t="str">
        <x:v>S01-07:A:source_status</x:v>
      </x:c>
    </x:row>
    <x:row r="182" ht="72" customHeight="1">
      <x:c r="A182" s="14" t="str">
        <x:v>S01-07:A:status_first</x:v>
      </x:c>
      <x:c r="B182" s="14" t="str">
        <x:v>A</x:v>
      </x:c>
      <x:c r="C182" s="14" t="str">
        <x:v>status_first</x:v>
      </x:c>
      <x:c r="D182" s="14" t="n">
        <x:v>0.888333333</x:v>
      </x:c>
      <x:c r="E182" s="14" t="n">
        <x:v>1.293</x:v>
      </x:c>
      <x:c r="F182" s="14" t="n">
        <x:v>0.404666667</x:v>
      </x:c>
      <x:c r="G182" s="17" t="n">
        <x:v>1</x:v>
      </x:c>
      <x:c r="H182" s="14" t="str">
        <x:v>S01-07:A:source_status</x:v>
      </x:c>
    </x:row>
    <x:row r="183" ht="72" customHeight="1">
      <x:c r="A183" s="14" t="str">
        <x:v>S01-07:A:status_tail</x:v>
      </x:c>
      <x:c r="B183" s="14" t="str">
        <x:v>A</x:v>
      </x:c>
      <x:c r="C183" s="14" t="str">
        <x:v>status_tail</x:v>
      </x:c>
      <x:c r="D183" s="14" t="n">
        <x:v>1.293</x:v>
      </x:c>
      <x:c r="E183" s="14" t="n">
        <x:v>1.9975</x:v>
      </x:c>
      <x:c r="F183" s="14" t="n">
        <x:v>0.7045</x:v>
      </x:c>
      <x:c r="G183" s="17" t="n">
        <x:v>1</x:v>
      </x:c>
      <x:c r="H183" s="14" t="str">
        <x:v>S01-07:A:status_first</x:v>
      </x:c>
    </x:row>
    <x:row r="184" ht="72" customHeight="1">
      <x:c r="A184" s="14" t="str">
        <x:v>S01-07:A:status_device</x:v>
      </x:c>
      <x:c r="B184" s="14" t="str">
        <x:v>A</x:v>
      </x:c>
      <x:c r="C184" s="14" t="str">
        <x:v>status_device</x:v>
      </x:c>
      <x:c r="D184" s="14" t="n">
        <x:v>1.293</x:v>
      </x:c>
      <x:c r="E184" s="14" t="n">
        <x:v>1.333</x:v>
      </x:c>
      <x:c r="F184" s="14" t="n">
        <x:v>0.04</x:v>
      </x:c>
      <x:c r="G184" s="17" t="n">
        <x:v>1</x:v>
      </x:c>
      <x:c r="H184" s="14" t="str">
        <x:v>S01-07:A:apply_relation
S01-07:A:status_first</x:v>
      </x:c>
    </x:row>
    <x:row r="185" ht="72" customHeight="1">
      <x:c r="A185" s="14" t="str">
        <x:v>S01-07:A:status_played</x:v>
      </x:c>
      <x:c r="B185" s="14" t="str">
        <x:v>A</x:v>
      </x:c>
      <x:c r="C185" s="14" t="str">
        <x:v>status_played</x:v>
      </x:c>
      <x:c r="D185" s="14" t="n">
        <x:v>1.333</x:v>
      </x:c>
      <x:c r="E185" s="14" t="n">
        <x:v>4.350999999</x:v>
      </x:c>
      <x:c r="F185" s="14" t="n">
        <x:v>3.017999999</x:v>
      </x:c>
      <x:c r="G185" s="17" t="n">
        <x:v>0</x:v>
      </x:c>
      <x:c r="H185" s="14" t="str">
        <x:v>S01-07:A:status_device</x:v>
      </x:c>
    </x:row>
    <x:row r="186" ht="72" customHeight="1">
      <x:c r="A186" s="14" t="str">
        <x:v>S01-07:B:origin</x:v>
      </x:c>
      <x:c r="B186" s="14" t="str">
        <x:v>B</x:v>
      </x:c>
      <x:c r="C186" s="14" t="str">
        <x:v>origin</x:v>
      </x:c>
      <x:c r="D186" s="14" t="n">
        <x:v>-6</x:v>
      </x:c>
      <x:c r="E186" s="14" t="n">
        <x:v>-6</x:v>
      </x:c>
      <x:c r="F186" s="14" t="n">
        <x:v>0</x:v>
      </x:c>
      <x:c r="G186" s="17" t="n">
        <x:v>0</x:v>
      </x:c>
      <x:c r="H186" s="14" t="str"/>
    </x:row>
    <x:row r="187" ht="72" customHeight="1">
      <x:c r="A187" s="14" t="str">
        <x:v>S01-07:B:origin_interpretation</x:v>
      </x:c>
      <x:c r="B187" s="14" t="str">
        <x:v>B</x:v>
      </x:c>
      <x:c r="C187" s="14" t="str">
        <x:v>origin_interpretation</x:v>
      </x:c>
      <x:c r="D187" s="14" t="n">
        <x:v>-6</x:v>
      </x:c>
      <x:c r="E187" s="14" t="n">
        <x:v>-5.16</x:v>
      </x:c>
      <x:c r="F187" s="14" t="n">
        <x:v>0.84</x:v>
      </x:c>
      <x:c r="G187" s="17" t="n">
        <x:v>1</x:v>
      </x:c>
      <x:c r="H187" s="14" t="str">
        <x:v>S01-07:B:origin</x:v>
      </x:c>
    </x:row>
    <x:row r="188" ht="72" customHeight="1">
      <x:c r="A188" s="14" t="str">
        <x:v>S01-07:B:original_handoff</x:v>
      </x:c>
      <x:c r="B188" s="14" t="str">
        <x:v>B</x:v>
      </x:c>
      <x:c r="C188" s="14" t="str">
        <x:v>original_handoff</x:v>
      </x:c>
      <x:c r="D188" s="14" t="n">
        <x:v>-5.16</x:v>
      </x:c>
      <x:c r="E188" s="14" t="n">
        <x:v>-5.04</x:v>
      </x:c>
      <x:c r="F188" s="14" t="n">
        <x:v>0.12</x:v>
      </x:c>
      <x:c r="G188" s="17" t="n">
        <x:v>1</x:v>
      </x:c>
      <x:c r="H188" s="14" t="str">
        <x:v>S01-07:B:origin_interpretation</x:v>
      </x:c>
    </x:row>
    <x:row r="189" ht="72" customHeight="1">
      <x:c r="A189" s="14" t="str">
        <x:v>S01-07:B:evaluation_utterance_end</x:v>
      </x:c>
      <x:c r="B189" s="14" t="str">
        <x:v>B</x:v>
      </x:c>
      <x:c r="C189" s="14" t="str">
        <x:v>evaluation_utterance_end</x:v>
      </x:c>
      <x:c r="D189" s="14" t="n">
        <x:v>-6</x:v>
      </x:c>
      <x:c r="E189" s="14" t="n">
        <x:v>0</x:v>
      </x:c>
      <x:c r="F189" s="14" t="n">
        <x:v>6</x:v>
      </x:c>
      <x:c r="G189" s="17" t="n">
        <x:v>0</x:v>
      </x:c>
      <x:c r="H189" s="14" t="str">
        <x:v>S01-07:B:origin</x:v>
      </x:c>
    </x:row>
    <x:row r="190" ht="72" customHeight="1">
      <x:c r="A190" s="14" t="str">
        <x:v>S01-07:B:final_transcript</x:v>
      </x:c>
      <x:c r="B190" s="14" t="str">
        <x:v>B</x:v>
      </x:c>
      <x:c r="C190" s="14" t="str">
        <x:v>final_transcript</x:v>
      </x:c>
      <x:c r="D190" s="14" t="n">
        <x:v>0</x:v>
      </x:c>
      <x:c r="E190" s="14" t="n">
        <x:v>0.3</x:v>
      </x:c>
      <x:c r="F190" s="14" t="n">
        <x:v>0.3</x:v>
      </x:c>
      <x:c r="G190" s="17" t="n">
        <x:v>1</x:v>
      </x:c>
      <x:c r="H190" s="14" t="str">
        <x:v>S01-07:B:evaluation_utterance_end</x:v>
      </x:c>
    </x:row>
    <x:row r="191" ht="72" customHeight="1">
      <x:c r="A191" s="14" t="str">
        <x:v>S01-07:B:meaning_adoption</x:v>
      </x:c>
      <x:c r="B191" s="14" t="str">
        <x:v>B</x:v>
      </x:c>
      <x:c r="C191" s="14" t="str">
        <x:v>meaning_adoption</x:v>
      </x:c>
      <x:c r="D191" s="14" t="n">
        <x:v>0.3</x:v>
      </x:c>
      <x:c r="E191" s="14" t="n">
        <x:v>0.848333333</x:v>
      </x:c>
      <x:c r="F191" s="14" t="n">
        <x:v>0.548333333</x:v>
      </x:c>
      <x:c r="G191" s="17" t="n">
        <x:v>1</x:v>
      </x:c>
      <x:c r="H191" s="14" t="str">
        <x:v>S01-07:B:final_transcript
S01-07:B:origin_interpretation</x:v>
      </x:c>
    </x:row>
    <x:row r="192" ht="72" customHeight="1">
      <x:c r="A192" s="14" t="str">
        <x:v>S01-07:B:apply_relation</x:v>
      </x:c>
      <x:c r="B192" s="14" t="str">
        <x:v>B</x:v>
      </x:c>
      <x:c r="C192" s="14" t="str">
        <x:v>apply_relation</x:v>
      </x:c>
      <x:c r="D192" s="14" t="n">
        <x:v>0.848333333</x:v>
      </x:c>
      <x:c r="E192" s="14" t="n">
        <x:v>0.888333333</x:v>
      </x:c>
      <x:c r="F192" s="14" t="n">
        <x:v>0.04</x:v>
      </x:c>
      <x:c r="G192" s="17" t="n">
        <x:v>1</x:v>
      </x:c>
      <x:c r="H192" s="14" t="str">
        <x:v>S01-07:B:meaning_adoption</x:v>
      </x:c>
    </x:row>
    <x:row r="193" ht="72" customHeight="1">
      <x:c r="A193" s="14" t="str">
        <x:v>S01-07:B:evaluation_first_display</x:v>
      </x:c>
      <x:c r="B193" s="14" t="str">
        <x:v>B</x:v>
      </x:c>
      <x:c r="C193" s="14" t="str">
        <x:v>evaluation_first_display</x:v>
      </x:c>
      <x:c r="D193" s="14" t="n">
        <x:v>0.888333333</x:v>
      </x:c>
      <x:c r="E193" s="14" t="n">
        <x:v>0.928333333</x:v>
      </x:c>
      <x:c r="F193" s="14" t="n">
        <x:v>0.04</x:v>
      </x:c>
      <x:c r="G193" s="17" t="n">
        <x:v>1</x:v>
      </x:c>
      <x:c r="H193" s="14" t="str">
        <x:v>S01-07:B:apply_relation</x:v>
      </x:c>
    </x:row>
    <x:row r="194" ht="72" customHeight="1">
      <x:c r="A194" s="14" t="str">
        <x:v>S01-07:B:source_status</x:v>
      </x:c>
      <x:c r="B194" s="14" t="str">
        <x:v>B</x:v>
      </x:c>
      <x:c r="C194" s="14" t="str">
        <x:v>source_status</x:v>
      </x:c>
      <x:c r="D194" s="14" t="n">
        <x:v>0.888333333</x:v>
      </x:c>
      <x:c r="E194" s="14" t="n">
        <x:v>0.888333333</x:v>
      </x:c>
      <x:c r="F194" s="14" t="n">
        <x:v>0</x:v>
      </x:c>
      <x:c r="G194" s="17" t="n">
        <x:v>0</x:v>
      </x:c>
      <x:c r="H194" s="14" t="str">
        <x:v>S01-07:B:apply_relation</x:v>
      </x:c>
    </x:row>
    <x:row r="195" ht="72" customHeight="1">
      <x:c r="A195" s="14" t="str">
        <x:v>S01-07:B:display_status</x:v>
      </x:c>
      <x:c r="B195" s="14" t="str">
        <x:v>B</x:v>
      </x:c>
      <x:c r="C195" s="14" t="str">
        <x:v>display_status</x:v>
      </x:c>
      <x:c r="D195" s="14" t="n">
        <x:v>0.888333333</x:v>
      </x:c>
      <x:c r="E195" s="14" t="n">
        <x:v>0.928333333</x:v>
      </x:c>
      <x:c r="F195" s="14" t="n">
        <x:v>0.04</x:v>
      </x:c>
      <x:c r="G195" s="17" t="n">
        <x:v>1</x:v>
      </x:c>
      <x:c r="H195" s="14" t="str">
        <x:v>S01-07:B:source_status</x:v>
      </x:c>
    </x:row>
    <x:row r="196" ht="72" customHeight="1">
      <x:c r="A196" s="14" t="str">
        <x:v>S01-07:B:status_first</x:v>
      </x:c>
      <x:c r="B196" s="14" t="str">
        <x:v>B</x:v>
      </x:c>
      <x:c r="C196" s="14" t="str">
        <x:v>status_first</x:v>
      </x:c>
      <x:c r="D196" s="14" t="n">
        <x:v>0.888333333</x:v>
      </x:c>
      <x:c r="E196" s="14" t="n">
        <x:v>1.293</x:v>
      </x:c>
      <x:c r="F196" s="14" t="n">
        <x:v>0.404666667</x:v>
      </x:c>
      <x:c r="G196" s="17" t="n">
        <x:v>1</x:v>
      </x:c>
      <x:c r="H196" s="14" t="str">
        <x:v>S01-07:B:apply_relation</x:v>
      </x:c>
    </x:row>
    <x:row r="197" ht="72" customHeight="1">
      <x:c r="A197" s="14" t="str">
        <x:v>S01-07:B:status_tail</x:v>
      </x:c>
      <x:c r="B197" s="14" t="str">
        <x:v>B</x:v>
      </x:c>
      <x:c r="C197" s="14" t="str">
        <x:v>status_tail</x:v>
      </x:c>
      <x:c r="D197" s="14" t="n">
        <x:v>1.293</x:v>
      </x:c>
      <x:c r="E197" s="14" t="n">
        <x:v>1.9975</x:v>
      </x:c>
      <x:c r="F197" s="14" t="n">
        <x:v>0.7045</x:v>
      </x:c>
      <x:c r="G197" s="17" t="n">
        <x:v>1</x:v>
      </x:c>
      <x:c r="H197" s="14" t="str">
        <x:v>S01-07:B:status_first</x:v>
      </x:c>
    </x:row>
    <x:row r="198" ht="72" customHeight="1">
      <x:c r="A198" s="14" t="str">
        <x:v>S01-07:B:status_device</x:v>
      </x:c>
      <x:c r="B198" s="14" t="str">
        <x:v>B</x:v>
      </x:c>
      <x:c r="C198" s="14" t="str">
        <x:v>status_device</x:v>
      </x:c>
      <x:c r="D198" s="14" t="n">
        <x:v>1.293</x:v>
      </x:c>
      <x:c r="E198" s="14" t="n">
        <x:v>1.333</x:v>
      </x:c>
      <x:c r="F198" s="14" t="n">
        <x:v>0.04</x:v>
      </x:c>
      <x:c r="G198" s="17" t="n">
        <x:v>1</x:v>
      </x:c>
      <x:c r="H198" s="14" t="str">
        <x:v>S01-07:B:apply_relation
S01-07:B:status_first</x:v>
      </x:c>
    </x:row>
    <x:row r="199" ht="72" customHeight="1">
      <x:c r="A199" s="14" t="str">
        <x:v>S01-07:B:status_played</x:v>
      </x:c>
      <x:c r="B199" s="14" t="str">
        <x:v>B</x:v>
      </x:c>
      <x:c r="C199" s="14" t="str">
        <x:v>status_played</x:v>
      </x:c>
      <x:c r="D199" s="14" t="n">
        <x:v>1.333</x:v>
      </x:c>
      <x:c r="E199" s="14" t="n">
        <x:v>4.350999999</x:v>
      </x:c>
      <x:c r="F199" s="14" t="n">
        <x:v>3.017999999</x:v>
      </x:c>
      <x:c r="G199" s="17" t="n">
        <x:v>0</x:v>
      </x:c>
      <x:c r="H199" s="14" t="str">
        <x:v>S01-07:B:status_device</x:v>
      </x:c>
    </x:row>
    <x:row r="200" ht="72" customHeight="1">
      <x:c r="A200" s="14" t="str">
        <x:v>S01-08:A:origin</x:v>
      </x:c>
      <x:c r="B200" s="14" t="str">
        <x:v>A</x:v>
      </x:c>
      <x:c r="C200" s="14" t="str">
        <x:v>origin</x:v>
      </x:c>
      <x:c r="D200" s="14" t="n">
        <x:v>-6</x:v>
      </x:c>
      <x:c r="E200" s="14" t="n">
        <x:v>-6</x:v>
      </x:c>
      <x:c r="F200" s="14" t="n">
        <x:v>0</x:v>
      </x:c>
      <x:c r="G200" s="17" t="n">
        <x:v>0</x:v>
      </x:c>
      <x:c r="H200" s="14" t="str"/>
    </x:row>
    <x:row r="201" ht="72" customHeight="1">
      <x:c r="A201" s="14" t="str">
        <x:v>S01-08:A:origin_interpretation</x:v>
      </x:c>
      <x:c r="B201" s="14" t="str">
        <x:v>A</x:v>
      </x:c>
      <x:c r="C201" s="14" t="str">
        <x:v>origin_interpretation</x:v>
      </x:c>
      <x:c r="D201" s="14" t="n">
        <x:v>-6</x:v>
      </x:c>
      <x:c r="E201" s="14" t="n">
        <x:v>-5.16</x:v>
      </x:c>
      <x:c r="F201" s="14" t="n">
        <x:v>0.84</x:v>
      </x:c>
      <x:c r="G201" s="17" t="n">
        <x:v>1</x:v>
      </x:c>
      <x:c r="H201" s="14" t="str">
        <x:v>S01-08:A:origin</x:v>
      </x:c>
    </x:row>
    <x:row r="202" ht="72" customHeight="1">
      <x:c r="A202" s="14" t="str">
        <x:v>S01-08:A:original_handoff</x:v>
      </x:c>
      <x:c r="B202" s="14" t="str">
        <x:v>A</x:v>
      </x:c>
      <x:c r="C202" s="14" t="str">
        <x:v>original_handoff</x:v>
      </x:c>
      <x:c r="D202" s="14" t="n">
        <x:v>-5.16</x:v>
      </x:c>
      <x:c r="E202" s="14" t="n">
        <x:v>-5.04</x:v>
      </x:c>
      <x:c r="F202" s="14" t="n">
        <x:v>0.12</x:v>
      </x:c>
      <x:c r="G202" s="17" t="n">
        <x:v>1</x:v>
      </x:c>
      <x:c r="H202" s="14" t="str">
        <x:v>S01-08:A:origin_interpretation</x:v>
      </x:c>
    </x:row>
    <x:row r="203" ht="72" customHeight="1">
      <x:c r="A203" s="14" t="str">
        <x:v>S01-08:A:evaluation_utterance_end</x:v>
      </x:c>
      <x:c r="B203" s="14" t="str">
        <x:v>A</x:v>
      </x:c>
      <x:c r="C203" s="14" t="str">
        <x:v>evaluation_utterance_end</x:v>
      </x:c>
      <x:c r="D203" s="14" t="n">
        <x:v>-6</x:v>
      </x:c>
      <x:c r="E203" s="14" t="n">
        <x:v>0</x:v>
      </x:c>
      <x:c r="F203" s="14" t="n">
        <x:v>6</x:v>
      </x:c>
      <x:c r="G203" s="17" t="n">
        <x:v>0</x:v>
      </x:c>
      <x:c r="H203" s="14" t="str">
        <x:v>S01-08:A:origin</x:v>
      </x:c>
    </x:row>
    <x:row r="204" ht="72" customHeight="1">
      <x:c r="A204" s="14" t="str">
        <x:v>S01-08:A:final_transcript</x:v>
      </x:c>
      <x:c r="B204" s="14" t="str">
        <x:v>A</x:v>
      </x:c>
      <x:c r="C204" s="14" t="str">
        <x:v>final_transcript</x:v>
      </x:c>
      <x:c r="D204" s="14" t="n">
        <x:v>0</x:v>
      </x:c>
      <x:c r="E204" s="14" t="n">
        <x:v>0.3</x:v>
      </x:c>
      <x:c r="F204" s="14" t="n">
        <x:v>0.3</x:v>
      </x:c>
      <x:c r="G204" s="17" t="n">
        <x:v>1</x:v>
      </x:c>
      <x:c r="H204" s="14" t="str">
        <x:v>S01-08:A:evaluation_utterance_end</x:v>
      </x:c>
    </x:row>
    <x:row r="205" ht="72" customHeight="1">
      <x:c r="A205" s="14" t="str">
        <x:v>S01-08:A:meaning_adoption</x:v>
      </x:c>
      <x:c r="B205" s="14" t="str">
        <x:v>A</x:v>
      </x:c>
      <x:c r="C205" s="14" t="str">
        <x:v>meaning_adoption</x:v>
      </x:c>
      <x:c r="D205" s="14" t="n">
        <x:v>0.3</x:v>
      </x:c>
      <x:c r="E205" s="14" t="n">
        <x:v>0.876666667</x:v>
      </x:c>
      <x:c r="F205" s="14" t="n">
        <x:v>0.576666667</x:v>
      </x:c>
      <x:c r="G205" s="17" t="n">
        <x:v>1</x:v>
      </x:c>
      <x:c r="H205" s="14" t="str">
        <x:v>S01-08:A:final_transcript
S01-08:A:origin_interpretation</x:v>
      </x:c>
    </x:row>
    <x:row r="206" ht="72" customHeight="1">
      <x:c r="A206" s="14" t="str">
        <x:v>S01-08:A:apply_relation</x:v>
      </x:c>
      <x:c r="B206" s="14" t="str">
        <x:v>A</x:v>
      </x:c>
      <x:c r="C206" s="14" t="str">
        <x:v>apply_relation</x:v>
      </x:c>
      <x:c r="D206" s="14" t="n">
        <x:v>0.876666667</x:v>
      </x:c>
      <x:c r="E206" s="14" t="n">
        <x:v>0.916666667</x:v>
      </x:c>
      <x:c r="F206" s="14" t="n">
        <x:v>0.04</x:v>
      </x:c>
      <x:c r="G206" s="17" t="n">
        <x:v>1</x:v>
      </x:c>
      <x:c r="H206" s="14" t="str">
        <x:v>S01-08:A:meaning_adoption</x:v>
      </x:c>
    </x:row>
    <x:row r="207" ht="72" customHeight="1">
      <x:c r="A207" s="14" t="str">
        <x:v>S01-08:A:evaluation_first_display</x:v>
      </x:c>
      <x:c r="B207" s="14" t="str">
        <x:v>A</x:v>
      </x:c>
      <x:c r="C207" s="14" t="str">
        <x:v>evaluation_first_display</x:v>
      </x:c>
      <x:c r="D207" s="14" t="n">
        <x:v>0.916666667</x:v>
      </x:c>
      <x:c r="E207" s="14" t="n">
        <x:v>0.956666667</x:v>
      </x:c>
      <x:c r="F207" s="14" t="n">
        <x:v>0.04</x:v>
      </x:c>
      <x:c r="G207" s="17" t="n">
        <x:v>1</x:v>
      </x:c>
      <x:c r="H207" s="14" t="str">
        <x:v>S01-08:A:apply_relation</x:v>
      </x:c>
    </x:row>
    <x:row r="208" ht="72" customHeight="1">
      <x:c r="A208" s="14" t="str">
        <x:v>S01-08:A:source_status</x:v>
      </x:c>
      <x:c r="B208" s="14" t="str">
        <x:v>A</x:v>
      </x:c>
      <x:c r="C208" s="14" t="str">
        <x:v>source_status</x:v>
      </x:c>
      <x:c r="D208" s="14" t="n">
        <x:v>0.916666667</x:v>
      </x:c>
      <x:c r="E208" s="14" t="n">
        <x:v>0.916666667</x:v>
      </x:c>
      <x:c r="F208" s="14" t="n">
        <x:v>0</x:v>
      </x:c>
      <x:c r="G208" s="17" t="n">
        <x:v>0</x:v>
      </x:c>
      <x:c r="H208" s="14" t="str">
        <x:v>S01-08:A:apply_relation</x:v>
      </x:c>
    </x:row>
    <x:row r="209" ht="72" customHeight="1">
      <x:c r="A209" s="14" t="str">
        <x:v>S01-08:A:display_status</x:v>
      </x:c>
      <x:c r="B209" s="14" t="str">
        <x:v>A</x:v>
      </x:c>
      <x:c r="C209" s="14" t="str">
        <x:v>display_status</x:v>
      </x:c>
      <x:c r="D209" s="14" t="n">
        <x:v>0.916666667</x:v>
      </x:c>
      <x:c r="E209" s="14" t="n">
        <x:v>0.956666667</x:v>
      </x:c>
      <x:c r="F209" s="14" t="n">
        <x:v>0.04</x:v>
      </x:c>
      <x:c r="G209" s="17" t="n">
        <x:v>1</x:v>
      </x:c>
      <x:c r="H209" s="14" t="str">
        <x:v>S01-08:A:source_status</x:v>
      </x:c>
    </x:row>
    <x:row r="210" ht="72" customHeight="1">
      <x:c r="A210" s="14" t="str">
        <x:v>S01-08:A:status_first</x:v>
      </x:c>
      <x:c r="B210" s="14" t="str">
        <x:v>A</x:v>
      </x:c>
      <x:c r="C210" s="14" t="str">
        <x:v>status_first</x:v>
      </x:c>
      <x:c r="D210" s="14" t="n">
        <x:v>0.916666667</x:v>
      </x:c>
      <x:c r="E210" s="14" t="n">
        <x:v>1.321333334</x:v>
      </x:c>
      <x:c r="F210" s="14" t="n">
        <x:v>0.404666667</x:v>
      </x:c>
      <x:c r="G210" s="17" t="n">
        <x:v>1</x:v>
      </x:c>
      <x:c r="H210" s="14" t="str">
        <x:v>S01-08:A:source_status</x:v>
      </x:c>
    </x:row>
    <x:row r="211" ht="72" customHeight="1">
      <x:c r="A211" s="14" t="str">
        <x:v>S01-08:A:status_tail</x:v>
      </x:c>
      <x:c r="B211" s="14" t="str">
        <x:v>A</x:v>
      </x:c>
      <x:c r="C211" s="14" t="str">
        <x:v>status_tail</x:v>
      </x:c>
      <x:c r="D211" s="14" t="n">
        <x:v>1.321333334</x:v>
      </x:c>
      <x:c r="E211" s="14" t="n">
        <x:v>2.028833334</x:v>
      </x:c>
      <x:c r="F211" s="14" t="n">
        <x:v>0.7075</x:v>
      </x:c>
      <x:c r="G211" s="17" t="n">
        <x:v>1</x:v>
      </x:c>
      <x:c r="H211" s="14" t="str">
        <x:v>S01-08:A:status_first</x:v>
      </x:c>
    </x:row>
    <x:row r="212" ht="72" customHeight="1">
      <x:c r="A212" s="14" t="str">
        <x:v>S01-08:A:status_device</x:v>
      </x:c>
      <x:c r="B212" s="14" t="str">
        <x:v>A</x:v>
      </x:c>
      <x:c r="C212" s="14" t="str">
        <x:v>status_device</x:v>
      </x:c>
      <x:c r="D212" s="14" t="n">
        <x:v>1.321333334</x:v>
      </x:c>
      <x:c r="E212" s="14" t="n">
        <x:v>1.361333334</x:v>
      </x:c>
      <x:c r="F212" s="14" t="n">
        <x:v>0.04</x:v>
      </x:c>
      <x:c r="G212" s="17" t="n">
        <x:v>1</x:v>
      </x:c>
      <x:c r="H212" s="14" t="str">
        <x:v>S01-08:A:apply_relation
S01-08:A:status_first</x:v>
      </x:c>
    </x:row>
    <x:row r="213" ht="72" customHeight="1">
      <x:c r="A213" s="14" t="str">
        <x:v>S01-08:A:status_played</x:v>
      </x:c>
      <x:c r="B213" s="14" t="str">
        <x:v>A</x:v>
      </x:c>
      <x:c r="C213" s="14" t="str">
        <x:v>status_played</x:v>
      </x:c>
      <x:c r="D213" s="14" t="n">
        <x:v>1.361333334</x:v>
      </x:c>
      <x:c r="E213" s="14" t="n">
        <x:v>4.391333333</x:v>
      </x:c>
      <x:c r="F213" s="14" t="n">
        <x:v>3.029999999</x:v>
      </x:c>
      <x:c r="G213" s="17" t="n">
        <x:v>0</x:v>
      </x:c>
      <x:c r="H213" s="14" t="str">
        <x:v>S01-08:A:status_device</x:v>
      </x:c>
    </x:row>
    <x:row r="214" ht="72" customHeight="1">
      <x:c r="A214" s="14" t="str">
        <x:v>S01-08:B:origin</x:v>
      </x:c>
      <x:c r="B214" s="14" t="str">
        <x:v>B</x:v>
      </x:c>
      <x:c r="C214" s="14" t="str">
        <x:v>origin</x:v>
      </x:c>
      <x:c r="D214" s="14" t="n">
        <x:v>-6</x:v>
      </x:c>
      <x:c r="E214" s="14" t="n">
        <x:v>-6</x:v>
      </x:c>
      <x:c r="F214" s="14" t="n">
        <x:v>0</x:v>
      </x:c>
      <x:c r="G214" s="17" t="n">
        <x:v>0</x:v>
      </x:c>
      <x:c r="H214" s="14" t="str"/>
    </x:row>
    <x:row r="215" ht="72" customHeight="1">
      <x:c r="A215" s="14" t="str">
        <x:v>S01-08:B:origin_interpretation</x:v>
      </x:c>
      <x:c r="B215" s="14" t="str">
        <x:v>B</x:v>
      </x:c>
      <x:c r="C215" s="14" t="str">
        <x:v>origin_interpretation</x:v>
      </x:c>
      <x:c r="D215" s="14" t="n">
        <x:v>-6</x:v>
      </x:c>
      <x:c r="E215" s="14" t="n">
        <x:v>-5.16</x:v>
      </x:c>
      <x:c r="F215" s="14" t="n">
        <x:v>0.84</x:v>
      </x:c>
      <x:c r="G215" s="17" t="n">
        <x:v>1</x:v>
      </x:c>
      <x:c r="H215" s="14" t="str">
        <x:v>S01-08:B:origin</x:v>
      </x:c>
    </x:row>
    <x:row r="216" ht="72" customHeight="1">
      <x:c r="A216" s="14" t="str">
        <x:v>S01-08:B:original_handoff</x:v>
      </x:c>
      <x:c r="B216" s="14" t="str">
        <x:v>B</x:v>
      </x:c>
      <x:c r="C216" s="14" t="str">
        <x:v>original_handoff</x:v>
      </x:c>
      <x:c r="D216" s="14" t="n">
        <x:v>-5.16</x:v>
      </x:c>
      <x:c r="E216" s="14" t="n">
        <x:v>-5.04</x:v>
      </x:c>
      <x:c r="F216" s="14" t="n">
        <x:v>0.12</x:v>
      </x:c>
      <x:c r="G216" s="17" t="n">
        <x:v>1</x:v>
      </x:c>
      <x:c r="H216" s="14" t="str">
        <x:v>S01-08:B:origin_interpretation</x:v>
      </x:c>
    </x:row>
    <x:row r="217" ht="72" customHeight="1">
      <x:c r="A217" s="14" t="str">
        <x:v>S01-08:B:evaluation_utterance_end</x:v>
      </x:c>
      <x:c r="B217" s="14" t="str">
        <x:v>B</x:v>
      </x:c>
      <x:c r="C217" s="14" t="str">
        <x:v>evaluation_utterance_end</x:v>
      </x:c>
      <x:c r="D217" s="14" t="n">
        <x:v>-6</x:v>
      </x:c>
      <x:c r="E217" s="14" t="n">
        <x:v>0</x:v>
      </x:c>
      <x:c r="F217" s="14" t="n">
        <x:v>6</x:v>
      </x:c>
      <x:c r="G217" s="17" t="n">
        <x:v>0</x:v>
      </x:c>
      <x:c r="H217" s="14" t="str">
        <x:v>S01-08:B:origin</x:v>
      </x:c>
    </x:row>
    <x:row r="218" ht="72" customHeight="1">
      <x:c r="A218" s="14" t="str">
        <x:v>S01-08:B:final_transcript</x:v>
      </x:c>
      <x:c r="B218" s="14" t="str">
        <x:v>B</x:v>
      </x:c>
      <x:c r="C218" s="14" t="str">
        <x:v>final_transcript</x:v>
      </x:c>
      <x:c r="D218" s="14" t="n">
        <x:v>0</x:v>
      </x:c>
      <x:c r="E218" s="14" t="n">
        <x:v>0.3</x:v>
      </x:c>
      <x:c r="F218" s="14" t="n">
        <x:v>0.3</x:v>
      </x:c>
      <x:c r="G218" s="17" t="n">
        <x:v>1</x:v>
      </x:c>
      <x:c r="H218" s="14" t="str">
        <x:v>S01-08:B:evaluation_utterance_end</x:v>
      </x:c>
    </x:row>
    <x:row r="219" ht="72" customHeight="1">
      <x:c r="A219" s="14" t="str">
        <x:v>S01-08:B:meaning_adoption</x:v>
      </x:c>
      <x:c r="B219" s="14" t="str">
        <x:v>B</x:v>
      </x:c>
      <x:c r="C219" s="14" t="str">
        <x:v>meaning_adoption</x:v>
      </x:c>
      <x:c r="D219" s="14" t="n">
        <x:v>0.3</x:v>
      </x:c>
      <x:c r="E219" s="14" t="n">
        <x:v>0.876666667</x:v>
      </x:c>
      <x:c r="F219" s="14" t="n">
        <x:v>0.576666667</x:v>
      </x:c>
      <x:c r="G219" s="17" t="n">
        <x:v>1</x:v>
      </x:c>
      <x:c r="H219" s="14" t="str">
        <x:v>S01-08:B:final_transcript
S01-08:B:origin_interpretation</x:v>
      </x:c>
    </x:row>
    <x:row r="220" ht="72" customHeight="1">
      <x:c r="A220" s="14" t="str">
        <x:v>S01-08:B:apply_relation</x:v>
      </x:c>
      <x:c r="B220" s="14" t="str">
        <x:v>B</x:v>
      </x:c>
      <x:c r="C220" s="14" t="str">
        <x:v>apply_relation</x:v>
      </x:c>
      <x:c r="D220" s="14" t="n">
        <x:v>0.876666667</x:v>
      </x:c>
      <x:c r="E220" s="14" t="n">
        <x:v>0.916666667</x:v>
      </x:c>
      <x:c r="F220" s="14" t="n">
        <x:v>0.04</x:v>
      </x:c>
      <x:c r="G220" s="17" t="n">
        <x:v>1</x:v>
      </x:c>
      <x:c r="H220" s="14" t="str">
        <x:v>S01-08:B:meaning_adoption</x:v>
      </x:c>
    </x:row>
    <x:row r="221" ht="72" customHeight="1">
      <x:c r="A221" s="14" t="str">
        <x:v>S01-08:B:evaluation_first_display</x:v>
      </x:c>
      <x:c r="B221" s="14" t="str">
        <x:v>B</x:v>
      </x:c>
      <x:c r="C221" s="14" t="str">
        <x:v>evaluation_first_display</x:v>
      </x:c>
      <x:c r="D221" s="14" t="n">
        <x:v>0.916666667</x:v>
      </x:c>
      <x:c r="E221" s="14" t="n">
        <x:v>0.956666667</x:v>
      </x:c>
      <x:c r="F221" s="14" t="n">
        <x:v>0.04</x:v>
      </x:c>
      <x:c r="G221" s="17" t="n">
        <x:v>1</x:v>
      </x:c>
      <x:c r="H221" s="14" t="str">
        <x:v>S01-08:B:apply_relation</x:v>
      </x:c>
    </x:row>
    <x:row r="222" ht="72" customHeight="1">
      <x:c r="A222" s="14" t="str">
        <x:v>S01-08:B:source_status</x:v>
      </x:c>
      <x:c r="B222" s="14" t="str">
        <x:v>B</x:v>
      </x:c>
      <x:c r="C222" s="14" t="str">
        <x:v>source_status</x:v>
      </x:c>
      <x:c r="D222" s="14" t="n">
        <x:v>0.916666667</x:v>
      </x:c>
      <x:c r="E222" s="14" t="n">
        <x:v>0.916666667</x:v>
      </x:c>
      <x:c r="F222" s="14" t="n">
        <x:v>0</x:v>
      </x:c>
      <x:c r="G222" s="17" t="n">
        <x:v>0</x:v>
      </x:c>
      <x:c r="H222" s="14" t="str">
        <x:v>S01-08:B:apply_relation</x:v>
      </x:c>
    </x:row>
    <x:row r="223" ht="72" customHeight="1">
      <x:c r="A223" s="14" t="str">
        <x:v>S01-08:B:display_status</x:v>
      </x:c>
      <x:c r="B223" s="14" t="str">
        <x:v>B</x:v>
      </x:c>
      <x:c r="C223" s="14" t="str">
        <x:v>display_status</x:v>
      </x:c>
      <x:c r="D223" s="14" t="n">
        <x:v>0.916666667</x:v>
      </x:c>
      <x:c r="E223" s="14" t="n">
        <x:v>0.956666667</x:v>
      </x:c>
      <x:c r="F223" s="14" t="n">
        <x:v>0.04</x:v>
      </x:c>
      <x:c r="G223" s="17" t="n">
        <x:v>1</x:v>
      </x:c>
      <x:c r="H223" s="14" t="str">
        <x:v>S01-08:B:source_status</x:v>
      </x:c>
    </x:row>
    <x:row r="224" ht="72" customHeight="1">
      <x:c r="A224" s="14" t="str">
        <x:v>S01-08:B:status_first</x:v>
      </x:c>
      <x:c r="B224" s="14" t="str">
        <x:v>B</x:v>
      </x:c>
      <x:c r="C224" s="14" t="str">
        <x:v>status_first</x:v>
      </x:c>
      <x:c r="D224" s="14" t="n">
        <x:v>0.916666667</x:v>
      </x:c>
      <x:c r="E224" s="14" t="n">
        <x:v>1.321333334</x:v>
      </x:c>
      <x:c r="F224" s="14" t="n">
        <x:v>0.404666667</x:v>
      </x:c>
      <x:c r="G224" s="17" t="n">
        <x:v>1</x:v>
      </x:c>
      <x:c r="H224" s="14" t="str">
        <x:v>S01-08:B:apply_relation</x:v>
      </x:c>
    </x:row>
    <x:row r="225" ht="72" customHeight="1">
      <x:c r="A225" s="14" t="str">
        <x:v>S01-08:B:status_tail</x:v>
      </x:c>
      <x:c r="B225" s="14" t="str">
        <x:v>B</x:v>
      </x:c>
      <x:c r="C225" s="14" t="str">
        <x:v>status_tail</x:v>
      </x:c>
      <x:c r="D225" s="14" t="n">
        <x:v>1.321333334</x:v>
      </x:c>
      <x:c r="E225" s="14" t="n">
        <x:v>2.028833334</x:v>
      </x:c>
      <x:c r="F225" s="14" t="n">
        <x:v>0.7075</x:v>
      </x:c>
      <x:c r="G225" s="17" t="n">
        <x:v>1</x:v>
      </x:c>
      <x:c r="H225" s="14" t="str">
        <x:v>S01-08:B:status_first</x:v>
      </x:c>
    </x:row>
    <x:row r="226" ht="72" customHeight="1">
      <x:c r="A226" s="14" t="str">
        <x:v>S01-08:B:status_device</x:v>
      </x:c>
      <x:c r="B226" s="14" t="str">
        <x:v>B</x:v>
      </x:c>
      <x:c r="C226" s="14" t="str">
        <x:v>status_device</x:v>
      </x:c>
      <x:c r="D226" s="14" t="n">
        <x:v>1.321333334</x:v>
      </x:c>
      <x:c r="E226" s="14" t="n">
        <x:v>1.361333334</x:v>
      </x:c>
      <x:c r="F226" s="14" t="n">
        <x:v>0.04</x:v>
      </x:c>
      <x:c r="G226" s="17" t="n">
        <x:v>1</x:v>
      </x:c>
      <x:c r="H226" s="14" t="str">
        <x:v>S01-08:B:apply_relation
S01-08:B:status_first</x:v>
      </x:c>
    </x:row>
    <x:row r="227" ht="72" customHeight="1">
      <x:c r="A227" s="14" t="str">
        <x:v>S01-08:B:status_played</x:v>
      </x:c>
      <x:c r="B227" s="14" t="str">
        <x:v>B</x:v>
      </x:c>
      <x:c r="C227" s="14" t="str">
        <x:v>status_played</x:v>
      </x:c>
      <x:c r="D227" s="14" t="n">
        <x:v>1.361333334</x:v>
      </x:c>
      <x:c r="E227" s="14" t="n">
        <x:v>4.391333333</x:v>
      </x:c>
      <x:c r="F227" s="14" t="n">
        <x:v>3.029999999</x:v>
      </x:c>
      <x:c r="G227" s="17" t="n">
        <x:v>0</x:v>
      </x:c>
      <x:c r="H227" s="14" t="str">
        <x:v>S01-08:B:status_device</x:v>
      </x:c>
    </x:row>
    <x:row r="228" ht="72" customHeight="1">
      <x:c r="A228" s="14" t="str">
        <x:v>S01-09:A:origin</x:v>
      </x:c>
      <x:c r="B228" s="14" t="str">
        <x:v>A</x:v>
      </x:c>
      <x:c r="C228" s="14" t="str">
        <x:v>origin</x:v>
      </x:c>
      <x:c r="D228" s="14" t="n">
        <x:v>-6</x:v>
      </x:c>
      <x:c r="E228" s="14" t="n">
        <x:v>-6</x:v>
      </x:c>
      <x:c r="F228" s="14" t="n">
        <x:v>0</x:v>
      </x:c>
      <x:c r="G228" s="17" t="n">
        <x:v>0</x:v>
      </x:c>
      <x:c r="H228" s="14" t="str"/>
    </x:row>
    <x:row r="229" ht="72" customHeight="1">
      <x:c r="A229" s="14" t="str">
        <x:v>S01-09:A:origin_interpretation</x:v>
      </x:c>
      <x:c r="B229" s="14" t="str">
        <x:v>A</x:v>
      </x:c>
      <x:c r="C229" s="14" t="str">
        <x:v>origin_interpretation</x:v>
      </x:c>
      <x:c r="D229" s="14" t="n">
        <x:v>-6</x:v>
      </x:c>
      <x:c r="E229" s="14" t="n">
        <x:v>-5.16</x:v>
      </x:c>
      <x:c r="F229" s="14" t="n">
        <x:v>0.84</x:v>
      </x:c>
      <x:c r="G229" s="17" t="n">
        <x:v>1</x:v>
      </x:c>
      <x:c r="H229" s="14" t="str">
        <x:v>S01-09:A:origin</x:v>
      </x:c>
    </x:row>
    <x:row r="230" ht="72" customHeight="1">
      <x:c r="A230" s="14" t="str">
        <x:v>S01-09:A:original_handoff</x:v>
      </x:c>
      <x:c r="B230" s="14" t="str">
        <x:v>A</x:v>
      </x:c>
      <x:c r="C230" s="14" t="str">
        <x:v>original_handoff</x:v>
      </x:c>
      <x:c r="D230" s="14" t="n">
        <x:v>-5.16</x:v>
      </x:c>
      <x:c r="E230" s="14" t="n">
        <x:v>-5.04</x:v>
      </x:c>
      <x:c r="F230" s="14" t="n">
        <x:v>0.12</x:v>
      </x:c>
      <x:c r="G230" s="17" t="n">
        <x:v>1</x:v>
      </x:c>
      <x:c r="H230" s="14" t="str">
        <x:v>S01-09:A:origin_interpretation</x:v>
      </x:c>
    </x:row>
    <x:row r="231" ht="72" customHeight="1">
      <x:c r="A231" s="14" t="str">
        <x:v>S01-09:A:evaluation_utterance_end</x:v>
      </x:c>
      <x:c r="B231" s="14" t="str">
        <x:v>A</x:v>
      </x:c>
      <x:c r="C231" s="14" t="str">
        <x:v>evaluation_utterance_end</x:v>
      </x:c>
      <x:c r="D231" s="14" t="n">
        <x:v>-6</x:v>
      </x:c>
      <x:c r="E231" s="14" t="n">
        <x:v>0</x:v>
      </x:c>
      <x:c r="F231" s="14" t="n">
        <x:v>6</x:v>
      </x:c>
      <x:c r="G231" s="17" t="n">
        <x:v>0</x:v>
      </x:c>
      <x:c r="H231" s="14" t="str">
        <x:v>S01-09:A:origin</x:v>
      </x:c>
    </x:row>
    <x:row r="232" ht="72" customHeight="1">
      <x:c r="A232" s="14" t="str">
        <x:v>S01-09:A:final_transcript</x:v>
      </x:c>
      <x:c r="B232" s="14" t="str">
        <x:v>A</x:v>
      </x:c>
      <x:c r="C232" s="14" t="str">
        <x:v>final_transcript</x:v>
      </x:c>
      <x:c r="D232" s="14" t="n">
        <x:v>0</x:v>
      </x:c>
      <x:c r="E232" s="14" t="n">
        <x:v>0.3</x:v>
      </x:c>
      <x:c r="F232" s="14" t="n">
        <x:v>0.3</x:v>
      </x:c>
      <x:c r="G232" s="17" t="n">
        <x:v>1</x:v>
      </x:c>
      <x:c r="H232" s="14" t="str">
        <x:v>S01-09:A:evaluation_utterance_end</x:v>
      </x:c>
    </x:row>
    <x:row r="233" ht="72" customHeight="1">
      <x:c r="A233" s="14" t="str">
        <x:v>S01-09:A:meaning_adoption</x:v>
      </x:c>
      <x:c r="B233" s="14" t="str">
        <x:v>A</x:v>
      </x:c>
      <x:c r="C233" s="14" t="str">
        <x:v>meaning_adoption</x:v>
      </x:c>
      <x:c r="D233" s="14" t="n">
        <x:v>0.3</x:v>
      </x:c>
      <x:c r="E233" s="14" t="n">
        <x:v>0.83</x:v>
      </x:c>
      <x:c r="F233" s="14" t="n">
        <x:v>0.53</x:v>
      </x:c>
      <x:c r="G233" s="17" t="n">
        <x:v>1</x:v>
      </x:c>
      <x:c r="H233" s="14" t="str">
        <x:v>S01-09:A:final_transcript
S01-09:A:origin_interpretation</x:v>
      </x:c>
    </x:row>
    <x:row r="234" ht="72" customHeight="1">
      <x:c r="A234" s="14" t="str">
        <x:v>S01-09:A:apply_relation</x:v>
      </x:c>
      <x:c r="B234" s="14" t="str">
        <x:v>A</x:v>
      </x:c>
      <x:c r="C234" s="14" t="str">
        <x:v>apply_relation</x:v>
      </x:c>
      <x:c r="D234" s="14" t="n">
        <x:v>0.83</x:v>
      </x:c>
      <x:c r="E234" s="14" t="n">
        <x:v>0.87</x:v>
      </x:c>
      <x:c r="F234" s="14" t="n">
        <x:v>0.04</x:v>
      </x:c>
      <x:c r="G234" s="17" t="n">
        <x:v>1</x:v>
      </x:c>
      <x:c r="H234" s="14" t="str">
        <x:v>S01-09:A:meaning_adoption</x:v>
      </x:c>
    </x:row>
    <x:row r="235" ht="72" customHeight="1">
      <x:c r="A235" s="14" t="str">
        <x:v>S01-09:A:evaluation_first_display</x:v>
      </x:c>
      <x:c r="B235" s="14" t="str">
        <x:v>A</x:v>
      </x:c>
      <x:c r="C235" s="14" t="str">
        <x:v>evaluation_first_display</x:v>
      </x:c>
      <x:c r="D235" s="14" t="n">
        <x:v>0.87</x:v>
      </x:c>
      <x:c r="E235" s="14" t="n">
        <x:v>0.91</x:v>
      </x:c>
      <x:c r="F235" s="14" t="n">
        <x:v>0.04</x:v>
      </x:c>
      <x:c r="G235" s="17" t="n">
        <x:v>1</x:v>
      </x:c>
      <x:c r="H235" s="14" t="str">
        <x:v>S01-09:A:apply_relation</x:v>
      </x:c>
    </x:row>
    <x:row r="236" ht="72" customHeight="1">
      <x:c r="A236" s="14" t="str">
        <x:v>S01-09:A:source_status</x:v>
      </x:c>
      <x:c r="B236" s="14" t="str">
        <x:v>A</x:v>
      </x:c>
      <x:c r="C236" s="14" t="str">
        <x:v>source_status</x:v>
      </x:c>
      <x:c r="D236" s="14" t="n">
        <x:v>0.87</x:v>
      </x:c>
      <x:c r="E236" s="14" t="n">
        <x:v>0.87</x:v>
      </x:c>
      <x:c r="F236" s="14" t="n">
        <x:v>0</x:v>
      </x:c>
      <x:c r="G236" s="17" t="n">
        <x:v>0</x:v>
      </x:c>
      <x:c r="H236" s="14" t="str">
        <x:v>S01-09:A:apply_relation</x:v>
      </x:c>
    </x:row>
    <x:row r="237" ht="72" customHeight="1">
      <x:c r="A237" s="14" t="str">
        <x:v>S01-09:A:display_status</x:v>
      </x:c>
      <x:c r="B237" s="14" t="str">
        <x:v>A</x:v>
      </x:c>
      <x:c r="C237" s="14" t="str">
        <x:v>display_status</x:v>
      </x:c>
      <x:c r="D237" s="14" t="n">
        <x:v>0.87</x:v>
      </x:c>
      <x:c r="E237" s="14" t="n">
        <x:v>0.91</x:v>
      </x:c>
      <x:c r="F237" s="14" t="n">
        <x:v>0.04</x:v>
      </x:c>
      <x:c r="G237" s="17" t="n">
        <x:v>1</x:v>
      </x:c>
      <x:c r="H237" s="14" t="str">
        <x:v>S01-09:A:source_status</x:v>
      </x:c>
    </x:row>
    <x:row r="238" ht="72" customHeight="1">
      <x:c r="A238" s="14" t="str">
        <x:v>S01-09:A:status_first</x:v>
      </x:c>
      <x:c r="B238" s="14" t="str">
        <x:v>A</x:v>
      </x:c>
      <x:c r="C238" s="14" t="str">
        <x:v>status_first</x:v>
      </x:c>
      <x:c r="D238" s="14" t="n">
        <x:v>0.87</x:v>
      </x:c>
      <x:c r="E238" s="14" t="n">
        <x:v>1.274666667</x:v>
      </x:c>
      <x:c r="F238" s="14" t="n">
        <x:v>0.404666667</x:v>
      </x:c>
      <x:c r="G238" s="17" t="n">
        <x:v>1</x:v>
      </x:c>
      <x:c r="H238" s="14" t="str">
        <x:v>S01-09:A:source_status</x:v>
      </x:c>
    </x:row>
    <x:row r="239" ht="72" customHeight="1">
      <x:c r="A239" s="14" t="str">
        <x:v>S01-09:A:status_tail</x:v>
      </x:c>
      <x:c r="B239" s="14" t="str">
        <x:v>A</x:v>
      </x:c>
      <x:c r="C239" s="14" t="str">
        <x:v>status_tail</x:v>
      </x:c>
      <x:c r="D239" s="14" t="n">
        <x:v>1.274666667</x:v>
      </x:c>
      <x:c r="E239" s="14" t="n">
        <x:v>1.985166667</x:v>
      </x:c>
      <x:c r="F239" s="14" t="n">
        <x:v>0.7105</x:v>
      </x:c>
      <x:c r="G239" s="17" t="n">
        <x:v>1</x:v>
      </x:c>
      <x:c r="H239" s="14" t="str">
        <x:v>S01-09:A:status_first</x:v>
      </x:c>
    </x:row>
    <x:row r="240" ht="72" customHeight="1">
      <x:c r="A240" s="14" t="str">
        <x:v>S01-09:A:status_device</x:v>
      </x:c>
      <x:c r="B240" s="14" t="str">
        <x:v>A</x:v>
      </x:c>
      <x:c r="C240" s="14" t="str">
        <x:v>status_device</x:v>
      </x:c>
      <x:c r="D240" s="14" t="n">
        <x:v>1.274666667</x:v>
      </x:c>
      <x:c r="E240" s="14" t="n">
        <x:v>1.314666667</x:v>
      </x:c>
      <x:c r="F240" s="14" t="n">
        <x:v>0.04</x:v>
      </x:c>
      <x:c r="G240" s="17" t="n">
        <x:v>1</x:v>
      </x:c>
      <x:c r="H240" s="14" t="str">
        <x:v>S01-09:A:apply_relation
S01-09:A:status_first</x:v>
      </x:c>
    </x:row>
    <x:row r="241" ht="72" customHeight="1">
      <x:c r="A241" s="14" t="str">
        <x:v>S01-09:A:status_played</x:v>
      </x:c>
      <x:c r="B241" s="14" t="str">
        <x:v>A</x:v>
      </x:c>
      <x:c r="C241" s="14" t="str">
        <x:v>status_played</x:v>
      </x:c>
      <x:c r="D241" s="14" t="n">
        <x:v>1.314666667</x:v>
      </x:c>
      <x:c r="E241" s="14" t="n">
        <x:v>4.356666666</x:v>
      </x:c>
      <x:c r="F241" s="14" t="n">
        <x:v>3.041999999</x:v>
      </x:c>
      <x:c r="G241" s="17" t="n">
        <x:v>0</x:v>
      </x:c>
      <x:c r="H241" s="14" t="str">
        <x:v>S01-09:A:status_device</x:v>
      </x:c>
    </x:row>
    <x:row r="242" ht="72" customHeight="1">
      <x:c r="A242" s="14" t="str">
        <x:v>S01-09:B:origin</x:v>
      </x:c>
      <x:c r="B242" s="14" t="str">
        <x:v>B</x:v>
      </x:c>
      <x:c r="C242" s="14" t="str">
        <x:v>origin</x:v>
      </x:c>
      <x:c r="D242" s="14" t="n">
        <x:v>-6</x:v>
      </x:c>
      <x:c r="E242" s="14" t="n">
        <x:v>-6</x:v>
      </x:c>
      <x:c r="F242" s="14" t="n">
        <x:v>0</x:v>
      </x:c>
      <x:c r="G242" s="17" t="n">
        <x:v>0</x:v>
      </x:c>
      <x:c r="H242" s="14" t="str"/>
    </x:row>
    <x:row r="243" ht="72" customHeight="1">
      <x:c r="A243" s="14" t="str">
        <x:v>S01-09:B:origin_interpretation</x:v>
      </x:c>
      <x:c r="B243" s="14" t="str">
        <x:v>B</x:v>
      </x:c>
      <x:c r="C243" s="14" t="str">
        <x:v>origin_interpretation</x:v>
      </x:c>
      <x:c r="D243" s="14" t="n">
        <x:v>-6</x:v>
      </x:c>
      <x:c r="E243" s="14" t="n">
        <x:v>-5.16</x:v>
      </x:c>
      <x:c r="F243" s="14" t="n">
        <x:v>0.84</x:v>
      </x:c>
      <x:c r="G243" s="17" t="n">
        <x:v>1</x:v>
      </x:c>
      <x:c r="H243" s="14" t="str">
        <x:v>S01-09:B:origin</x:v>
      </x:c>
    </x:row>
    <x:row r="244" ht="72" customHeight="1">
      <x:c r="A244" s="14" t="str">
        <x:v>S01-09:B:original_handoff</x:v>
      </x:c>
      <x:c r="B244" s="14" t="str">
        <x:v>B</x:v>
      </x:c>
      <x:c r="C244" s="14" t="str">
        <x:v>original_handoff</x:v>
      </x:c>
      <x:c r="D244" s="14" t="n">
        <x:v>-5.16</x:v>
      </x:c>
      <x:c r="E244" s="14" t="n">
        <x:v>-5.04</x:v>
      </x:c>
      <x:c r="F244" s="14" t="n">
        <x:v>0.12</x:v>
      </x:c>
      <x:c r="G244" s="17" t="n">
        <x:v>1</x:v>
      </x:c>
      <x:c r="H244" s="14" t="str">
        <x:v>S01-09:B:origin_interpretation</x:v>
      </x:c>
    </x:row>
    <x:row r="245" ht="72" customHeight="1">
      <x:c r="A245" s="14" t="str">
        <x:v>S01-09:B:evaluation_utterance_end</x:v>
      </x:c>
      <x:c r="B245" s="14" t="str">
        <x:v>B</x:v>
      </x:c>
      <x:c r="C245" s="14" t="str">
        <x:v>evaluation_utterance_end</x:v>
      </x:c>
      <x:c r="D245" s="14" t="n">
        <x:v>-6</x:v>
      </x:c>
      <x:c r="E245" s="14" t="n">
        <x:v>0</x:v>
      </x:c>
      <x:c r="F245" s="14" t="n">
        <x:v>6</x:v>
      </x:c>
      <x:c r="G245" s="17" t="n">
        <x:v>0</x:v>
      </x:c>
      <x:c r="H245" s="14" t="str">
        <x:v>S01-09:B:origin</x:v>
      </x:c>
    </x:row>
    <x:row r="246" ht="72" customHeight="1">
      <x:c r="A246" s="14" t="str">
        <x:v>S01-09:B:final_transcript</x:v>
      </x:c>
      <x:c r="B246" s="14" t="str">
        <x:v>B</x:v>
      </x:c>
      <x:c r="C246" s="14" t="str">
        <x:v>final_transcript</x:v>
      </x:c>
      <x:c r="D246" s="14" t="n">
        <x:v>0</x:v>
      </x:c>
      <x:c r="E246" s="14" t="n">
        <x:v>0.3</x:v>
      </x:c>
      <x:c r="F246" s="14" t="n">
        <x:v>0.3</x:v>
      </x:c>
      <x:c r="G246" s="17" t="n">
        <x:v>1</x:v>
      </x:c>
      <x:c r="H246" s="14" t="str">
        <x:v>S01-09:B:evaluation_utterance_end</x:v>
      </x:c>
    </x:row>
    <x:row r="247" ht="72" customHeight="1">
      <x:c r="A247" s="14" t="str">
        <x:v>S01-09:B:meaning_adoption</x:v>
      </x:c>
      <x:c r="B247" s="14" t="str">
        <x:v>B</x:v>
      </x:c>
      <x:c r="C247" s="14" t="str">
        <x:v>meaning_adoption</x:v>
      </x:c>
      <x:c r="D247" s="14" t="n">
        <x:v>0.3</x:v>
      </x:c>
      <x:c r="E247" s="14" t="n">
        <x:v>0.83</x:v>
      </x:c>
      <x:c r="F247" s="14" t="n">
        <x:v>0.53</x:v>
      </x:c>
      <x:c r="G247" s="17" t="n">
        <x:v>1</x:v>
      </x:c>
      <x:c r="H247" s="14" t="str">
        <x:v>S01-09:B:final_transcript
S01-09:B:origin_interpretation</x:v>
      </x:c>
    </x:row>
    <x:row r="248" ht="72" customHeight="1">
      <x:c r="A248" s="14" t="str">
        <x:v>S01-09:B:apply_relation</x:v>
      </x:c>
      <x:c r="B248" s="14" t="str">
        <x:v>B</x:v>
      </x:c>
      <x:c r="C248" s="14" t="str">
        <x:v>apply_relation</x:v>
      </x:c>
      <x:c r="D248" s="14" t="n">
        <x:v>0.83</x:v>
      </x:c>
      <x:c r="E248" s="14" t="n">
        <x:v>0.87</x:v>
      </x:c>
      <x:c r="F248" s="14" t="n">
        <x:v>0.04</x:v>
      </x:c>
      <x:c r="G248" s="17" t="n">
        <x:v>1</x:v>
      </x:c>
      <x:c r="H248" s="14" t="str">
        <x:v>S01-09:B:meaning_adoption</x:v>
      </x:c>
    </x:row>
    <x:row r="249" ht="72" customHeight="1">
      <x:c r="A249" s="14" t="str">
        <x:v>S01-09:B:evaluation_first_display</x:v>
      </x:c>
      <x:c r="B249" s="14" t="str">
        <x:v>B</x:v>
      </x:c>
      <x:c r="C249" s="14" t="str">
        <x:v>evaluation_first_display</x:v>
      </x:c>
      <x:c r="D249" s="14" t="n">
        <x:v>0.87</x:v>
      </x:c>
      <x:c r="E249" s="14" t="n">
        <x:v>0.91</x:v>
      </x:c>
      <x:c r="F249" s="14" t="n">
        <x:v>0.04</x:v>
      </x:c>
      <x:c r="G249" s="17" t="n">
        <x:v>1</x:v>
      </x:c>
      <x:c r="H249" s="14" t="str">
        <x:v>S01-09:B:apply_relation</x:v>
      </x:c>
    </x:row>
    <x:row r="250" ht="72" customHeight="1">
      <x:c r="A250" s="14" t="str">
        <x:v>S01-09:B:source_status</x:v>
      </x:c>
      <x:c r="B250" s="14" t="str">
        <x:v>B</x:v>
      </x:c>
      <x:c r="C250" s="14" t="str">
        <x:v>source_status</x:v>
      </x:c>
      <x:c r="D250" s="14" t="n">
        <x:v>0.87</x:v>
      </x:c>
      <x:c r="E250" s="14" t="n">
        <x:v>0.87</x:v>
      </x:c>
      <x:c r="F250" s="14" t="n">
        <x:v>0</x:v>
      </x:c>
      <x:c r="G250" s="17" t="n">
        <x:v>0</x:v>
      </x:c>
      <x:c r="H250" s="14" t="str">
        <x:v>S01-09:B:apply_relation</x:v>
      </x:c>
    </x:row>
    <x:row r="251" ht="72" customHeight="1">
      <x:c r="A251" s="14" t="str">
        <x:v>S01-09:B:display_status</x:v>
      </x:c>
      <x:c r="B251" s="14" t="str">
        <x:v>B</x:v>
      </x:c>
      <x:c r="C251" s="14" t="str">
        <x:v>display_status</x:v>
      </x:c>
      <x:c r="D251" s="14" t="n">
        <x:v>0.87</x:v>
      </x:c>
      <x:c r="E251" s="14" t="n">
        <x:v>0.91</x:v>
      </x:c>
      <x:c r="F251" s="14" t="n">
        <x:v>0.04</x:v>
      </x:c>
      <x:c r="G251" s="17" t="n">
        <x:v>1</x:v>
      </x:c>
      <x:c r="H251" s="14" t="str">
        <x:v>S01-09:B:source_status</x:v>
      </x:c>
    </x:row>
    <x:row r="252" ht="72" customHeight="1">
      <x:c r="A252" s="14" t="str">
        <x:v>S01-09:B:status_first</x:v>
      </x:c>
      <x:c r="B252" s="14" t="str">
        <x:v>B</x:v>
      </x:c>
      <x:c r="C252" s="14" t="str">
        <x:v>status_first</x:v>
      </x:c>
      <x:c r="D252" s="14" t="n">
        <x:v>0.87</x:v>
      </x:c>
      <x:c r="E252" s="14" t="n">
        <x:v>1.274666667</x:v>
      </x:c>
      <x:c r="F252" s="14" t="n">
        <x:v>0.404666667</x:v>
      </x:c>
      <x:c r="G252" s="17" t="n">
        <x:v>1</x:v>
      </x:c>
      <x:c r="H252" s="14" t="str">
        <x:v>S01-09:B:apply_relation</x:v>
      </x:c>
    </x:row>
    <x:row r="253" ht="72" customHeight="1">
      <x:c r="A253" s="14" t="str">
        <x:v>S01-09:B:status_tail</x:v>
      </x:c>
      <x:c r="B253" s="14" t="str">
        <x:v>B</x:v>
      </x:c>
      <x:c r="C253" s="14" t="str">
        <x:v>status_tail</x:v>
      </x:c>
      <x:c r="D253" s="14" t="n">
        <x:v>1.274666667</x:v>
      </x:c>
      <x:c r="E253" s="14" t="n">
        <x:v>1.985166667</x:v>
      </x:c>
      <x:c r="F253" s="14" t="n">
        <x:v>0.7105</x:v>
      </x:c>
      <x:c r="G253" s="17" t="n">
        <x:v>1</x:v>
      </x:c>
      <x:c r="H253" s="14" t="str">
        <x:v>S01-09:B:status_first</x:v>
      </x:c>
    </x:row>
    <x:row r="254" ht="72" customHeight="1">
      <x:c r="A254" s="14" t="str">
        <x:v>S01-09:B:status_device</x:v>
      </x:c>
      <x:c r="B254" s="14" t="str">
        <x:v>B</x:v>
      </x:c>
      <x:c r="C254" s="14" t="str">
        <x:v>status_device</x:v>
      </x:c>
      <x:c r="D254" s="14" t="n">
        <x:v>1.274666667</x:v>
      </x:c>
      <x:c r="E254" s="14" t="n">
        <x:v>1.314666667</x:v>
      </x:c>
      <x:c r="F254" s="14" t="n">
        <x:v>0.04</x:v>
      </x:c>
      <x:c r="G254" s="17" t="n">
        <x:v>1</x:v>
      </x:c>
      <x:c r="H254" s="14" t="str">
        <x:v>S01-09:B:apply_relation
S01-09:B:status_first</x:v>
      </x:c>
    </x:row>
    <x:row r="255" ht="72" customHeight="1">
      <x:c r="A255" s="14" t="str">
        <x:v>S01-09:B:status_played</x:v>
      </x:c>
      <x:c r="B255" s="14" t="str">
        <x:v>B</x:v>
      </x:c>
      <x:c r="C255" s="14" t="str">
        <x:v>status_played</x:v>
      </x:c>
      <x:c r="D255" s="14" t="n">
        <x:v>1.314666667</x:v>
      </x:c>
      <x:c r="E255" s="14" t="n">
        <x:v>4.356666666</x:v>
      </x:c>
      <x:c r="F255" s="14" t="n">
        <x:v>3.041999999</x:v>
      </x:c>
      <x:c r="G255" s="17" t="n">
        <x:v>0</x:v>
      </x:c>
      <x:c r="H255" s="14" t="str">
        <x:v>S01-09:B:status_device</x:v>
      </x:c>
    </x:row>
    <x:row r="256" ht="72" customHeight="1">
      <x:c r="A256" s="14" t="str">
        <x:v>S01-10:A:origin</x:v>
      </x:c>
      <x:c r="B256" s="14" t="str">
        <x:v>A</x:v>
      </x:c>
      <x:c r="C256" s="14" t="str">
        <x:v>origin</x:v>
      </x:c>
      <x:c r="D256" s="14" t="n">
        <x:v>-6</x:v>
      </x:c>
      <x:c r="E256" s="14" t="n">
        <x:v>-6</x:v>
      </x:c>
      <x:c r="F256" s="14" t="n">
        <x:v>0</x:v>
      </x:c>
      <x:c r="G256" s="17" t="n">
        <x:v>0</x:v>
      </x:c>
      <x:c r="H256" s="14" t="str"/>
    </x:row>
    <x:row r="257" ht="72" customHeight="1">
      <x:c r="A257" s="14" t="str">
        <x:v>S01-10:A:origin_interpretation</x:v>
      </x:c>
      <x:c r="B257" s="14" t="str">
        <x:v>A</x:v>
      </x:c>
      <x:c r="C257" s="14" t="str">
        <x:v>origin_interpretation</x:v>
      </x:c>
      <x:c r="D257" s="14" t="n">
        <x:v>-6</x:v>
      </x:c>
      <x:c r="E257" s="14" t="n">
        <x:v>-5.16</x:v>
      </x:c>
      <x:c r="F257" s="14" t="n">
        <x:v>0.84</x:v>
      </x:c>
      <x:c r="G257" s="17" t="n">
        <x:v>1</x:v>
      </x:c>
      <x:c r="H257" s="14" t="str">
        <x:v>S01-10:A:origin</x:v>
      </x:c>
    </x:row>
    <x:row r="258" ht="72" customHeight="1">
      <x:c r="A258" s="14" t="str">
        <x:v>S01-10:A:original_handoff</x:v>
      </x:c>
      <x:c r="B258" s="14" t="str">
        <x:v>A</x:v>
      </x:c>
      <x:c r="C258" s="14" t="str">
        <x:v>original_handoff</x:v>
      </x:c>
      <x:c r="D258" s="14" t="n">
        <x:v>-5.16</x:v>
      </x:c>
      <x:c r="E258" s="14" t="n">
        <x:v>-5.04</x:v>
      </x:c>
      <x:c r="F258" s="14" t="n">
        <x:v>0.12</x:v>
      </x:c>
      <x:c r="G258" s="17" t="n">
        <x:v>1</x:v>
      </x:c>
      <x:c r="H258" s="14" t="str">
        <x:v>S01-10:A:origin_interpretation</x:v>
      </x:c>
    </x:row>
    <x:row r="259" ht="72" customHeight="1">
      <x:c r="A259" s="14" t="str">
        <x:v>S01-10:A:evaluation_utterance_end</x:v>
      </x:c>
      <x:c r="B259" s="14" t="str">
        <x:v>A</x:v>
      </x:c>
      <x:c r="C259" s="14" t="str">
        <x:v>evaluation_utterance_end</x:v>
      </x:c>
      <x:c r="D259" s="14" t="n">
        <x:v>-6</x:v>
      </x:c>
      <x:c r="E259" s="14" t="n">
        <x:v>0</x:v>
      </x:c>
      <x:c r="F259" s="14" t="n">
        <x:v>6</x:v>
      </x:c>
      <x:c r="G259" s="17" t="n">
        <x:v>0</x:v>
      </x:c>
      <x:c r="H259" s="14" t="str">
        <x:v>S01-10:A:origin</x:v>
      </x:c>
    </x:row>
    <x:row r="260" ht="72" customHeight="1">
      <x:c r="A260" s="14" t="str">
        <x:v>S01-10:A:final_transcript</x:v>
      </x:c>
      <x:c r="B260" s="14" t="str">
        <x:v>A</x:v>
      </x:c>
      <x:c r="C260" s="14" t="str">
        <x:v>final_transcript</x:v>
      </x:c>
      <x:c r="D260" s="14" t="n">
        <x:v>0</x:v>
      </x:c>
      <x:c r="E260" s="14" t="n">
        <x:v>0.3</x:v>
      </x:c>
      <x:c r="F260" s="14" t="n">
        <x:v>0.3</x:v>
      </x:c>
      <x:c r="G260" s="17" t="n">
        <x:v>1</x:v>
      </x:c>
      <x:c r="H260" s="14" t="str">
        <x:v>S01-10:A:evaluation_utterance_end</x:v>
      </x:c>
    </x:row>
    <x:row r="261" ht="72" customHeight="1">
      <x:c r="A261" s="14" t="str">
        <x:v>S01-10:A:meaning_adoption</x:v>
      </x:c>
      <x:c r="B261" s="14" t="str">
        <x:v>A</x:v>
      </x:c>
      <x:c r="C261" s="14" t="str">
        <x:v>meaning_adoption</x:v>
      </x:c>
      <x:c r="D261" s="14" t="n">
        <x:v>0.3</x:v>
      </x:c>
      <x:c r="E261" s="14" t="n">
        <x:v>0.858333333</x:v>
      </x:c>
      <x:c r="F261" s="14" t="n">
        <x:v>0.558333333</x:v>
      </x:c>
      <x:c r="G261" s="17" t="n">
        <x:v>1</x:v>
      </x:c>
      <x:c r="H261" s="14" t="str">
        <x:v>S01-10:A:final_transcript
S01-10:A:origin_interpretation</x:v>
      </x:c>
    </x:row>
    <x:row r="262" ht="72" customHeight="1">
      <x:c r="A262" s="14" t="str">
        <x:v>S01-10:A:apply_relation</x:v>
      </x:c>
      <x:c r="B262" s="14" t="str">
        <x:v>A</x:v>
      </x:c>
      <x:c r="C262" s="14" t="str">
        <x:v>apply_relation</x:v>
      </x:c>
      <x:c r="D262" s="14" t="n">
        <x:v>0.858333333</x:v>
      </x:c>
      <x:c r="E262" s="14" t="n">
        <x:v>0.898333333</x:v>
      </x:c>
      <x:c r="F262" s="14" t="n">
        <x:v>0.04</x:v>
      </x:c>
      <x:c r="G262" s="17" t="n">
        <x:v>1</x:v>
      </x:c>
      <x:c r="H262" s="14" t="str">
        <x:v>S01-10:A:meaning_adoption</x:v>
      </x:c>
    </x:row>
    <x:row r="263" ht="72" customHeight="1">
      <x:c r="A263" s="14" t="str">
        <x:v>S01-10:A:evaluation_first_display</x:v>
      </x:c>
      <x:c r="B263" s="14" t="str">
        <x:v>A</x:v>
      </x:c>
      <x:c r="C263" s="14" t="str">
        <x:v>evaluation_first_display</x:v>
      </x:c>
      <x:c r="D263" s="14" t="n">
        <x:v>0.898333333</x:v>
      </x:c>
      <x:c r="E263" s="14" t="n">
        <x:v>0.938333333</x:v>
      </x:c>
      <x:c r="F263" s="14" t="n">
        <x:v>0.04</x:v>
      </x:c>
      <x:c r="G263" s="17" t="n">
        <x:v>1</x:v>
      </x:c>
      <x:c r="H263" s="14" t="str">
        <x:v>S01-10:A:apply_relation</x:v>
      </x:c>
    </x:row>
    <x:row r="264" ht="72" customHeight="1">
      <x:c r="A264" s="14" t="str">
        <x:v>S01-10:A:source_status</x:v>
      </x:c>
      <x:c r="B264" s="14" t="str">
        <x:v>A</x:v>
      </x:c>
      <x:c r="C264" s="14" t="str">
        <x:v>source_status</x:v>
      </x:c>
      <x:c r="D264" s="14" t="n">
        <x:v>0.898333333</x:v>
      </x:c>
      <x:c r="E264" s="14" t="n">
        <x:v>0.898333333</x:v>
      </x:c>
      <x:c r="F264" s="14" t="n">
        <x:v>0</x:v>
      </x:c>
      <x:c r="G264" s="17" t="n">
        <x:v>0</x:v>
      </x:c>
      <x:c r="H264" s="14" t="str">
        <x:v>S01-10:A:apply_relation</x:v>
      </x:c>
    </x:row>
    <x:row r="265" ht="72" customHeight="1">
      <x:c r="A265" s="14" t="str">
        <x:v>S01-10:A:display_status</x:v>
      </x:c>
      <x:c r="B265" s="14" t="str">
        <x:v>A</x:v>
      </x:c>
      <x:c r="C265" s="14" t="str">
        <x:v>display_status</x:v>
      </x:c>
      <x:c r="D265" s="14" t="n">
        <x:v>0.898333333</x:v>
      </x:c>
      <x:c r="E265" s="14" t="n">
        <x:v>0.938333333</x:v>
      </x:c>
      <x:c r="F265" s="14" t="n">
        <x:v>0.04</x:v>
      </x:c>
      <x:c r="G265" s="17" t="n">
        <x:v>1</x:v>
      </x:c>
      <x:c r="H265" s="14" t="str">
        <x:v>S01-10:A:source_status</x:v>
      </x:c>
    </x:row>
    <x:row r="266" ht="72" customHeight="1">
      <x:c r="A266" s="14" t="str">
        <x:v>S01-10:A:status_first</x:v>
      </x:c>
      <x:c r="B266" s="14" t="str">
        <x:v>A</x:v>
      </x:c>
      <x:c r="C266" s="14" t="str">
        <x:v>status_first</x:v>
      </x:c>
      <x:c r="D266" s="14" t="n">
        <x:v>0.898333333</x:v>
      </x:c>
      <x:c r="E266" s="14" t="n">
        <x:v>1.303</x:v>
      </x:c>
      <x:c r="F266" s="14" t="n">
        <x:v>0.404666667</x:v>
      </x:c>
      <x:c r="G266" s="17" t="n">
        <x:v>1</x:v>
      </x:c>
      <x:c r="H266" s="14" t="str">
        <x:v>S01-10:A:source_status</x:v>
      </x:c>
    </x:row>
    <x:row r="267" ht="72" customHeight="1">
      <x:c r="A267" s="14" t="str">
        <x:v>S01-10:A:status_tail</x:v>
      </x:c>
      <x:c r="B267" s="14" t="str">
        <x:v>A</x:v>
      </x:c>
      <x:c r="C267" s="14" t="str">
        <x:v>status_tail</x:v>
      </x:c>
      <x:c r="D267" s="14" t="n">
        <x:v>1.303</x:v>
      </x:c>
      <x:c r="E267" s="14" t="n">
        <x:v>2.0165</x:v>
      </x:c>
      <x:c r="F267" s="14" t="n">
        <x:v>0.7135</x:v>
      </x:c>
      <x:c r="G267" s="17" t="n">
        <x:v>1</x:v>
      </x:c>
      <x:c r="H267" s="14" t="str">
        <x:v>S01-10:A:status_first</x:v>
      </x:c>
    </x:row>
    <x:row r="268" ht="72" customHeight="1">
      <x:c r="A268" s="14" t="str">
        <x:v>S01-10:A:status_device</x:v>
      </x:c>
      <x:c r="B268" s="14" t="str">
        <x:v>A</x:v>
      </x:c>
      <x:c r="C268" s="14" t="str">
        <x:v>status_device</x:v>
      </x:c>
      <x:c r="D268" s="14" t="n">
        <x:v>1.303</x:v>
      </x:c>
      <x:c r="E268" s="14" t="n">
        <x:v>1.343</x:v>
      </x:c>
      <x:c r="F268" s="14" t="n">
        <x:v>0.04</x:v>
      </x:c>
      <x:c r="G268" s="17" t="n">
        <x:v>1</x:v>
      </x:c>
      <x:c r="H268" s="14" t="str">
        <x:v>S01-10:A:apply_relation
S01-10:A:status_first</x:v>
      </x:c>
    </x:row>
    <x:row r="269" ht="72" customHeight="1">
      <x:c r="A269" s="14" t="str">
        <x:v>S01-10:A:status_played</x:v>
      </x:c>
      <x:c r="B269" s="14" t="str">
        <x:v>A</x:v>
      </x:c>
      <x:c r="C269" s="14" t="str">
        <x:v>status_played</x:v>
      </x:c>
      <x:c r="D269" s="14" t="n">
        <x:v>1.343</x:v>
      </x:c>
      <x:c r="E269" s="14" t="n">
        <x:v>4.396999999</x:v>
      </x:c>
      <x:c r="F269" s="14" t="n">
        <x:v>3.053999999</x:v>
      </x:c>
      <x:c r="G269" s="17" t="n">
        <x:v>0</x:v>
      </x:c>
      <x:c r="H269" s="14" t="str">
        <x:v>S01-10:A:status_device</x:v>
      </x:c>
    </x:row>
    <x:row r="270" ht="72" customHeight="1">
      <x:c r="A270" s="14" t="str">
        <x:v>S01-10:B:origin</x:v>
      </x:c>
      <x:c r="B270" s="14" t="str">
        <x:v>B</x:v>
      </x:c>
      <x:c r="C270" s="14" t="str">
        <x:v>origin</x:v>
      </x:c>
      <x:c r="D270" s="14" t="n">
        <x:v>-6</x:v>
      </x:c>
      <x:c r="E270" s="14" t="n">
        <x:v>-6</x:v>
      </x:c>
      <x:c r="F270" s="14" t="n">
        <x:v>0</x:v>
      </x:c>
      <x:c r="G270" s="17" t="n">
        <x:v>0</x:v>
      </x:c>
      <x:c r="H270" s="14" t="str"/>
    </x:row>
    <x:row r="271" ht="72" customHeight="1">
      <x:c r="A271" s="14" t="str">
        <x:v>S01-10:B:origin_interpretation</x:v>
      </x:c>
      <x:c r="B271" s="14" t="str">
        <x:v>B</x:v>
      </x:c>
      <x:c r="C271" s="14" t="str">
        <x:v>origin_interpretation</x:v>
      </x:c>
      <x:c r="D271" s="14" t="n">
        <x:v>-6</x:v>
      </x:c>
      <x:c r="E271" s="14" t="n">
        <x:v>-5.16</x:v>
      </x:c>
      <x:c r="F271" s="14" t="n">
        <x:v>0.84</x:v>
      </x:c>
      <x:c r="G271" s="17" t="n">
        <x:v>1</x:v>
      </x:c>
      <x:c r="H271" s="14" t="str">
        <x:v>S01-10:B:origin</x:v>
      </x:c>
    </x:row>
    <x:row r="272" ht="72" customHeight="1">
      <x:c r="A272" s="14" t="str">
        <x:v>S01-10:B:original_handoff</x:v>
      </x:c>
      <x:c r="B272" s="14" t="str">
        <x:v>B</x:v>
      </x:c>
      <x:c r="C272" s="14" t="str">
        <x:v>original_handoff</x:v>
      </x:c>
      <x:c r="D272" s="14" t="n">
        <x:v>-5.16</x:v>
      </x:c>
      <x:c r="E272" s="14" t="n">
        <x:v>-5.04</x:v>
      </x:c>
      <x:c r="F272" s="14" t="n">
        <x:v>0.12</x:v>
      </x:c>
      <x:c r="G272" s="17" t="n">
        <x:v>1</x:v>
      </x:c>
      <x:c r="H272" s="14" t="str">
        <x:v>S01-10:B:origin_interpretation</x:v>
      </x:c>
    </x:row>
    <x:row r="273" ht="72" customHeight="1">
      <x:c r="A273" s="14" t="str">
        <x:v>S01-10:B:evaluation_utterance_end</x:v>
      </x:c>
      <x:c r="B273" s="14" t="str">
        <x:v>B</x:v>
      </x:c>
      <x:c r="C273" s="14" t="str">
        <x:v>evaluation_utterance_end</x:v>
      </x:c>
      <x:c r="D273" s="14" t="n">
        <x:v>-6</x:v>
      </x:c>
      <x:c r="E273" s="14" t="n">
        <x:v>0</x:v>
      </x:c>
      <x:c r="F273" s="14" t="n">
        <x:v>6</x:v>
      </x:c>
      <x:c r="G273" s="17" t="n">
        <x:v>0</x:v>
      </x:c>
      <x:c r="H273" s="14" t="str">
        <x:v>S01-10:B:origin</x:v>
      </x:c>
    </x:row>
    <x:row r="274" ht="72" customHeight="1">
      <x:c r="A274" s="14" t="str">
        <x:v>S01-10:B:final_transcript</x:v>
      </x:c>
      <x:c r="B274" s="14" t="str">
        <x:v>B</x:v>
      </x:c>
      <x:c r="C274" s="14" t="str">
        <x:v>final_transcript</x:v>
      </x:c>
      <x:c r="D274" s="14" t="n">
        <x:v>0</x:v>
      </x:c>
      <x:c r="E274" s="14" t="n">
        <x:v>0.3</x:v>
      </x:c>
      <x:c r="F274" s="14" t="n">
        <x:v>0.3</x:v>
      </x:c>
      <x:c r="G274" s="17" t="n">
        <x:v>1</x:v>
      </x:c>
      <x:c r="H274" s="14" t="str">
        <x:v>S01-10:B:evaluation_utterance_end</x:v>
      </x:c>
    </x:row>
    <x:row r="275" ht="72" customHeight="1">
      <x:c r="A275" s="14" t="str">
        <x:v>S01-10:B:meaning_adoption</x:v>
      </x:c>
      <x:c r="B275" s="14" t="str">
        <x:v>B</x:v>
      </x:c>
      <x:c r="C275" s="14" t="str">
        <x:v>meaning_adoption</x:v>
      </x:c>
      <x:c r="D275" s="14" t="n">
        <x:v>0.3</x:v>
      </x:c>
      <x:c r="E275" s="14" t="n">
        <x:v>0.858333333</x:v>
      </x:c>
      <x:c r="F275" s="14" t="n">
        <x:v>0.558333333</x:v>
      </x:c>
      <x:c r="G275" s="17" t="n">
        <x:v>1</x:v>
      </x:c>
      <x:c r="H275" s="14" t="str">
        <x:v>S01-10:B:final_transcript
S01-10:B:origin_interpretation</x:v>
      </x:c>
    </x:row>
    <x:row r="276" ht="72" customHeight="1">
      <x:c r="A276" s="14" t="str">
        <x:v>S01-10:B:apply_relation</x:v>
      </x:c>
      <x:c r="B276" s="14" t="str">
        <x:v>B</x:v>
      </x:c>
      <x:c r="C276" s="14" t="str">
        <x:v>apply_relation</x:v>
      </x:c>
      <x:c r="D276" s="14" t="n">
        <x:v>0.858333333</x:v>
      </x:c>
      <x:c r="E276" s="14" t="n">
        <x:v>0.898333333</x:v>
      </x:c>
      <x:c r="F276" s="14" t="n">
        <x:v>0.04</x:v>
      </x:c>
      <x:c r="G276" s="17" t="n">
        <x:v>1</x:v>
      </x:c>
      <x:c r="H276" s="14" t="str">
        <x:v>S01-10:B:meaning_adoption</x:v>
      </x:c>
    </x:row>
    <x:row r="277" ht="72" customHeight="1">
      <x:c r="A277" s="14" t="str">
        <x:v>S01-10:B:evaluation_first_display</x:v>
      </x:c>
      <x:c r="B277" s="14" t="str">
        <x:v>B</x:v>
      </x:c>
      <x:c r="C277" s="14" t="str">
        <x:v>evaluation_first_display</x:v>
      </x:c>
      <x:c r="D277" s="14" t="n">
        <x:v>0.898333333</x:v>
      </x:c>
      <x:c r="E277" s="14" t="n">
        <x:v>0.938333333</x:v>
      </x:c>
      <x:c r="F277" s="14" t="n">
        <x:v>0.04</x:v>
      </x:c>
      <x:c r="G277" s="17" t="n">
        <x:v>1</x:v>
      </x:c>
      <x:c r="H277" s="14" t="str">
        <x:v>S01-10:B:apply_relation</x:v>
      </x:c>
    </x:row>
    <x:row r="278" ht="72" customHeight="1">
      <x:c r="A278" s="14" t="str">
        <x:v>S01-10:B:source_status</x:v>
      </x:c>
      <x:c r="B278" s="14" t="str">
        <x:v>B</x:v>
      </x:c>
      <x:c r="C278" s="14" t="str">
        <x:v>source_status</x:v>
      </x:c>
      <x:c r="D278" s="14" t="n">
        <x:v>0.898333333</x:v>
      </x:c>
      <x:c r="E278" s="14" t="n">
        <x:v>0.898333333</x:v>
      </x:c>
      <x:c r="F278" s="14" t="n">
        <x:v>0</x:v>
      </x:c>
      <x:c r="G278" s="17" t="n">
        <x:v>0</x:v>
      </x:c>
      <x:c r="H278" s="14" t="str">
        <x:v>S01-10:B:apply_relation</x:v>
      </x:c>
    </x:row>
    <x:row r="279" ht="72" customHeight="1">
      <x:c r="A279" s="14" t="str">
        <x:v>S01-10:B:display_status</x:v>
      </x:c>
      <x:c r="B279" s="14" t="str">
        <x:v>B</x:v>
      </x:c>
      <x:c r="C279" s="14" t="str">
        <x:v>display_status</x:v>
      </x:c>
      <x:c r="D279" s="14" t="n">
        <x:v>0.898333333</x:v>
      </x:c>
      <x:c r="E279" s="14" t="n">
        <x:v>0.938333333</x:v>
      </x:c>
      <x:c r="F279" s="14" t="n">
        <x:v>0.04</x:v>
      </x:c>
      <x:c r="G279" s="17" t="n">
        <x:v>1</x:v>
      </x:c>
      <x:c r="H279" s="14" t="str">
        <x:v>S01-10:B:source_status</x:v>
      </x:c>
    </x:row>
    <x:row r="280" ht="72" customHeight="1">
      <x:c r="A280" s="14" t="str">
        <x:v>S01-10:B:status_first</x:v>
      </x:c>
      <x:c r="B280" s="14" t="str">
        <x:v>B</x:v>
      </x:c>
      <x:c r="C280" s="14" t="str">
        <x:v>status_first</x:v>
      </x:c>
      <x:c r="D280" s="14" t="n">
        <x:v>0.898333333</x:v>
      </x:c>
      <x:c r="E280" s="14" t="n">
        <x:v>1.303</x:v>
      </x:c>
      <x:c r="F280" s="14" t="n">
        <x:v>0.404666667</x:v>
      </x:c>
      <x:c r="G280" s="17" t="n">
        <x:v>1</x:v>
      </x:c>
      <x:c r="H280" s="14" t="str">
        <x:v>S01-10:B:apply_relation</x:v>
      </x:c>
    </x:row>
    <x:row r="281" ht="72" customHeight="1">
      <x:c r="A281" s="14" t="str">
        <x:v>S01-10:B:status_tail</x:v>
      </x:c>
      <x:c r="B281" s="14" t="str">
        <x:v>B</x:v>
      </x:c>
      <x:c r="C281" s="14" t="str">
        <x:v>status_tail</x:v>
      </x:c>
      <x:c r="D281" s="14" t="n">
        <x:v>1.303</x:v>
      </x:c>
      <x:c r="E281" s="14" t="n">
        <x:v>2.0165</x:v>
      </x:c>
      <x:c r="F281" s="14" t="n">
        <x:v>0.7135</x:v>
      </x:c>
      <x:c r="G281" s="17" t="n">
        <x:v>1</x:v>
      </x:c>
      <x:c r="H281" s="14" t="str">
        <x:v>S01-10:B:status_first</x:v>
      </x:c>
    </x:row>
    <x:row r="282" ht="72" customHeight="1">
      <x:c r="A282" s="14" t="str">
        <x:v>S01-10:B:status_device</x:v>
      </x:c>
      <x:c r="B282" s="14" t="str">
        <x:v>B</x:v>
      </x:c>
      <x:c r="C282" s="14" t="str">
        <x:v>status_device</x:v>
      </x:c>
      <x:c r="D282" s="14" t="n">
        <x:v>1.303</x:v>
      </x:c>
      <x:c r="E282" s="14" t="n">
        <x:v>1.343</x:v>
      </x:c>
      <x:c r="F282" s="14" t="n">
        <x:v>0.04</x:v>
      </x:c>
      <x:c r="G282" s="17" t="n">
        <x:v>1</x:v>
      </x:c>
      <x:c r="H282" s="14" t="str">
        <x:v>S01-10:B:apply_relation
S01-10:B:status_first</x:v>
      </x:c>
    </x:row>
    <x:row r="283" ht="72" customHeight="1">
      <x:c r="A283" s="14" t="str">
        <x:v>S01-10:B:status_played</x:v>
      </x:c>
      <x:c r="B283" s="14" t="str">
        <x:v>B</x:v>
      </x:c>
      <x:c r="C283" s="14" t="str">
        <x:v>status_played</x:v>
      </x:c>
      <x:c r="D283" s="14" t="n">
        <x:v>1.343</x:v>
      </x:c>
      <x:c r="E283" s="14" t="n">
        <x:v>4.396999999</x:v>
      </x:c>
      <x:c r="F283" s="14" t="n">
        <x:v>3.053999999</x:v>
      </x:c>
      <x:c r="G283" s="17" t="n">
        <x:v>0</x:v>
      </x:c>
      <x:c r="H283" s="14" t="str">
        <x:v>S01-10:B:status_device</x:v>
      </x:c>
    </x:row>
    <x:row r="284" ht="72" customHeight="1">
      <x:c r="A284" s="14" t="str">
        <x:v>S02-01:A:origin</x:v>
      </x:c>
      <x:c r="B284" s="14" t="str">
        <x:v>A</x:v>
      </x:c>
      <x:c r="C284" s="14" t="str">
        <x:v>origin</x:v>
      </x:c>
      <x:c r="D284" s="14" t="n">
        <x:v>-6</x:v>
      </x:c>
      <x:c r="E284" s="14" t="n">
        <x:v>-6</x:v>
      </x:c>
      <x:c r="F284" s="14" t="n">
        <x:v>0</x:v>
      </x:c>
      <x:c r="G284" s="17" t="n">
        <x:v>0</x:v>
      </x:c>
      <x:c r="H284" s="14" t="str"/>
    </x:row>
    <x:row r="285" ht="72" customHeight="1">
      <x:c r="A285" s="14" t="str">
        <x:v>S02-01:A:origin_interpretation</x:v>
      </x:c>
      <x:c r="B285" s="14" t="str">
        <x:v>A</x:v>
      </x:c>
      <x:c r="C285" s="14" t="str">
        <x:v>origin_interpretation</x:v>
      </x:c>
      <x:c r="D285" s="14" t="n">
        <x:v>-6</x:v>
      </x:c>
      <x:c r="E285" s="14" t="n">
        <x:v>-5.16</x:v>
      </x:c>
      <x:c r="F285" s="14" t="n">
        <x:v>0.84</x:v>
      </x:c>
      <x:c r="G285" s="17" t="n">
        <x:v>1</x:v>
      </x:c>
      <x:c r="H285" s="14" t="str">
        <x:v>S02-01:A:origin</x:v>
      </x:c>
    </x:row>
    <x:row r="286" ht="72" customHeight="1">
      <x:c r="A286" s="14" t="str">
        <x:v>S02-01:A:original_handoff</x:v>
      </x:c>
      <x:c r="B286" s="14" t="str">
        <x:v>A</x:v>
      </x:c>
      <x:c r="C286" s="14" t="str">
        <x:v>original_handoff</x:v>
      </x:c>
      <x:c r="D286" s="14" t="n">
        <x:v>-5.16</x:v>
      </x:c>
      <x:c r="E286" s="14" t="n">
        <x:v>-5.04</x:v>
      </x:c>
      <x:c r="F286" s="14" t="n">
        <x:v>0.12</x:v>
      </x:c>
      <x:c r="G286" s="17" t="n">
        <x:v>1</x:v>
      </x:c>
      <x:c r="H286" s="14" t="str">
        <x:v>S02-01:A:origin_interpretation</x:v>
      </x:c>
    </x:row>
    <x:row r="287" ht="72" customHeight="1">
      <x:c r="A287" s="14" t="str">
        <x:v>S02-01:A:evaluation_utterance_end</x:v>
      </x:c>
      <x:c r="B287" s="14" t="str">
        <x:v>A</x:v>
      </x:c>
      <x:c r="C287" s="14" t="str">
        <x:v>evaluation_utterance_end</x:v>
      </x:c>
      <x:c r="D287" s="14" t="n">
        <x:v>-6</x:v>
      </x:c>
      <x:c r="E287" s="14" t="n">
        <x:v>0</x:v>
      </x:c>
      <x:c r="F287" s="14" t="n">
        <x:v>6</x:v>
      </x:c>
      <x:c r="G287" s="17" t="n">
        <x:v>0</x:v>
      </x:c>
      <x:c r="H287" s="14" t="str">
        <x:v>S02-01:A:origin</x:v>
      </x:c>
    </x:row>
    <x:row r="288" ht="72" customHeight="1">
      <x:c r="A288" s="14" t="str">
        <x:v>S02-01:A:final_transcript</x:v>
      </x:c>
      <x:c r="B288" s="14" t="str">
        <x:v>A</x:v>
      </x:c>
      <x:c r="C288" s="14" t="str">
        <x:v>final_transcript</x:v>
      </x:c>
      <x:c r="D288" s="14" t="n">
        <x:v>0</x:v>
      </x:c>
      <x:c r="E288" s="14" t="n">
        <x:v>0.3</x:v>
      </x:c>
      <x:c r="F288" s="14" t="n">
        <x:v>0.3</x:v>
      </x:c>
      <x:c r="G288" s="17" t="n">
        <x:v>1</x:v>
      </x:c>
      <x:c r="H288" s="14" t="str">
        <x:v>S02-01:A:evaluation_utterance_end</x:v>
      </x:c>
    </x:row>
    <x:row r="289" ht="72" customHeight="1">
      <x:c r="A289" s="14" t="str">
        <x:v>S02-01:A:meaning_adoption</x:v>
      </x:c>
      <x:c r="B289" s="14" t="str">
        <x:v>A</x:v>
      </x:c>
      <x:c r="C289" s="14" t="str">
        <x:v>meaning_adoption</x:v>
      </x:c>
      <x:c r="D289" s="14" t="n">
        <x:v>0.3</x:v>
      </x:c>
      <x:c r="E289" s="14" t="n">
        <x:v>0.828333333</x:v>
      </x:c>
      <x:c r="F289" s="14" t="n">
        <x:v>0.528333333</x:v>
      </x:c>
      <x:c r="G289" s="17" t="n">
        <x:v>1</x:v>
      </x:c>
      <x:c r="H289" s="14" t="str">
        <x:v>S02-01:A:final_transcript
S02-01:A:origin_interpretation</x:v>
      </x:c>
    </x:row>
    <x:row r="290" ht="72" customHeight="1">
      <x:c r="A290" s="14" t="str">
        <x:v>S02-01:A:apply_relation</x:v>
      </x:c>
      <x:c r="B290" s="14" t="str">
        <x:v>A</x:v>
      </x:c>
      <x:c r="C290" s="14" t="str">
        <x:v>apply_relation</x:v>
      </x:c>
      <x:c r="D290" s="14" t="n">
        <x:v>0.828333333</x:v>
      </x:c>
      <x:c r="E290" s="14" t="n">
        <x:v>0.868333333</x:v>
      </x:c>
      <x:c r="F290" s="14" t="n">
        <x:v>0.04</x:v>
      </x:c>
      <x:c r="G290" s="17" t="n">
        <x:v>1</x:v>
      </x:c>
      <x:c r="H290" s="14" t="str">
        <x:v>S02-01:A:meaning_adoption</x:v>
      </x:c>
    </x:row>
    <x:row r="291" ht="72" customHeight="1">
      <x:c r="A291" s="14" t="str">
        <x:v>S02-01:A:evaluation_first_display</x:v>
      </x:c>
      <x:c r="B291" s="14" t="str">
        <x:v>A</x:v>
      </x:c>
      <x:c r="C291" s="14" t="str">
        <x:v>evaluation_first_display</x:v>
      </x:c>
      <x:c r="D291" s="14" t="n">
        <x:v>0.868333333</x:v>
      </x:c>
      <x:c r="E291" s="14" t="n">
        <x:v>0.908333333</x:v>
      </x:c>
      <x:c r="F291" s="14" t="n">
        <x:v>0.04</x:v>
      </x:c>
      <x:c r="G291" s="17" t="n">
        <x:v>1</x:v>
      </x:c>
      <x:c r="H291" s="14" t="str">
        <x:v>S02-01:A:apply_relation</x:v>
      </x:c>
    </x:row>
    <x:row r="292" ht="72" customHeight="1">
      <x:c r="A292" s="14" t="str">
        <x:v>S02-01:A:source_question</x:v>
      </x:c>
      <x:c r="B292" s="14" t="str">
        <x:v>A</x:v>
      </x:c>
      <x:c r="C292" s="14" t="str">
        <x:v>source_question</x:v>
      </x:c>
      <x:c r="D292" s="14" t="n">
        <x:v>-5.04</x:v>
      </x:c>
      <x:c r="E292" s="14" t="n">
        <x:v>-1.4</x:v>
      </x:c>
      <x:c r="F292" s="14" t="n">
        <x:v>3.64</x:v>
      </x:c>
      <x:c r="G292" s="17" t="n">
        <x:v>0</x:v>
      </x:c>
      <x:c r="H292" s="14" t="str">
        <x:v>S02-01:A:original_handoff</x:v>
      </x:c>
    </x:row>
    <x:row r="293" ht="72" customHeight="1">
      <x:c r="A293" s="14" t="str">
        <x:v>S02-01:A:display_question</x:v>
      </x:c>
      <x:c r="B293" s="14" t="str">
        <x:v>A</x:v>
      </x:c>
      <x:c r="C293" s="14" t="str">
        <x:v>display_question</x:v>
      </x:c>
      <x:c r="D293" s="14" t="n">
        <x:v>-1.4</x:v>
      </x:c>
      <x:c r="E293" s="14" t="n">
        <x:v>-1.36</x:v>
      </x:c>
      <x:c r="F293" s="14" t="n">
        <x:v>0.04</x:v>
      </x:c>
      <x:c r="G293" s="17" t="n">
        <x:v>1</x:v>
      </x:c>
      <x:c r="H293" s="14" t="str">
        <x:v>S02-01:A:source_question</x:v>
      </x:c>
    </x:row>
    <x:row r="294" ht="72" customHeight="1">
      <x:c r="A294" s="14" t="str">
        <x:v>S02-01:A:select_question</x:v>
      </x:c>
      <x:c r="B294" s="14" t="str">
        <x:v>A</x:v>
      </x:c>
      <x:c r="C294" s="14" t="str">
        <x:v>select_question</x:v>
      </x:c>
      <x:c r="D294" s="14" t="n">
        <x:v>0.868333333</x:v>
      </x:c>
      <x:c r="E294" s="14" t="n">
        <x:v>0.868333333</x:v>
      </x:c>
      <x:c r="F294" s="14" t="n">
        <x:v>0</x:v>
      </x:c>
      <x:c r="G294" s="17" t="n">
        <x:v>1</x:v>
      </x:c>
      <x:c r="H294" s="14" t="str">
        <x:v>S02-01:A:apply_relation
S02-01:A:source_question</x:v>
      </x:c>
    </x:row>
    <x:row r="295" ht="72" customHeight="1">
      <x:c r="A295" s="14" t="str">
        <x:v>S02-01:A:question_first</x:v>
      </x:c>
      <x:c r="B295" s="14" t="str">
        <x:v>A</x:v>
      </x:c>
      <x:c r="C295" s="14" t="str">
        <x:v>question_first</x:v>
      </x:c>
      <x:c r="D295" s="14" t="n">
        <x:v>-1.4</x:v>
      </x:c>
      <x:c r="E295" s="14" t="n">
        <x:v>-0.999</x:v>
      </x:c>
      <x:c r="F295" s="14" t="n">
        <x:v>0.401</x:v>
      </x:c>
      <x:c r="G295" s="17" t="n">
        <x:v>1</x:v>
      </x:c>
      <x:c r="H295" s="14" t="str">
        <x:v>S02-01:A:source_question</x:v>
      </x:c>
    </x:row>
    <x:row r="296" ht="72" customHeight="1">
      <x:c r="A296" s="14" t="str">
        <x:v>S02-01:A:question_tail</x:v>
      </x:c>
      <x:c r="B296" s="14" t="str">
        <x:v>A</x:v>
      </x:c>
      <x:c r="C296" s="14" t="str">
        <x:v>question_tail</x:v>
      </x:c>
      <x:c r="D296" s="14" t="n">
        <x:v>-0.999</x:v>
      </x:c>
      <x:c r="E296" s="14" t="n">
        <x:v>-0.3625</x:v>
      </x:c>
      <x:c r="F296" s="14" t="n">
        <x:v>0.6365</x:v>
      </x:c>
      <x:c r="G296" s="17" t="n">
        <x:v>1</x:v>
      </x:c>
      <x:c r="H296" s="14" t="str">
        <x:v>S02-01:A:question_first</x:v>
      </x:c>
    </x:row>
    <x:row r="297" ht="72" customHeight="1">
      <x:c r="A297" s="14" t="str">
        <x:v>S02-01:A:question_device</x:v>
      </x:c>
      <x:c r="B297" s="14" t="str">
        <x:v>A</x:v>
      </x:c>
      <x:c r="C297" s="14" t="str">
        <x:v>question_device</x:v>
      </x:c>
      <x:c r="D297" s="14" t="n">
        <x:v>0.868333333</x:v>
      </x:c>
      <x:c r="E297" s="14" t="n">
        <x:v>0.908333333</x:v>
      </x:c>
      <x:c r="F297" s="14" t="n">
        <x:v>0.04</x:v>
      </x:c>
      <x:c r="G297" s="17" t="n">
        <x:v>1</x:v>
      </x:c>
      <x:c r="H297" s="14" t="str">
        <x:v>S02-01:A:select_question
S02-01:A:question_first</x:v>
      </x:c>
    </x:row>
    <x:row r="298" ht="72" customHeight="1">
      <x:c r="A298" s="14" t="str">
        <x:v>S02-01:A:question_played</x:v>
      </x:c>
      <x:c r="B298" s="14" t="str">
        <x:v>A</x:v>
      </x:c>
      <x:c r="C298" s="14" t="str">
        <x:v>question_played</x:v>
      </x:c>
      <x:c r="D298" s="14" t="n">
        <x:v>0.908333333</x:v>
      </x:c>
      <x:c r="E298" s="14" t="n">
        <x:v>3.654333333</x:v>
      </x:c>
      <x:c r="F298" s="14" t="n">
        <x:v>2.746</x:v>
      </x:c>
      <x:c r="G298" s="17" t="n">
        <x:v>0</x:v>
      </x:c>
      <x:c r="H298" s="14" t="str">
        <x:v>S02-01:A:question_device</x:v>
      </x:c>
    </x:row>
    <x:row r="299" ht="72" customHeight="1">
      <x:c r="A299" s="14" t="str">
        <x:v>S02-01:B:origin</x:v>
      </x:c>
      <x:c r="B299" s="14" t="str">
        <x:v>B</x:v>
      </x:c>
      <x:c r="C299" s="14" t="str">
        <x:v>origin</x:v>
      </x:c>
      <x:c r="D299" s="14" t="n">
        <x:v>-6</x:v>
      </x:c>
      <x:c r="E299" s="14" t="n">
        <x:v>-6</x:v>
      </x:c>
      <x:c r="F299" s="14" t="n">
        <x:v>0</x:v>
      </x:c>
      <x:c r="G299" s="17" t="n">
        <x:v>0</x:v>
      </x:c>
      <x:c r="H299" s="14" t="str"/>
    </x:row>
    <x:row r="300" ht="72" customHeight="1">
      <x:c r="A300" s="14" t="str">
        <x:v>S02-01:B:origin_interpretation</x:v>
      </x:c>
      <x:c r="B300" s="14" t="str">
        <x:v>B</x:v>
      </x:c>
      <x:c r="C300" s="14" t="str">
        <x:v>origin_interpretation</x:v>
      </x:c>
      <x:c r="D300" s="14" t="n">
        <x:v>-6</x:v>
      </x:c>
      <x:c r="E300" s="14" t="n">
        <x:v>-5.16</x:v>
      </x:c>
      <x:c r="F300" s="14" t="n">
        <x:v>0.84</x:v>
      </x:c>
      <x:c r="G300" s="17" t="n">
        <x:v>1</x:v>
      </x:c>
      <x:c r="H300" s="14" t="str">
        <x:v>S02-01:B:origin</x:v>
      </x:c>
    </x:row>
    <x:row r="301" ht="72" customHeight="1">
      <x:c r="A301" s="14" t="str">
        <x:v>S02-01:B:original_handoff</x:v>
      </x:c>
      <x:c r="B301" s="14" t="str">
        <x:v>B</x:v>
      </x:c>
      <x:c r="C301" s="14" t="str">
        <x:v>original_handoff</x:v>
      </x:c>
      <x:c r="D301" s="14" t="n">
        <x:v>-5.16</x:v>
      </x:c>
      <x:c r="E301" s="14" t="n">
        <x:v>-5.04</x:v>
      </x:c>
      <x:c r="F301" s="14" t="n">
        <x:v>0.12</x:v>
      </x:c>
      <x:c r="G301" s="17" t="n">
        <x:v>1</x:v>
      </x:c>
      <x:c r="H301" s="14" t="str">
        <x:v>S02-01:B:origin_interpretation</x:v>
      </x:c>
    </x:row>
    <x:row r="302" ht="72" customHeight="1">
      <x:c r="A302" s="14" t="str">
        <x:v>S02-01:B:evaluation_utterance_end</x:v>
      </x:c>
      <x:c r="B302" s="14" t="str">
        <x:v>B</x:v>
      </x:c>
      <x:c r="C302" s="14" t="str">
        <x:v>evaluation_utterance_end</x:v>
      </x:c>
      <x:c r="D302" s="14" t="n">
        <x:v>-6</x:v>
      </x:c>
      <x:c r="E302" s="14" t="n">
        <x:v>0</x:v>
      </x:c>
      <x:c r="F302" s="14" t="n">
        <x:v>6</x:v>
      </x:c>
      <x:c r="G302" s="17" t="n">
        <x:v>0</x:v>
      </x:c>
      <x:c r="H302" s="14" t="str">
        <x:v>S02-01:B:origin</x:v>
      </x:c>
    </x:row>
    <x:row r="303" ht="72" customHeight="1">
      <x:c r="A303" s="14" t="str">
        <x:v>S02-01:B:final_transcript</x:v>
      </x:c>
      <x:c r="B303" s="14" t="str">
        <x:v>B</x:v>
      </x:c>
      <x:c r="C303" s="14" t="str">
        <x:v>final_transcript</x:v>
      </x:c>
      <x:c r="D303" s="14" t="n">
        <x:v>0</x:v>
      </x:c>
      <x:c r="E303" s="14" t="n">
        <x:v>0.3</x:v>
      </x:c>
      <x:c r="F303" s="14" t="n">
        <x:v>0.3</x:v>
      </x:c>
      <x:c r="G303" s="17" t="n">
        <x:v>1</x:v>
      </x:c>
      <x:c r="H303" s="14" t="str">
        <x:v>S02-01:B:evaluation_utterance_end</x:v>
      </x:c>
    </x:row>
    <x:row r="304" ht="72" customHeight="1">
      <x:c r="A304" s="14" t="str">
        <x:v>S02-01:B:meaning_adoption</x:v>
      </x:c>
      <x:c r="B304" s="14" t="str">
        <x:v>B</x:v>
      </x:c>
      <x:c r="C304" s="14" t="str">
        <x:v>meaning_adoption</x:v>
      </x:c>
      <x:c r="D304" s="14" t="n">
        <x:v>0.3</x:v>
      </x:c>
      <x:c r="E304" s="14" t="n">
        <x:v>0.828333333</x:v>
      </x:c>
      <x:c r="F304" s="14" t="n">
        <x:v>0.528333333</x:v>
      </x:c>
      <x:c r="G304" s="17" t="n">
        <x:v>1</x:v>
      </x:c>
      <x:c r="H304" s="14" t="str">
        <x:v>S02-01:B:final_transcript
S02-01:B:origin_interpretation</x:v>
      </x:c>
    </x:row>
    <x:row r="305" ht="72" customHeight="1">
      <x:c r="A305" s="14" t="str">
        <x:v>S02-01:B:apply_relation</x:v>
      </x:c>
      <x:c r="B305" s="14" t="str">
        <x:v>B</x:v>
      </x:c>
      <x:c r="C305" s="14" t="str">
        <x:v>apply_relation</x:v>
      </x:c>
      <x:c r="D305" s="14" t="n">
        <x:v>0.828333333</x:v>
      </x:c>
      <x:c r="E305" s="14" t="n">
        <x:v>0.868333333</x:v>
      </x:c>
      <x:c r="F305" s="14" t="n">
        <x:v>0.04</x:v>
      </x:c>
      <x:c r="G305" s="17" t="n">
        <x:v>1</x:v>
      </x:c>
      <x:c r="H305" s="14" t="str">
        <x:v>S02-01:B:meaning_adoption</x:v>
      </x:c>
    </x:row>
    <x:row r="306" ht="72" customHeight="1">
      <x:c r="A306" s="14" t="str">
        <x:v>S02-01:B:evaluation_first_display</x:v>
      </x:c>
      <x:c r="B306" s="14" t="str">
        <x:v>B</x:v>
      </x:c>
      <x:c r="C306" s="14" t="str">
        <x:v>evaluation_first_display</x:v>
      </x:c>
      <x:c r="D306" s="14" t="n">
        <x:v>0.868333333</x:v>
      </x:c>
      <x:c r="E306" s="14" t="n">
        <x:v>0.908333333</x:v>
      </x:c>
      <x:c r="F306" s="14" t="n">
        <x:v>0.04</x:v>
      </x:c>
      <x:c r="G306" s="17" t="n">
        <x:v>1</x:v>
      </x:c>
      <x:c r="H306" s="14" t="str">
        <x:v>S02-01:B:apply_relation</x:v>
      </x:c>
    </x:row>
    <x:row r="307" ht="72" customHeight="1">
      <x:c r="A307" s="14" t="str">
        <x:v>S02-01:B:source_question</x:v>
      </x:c>
      <x:c r="B307" s="14" t="str">
        <x:v>B</x:v>
      </x:c>
      <x:c r="C307" s="14" t="str">
        <x:v>source_question</x:v>
      </x:c>
      <x:c r="D307" s="14" t="n">
        <x:v>-5.04</x:v>
      </x:c>
      <x:c r="E307" s="14" t="n">
        <x:v>-1.4</x:v>
      </x:c>
      <x:c r="F307" s="14" t="n">
        <x:v>3.64</x:v>
      </x:c>
      <x:c r="G307" s="17" t="n">
        <x:v>0</x:v>
      </x:c>
      <x:c r="H307" s="14" t="str">
        <x:v>S02-01:B:original_handoff</x:v>
      </x:c>
    </x:row>
    <x:row r="308" ht="72" customHeight="1">
      <x:c r="A308" s="14" t="str">
        <x:v>S02-01:B:display_question</x:v>
      </x:c>
      <x:c r="B308" s="14" t="str">
        <x:v>B</x:v>
      </x:c>
      <x:c r="C308" s="14" t="str">
        <x:v>display_question</x:v>
      </x:c>
      <x:c r="D308" s="14" t="n">
        <x:v>-1.4</x:v>
      </x:c>
      <x:c r="E308" s="14" t="n">
        <x:v>-1.36</x:v>
      </x:c>
      <x:c r="F308" s="14" t="n">
        <x:v>0.04</x:v>
      </x:c>
      <x:c r="G308" s="17" t="n">
        <x:v>1</x:v>
      </x:c>
      <x:c r="H308" s="14" t="str">
        <x:v>S02-01:B:source_question</x:v>
      </x:c>
    </x:row>
    <x:row r="309" ht="72" customHeight="1">
      <x:c r="A309" s="14" t="str">
        <x:v>S02-01:B:select_question</x:v>
      </x:c>
      <x:c r="B309" s="14" t="str">
        <x:v>B</x:v>
      </x:c>
      <x:c r="C309" s="14" t="str">
        <x:v>select_question</x:v>
      </x:c>
      <x:c r="D309" s="14" t="n">
        <x:v>0.868333333</x:v>
      </x:c>
      <x:c r="E309" s="14" t="n">
        <x:v>0.868333333</x:v>
      </x:c>
      <x:c r="F309" s="14" t="n">
        <x:v>0</x:v>
      </x:c>
      <x:c r="G309" s="17" t="n">
        <x:v>1</x:v>
      </x:c>
      <x:c r="H309" s="14" t="str">
        <x:v>S02-01:B:apply_relation
S02-01:B:source_question</x:v>
      </x:c>
    </x:row>
    <x:row r="310" ht="72" customHeight="1">
      <x:c r="A310" s="14" t="str">
        <x:v>S02-01:B:question_first</x:v>
      </x:c>
      <x:c r="B310" s="14" t="str">
        <x:v>B</x:v>
      </x:c>
      <x:c r="C310" s="14" t="str">
        <x:v>question_first</x:v>
      </x:c>
      <x:c r="D310" s="14" t="n">
        <x:v>0.868333333</x:v>
      </x:c>
      <x:c r="E310" s="14" t="n">
        <x:v>1.269333333</x:v>
      </x:c>
      <x:c r="F310" s="14" t="n">
        <x:v>0.401</x:v>
      </x:c>
      <x:c r="G310" s="17" t="n">
        <x:v>1</x:v>
      </x:c>
      <x:c r="H310" s="14" t="str">
        <x:v>S02-01:B:select_question</x:v>
      </x:c>
    </x:row>
    <x:row r="311" ht="72" customHeight="1">
      <x:c r="A311" s="14" t="str">
        <x:v>S02-01:B:question_tail</x:v>
      </x:c>
      <x:c r="B311" s="14" t="str">
        <x:v>B</x:v>
      </x:c>
      <x:c r="C311" s="14" t="str">
        <x:v>question_tail</x:v>
      </x:c>
      <x:c r="D311" s="14" t="n">
        <x:v>1.269333333</x:v>
      </x:c>
      <x:c r="E311" s="14" t="n">
        <x:v>1.905833333</x:v>
      </x:c>
      <x:c r="F311" s="14" t="n">
        <x:v>0.6365</x:v>
      </x:c>
      <x:c r="G311" s="17" t="n">
        <x:v>1</x:v>
      </x:c>
      <x:c r="H311" s="14" t="str">
        <x:v>S02-01:B:question_first</x:v>
      </x:c>
    </x:row>
    <x:row r="312" ht="72" customHeight="1">
      <x:c r="A312" s="14" t="str">
        <x:v>S02-01:B:question_device</x:v>
      </x:c>
      <x:c r="B312" s="14" t="str">
        <x:v>B</x:v>
      </x:c>
      <x:c r="C312" s="14" t="str">
        <x:v>question_device</x:v>
      </x:c>
      <x:c r="D312" s="14" t="n">
        <x:v>1.269333333</x:v>
      </x:c>
      <x:c r="E312" s="14" t="n">
        <x:v>1.309333333</x:v>
      </x:c>
      <x:c r="F312" s="14" t="n">
        <x:v>0.04</x:v>
      </x:c>
      <x:c r="G312" s="17" t="n">
        <x:v>1</x:v>
      </x:c>
      <x:c r="H312" s="14" t="str">
        <x:v>S02-01:B:select_question
S02-01:B:question_first</x:v>
      </x:c>
    </x:row>
    <x:row r="313" ht="72" customHeight="1">
      <x:c r="A313" s="14" t="str">
        <x:v>S02-01:B:question_played</x:v>
      </x:c>
      <x:c r="B313" s="14" t="str">
        <x:v>B</x:v>
      </x:c>
      <x:c r="C313" s="14" t="str">
        <x:v>question_played</x:v>
      </x:c>
      <x:c r="D313" s="14" t="n">
        <x:v>1.309333333</x:v>
      </x:c>
      <x:c r="E313" s="14" t="n">
        <x:v>4.055333333</x:v>
      </x:c>
      <x:c r="F313" s="14" t="n">
        <x:v>2.746</x:v>
      </x:c>
      <x:c r="G313" s="17" t="n">
        <x:v>0</x:v>
      </x:c>
      <x:c r="H313" s="14" t="str">
        <x:v>S02-01:B:question_device</x:v>
      </x:c>
    </x:row>
    <x:row r="314" ht="72" customHeight="1">
      <x:c r="A314" s="14" t="str">
        <x:v>S02-02:A:origin</x:v>
      </x:c>
      <x:c r="B314" s="14" t="str">
        <x:v>A</x:v>
      </x:c>
      <x:c r="C314" s="14" t="str">
        <x:v>origin</x:v>
      </x:c>
      <x:c r="D314" s="14" t="n">
        <x:v>-6</x:v>
      </x:c>
      <x:c r="E314" s="14" t="n">
        <x:v>-6</x:v>
      </x:c>
      <x:c r="F314" s="14" t="n">
        <x:v>0</x:v>
      </x:c>
      <x:c r="G314" s="17" t="n">
        <x:v>0</x:v>
      </x:c>
      <x:c r="H314" s="14" t="str"/>
    </x:row>
    <x:row r="315" ht="72" customHeight="1">
      <x:c r="A315" s="14" t="str">
        <x:v>S02-02:A:origin_interpretation</x:v>
      </x:c>
      <x:c r="B315" s="14" t="str">
        <x:v>A</x:v>
      </x:c>
      <x:c r="C315" s="14" t="str">
        <x:v>origin_interpretation</x:v>
      </x:c>
      <x:c r="D315" s="14" t="n">
        <x:v>-6</x:v>
      </x:c>
      <x:c r="E315" s="14" t="n">
        <x:v>-5.16</x:v>
      </x:c>
      <x:c r="F315" s="14" t="n">
        <x:v>0.84</x:v>
      </x:c>
      <x:c r="G315" s="17" t="n">
        <x:v>1</x:v>
      </x:c>
      <x:c r="H315" s="14" t="str">
        <x:v>S02-02:A:origin</x:v>
      </x:c>
    </x:row>
    <x:row r="316" ht="72" customHeight="1">
      <x:c r="A316" s="14" t="str">
        <x:v>S02-02:A:original_handoff</x:v>
      </x:c>
      <x:c r="B316" s="14" t="str">
        <x:v>A</x:v>
      </x:c>
      <x:c r="C316" s="14" t="str">
        <x:v>original_handoff</x:v>
      </x:c>
      <x:c r="D316" s="14" t="n">
        <x:v>-5.16</x:v>
      </x:c>
      <x:c r="E316" s="14" t="n">
        <x:v>-5.04</x:v>
      </x:c>
      <x:c r="F316" s="14" t="n">
        <x:v>0.12</x:v>
      </x:c>
      <x:c r="G316" s="17" t="n">
        <x:v>1</x:v>
      </x:c>
      <x:c r="H316" s="14" t="str">
        <x:v>S02-02:A:origin_interpretation</x:v>
      </x:c>
    </x:row>
    <x:row r="317" ht="72" customHeight="1">
      <x:c r="A317" s="14" t="str">
        <x:v>S02-02:A:evaluation_utterance_end</x:v>
      </x:c>
      <x:c r="B317" s="14" t="str">
        <x:v>A</x:v>
      </x:c>
      <x:c r="C317" s="14" t="str">
        <x:v>evaluation_utterance_end</x:v>
      </x:c>
      <x:c r="D317" s="14" t="n">
        <x:v>-6</x:v>
      </x:c>
      <x:c r="E317" s="14" t="n">
        <x:v>0</x:v>
      </x:c>
      <x:c r="F317" s="14" t="n">
        <x:v>6</x:v>
      </x:c>
      <x:c r="G317" s="17" t="n">
        <x:v>0</x:v>
      </x:c>
      <x:c r="H317" s="14" t="str">
        <x:v>S02-02:A:origin</x:v>
      </x:c>
    </x:row>
    <x:row r="318" ht="72" customHeight="1">
      <x:c r="A318" s="14" t="str">
        <x:v>S02-02:A:final_transcript</x:v>
      </x:c>
      <x:c r="B318" s="14" t="str">
        <x:v>A</x:v>
      </x:c>
      <x:c r="C318" s="14" t="str">
        <x:v>final_transcript</x:v>
      </x:c>
      <x:c r="D318" s="14" t="n">
        <x:v>0</x:v>
      </x:c>
      <x:c r="E318" s="14" t="n">
        <x:v>0.3</x:v>
      </x:c>
      <x:c r="F318" s="14" t="n">
        <x:v>0.3</x:v>
      </x:c>
      <x:c r="G318" s="17" t="n">
        <x:v>1</x:v>
      </x:c>
      <x:c r="H318" s="14" t="str">
        <x:v>S02-02:A:evaluation_utterance_end</x:v>
      </x:c>
    </x:row>
    <x:row r="319" ht="72" customHeight="1">
      <x:c r="A319" s="14" t="str">
        <x:v>S02-02:A:meaning_adoption</x:v>
      </x:c>
      <x:c r="B319" s="14" t="str">
        <x:v>A</x:v>
      </x:c>
      <x:c r="C319" s="14" t="str">
        <x:v>meaning_adoption</x:v>
      </x:c>
      <x:c r="D319" s="14" t="n">
        <x:v>0.3</x:v>
      </x:c>
      <x:c r="E319" s="14" t="n">
        <x:v>0.856666667</x:v>
      </x:c>
      <x:c r="F319" s="14" t="n">
        <x:v>0.556666667</x:v>
      </x:c>
      <x:c r="G319" s="17" t="n">
        <x:v>1</x:v>
      </x:c>
      <x:c r="H319" s="14" t="str">
        <x:v>S02-02:A:final_transcript
S02-02:A:origin_interpretation</x:v>
      </x:c>
    </x:row>
    <x:row r="320" ht="72" customHeight="1">
      <x:c r="A320" s="14" t="str">
        <x:v>S02-02:A:apply_relation</x:v>
      </x:c>
      <x:c r="B320" s="14" t="str">
        <x:v>A</x:v>
      </x:c>
      <x:c r="C320" s="14" t="str">
        <x:v>apply_relation</x:v>
      </x:c>
      <x:c r="D320" s="14" t="n">
        <x:v>0.856666667</x:v>
      </x:c>
      <x:c r="E320" s="14" t="n">
        <x:v>0.896666667</x:v>
      </x:c>
      <x:c r="F320" s="14" t="n">
        <x:v>0.04</x:v>
      </x:c>
      <x:c r="G320" s="17" t="n">
        <x:v>1</x:v>
      </x:c>
      <x:c r="H320" s="14" t="str">
        <x:v>S02-02:A:meaning_adoption</x:v>
      </x:c>
    </x:row>
    <x:row r="321" ht="72" customHeight="1">
      <x:c r="A321" s="14" t="str">
        <x:v>S02-02:A:evaluation_first_display</x:v>
      </x:c>
      <x:c r="B321" s="14" t="str">
        <x:v>A</x:v>
      </x:c>
      <x:c r="C321" s="14" t="str">
        <x:v>evaluation_first_display</x:v>
      </x:c>
      <x:c r="D321" s="14" t="n">
        <x:v>0.896666667</x:v>
      </x:c>
      <x:c r="E321" s="14" t="n">
        <x:v>0.936666667</x:v>
      </x:c>
      <x:c r="F321" s="14" t="n">
        <x:v>0.04</x:v>
      </x:c>
      <x:c r="G321" s="17" t="n">
        <x:v>1</x:v>
      </x:c>
      <x:c r="H321" s="14" t="str">
        <x:v>S02-02:A:apply_relation</x:v>
      </x:c>
    </x:row>
    <x:row r="322" ht="72" customHeight="1">
      <x:c r="A322" s="14" t="str">
        <x:v>S02-02:A:source_question</x:v>
      </x:c>
      <x:c r="B322" s="14" t="str">
        <x:v>A</x:v>
      </x:c>
      <x:c r="C322" s="14" t="str">
        <x:v>source_question</x:v>
      </x:c>
      <x:c r="D322" s="14" t="n">
        <x:v>-5.04</x:v>
      </x:c>
      <x:c r="E322" s="14" t="n">
        <x:v>-1.4</x:v>
      </x:c>
      <x:c r="F322" s="14" t="n">
        <x:v>3.64</x:v>
      </x:c>
      <x:c r="G322" s="17" t="n">
        <x:v>0</x:v>
      </x:c>
      <x:c r="H322" s="14" t="str">
        <x:v>S02-02:A:original_handoff</x:v>
      </x:c>
    </x:row>
    <x:row r="323" ht="72" customHeight="1">
      <x:c r="A323" s="14" t="str">
        <x:v>S02-02:A:display_question</x:v>
      </x:c>
      <x:c r="B323" s="14" t="str">
        <x:v>A</x:v>
      </x:c>
      <x:c r="C323" s="14" t="str">
        <x:v>display_question</x:v>
      </x:c>
      <x:c r="D323" s="14" t="n">
        <x:v>-1.4</x:v>
      </x:c>
      <x:c r="E323" s="14" t="n">
        <x:v>-1.36</x:v>
      </x:c>
      <x:c r="F323" s="14" t="n">
        <x:v>0.04</x:v>
      </x:c>
      <x:c r="G323" s="17" t="n">
        <x:v>1</x:v>
      </x:c>
      <x:c r="H323" s="14" t="str">
        <x:v>S02-02:A:source_question</x:v>
      </x:c>
    </x:row>
    <x:row r="324" ht="72" customHeight="1">
      <x:c r="A324" s="14" t="str">
        <x:v>S02-02:A:select_question</x:v>
      </x:c>
      <x:c r="B324" s="14" t="str">
        <x:v>A</x:v>
      </x:c>
      <x:c r="C324" s="14" t="str">
        <x:v>select_question</x:v>
      </x:c>
      <x:c r="D324" s="14" t="n">
        <x:v>0.896666667</x:v>
      </x:c>
      <x:c r="E324" s="14" t="n">
        <x:v>0.896666667</x:v>
      </x:c>
      <x:c r="F324" s="14" t="n">
        <x:v>0</x:v>
      </x:c>
      <x:c r="G324" s="17" t="n">
        <x:v>1</x:v>
      </x:c>
      <x:c r="H324" s="14" t="str">
        <x:v>S02-02:A:apply_relation
S02-02:A:source_question</x:v>
      </x:c>
    </x:row>
    <x:row r="325" ht="72" customHeight="1">
      <x:c r="A325" s="14" t="str">
        <x:v>S02-02:A:question_first</x:v>
      </x:c>
      <x:c r="B325" s="14" t="str">
        <x:v>A</x:v>
      </x:c>
      <x:c r="C325" s="14" t="str">
        <x:v>question_first</x:v>
      </x:c>
      <x:c r="D325" s="14" t="n">
        <x:v>-1.4</x:v>
      </x:c>
      <x:c r="E325" s="14" t="n">
        <x:v>-0.999</x:v>
      </x:c>
      <x:c r="F325" s="14" t="n">
        <x:v>0.401</x:v>
      </x:c>
      <x:c r="G325" s="17" t="n">
        <x:v>1</x:v>
      </x:c>
      <x:c r="H325" s="14" t="str">
        <x:v>S02-02:A:source_question</x:v>
      </x:c>
    </x:row>
    <x:row r="326" ht="72" customHeight="1">
      <x:c r="A326" s="14" t="str">
        <x:v>S02-02:A:question_tail</x:v>
      </x:c>
      <x:c r="B326" s="14" t="str">
        <x:v>A</x:v>
      </x:c>
      <x:c r="C326" s="14" t="str">
        <x:v>question_tail</x:v>
      </x:c>
      <x:c r="D326" s="14" t="n">
        <x:v>-0.999</x:v>
      </x:c>
      <x:c r="E326" s="14" t="n">
        <x:v>-0.3595</x:v>
      </x:c>
      <x:c r="F326" s="14" t="n">
        <x:v>0.6395</x:v>
      </x:c>
      <x:c r="G326" s="17" t="n">
        <x:v>1</x:v>
      </x:c>
      <x:c r="H326" s="14" t="str">
        <x:v>S02-02:A:question_first</x:v>
      </x:c>
    </x:row>
    <x:row r="327" ht="72" customHeight="1">
      <x:c r="A327" s="14" t="str">
        <x:v>S02-02:A:question_device</x:v>
      </x:c>
      <x:c r="B327" s="14" t="str">
        <x:v>A</x:v>
      </x:c>
      <x:c r="C327" s="14" t="str">
        <x:v>question_device</x:v>
      </x:c>
      <x:c r="D327" s="14" t="n">
        <x:v>0.896666667</x:v>
      </x:c>
      <x:c r="E327" s="14" t="n">
        <x:v>0.936666667</x:v>
      </x:c>
      <x:c r="F327" s="14" t="n">
        <x:v>0.04</x:v>
      </x:c>
      <x:c r="G327" s="17" t="n">
        <x:v>1</x:v>
      </x:c>
      <x:c r="H327" s="14" t="str">
        <x:v>S02-02:A:select_question
S02-02:A:question_first</x:v>
      </x:c>
    </x:row>
    <x:row r="328" ht="72" customHeight="1">
      <x:c r="A328" s="14" t="str">
        <x:v>S02-02:A:question_played</x:v>
      </x:c>
      <x:c r="B328" s="14" t="str">
        <x:v>A</x:v>
      </x:c>
      <x:c r="C328" s="14" t="str">
        <x:v>question_played</x:v>
      </x:c>
      <x:c r="D328" s="14" t="n">
        <x:v>0.936666667</x:v>
      </x:c>
      <x:c r="E328" s="14" t="n">
        <x:v>3.694666667</x:v>
      </x:c>
      <x:c r="F328" s="14" t="n">
        <x:v>2.758</x:v>
      </x:c>
      <x:c r="G328" s="17" t="n">
        <x:v>0</x:v>
      </x:c>
      <x:c r="H328" s="14" t="str">
        <x:v>S02-02:A:question_device</x:v>
      </x:c>
    </x:row>
    <x:row r="329" ht="72" customHeight="1">
      <x:c r="A329" s="14" t="str">
        <x:v>S02-02:B:origin</x:v>
      </x:c>
      <x:c r="B329" s="14" t="str">
        <x:v>B</x:v>
      </x:c>
      <x:c r="C329" s="14" t="str">
        <x:v>origin</x:v>
      </x:c>
      <x:c r="D329" s="14" t="n">
        <x:v>-6</x:v>
      </x:c>
      <x:c r="E329" s="14" t="n">
        <x:v>-6</x:v>
      </x:c>
      <x:c r="F329" s="14" t="n">
        <x:v>0</x:v>
      </x:c>
      <x:c r="G329" s="17" t="n">
        <x:v>0</x:v>
      </x:c>
      <x:c r="H329" s="14" t="str"/>
    </x:row>
    <x:row r="330" ht="72" customHeight="1">
      <x:c r="A330" s="14" t="str">
        <x:v>S02-02:B:origin_interpretation</x:v>
      </x:c>
      <x:c r="B330" s="14" t="str">
        <x:v>B</x:v>
      </x:c>
      <x:c r="C330" s="14" t="str">
        <x:v>origin_interpretation</x:v>
      </x:c>
      <x:c r="D330" s="14" t="n">
        <x:v>-6</x:v>
      </x:c>
      <x:c r="E330" s="14" t="n">
        <x:v>-5.16</x:v>
      </x:c>
      <x:c r="F330" s="14" t="n">
        <x:v>0.84</x:v>
      </x:c>
      <x:c r="G330" s="17" t="n">
        <x:v>1</x:v>
      </x:c>
      <x:c r="H330" s="14" t="str">
        <x:v>S02-02:B:origin</x:v>
      </x:c>
    </x:row>
    <x:row r="331" ht="72" customHeight="1">
      <x:c r="A331" s="14" t="str">
        <x:v>S02-02:B:original_handoff</x:v>
      </x:c>
      <x:c r="B331" s="14" t="str">
        <x:v>B</x:v>
      </x:c>
      <x:c r="C331" s="14" t="str">
        <x:v>original_handoff</x:v>
      </x:c>
      <x:c r="D331" s="14" t="n">
        <x:v>-5.16</x:v>
      </x:c>
      <x:c r="E331" s="14" t="n">
        <x:v>-5.04</x:v>
      </x:c>
      <x:c r="F331" s="14" t="n">
        <x:v>0.12</x:v>
      </x:c>
      <x:c r="G331" s="17" t="n">
        <x:v>1</x:v>
      </x:c>
      <x:c r="H331" s="14" t="str">
        <x:v>S02-02:B:origin_interpretation</x:v>
      </x:c>
    </x:row>
    <x:row r="332" ht="72" customHeight="1">
      <x:c r="A332" s="14" t="str">
        <x:v>S02-02:B:evaluation_utterance_end</x:v>
      </x:c>
      <x:c r="B332" s="14" t="str">
        <x:v>B</x:v>
      </x:c>
      <x:c r="C332" s="14" t="str">
        <x:v>evaluation_utterance_end</x:v>
      </x:c>
      <x:c r="D332" s="14" t="n">
        <x:v>-6</x:v>
      </x:c>
      <x:c r="E332" s="14" t="n">
        <x:v>0</x:v>
      </x:c>
      <x:c r="F332" s="14" t="n">
        <x:v>6</x:v>
      </x:c>
      <x:c r="G332" s="17" t="n">
        <x:v>0</x:v>
      </x:c>
      <x:c r="H332" s="14" t="str">
        <x:v>S02-02:B:origin</x:v>
      </x:c>
    </x:row>
    <x:row r="333" ht="72" customHeight="1">
      <x:c r="A333" s="14" t="str">
        <x:v>S02-02:B:final_transcript</x:v>
      </x:c>
      <x:c r="B333" s="14" t="str">
        <x:v>B</x:v>
      </x:c>
      <x:c r="C333" s="14" t="str">
        <x:v>final_transcript</x:v>
      </x:c>
      <x:c r="D333" s="14" t="n">
        <x:v>0</x:v>
      </x:c>
      <x:c r="E333" s="14" t="n">
        <x:v>0.3</x:v>
      </x:c>
      <x:c r="F333" s="14" t="n">
        <x:v>0.3</x:v>
      </x:c>
      <x:c r="G333" s="17" t="n">
        <x:v>1</x:v>
      </x:c>
      <x:c r="H333" s="14" t="str">
        <x:v>S02-02:B:evaluation_utterance_end</x:v>
      </x:c>
    </x:row>
    <x:row r="334" ht="72" customHeight="1">
      <x:c r="A334" s="14" t="str">
        <x:v>S02-02:B:meaning_adoption</x:v>
      </x:c>
      <x:c r="B334" s="14" t="str">
        <x:v>B</x:v>
      </x:c>
      <x:c r="C334" s="14" t="str">
        <x:v>meaning_adoption</x:v>
      </x:c>
      <x:c r="D334" s="14" t="n">
        <x:v>0.3</x:v>
      </x:c>
      <x:c r="E334" s="14" t="n">
        <x:v>0.856666667</x:v>
      </x:c>
      <x:c r="F334" s="14" t="n">
        <x:v>0.556666667</x:v>
      </x:c>
      <x:c r="G334" s="17" t="n">
        <x:v>1</x:v>
      </x:c>
      <x:c r="H334" s="14" t="str">
        <x:v>S02-02:B:final_transcript
S02-02:B:origin_interpretation</x:v>
      </x:c>
    </x:row>
    <x:row r="335" ht="72" customHeight="1">
      <x:c r="A335" s="14" t="str">
        <x:v>S02-02:B:apply_relation</x:v>
      </x:c>
      <x:c r="B335" s="14" t="str">
        <x:v>B</x:v>
      </x:c>
      <x:c r="C335" s="14" t="str">
        <x:v>apply_relation</x:v>
      </x:c>
      <x:c r="D335" s="14" t="n">
        <x:v>0.856666667</x:v>
      </x:c>
      <x:c r="E335" s="14" t="n">
        <x:v>0.896666667</x:v>
      </x:c>
      <x:c r="F335" s="14" t="n">
        <x:v>0.04</x:v>
      </x:c>
      <x:c r="G335" s="17" t="n">
        <x:v>1</x:v>
      </x:c>
      <x:c r="H335" s="14" t="str">
        <x:v>S02-02:B:meaning_adoption</x:v>
      </x:c>
    </x:row>
    <x:row r="336" ht="72" customHeight="1">
      <x:c r="A336" s="14" t="str">
        <x:v>S02-02:B:evaluation_first_display</x:v>
      </x:c>
      <x:c r="B336" s="14" t="str">
        <x:v>B</x:v>
      </x:c>
      <x:c r="C336" s="14" t="str">
        <x:v>evaluation_first_display</x:v>
      </x:c>
      <x:c r="D336" s="14" t="n">
        <x:v>0.896666667</x:v>
      </x:c>
      <x:c r="E336" s="14" t="n">
        <x:v>0.936666667</x:v>
      </x:c>
      <x:c r="F336" s="14" t="n">
        <x:v>0.04</x:v>
      </x:c>
      <x:c r="G336" s="17" t="n">
        <x:v>1</x:v>
      </x:c>
      <x:c r="H336" s="14" t="str">
        <x:v>S02-02:B:apply_relation</x:v>
      </x:c>
    </x:row>
    <x:row r="337" ht="72" customHeight="1">
      <x:c r="A337" s="14" t="str">
        <x:v>S02-02:B:source_question</x:v>
      </x:c>
      <x:c r="B337" s="14" t="str">
        <x:v>B</x:v>
      </x:c>
      <x:c r="C337" s="14" t="str">
        <x:v>source_question</x:v>
      </x:c>
      <x:c r="D337" s="14" t="n">
        <x:v>-5.04</x:v>
      </x:c>
      <x:c r="E337" s="14" t="n">
        <x:v>-1.4</x:v>
      </x:c>
      <x:c r="F337" s="14" t="n">
        <x:v>3.64</x:v>
      </x:c>
      <x:c r="G337" s="17" t="n">
        <x:v>0</x:v>
      </x:c>
      <x:c r="H337" s="14" t="str">
        <x:v>S02-02:B:original_handoff</x:v>
      </x:c>
    </x:row>
    <x:row r="338" ht="72" customHeight="1">
      <x:c r="A338" s="14" t="str">
        <x:v>S02-02:B:display_question</x:v>
      </x:c>
      <x:c r="B338" s="14" t="str">
        <x:v>B</x:v>
      </x:c>
      <x:c r="C338" s="14" t="str">
        <x:v>display_question</x:v>
      </x:c>
      <x:c r="D338" s="14" t="n">
        <x:v>-1.4</x:v>
      </x:c>
      <x:c r="E338" s="14" t="n">
        <x:v>-1.36</x:v>
      </x:c>
      <x:c r="F338" s="14" t="n">
        <x:v>0.04</x:v>
      </x:c>
      <x:c r="G338" s="17" t="n">
        <x:v>1</x:v>
      </x:c>
      <x:c r="H338" s="14" t="str">
        <x:v>S02-02:B:source_question</x:v>
      </x:c>
    </x:row>
    <x:row r="339" ht="72" customHeight="1">
      <x:c r="A339" s="14" t="str">
        <x:v>S02-02:B:select_question</x:v>
      </x:c>
      <x:c r="B339" s="14" t="str">
        <x:v>B</x:v>
      </x:c>
      <x:c r="C339" s="14" t="str">
        <x:v>select_question</x:v>
      </x:c>
      <x:c r="D339" s="14" t="n">
        <x:v>0.896666667</x:v>
      </x:c>
      <x:c r="E339" s="14" t="n">
        <x:v>0.896666667</x:v>
      </x:c>
      <x:c r="F339" s="14" t="n">
        <x:v>0</x:v>
      </x:c>
      <x:c r="G339" s="17" t="n">
        <x:v>1</x:v>
      </x:c>
      <x:c r="H339" s="14" t="str">
        <x:v>S02-02:B:apply_relation
S02-02:B:source_question</x:v>
      </x:c>
    </x:row>
    <x:row r="340" ht="72" customHeight="1">
      <x:c r="A340" s="14" t="str">
        <x:v>S02-02:B:question_first</x:v>
      </x:c>
      <x:c r="B340" s="14" t="str">
        <x:v>B</x:v>
      </x:c>
      <x:c r="C340" s="14" t="str">
        <x:v>question_first</x:v>
      </x:c>
      <x:c r="D340" s="14" t="n">
        <x:v>0.896666667</x:v>
      </x:c>
      <x:c r="E340" s="14" t="n">
        <x:v>1.297666667</x:v>
      </x:c>
      <x:c r="F340" s="14" t="n">
        <x:v>0.401</x:v>
      </x:c>
      <x:c r="G340" s="17" t="n">
        <x:v>1</x:v>
      </x:c>
      <x:c r="H340" s="14" t="str">
        <x:v>S02-02:B:select_question</x:v>
      </x:c>
    </x:row>
    <x:row r="341" ht="72" customHeight="1">
      <x:c r="A341" s="14" t="str">
        <x:v>S02-02:B:question_tail</x:v>
      </x:c>
      <x:c r="B341" s="14" t="str">
        <x:v>B</x:v>
      </x:c>
      <x:c r="C341" s="14" t="str">
        <x:v>question_tail</x:v>
      </x:c>
      <x:c r="D341" s="14" t="n">
        <x:v>1.297666667</x:v>
      </x:c>
      <x:c r="E341" s="14" t="n">
        <x:v>1.937166667</x:v>
      </x:c>
      <x:c r="F341" s="14" t="n">
        <x:v>0.6395</x:v>
      </x:c>
      <x:c r="G341" s="17" t="n">
        <x:v>1</x:v>
      </x:c>
      <x:c r="H341" s="14" t="str">
        <x:v>S02-02:B:question_first</x:v>
      </x:c>
    </x:row>
    <x:row r="342" ht="72" customHeight="1">
      <x:c r="A342" s="14" t="str">
        <x:v>S02-02:B:question_device</x:v>
      </x:c>
      <x:c r="B342" s="14" t="str">
        <x:v>B</x:v>
      </x:c>
      <x:c r="C342" s="14" t="str">
        <x:v>question_device</x:v>
      </x:c>
      <x:c r="D342" s="14" t="n">
        <x:v>1.297666667</x:v>
      </x:c>
      <x:c r="E342" s="14" t="n">
        <x:v>1.337666667</x:v>
      </x:c>
      <x:c r="F342" s="14" t="n">
        <x:v>0.04</x:v>
      </x:c>
      <x:c r="G342" s="17" t="n">
        <x:v>1</x:v>
      </x:c>
      <x:c r="H342" s="14" t="str">
        <x:v>S02-02:B:select_question
S02-02:B:question_first</x:v>
      </x:c>
    </x:row>
    <x:row r="343" ht="72" customHeight="1">
      <x:c r="A343" s="14" t="str">
        <x:v>S02-02:B:question_played</x:v>
      </x:c>
      <x:c r="B343" s="14" t="str">
        <x:v>B</x:v>
      </x:c>
      <x:c r="C343" s="14" t="str">
        <x:v>question_played</x:v>
      </x:c>
      <x:c r="D343" s="14" t="n">
        <x:v>1.337666667</x:v>
      </x:c>
      <x:c r="E343" s="14" t="n">
        <x:v>4.095666667</x:v>
      </x:c>
      <x:c r="F343" s="14" t="n">
        <x:v>2.758</x:v>
      </x:c>
      <x:c r="G343" s="17" t="n">
        <x:v>0</x:v>
      </x:c>
      <x:c r="H343" s="14" t="str">
        <x:v>S02-02:B:question_device</x:v>
      </x:c>
    </x:row>
    <x:row r="344" ht="72" customHeight="1">
      <x:c r="A344" s="14" t="str">
        <x:v>S02-03:A:origin</x:v>
      </x:c>
      <x:c r="B344" s="14" t="str">
        <x:v>A</x:v>
      </x:c>
      <x:c r="C344" s="14" t="str">
        <x:v>origin</x:v>
      </x:c>
      <x:c r="D344" s="14" t="n">
        <x:v>-6</x:v>
      </x:c>
      <x:c r="E344" s="14" t="n">
        <x:v>-6</x:v>
      </x:c>
      <x:c r="F344" s="14" t="n">
        <x:v>0</x:v>
      </x:c>
      <x:c r="G344" s="17" t="n">
        <x:v>0</x:v>
      </x:c>
      <x:c r="H344" s="14" t="str"/>
    </x:row>
    <x:row r="345" ht="72" customHeight="1">
      <x:c r="A345" s="14" t="str">
        <x:v>S02-03:A:origin_interpretation</x:v>
      </x:c>
      <x:c r="B345" s="14" t="str">
        <x:v>A</x:v>
      </x:c>
      <x:c r="C345" s="14" t="str">
        <x:v>origin_interpretation</x:v>
      </x:c>
      <x:c r="D345" s="14" t="n">
        <x:v>-6</x:v>
      </x:c>
      <x:c r="E345" s="14" t="n">
        <x:v>-5.16</x:v>
      </x:c>
      <x:c r="F345" s="14" t="n">
        <x:v>0.84</x:v>
      </x:c>
      <x:c r="G345" s="17" t="n">
        <x:v>1</x:v>
      </x:c>
      <x:c r="H345" s="14" t="str">
        <x:v>S02-03:A:origin</x:v>
      </x:c>
    </x:row>
    <x:row r="346" ht="72" customHeight="1">
      <x:c r="A346" s="14" t="str">
        <x:v>S02-03:A:original_handoff</x:v>
      </x:c>
      <x:c r="B346" s="14" t="str">
        <x:v>A</x:v>
      </x:c>
      <x:c r="C346" s="14" t="str">
        <x:v>original_handoff</x:v>
      </x:c>
      <x:c r="D346" s="14" t="n">
        <x:v>-5.16</x:v>
      </x:c>
      <x:c r="E346" s="14" t="n">
        <x:v>-5.04</x:v>
      </x:c>
      <x:c r="F346" s="14" t="n">
        <x:v>0.12</x:v>
      </x:c>
      <x:c r="G346" s="17" t="n">
        <x:v>1</x:v>
      </x:c>
      <x:c r="H346" s="14" t="str">
        <x:v>S02-03:A:origin_interpretation</x:v>
      </x:c>
    </x:row>
    <x:row r="347" ht="72" customHeight="1">
      <x:c r="A347" s="14" t="str">
        <x:v>S02-03:A:evaluation_utterance_end</x:v>
      </x:c>
      <x:c r="B347" s="14" t="str">
        <x:v>A</x:v>
      </x:c>
      <x:c r="C347" s="14" t="str">
        <x:v>evaluation_utterance_end</x:v>
      </x:c>
      <x:c r="D347" s="14" t="n">
        <x:v>-6</x:v>
      </x:c>
      <x:c r="E347" s="14" t="n">
        <x:v>0</x:v>
      </x:c>
      <x:c r="F347" s="14" t="n">
        <x:v>6</x:v>
      </x:c>
      <x:c r="G347" s="17" t="n">
        <x:v>0</x:v>
      </x:c>
      <x:c r="H347" s="14" t="str">
        <x:v>S02-03:A:origin</x:v>
      </x:c>
    </x:row>
    <x:row r="348" ht="72" customHeight="1">
      <x:c r="A348" s="14" t="str">
        <x:v>S02-03:A:final_transcript</x:v>
      </x:c>
      <x:c r="B348" s="14" t="str">
        <x:v>A</x:v>
      </x:c>
      <x:c r="C348" s="14" t="str">
        <x:v>final_transcript</x:v>
      </x:c>
      <x:c r="D348" s="14" t="n">
        <x:v>0</x:v>
      </x:c>
      <x:c r="E348" s="14" t="n">
        <x:v>0.3</x:v>
      </x:c>
      <x:c r="F348" s="14" t="n">
        <x:v>0.3</x:v>
      </x:c>
      <x:c r="G348" s="17" t="n">
        <x:v>1</x:v>
      </x:c>
      <x:c r="H348" s="14" t="str">
        <x:v>S02-03:A:evaluation_utterance_end</x:v>
      </x:c>
    </x:row>
    <x:row r="349" ht="72" customHeight="1">
      <x:c r="A349" s="14" t="str">
        <x:v>S02-03:A:meaning_adoption</x:v>
      </x:c>
      <x:c r="B349" s="14" t="str">
        <x:v>A</x:v>
      </x:c>
      <x:c r="C349" s="14" t="str">
        <x:v>meaning_adoption</x:v>
      </x:c>
      <x:c r="D349" s="14" t="n">
        <x:v>0.3</x:v>
      </x:c>
      <x:c r="E349" s="14" t="n">
        <x:v>0.81</x:v>
      </x:c>
      <x:c r="F349" s="14" t="n">
        <x:v>0.51</x:v>
      </x:c>
      <x:c r="G349" s="17" t="n">
        <x:v>1</x:v>
      </x:c>
      <x:c r="H349" s="14" t="str">
        <x:v>S02-03:A:final_transcript
S02-03:A:origin_interpretation</x:v>
      </x:c>
    </x:row>
    <x:row r="350" ht="72" customHeight="1">
      <x:c r="A350" s="14" t="str">
        <x:v>S02-03:A:apply_relation</x:v>
      </x:c>
      <x:c r="B350" s="14" t="str">
        <x:v>A</x:v>
      </x:c>
      <x:c r="C350" s="14" t="str">
        <x:v>apply_relation</x:v>
      </x:c>
      <x:c r="D350" s="14" t="n">
        <x:v>0.81</x:v>
      </x:c>
      <x:c r="E350" s="14" t="n">
        <x:v>0.85</x:v>
      </x:c>
      <x:c r="F350" s="14" t="n">
        <x:v>0.04</x:v>
      </x:c>
      <x:c r="G350" s="17" t="n">
        <x:v>1</x:v>
      </x:c>
      <x:c r="H350" s="14" t="str">
        <x:v>S02-03:A:meaning_adoption</x:v>
      </x:c>
    </x:row>
    <x:row r="351" ht="72" customHeight="1">
      <x:c r="A351" s="14" t="str">
        <x:v>S02-03:A:evaluation_first_display</x:v>
      </x:c>
      <x:c r="B351" s="14" t="str">
        <x:v>A</x:v>
      </x:c>
      <x:c r="C351" s="14" t="str">
        <x:v>evaluation_first_display</x:v>
      </x:c>
      <x:c r="D351" s="14" t="n">
        <x:v>0.85</x:v>
      </x:c>
      <x:c r="E351" s="14" t="n">
        <x:v>0.89</x:v>
      </x:c>
      <x:c r="F351" s="14" t="n">
        <x:v>0.04</x:v>
      </x:c>
      <x:c r="G351" s="17" t="n">
        <x:v>1</x:v>
      </x:c>
      <x:c r="H351" s="14" t="str">
        <x:v>S02-03:A:apply_relation</x:v>
      </x:c>
    </x:row>
    <x:row r="352" ht="72" customHeight="1">
      <x:c r="A352" s="14" t="str">
        <x:v>S02-03:A:source_question</x:v>
      </x:c>
      <x:c r="B352" s="14" t="str">
        <x:v>A</x:v>
      </x:c>
      <x:c r="C352" s="14" t="str">
        <x:v>source_question</x:v>
      </x:c>
      <x:c r="D352" s="14" t="n">
        <x:v>-5.04</x:v>
      </x:c>
      <x:c r="E352" s="14" t="n">
        <x:v>-1.4</x:v>
      </x:c>
      <x:c r="F352" s="14" t="n">
        <x:v>3.64</x:v>
      </x:c>
      <x:c r="G352" s="17" t="n">
        <x:v>0</x:v>
      </x:c>
      <x:c r="H352" s="14" t="str">
        <x:v>S02-03:A:original_handoff</x:v>
      </x:c>
    </x:row>
    <x:row r="353" ht="72" customHeight="1">
      <x:c r="A353" s="14" t="str">
        <x:v>S02-03:A:display_question</x:v>
      </x:c>
      <x:c r="B353" s="14" t="str">
        <x:v>A</x:v>
      </x:c>
      <x:c r="C353" s="14" t="str">
        <x:v>display_question</x:v>
      </x:c>
      <x:c r="D353" s="14" t="n">
        <x:v>-1.4</x:v>
      </x:c>
      <x:c r="E353" s="14" t="n">
        <x:v>-1.36</x:v>
      </x:c>
      <x:c r="F353" s="14" t="n">
        <x:v>0.04</x:v>
      </x:c>
      <x:c r="G353" s="17" t="n">
        <x:v>1</x:v>
      </x:c>
      <x:c r="H353" s="14" t="str">
        <x:v>S02-03:A:source_question</x:v>
      </x:c>
    </x:row>
    <x:row r="354" ht="72" customHeight="1">
      <x:c r="A354" s="14" t="str">
        <x:v>S02-03:A:select_question</x:v>
      </x:c>
      <x:c r="B354" s="14" t="str">
        <x:v>A</x:v>
      </x:c>
      <x:c r="C354" s="14" t="str">
        <x:v>select_question</x:v>
      </x:c>
      <x:c r="D354" s="14" t="n">
        <x:v>0.85</x:v>
      </x:c>
      <x:c r="E354" s="14" t="n">
        <x:v>0.85</x:v>
      </x:c>
      <x:c r="F354" s="14" t="n">
        <x:v>0</x:v>
      </x:c>
      <x:c r="G354" s="17" t="n">
        <x:v>1</x:v>
      </x:c>
      <x:c r="H354" s="14" t="str">
        <x:v>S02-03:A:apply_relation
S02-03:A:source_question</x:v>
      </x:c>
    </x:row>
    <x:row r="355" ht="72" customHeight="1">
      <x:c r="A355" s="14" t="str">
        <x:v>S02-03:A:question_first</x:v>
      </x:c>
      <x:c r="B355" s="14" t="str">
        <x:v>A</x:v>
      </x:c>
      <x:c r="C355" s="14" t="str">
        <x:v>question_first</x:v>
      </x:c>
      <x:c r="D355" s="14" t="n">
        <x:v>-1.4</x:v>
      </x:c>
      <x:c r="E355" s="14" t="n">
        <x:v>-0.999</x:v>
      </x:c>
      <x:c r="F355" s="14" t="n">
        <x:v>0.401</x:v>
      </x:c>
      <x:c r="G355" s="17" t="n">
        <x:v>1</x:v>
      </x:c>
      <x:c r="H355" s="14" t="str">
        <x:v>S02-03:A:source_question</x:v>
      </x:c>
    </x:row>
    <x:row r="356" ht="72" customHeight="1">
      <x:c r="A356" s="14" t="str">
        <x:v>S02-03:A:question_tail</x:v>
      </x:c>
      <x:c r="B356" s="14" t="str">
        <x:v>A</x:v>
      </x:c>
      <x:c r="C356" s="14" t="str">
        <x:v>question_tail</x:v>
      </x:c>
      <x:c r="D356" s="14" t="n">
        <x:v>-0.999</x:v>
      </x:c>
      <x:c r="E356" s="14" t="n">
        <x:v>-0.3565</x:v>
      </x:c>
      <x:c r="F356" s="14" t="n">
        <x:v>0.6425</x:v>
      </x:c>
      <x:c r="G356" s="17" t="n">
        <x:v>1</x:v>
      </x:c>
      <x:c r="H356" s="14" t="str">
        <x:v>S02-03:A:question_first</x:v>
      </x:c>
    </x:row>
    <x:row r="357" ht="72" customHeight="1">
      <x:c r="A357" s="14" t="str">
        <x:v>S02-03:A:question_device</x:v>
      </x:c>
      <x:c r="B357" s="14" t="str">
        <x:v>A</x:v>
      </x:c>
      <x:c r="C357" s="14" t="str">
        <x:v>question_device</x:v>
      </x:c>
      <x:c r="D357" s="14" t="n">
        <x:v>0.85</x:v>
      </x:c>
      <x:c r="E357" s="14" t="n">
        <x:v>0.89</x:v>
      </x:c>
      <x:c r="F357" s="14" t="n">
        <x:v>0.04</x:v>
      </x:c>
      <x:c r="G357" s="17" t="n">
        <x:v>1</x:v>
      </x:c>
      <x:c r="H357" s="14" t="str">
        <x:v>S02-03:A:select_question
S02-03:A:question_first</x:v>
      </x:c>
    </x:row>
    <x:row r="358" ht="72" customHeight="1">
      <x:c r="A358" s="14" t="str">
        <x:v>S02-03:A:question_played</x:v>
      </x:c>
      <x:c r="B358" s="14" t="str">
        <x:v>A</x:v>
      </x:c>
      <x:c r="C358" s="14" t="str">
        <x:v>question_played</x:v>
      </x:c>
      <x:c r="D358" s="14" t="n">
        <x:v>0.89</x:v>
      </x:c>
      <x:c r="E358" s="14" t="n">
        <x:v>3.66</x:v>
      </x:c>
      <x:c r="F358" s="14" t="n">
        <x:v>2.77</x:v>
      </x:c>
      <x:c r="G358" s="17" t="n">
        <x:v>0</x:v>
      </x:c>
      <x:c r="H358" s="14" t="str">
        <x:v>S02-03:A:question_device</x:v>
      </x:c>
    </x:row>
    <x:row r="359" ht="72" customHeight="1">
      <x:c r="A359" s="14" t="str">
        <x:v>S02-03:B:origin</x:v>
      </x:c>
      <x:c r="B359" s="14" t="str">
        <x:v>B</x:v>
      </x:c>
      <x:c r="C359" s="14" t="str">
        <x:v>origin</x:v>
      </x:c>
      <x:c r="D359" s="14" t="n">
        <x:v>-6</x:v>
      </x:c>
      <x:c r="E359" s="14" t="n">
        <x:v>-6</x:v>
      </x:c>
      <x:c r="F359" s="14" t="n">
        <x:v>0</x:v>
      </x:c>
      <x:c r="G359" s="17" t="n">
        <x:v>0</x:v>
      </x:c>
      <x:c r="H359" s="14" t="str"/>
    </x:row>
    <x:row r="360" ht="72" customHeight="1">
      <x:c r="A360" s="14" t="str">
        <x:v>S02-03:B:origin_interpretation</x:v>
      </x:c>
      <x:c r="B360" s="14" t="str">
        <x:v>B</x:v>
      </x:c>
      <x:c r="C360" s="14" t="str">
        <x:v>origin_interpretation</x:v>
      </x:c>
      <x:c r="D360" s="14" t="n">
        <x:v>-6</x:v>
      </x:c>
      <x:c r="E360" s="14" t="n">
        <x:v>-5.16</x:v>
      </x:c>
      <x:c r="F360" s="14" t="n">
        <x:v>0.84</x:v>
      </x:c>
      <x:c r="G360" s="17" t="n">
        <x:v>1</x:v>
      </x:c>
      <x:c r="H360" s="14" t="str">
        <x:v>S02-03:B:origin</x:v>
      </x:c>
    </x:row>
    <x:row r="361" ht="72" customHeight="1">
      <x:c r="A361" s="14" t="str">
        <x:v>S02-03:B:original_handoff</x:v>
      </x:c>
      <x:c r="B361" s="14" t="str">
        <x:v>B</x:v>
      </x:c>
      <x:c r="C361" s="14" t="str">
        <x:v>original_handoff</x:v>
      </x:c>
      <x:c r="D361" s="14" t="n">
        <x:v>-5.16</x:v>
      </x:c>
      <x:c r="E361" s="14" t="n">
        <x:v>-5.04</x:v>
      </x:c>
      <x:c r="F361" s="14" t="n">
        <x:v>0.12</x:v>
      </x:c>
      <x:c r="G361" s="17" t="n">
        <x:v>1</x:v>
      </x:c>
      <x:c r="H361" s="14" t="str">
        <x:v>S02-03:B:origin_interpretation</x:v>
      </x:c>
    </x:row>
    <x:row r="362" ht="72" customHeight="1">
      <x:c r="A362" s="14" t="str">
        <x:v>S02-03:B:evaluation_utterance_end</x:v>
      </x:c>
      <x:c r="B362" s="14" t="str">
        <x:v>B</x:v>
      </x:c>
      <x:c r="C362" s="14" t="str">
        <x:v>evaluation_utterance_end</x:v>
      </x:c>
      <x:c r="D362" s="14" t="n">
        <x:v>-6</x:v>
      </x:c>
      <x:c r="E362" s="14" t="n">
        <x:v>0</x:v>
      </x:c>
      <x:c r="F362" s="14" t="n">
        <x:v>6</x:v>
      </x:c>
      <x:c r="G362" s="17" t="n">
        <x:v>0</x:v>
      </x:c>
      <x:c r="H362" s="14" t="str">
        <x:v>S02-03:B:origin</x:v>
      </x:c>
    </x:row>
    <x:row r="363" ht="72" customHeight="1">
      <x:c r="A363" s="14" t="str">
        <x:v>S02-03:B:final_transcript</x:v>
      </x:c>
      <x:c r="B363" s="14" t="str">
        <x:v>B</x:v>
      </x:c>
      <x:c r="C363" s="14" t="str">
        <x:v>final_transcript</x:v>
      </x:c>
      <x:c r="D363" s="14" t="n">
        <x:v>0</x:v>
      </x:c>
      <x:c r="E363" s="14" t="n">
        <x:v>0.3</x:v>
      </x:c>
      <x:c r="F363" s="14" t="n">
        <x:v>0.3</x:v>
      </x:c>
      <x:c r="G363" s="17" t="n">
        <x:v>1</x:v>
      </x:c>
      <x:c r="H363" s="14" t="str">
        <x:v>S02-03:B:evaluation_utterance_end</x:v>
      </x:c>
    </x:row>
    <x:row r="364" ht="72" customHeight="1">
      <x:c r="A364" s="14" t="str">
        <x:v>S02-03:B:meaning_adoption</x:v>
      </x:c>
      <x:c r="B364" s="14" t="str">
        <x:v>B</x:v>
      </x:c>
      <x:c r="C364" s="14" t="str">
        <x:v>meaning_adoption</x:v>
      </x:c>
      <x:c r="D364" s="14" t="n">
        <x:v>0.3</x:v>
      </x:c>
      <x:c r="E364" s="14" t="n">
        <x:v>0.81</x:v>
      </x:c>
      <x:c r="F364" s="14" t="n">
        <x:v>0.51</x:v>
      </x:c>
      <x:c r="G364" s="17" t="n">
        <x:v>1</x:v>
      </x:c>
      <x:c r="H364" s="14" t="str">
        <x:v>S02-03:B:final_transcript
S02-03:B:origin_interpretation</x:v>
      </x:c>
    </x:row>
    <x:row r="365" ht="72" customHeight="1">
      <x:c r="A365" s="14" t="str">
        <x:v>S02-03:B:apply_relation</x:v>
      </x:c>
      <x:c r="B365" s="14" t="str">
        <x:v>B</x:v>
      </x:c>
      <x:c r="C365" s="14" t="str">
        <x:v>apply_relation</x:v>
      </x:c>
      <x:c r="D365" s="14" t="n">
        <x:v>0.81</x:v>
      </x:c>
      <x:c r="E365" s="14" t="n">
        <x:v>0.85</x:v>
      </x:c>
      <x:c r="F365" s="14" t="n">
        <x:v>0.04</x:v>
      </x:c>
      <x:c r="G365" s="17" t="n">
        <x:v>1</x:v>
      </x:c>
      <x:c r="H365" s="14" t="str">
        <x:v>S02-03:B:meaning_adoption</x:v>
      </x:c>
    </x:row>
    <x:row r="366" ht="72" customHeight="1">
      <x:c r="A366" s="14" t="str">
        <x:v>S02-03:B:evaluation_first_display</x:v>
      </x:c>
      <x:c r="B366" s="14" t="str">
        <x:v>B</x:v>
      </x:c>
      <x:c r="C366" s="14" t="str">
        <x:v>evaluation_first_display</x:v>
      </x:c>
      <x:c r="D366" s="14" t="n">
        <x:v>0.85</x:v>
      </x:c>
      <x:c r="E366" s="14" t="n">
        <x:v>0.89</x:v>
      </x:c>
      <x:c r="F366" s="14" t="n">
        <x:v>0.04</x:v>
      </x:c>
      <x:c r="G366" s="17" t="n">
        <x:v>1</x:v>
      </x:c>
      <x:c r="H366" s="14" t="str">
        <x:v>S02-03:B:apply_relation</x:v>
      </x:c>
    </x:row>
    <x:row r="367" ht="72" customHeight="1">
      <x:c r="A367" s="14" t="str">
        <x:v>S02-03:B:source_question</x:v>
      </x:c>
      <x:c r="B367" s="14" t="str">
        <x:v>B</x:v>
      </x:c>
      <x:c r="C367" s="14" t="str">
        <x:v>source_question</x:v>
      </x:c>
      <x:c r="D367" s="14" t="n">
        <x:v>-5.04</x:v>
      </x:c>
      <x:c r="E367" s="14" t="n">
        <x:v>-1.4</x:v>
      </x:c>
      <x:c r="F367" s="14" t="n">
        <x:v>3.64</x:v>
      </x:c>
      <x:c r="G367" s="17" t="n">
        <x:v>0</x:v>
      </x:c>
      <x:c r="H367" s="14" t="str">
        <x:v>S02-03:B:original_handoff</x:v>
      </x:c>
    </x:row>
    <x:row r="368" ht="72" customHeight="1">
      <x:c r="A368" s="14" t="str">
        <x:v>S02-03:B:display_question</x:v>
      </x:c>
      <x:c r="B368" s="14" t="str">
        <x:v>B</x:v>
      </x:c>
      <x:c r="C368" s="14" t="str">
        <x:v>display_question</x:v>
      </x:c>
      <x:c r="D368" s="14" t="n">
        <x:v>-1.4</x:v>
      </x:c>
      <x:c r="E368" s="14" t="n">
        <x:v>-1.36</x:v>
      </x:c>
      <x:c r="F368" s="14" t="n">
        <x:v>0.04</x:v>
      </x:c>
      <x:c r="G368" s="17" t="n">
        <x:v>1</x:v>
      </x:c>
      <x:c r="H368" s="14" t="str">
        <x:v>S02-03:B:source_question</x:v>
      </x:c>
    </x:row>
    <x:row r="369" ht="72" customHeight="1">
      <x:c r="A369" s="14" t="str">
        <x:v>S02-03:B:select_question</x:v>
      </x:c>
      <x:c r="B369" s="14" t="str">
        <x:v>B</x:v>
      </x:c>
      <x:c r="C369" s="14" t="str">
        <x:v>select_question</x:v>
      </x:c>
      <x:c r="D369" s="14" t="n">
        <x:v>0.85</x:v>
      </x:c>
      <x:c r="E369" s="14" t="n">
        <x:v>0.85</x:v>
      </x:c>
      <x:c r="F369" s="14" t="n">
        <x:v>0</x:v>
      </x:c>
      <x:c r="G369" s="17" t="n">
        <x:v>1</x:v>
      </x:c>
      <x:c r="H369" s="14" t="str">
        <x:v>S02-03:B:apply_relation
S02-03:B:source_question</x:v>
      </x:c>
    </x:row>
    <x:row r="370" ht="72" customHeight="1">
      <x:c r="A370" s="14" t="str">
        <x:v>S02-03:B:question_first</x:v>
      </x:c>
      <x:c r="B370" s="14" t="str">
        <x:v>B</x:v>
      </x:c>
      <x:c r="C370" s="14" t="str">
        <x:v>question_first</x:v>
      </x:c>
      <x:c r="D370" s="14" t="n">
        <x:v>0.85</x:v>
      </x:c>
      <x:c r="E370" s="14" t="n">
        <x:v>1.251</x:v>
      </x:c>
      <x:c r="F370" s="14" t="n">
        <x:v>0.401</x:v>
      </x:c>
      <x:c r="G370" s="17" t="n">
        <x:v>1</x:v>
      </x:c>
      <x:c r="H370" s="14" t="str">
        <x:v>S02-03:B:select_question</x:v>
      </x:c>
    </x:row>
    <x:row r="371" ht="72" customHeight="1">
      <x:c r="A371" s="14" t="str">
        <x:v>S02-03:B:question_tail</x:v>
      </x:c>
      <x:c r="B371" s="14" t="str">
        <x:v>B</x:v>
      </x:c>
      <x:c r="C371" s="14" t="str">
        <x:v>question_tail</x:v>
      </x:c>
      <x:c r="D371" s="14" t="n">
        <x:v>1.251</x:v>
      </x:c>
      <x:c r="E371" s="14" t="n">
        <x:v>1.8935</x:v>
      </x:c>
      <x:c r="F371" s="14" t="n">
        <x:v>0.6425</x:v>
      </x:c>
      <x:c r="G371" s="17" t="n">
        <x:v>1</x:v>
      </x:c>
      <x:c r="H371" s="14" t="str">
        <x:v>S02-03:B:question_first</x:v>
      </x:c>
    </x:row>
    <x:row r="372" ht="72" customHeight="1">
      <x:c r="A372" s="14" t="str">
        <x:v>S02-03:B:question_device</x:v>
      </x:c>
      <x:c r="B372" s="14" t="str">
        <x:v>B</x:v>
      </x:c>
      <x:c r="C372" s="14" t="str">
        <x:v>question_device</x:v>
      </x:c>
      <x:c r="D372" s="14" t="n">
        <x:v>1.251</x:v>
      </x:c>
      <x:c r="E372" s="14" t="n">
        <x:v>1.291</x:v>
      </x:c>
      <x:c r="F372" s="14" t="n">
        <x:v>0.04</x:v>
      </x:c>
      <x:c r="G372" s="17" t="n">
        <x:v>1</x:v>
      </x:c>
      <x:c r="H372" s="14" t="str">
        <x:v>S02-03:B:select_question
S02-03:B:question_first</x:v>
      </x:c>
    </x:row>
    <x:row r="373" ht="72" customHeight="1">
      <x:c r="A373" s="14" t="str">
        <x:v>S02-03:B:question_played</x:v>
      </x:c>
      <x:c r="B373" s="14" t="str">
        <x:v>B</x:v>
      </x:c>
      <x:c r="C373" s="14" t="str">
        <x:v>question_played</x:v>
      </x:c>
      <x:c r="D373" s="14" t="n">
        <x:v>1.291</x:v>
      </x:c>
      <x:c r="E373" s="14" t="n">
        <x:v>4.061</x:v>
      </x:c>
      <x:c r="F373" s="14" t="n">
        <x:v>2.77</x:v>
      </x:c>
      <x:c r="G373" s="17" t="n">
        <x:v>0</x:v>
      </x:c>
      <x:c r="H373" s="14" t="str">
        <x:v>S02-03:B:question_device</x:v>
      </x:c>
    </x:row>
    <x:row r="374" ht="72" customHeight="1">
      <x:c r="A374" s="14" t="str">
        <x:v>S02-04:A:origin</x:v>
      </x:c>
      <x:c r="B374" s="14" t="str">
        <x:v>A</x:v>
      </x:c>
      <x:c r="C374" s="14" t="str">
        <x:v>origin</x:v>
      </x:c>
      <x:c r="D374" s="14" t="n">
        <x:v>-6</x:v>
      </x:c>
      <x:c r="E374" s="14" t="n">
        <x:v>-6</x:v>
      </x:c>
      <x:c r="F374" s="14" t="n">
        <x:v>0</x:v>
      </x:c>
      <x:c r="G374" s="17" t="n">
        <x:v>0</x:v>
      </x:c>
      <x:c r="H374" s="14" t="str"/>
    </x:row>
    <x:row r="375" ht="72" customHeight="1">
      <x:c r="A375" s="14" t="str">
        <x:v>S02-04:A:origin_interpretation</x:v>
      </x:c>
      <x:c r="B375" s="14" t="str">
        <x:v>A</x:v>
      </x:c>
      <x:c r="C375" s="14" t="str">
        <x:v>origin_interpretation</x:v>
      </x:c>
      <x:c r="D375" s="14" t="n">
        <x:v>-6</x:v>
      </x:c>
      <x:c r="E375" s="14" t="n">
        <x:v>-5.16</x:v>
      </x:c>
      <x:c r="F375" s="14" t="n">
        <x:v>0.84</x:v>
      </x:c>
      <x:c r="G375" s="17" t="n">
        <x:v>1</x:v>
      </x:c>
      <x:c r="H375" s="14" t="str">
        <x:v>S02-04:A:origin</x:v>
      </x:c>
    </x:row>
    <x:row r="376" ht="72" customHeight="1">
      <x:c r="A376" s="14" t="str">
        <x:v>S02-04:A:original_handoff</x:v>
      </x:c>
      <x:c r="B376" s="14" t="str">
        <x:v>A</x:v>
      </x:c>
      <x:c r="C376" s="14" t="str">
        <x:v>original_handoff</x:v>
      </x:c>
      <x:c r="D376" s="14" t="n">
        <x:v>-5.16</x:v>
      </x:c>
      <x:c r="E376" s="14" t="n">
        <x:v>-5.04</x:v>
      </x:c>
      <x:c r="F376" s="14" t="n">
        <x:v>0.12</x:v>
      </x:c>
      <x:c r="G376" s="17" t="n">
        <x:v>1</x:v>
      </x:c>
      <x:c r="H376" s="14" t="str">
        <x:v>S02-04:A:origin_interpretation</x:v>
      </x:c>
    </x:row>
    <x:row r="377" ht="72" customHeight="1">
      <x:c r="A377" s="14" t="str">
        <x:v>S02-04:A:evaluation_utterance_end</x:v>
      </x:c>
      <x:c r="B377" s="14" t="str">
        <x:v>A</x:v>
      </x:c>
      <x:c r="C377" s="14" t="str">
        <x:v>evaluation_utterance_end</x:v>
      </x:c>
      <x:c r="D377" s="14" t="n">
        <x:v>-6</x:v>
      </x:c>
      <x:c r="E377" s="14" t="n">
        <x:v>0</x:v>
      </x:c>
      <x:c r="F377" s="14" t="n">
        <x:v>6</x:v>
      </x:c>
      <x:c r="G377" s="17" t="n">
        <x:v>0</x:v>
      </x:c>
      <x:c r="H377" s="14" t="str">
        <x:v>S02-04:A:origin</x:v>
      </x:c>
    </x:row>
    <x:row r="378" ht="72" customHeight="1">
      <x:c r="A378" s="14" t="str">
        <x:v>S02-04:A:final_transcript</x:v>
      </x:c>
      <x:c r="B378" s="14" t="str">
        <x:v>A</x:v>
      </x:c>
      <x:c r="C378" s="14" t="str">
        <x:v>final_transcript</x:v>
      </x:c>
      <x:c r="D378" s="14" t="n">
        <x:v>0</x:v>
      </x:c>
      <x:c r="E378" s="14" t="n">
        <x:v>0.3</x:v>
      </x:c>
      <x:c r="F378" s="14" t="n">
        <x:v>0.3</x:v>
      </x:c>
      <x:c r="G378" s="17" t="n">
        <x:v>1</x:v>
      </x:c>
      <x:c r="H378" s="14" t="str">
        <x:v>S02-04:A:evaluation_utterance_end</x:v>
      </x:c>
    </x:row>
    <x:row r="379" ht="72" customHeight="1">
      <x:c r="A379" s="14" t="str">
        <x:v>S02-04:A:meaning_adoption</x:v>
      </x:c>
      <x:c r="B379" s="14" t="str">
        <x:v>A</x:v>
      </x:c>
      <x:c r="C379" s="14" t="str">
        <x:v>meaning_adoption</x:v>
      </x:c>
      <x:c r="D379" s="14" t="n">
        <x:v>0.3</x:v>
      </x:c>
      <x:c r="E379" s="14" t="n">
        <x:v>0.838333333</x:v>
      </x:c>
      <x:c r="F379" s="14" t="n">
        <x:v>0.538333333</x:v>
      </x:c>
      <x:c r="G379" s="17" t="n">
        <x:v>1</x:v>
      </x:c>
      <x:c r="H379" s="14" t="str">
        <x:v>S02-04:A:final_transcript
S02-04:A:origin_interpretation</x:v>
      </x:c>
    </x:row>
    <x:row r="380" ht="72" customHeight="1">
      <x:c r="A380" s="14" t="str">
        <x:v>S02-04:A:apply_relation</x:v>
      </x:c>
      <x:c r="B380" s="14" t="str">
        <x:v>A</x:v>
      </x:c>
      <x:c r="C380" s="14" t="str">
        <x:v>apply_relation</x:v>
      </x:c>
      <x:c r="D380" s="14" t="n">
        <x:v>0.838333333</x:v>
      </x:c>
      <x:c r="E380" s="14" t="n">
        <x:v>0.878333333</x:v>
      </x:c>
      <x:c r="F380" s="14" t="n">
        <x:v>0.04</x:v>
      </x:c>
      <x:c r="G380" s="17" t="n">
        <x:v>1</x:v>
      </x:c>
      <x:c r="H380" s="14" t="str">
        <x:v>S02-04:A:meaning_adoption</x:v>
      </x:c>
    </x:row>
    <x:row r="381" ht="72" customHeight="1">
      <x:c r="A381" s="14" t="str">
        <x:v>S02-04:A:evaluation_first_display</x:v>
      </x:c>
      <x:c r="B381" s="14" t="str">
        <x:v>A</x:v>
      </x:c>
      <x:c r="C381" s="14" t="str">
        <x:v>evaluation_first_display</x:v>
      </x:c>
      <x:c r="D381" s="14" t="n">
        <x:v>0.878333333</x:v>
      </x:c>
      <x:c r="E381" s="14" t="n">
        <x:v>0.918333333</x:v>
      </x:c>
      <x:c r="F381" s="14" t="n">
        <x:v>0.04</x:v>
      </x:c>
      <x:c r="G381" s="17" t="n">
        <x:v>1</x:v>
      </x:c>
      <x:c r="H381" s="14" t="str">
        <x:v>S02-04:A:apply_relation</x:v>
      </x:c>
    </x:row>
    <x:row r="382" ht="72" customHeight="1">
      <x:c r="A382" s="14" t="str">
        <x:v>S02-04:A:source_question</x:v>
      </x:c>
      <x:c r="B382" s="14" t="str">
        <x:v>A</x:v>
      </x:c>
      <x:c r="C382" s="14" t="str">
        <x:v>source_question</x:v>
      </x:c>
      <x:c r="D382" s="14" t="n">
        <x:v>-5.04</x:v>
      </x:c>
      <x:c r="E382" s="14" t="n">
        <x:v>-1.4</x:v>
      </x:c>
      <x:c r="F382" s="14" t="n">
        <x:v>3.64</x:v>
      </x:c>
      <x:c r="G382" s="17" t="n">
        <x:v>0</x:v>
      </x:c>
      <x:c r="H382" s="14" t="str">
        <x:v>S02-04:A:original_handoff</x:v>
      </x:c>
    </x:row>
    <x:row r="383" ht="72" customHeight="1">
      <x:c r="A383" s="14" t="str">
        <x:v>S02-04:A:display_question</x:v>
      </x:c>
      <x:c r="B383" s="14" t="str">
        <x:v>A</x:v>
      </x:c>
      <x:c r="C383" s="14" t="str">
        <x:v>display_question</x:v>
      </x:c>
      <x:c r="D383" s="14" t="n">
        <x:v>-1.4</x:v>
      </x:c>
      <x:c r="E383" s="14" t="n">
        <x:v>-1.36</x:v>
      </x:c>
      <x:c r="F383" s="14" t="n">
        <x:v>0.04</x:v>
      </x:c>
      <x:c r="G383" s="17" t="n">
        <x:v>1</x:v>
      </x:c>
      <x:c r="H383" s="14" t="str">
        <x:v>S02-04:A:source_question</x:v>
      </x:c>
    </x:row>
    <x:row r="384" ht="72" customHeight="1">
      <x:c r="A384" s="14" t="str">
        <x:v>S02-04:A:select_question</x:v>
      </x:c>
      <x:c r="B384" s="14" t="str">
        <x:v>A</x:v>
      </x:c>
      <x:c r="C384" s="14" t="str">
        <x:v>select_question</x:v>
      </x:c>
      <x:c r="D384" s="14" t="n">
        <x:v>0.878333333</x:v>
      </x:c>
      <x:c r="E384" s="14" t="n">
        <x:v>0.878333333</x:v>
      </x:c>
      <x:c r="F384" s="14" t="n">
        <x:v>0</x:v>
      </x:c>
      <x:c r="G384" s="17" t="n">
        <x:v>1</x:v>
      </x:c>
      <x:c r="H384" s="14" t="str">
        <x:v>S02-04:A:apply_relation
S02-04:A:source_question</x:v>
      </x:c>
    </x:row>
    <x:row r="385" ht="72" customHeight="1">
      <x:c r="A385" s="14" t="str">
        <x:v>S02-04:A:question_first</x:v>
      </x:c>
      <x:c r="B385" s="14" t="str">
        <x:v>A</x:v>
      </x:c>
      <x:c r="C385" s="14" t="str">
        <x:v>question_first</x:v>
      </x:c>
      <x:c r="D385" s="14" t="n">
        <x:v>-1.4</x:v>
      </x:c>
      <x:c r="E385" s="14" t="n">
        <x:v>-0.999</x:v>
      </x:c>
      <x:c r="F385" s="14" t="n">
        <x:v>0.401</x:v>
      </x:c>
      <x:c r="G385" s="17" t="n">
        <x:v>1</x:v>
      </x:c>
      <x:c r="H385" s="14" t="str">
        <x:v>S02-04:A:source_question</x:v>
      </x:c>
    </x:row>
    <x:row r="386" ht="72" customHeight="1">
      <x:c r="A386" s="14" t="str">
        <x:v>S02-04:A:question_tail</x:v>
      </x:c>
      <x:c r="B386" s="14" t="str">
        <x:v>A</x:v>
      </x:c>
      <x:c r="C386" s="14" t="str">
        <x:v>question_tail</x:v>
      </x:c>
      <x:c r="D386" s="14" t="n">
        <x:v>-0.999</x:v>
      </x:c>
      <x:c r="E386" s="14" t="n">
        <x:v>-0.3535</x:v>
      </x:c>
      <x:c r="F386" s="14" t="n">
        <x:v>0.6455</x:v>
      </x:c>
      <x:c r="G386" s="17" t="n">
        <x:v>1</x:v>
      </x:c>
      <x:c r="H386" s="14" t="str">
        <x:v>S02-04:A:question_first</x:v>
      </x:c>
    </x:row>
    <x:row r="387" ht="72" customHeight="1">
      <x:c r="A387" s="14" t="str">
        <x:v>S02-04:A:question_device</x:v>
      </x:c>
      <x:c r="B387" s="14" t="str">
        <x:v>A</x:v>
      </x:c>
      <x:c r="C387" s="14" t="str">
        <x:v>question_device</x:v>
      </x:c>
      <x:c r="D387" s="14" t="n">
        <x:v>0.878333333</x:v>
      </x:c>
      <x:c r="E387" s="14" t="n">
        <x:v>0.918333333</x:v>
      </x:c>
      <x:c r="F387" s="14" t="n">
        <x:v>0.04</x:v>
      </x:c>
      <x:c r="G387" s="17" t="n">
        <x:v>1</x:v>
      </x:c>
      <x:c r="H387" s="14" t="str">
        <x:v>S02-04:A:select_question
S02-04:A:question_first</x:v>
      </x:c>
    </x:row>
    <x:row r="388" ht="72" customHeight="1">
      <x:c r="A388" s="14" t="str">
        <x:v>S02-04:A:question_played</x:v>
      </x:c>
      <x:c r="B388" s="14" t="str">
        <x:v>A</x:v>
      </x:c>
      <x:c r="C388" s="14" t="str">
        <x:v>question_played</x:v>
      </x:c>
      <x:c r="D388" s="14" t="n">
        <x:v>0.918333333</x:v>
      </x:c>
      <x:c r="E388" s="14" t="n">
        <x:v>3.700333333</x:v>
      </x:c>
      <x:c r="F388" s="14" t="n">
        <x:v>2.782</x:v>
      </x:c>
      <x:c r="G388" s="17" t="n">
        <x:v>0</x:v>
      </x:c>
      <x:c r="H388" s="14" t="str">
        <x:v>S02-04:A:question_device</x:v>
      </x:c>
    </x:row>
    <x:row r="389" ht="72" customHeight="1">
      <x:c r="A389" s="14" t="str">
        <x:v>S02-04:B:origin</x:v>
      </x:c>
      <x:c r="B389" s="14" t="str">
        <x:v>B</x:v>
      </x:c>
      <x:c r="C389" s="14" t="str">
        <x:v>origin</x:v>
      </x:c>
      <x:c r="D389" s="14" t="n">
        <x:v>-6</x:v>
      </x:c>
      <x:c r="E389" s="14" t="n">
        <x:v>-6</x:v>
      </x:c>
      <x:c r="F389" s="14" t="n">
        <x:v>0</x:v>
      </x:c>
      <x:c r="G389" s="17" t="n">
        <x:v>0</x:v>
      </x:c>
      <x:c r="H389" s="14" t="str"/>
    </x:row>
    <x:row r="390" ht="72" customHeight="1">
      <x:c r="A390" s="14" t="str">
        <x:v>S02-04:B:origin_interpretation</x:v>
      </x:c>
      <x:c r="B390" s="14" t="str">
        <x:v>B</x:v>
      </x:c>
      <x:c r="C390" s="14" t="str">
        <x:v>origin_interpretation</x:v>
      </x:c>
      <x:c r="D390" s="14" t="n">
        <x:v>-6</x:v>
      </x:c>
      <x:c r="E390" s="14" t="n">
        <x:v>-5.16</x:v>
      </x:c>
      <x:c r="F390" s="14" t="n">
        <x:v>0.84</x:v>
      </x:c>
      <x:c r="G390" s="17" t="n">
        <x:v>1</x:v>
      </x:c>
      <x:c r="H390" s="14" t="str">
        <x:v>S02-04:B:origin</x:v>
      </x:c>
    </x:row>
    <x:row r="391" ht="72" customHeight="1">
      <x:c r="A391" s="14" t="str">
        <x:v>S02-04:B:original_handoff</x:v>
      </x:c>
      <x:c r="B391" s="14" t="str">
        <x:v>B</x:v>
      </x:c>
      <x:c r="C391" s="14" t="str">
        <x:v>original_handoff</x:v>
      </x:c>
      <x:c r="D391" s="14" t="n">
        <x:v>-5.16</x:v>
      </x:c>
      <x:c r="E391" s="14" t="n">
        <x:v>-5.04</x:v>
      </x:c>
      <x:c r="F391" s="14" t="n">
        <x:v>0.12</x:v>
      </x:c>
      <x:c r="G391" s="17" t="n">
        <x:v>1</x:v>
      </x:c>
      <x:c r="H391" s="14" t="str">
        <x:v>S02-04:B:origin_interpretation</x:v>
      </x:c>
    </x:row>
    <x:row r="392" ht="72" customHeight="1">
      <x:c r="A392" s="14" t="str">
        <x:v>S02-04:B:evaluation_utterance_end</x:v>
      </x:c>
      <x:c r="B392" s="14" t="str">
        <x:v>B</x:v>
      </x:c>
      <x:c r="C392" s="14" t="str">
        <x:v>evaluation_utterance_end</x:v>
      </x:c>
      <x:c r="D392" s="14" t="n">
        <x:v>-6</x:v>
      </x:c>
      <x:c r="E392" s="14" t="n">
        <x:v>0</x:v>
      </x:c>
      <x:c r="F392" s="14" t="n">
        <x:v>6</x:v>
      </x:c>
      <x:c r="G392" s="17" t="n">
        <x:v>0</x:v>
      </x:c>
      <x:c r="H392" s="14" t="str">
        <x:v>S02-04:B:origin</x:v>
      </x:c>
    </x:row>
    <x:row r="393" ht="72" customHeight="1">
      <x:c r="A393" s="14" t="str">
        <x:v>S02-04:B:final_transcript</x:v>
      </x:c>
      <x:c r="B393" s="14" t="str">
        <x:v>B</x:v>
      </x:c>
      <x:c r="C393" s="14" t="str">
        <x:v>final_transcript</x:v>
      </x:c>
      <x:c r="D393" s="14" t="n">
        <x:v>0</x:v>
      </x:c>
      <x:c r="E393" s="14" t="n">
        <x:v>0.3</x:v>
      </x:c>
      <x:c r="F393" s="14" t="n">
        <x:v>0.3</x:v>
      </x:c>
      <x:c r="G393" s="17" t="n">
        <x:v>1</x:v>
      </x:c>
      <x:c r="H393" s="14" t="str">
        <x:v>S02-04:B:evaluation_utterance_end</x:v>
      </x:c>
    </x:row>
    <x:row r="394" ht="72" customHeight="1">
      <x:c r="A394" s="14" t="str">
        <x:v>S02-04:B:meaning_adoption</x:v>
      </x:c>
      <x:c r="B394" s="14" t="str">
        <x:v>B</x:v>
      </x:c>
      <x:c r="C394" s="14" t="str">
        <x:v>meaning_adoption</x:v>
      </x:c>
      <x:c r="D394" s="14" t="n">
        <x:v>0.3</x:v>
      </x:c>
      <x:c r="E394" s="14" t="n">
        <x:v>0.838333333</x:v>
      </x:c>
      <x:c r="F394" s="14" t="n">
        <x:v>0.538333333</x:v>
      </x:c>
      <x:c r="G394" s="17" t="n">
        <x:v>1</x:v>
      </x:c>
      <x:c r="H394" s="14" t="str">
        <x:v>S02-04:B:final_transcript
S02-04:B:origin_interpretation</x:v>
      </x:c>
    </x:row>
    <x:row r="395" ht="72" customHeight="1">
      <x:c r="A395" s="14" t="str">
        <x:v>S02-04:B:apply_relation</x:v>
      </x:c>
      <x:c r="B395" s="14" t="str">
        <x:v>B</x:v>
      </x:c>
      <x:c r="C395" s="14" t="str">
        <x:v>apply_relation</x:v>
      </x:c>
      <x:c r="D395" s="14" t="n">
        <x:v>0.838333333</x:v>
      </x:c>
      <x:c r="E395" s="14" t="n">
        <x:v>0.878333333</x:v>
      </x:c>
      <x:c r="F395" s="14" t="n">
        <x:v>0.04</x:v>
      </x:c>
      <x:c r="G395" s="17" t="n">
        <x:v>1</x:v>
      </x:c>
      <x:c r="H395" s="14" t="str">
        <x:v>S02-04:B:meaning_adoption</x:v>
      </x:c>
    </x:row>
    <x:row r="396" ht="72" customHeight="1">
      <x:c r="A396" s="14" t="str">
        <x:v>S02-04:B:evaluation_first_display</x:v>
      </x:c>
      <x:c r="B396" s="14" t="str">
        <x:v>B</x:v>
      </x:c>
      <x:c r="C396" s="14" t="str">
        <x:v>evaluation_first_display</x:v>
      </x:c>
      <x:c r="D396" s="14" t="n">
        <x:v>0.878333333</x:v>
      </x:c>
      <x:c r="E396" s="14" t="n">
        <x:v>0.918333333</x:v>
      </x:c>
      <x:c r="F396" s="14" t="n">
        <x:v>0.04</x:v>
      </x:c>
      <x:c r="G396" s="17" t="n">
        <x:v>1</x:v>
      </x:c>
      <x:c r="H396" s="14" t="str">
        <x:v>S02-04:B:apply_relation</x:v>
      </x:c>
    </x:row>
    <x:row r="397" ht="72" customHeight="1">
      <x:c r="A397" s="14" t="str">
        <x:v>S02-04:B:source_question</x:v>
      </x:c>
      <x:c r="B397" s="14" t="str">
        <x:v>B</x:v>
      </x:c>
      <x:c r="C397" s="14" t="str">
        <x:v>source_question</x:v>
      </x:c>
      <x:c r="D397" s="14" t="n">
        <x:v>-5.04</x:v>
      </x:c>
      <x:c r="E397" s="14" t="n">
        <x:v>-1.4</x:v>
      </x:c>
      <x:c r="F397" s="14" t="n">
        <x:v>3.64</x:v>
      </x:c>
      <x:c r="G397" s="17" t="n">
        <x:v>0</x:v>
      </x:c>
      <x:c r="H397" s="14" t="str">
        <x:v>S02-04:B:original_handoff</x:v>
      </x:c>
    </x:row>
    <x:row r="398" ht="72" customHeight="1">
      <x:c r="A398" s="14" t="str">
        <x:v>S02-04:B:display_question</x:v>
      </x:c>
      <x:c r="B398" s="14" t="str">
        <x:v>B</x:v>
      </x:c>
      <x:c r="C398" s="14" t="str">
        <x:v>display_question</x:v>
      </x:c>
      <x:c r="D398" s="14" t="n">
        <x:v>-1.4</x:v>
      </x:c>
      <x:c r="E398" s="14" t="n">
        <x:v>-1.36</x:v>
      </x:c>
      <x:c r="F398" s="14" t="n">
        <x:v>0.04</x:v>
      </x:c>
      <x:c r="G398" s="17" t="n">
        <x:v>1</x:v>
      </x:c>
      <x:c r="H398" s="14" t="str">
        <x:v>S02-04:B:source_question</x:v>
      </x:c>
    </x:row>
    <x:row r="399" ht="72" customHeight="1">
      <x:c r="A399" s="14" t="str">
        <x:v>S02-04:B:select_question</x:v>
      </x:c>
      <x:c r="B399" s="14" t="str">
        <x:v>B</x:v>
      </x:c>
      <x:c r="C399" s="14" t="str">
        <x:v>select_question</x:v>
      </x:c>
      <x:c r="D399" s="14" t="n">
        <x:v>0.878333333</x:v>
      </x:c>
      <x:c r="E399" s="14" t="n">
        <x:v>0.878333333</x:v>
      </x:c>
      <x:c r="F399" s="14" t="n">
        <x:v>0</x:v>
      </x:c>
      <x:c r="G399" s="17" t="n">
        <x:v>1</x:v>
      </x:c>
      <x:c r="H399" s="14" t="str">
        <x:v>S02-04:B:apply_relation
S02-04:B:source_question</x:v>
      </x:c>
    </x:row>
    <x:row r="400" ht="72" customHeight="1">
      <x:c r="A400" s="14" t="str">
        <x:v>S02-04:B:question_first</x:v>
      </x:c>
      <x:c r="B400" s="14" t="str">
        <x:v>B</x:v>
      </x:c>
      <x:c r="C400" s="14" t="str">
        <x:v>question_first</x:v>
      </x:c>
      <x:c r="D400" s="14" t="n">
        <x:v>0.878333333</x:v>
      </x:c>
      <x:c r="E400" s="14" t="n">
        <x:v>1.279333333</x:v>
      </x:c>
      <x:c r="F400" s="14" t="n">
        <x:v>0.401</x:v>
      </x:c>
      <x:c r="G400" s="17" t="n">
        <x:v>1</x:v>
      </x:c>
      <x:c r="H400" s="14" t="str">
        <x:v>S02-04:B:select_question</x:v>
      </x:c>
    </x:row>
    <x:row r="401" ht="72" customHeight="1">
      <x:c r="A401" s="14" t="str">
        <x:v>S02-04:B:question_tail</x:v>
      </x:c>
      <x:c r="B401" s="14" t="str">
        <x:v>B</x:v>
      </x:c>
      <x:c r="C401" s="14" t="str">
        <x:v>question_tail</x:v>
      </x:c>
      <x:c r="D401" s="14" t="n">
        <x:v>1.279333333</x:v>
      </x:c>
      <x:c r="E401" s="14" t="n">
        <x:v>1.924833333</x:v>
      </x:c>
      <x:c r="F401" s="14" t="n">
        <x:v>0.6455</x:v>
      </x:c>
      <x:c r="G401" s="17" t="n">
        <x:v>1</x:v>
      </x:c>
      <x:c r="H401" s="14" t="str">
        <x:v>S02-04:B:question_first</x:v>
      </x:c>
    </x:row>
    <x:row r="402" ht="72" customHeight="1">
      <x:c r="A402" s="14" t="str">
        <x:v>S02-04:B:question_device</x:v>
      </x:c>
      <x:c r="B402" s="14" t="str">
        <x:v>B</x:v>
      </x:c>
      <x:c r="C402" s="14" t="str">
        <x:v>question_device</x:v>
      </x:c>
      <x:c r="D402" s="14" t="n">
        <x:v>1.279333333</x:v>
      </x:c>
      <x:c r="E402" s="14" t="n">
        <x:v>1.319333333</x:v>
      </x:c>
      <x:c r="F402" s="14" t="n">
        <x:v>0.04</x:v>
      </x:c>
      <x:c r="G402" s="17" t="n">
        <x:v>1</x:v>
      </x:c>
      <x:c r="H402" s="14" t="str">
        <x:v>S02-04:B:select_question
S02-04:B:question_first</x:v>
      </x:c>
    </x:row>
    <x:row r="403" ht="72" customHeight="1">
      <x:c r="A403" s="14" t="str">
        <x:v>S02-04:B:question_played</x:v>
      </x:c>
      <x:c r="B403" s="14" t="str">
        <x:v>B</x:v>
      </x:c>
      <x:c r="C403" s="14" t="str">
        <x:v>question_played</x:v>
      </x:c>
      <x:c r="D403" s="14" t="n">
        <x:v>1.319333333</x:v>
      </x:c>
      <x:c r="E403" s="14" t="n">
        <x:v>4.101333333</x:v>
      </x:c>
      <x:c r="F403" s="14" t="n">
        <x:v>2.782</x:v>
      </x:c>
      <x:c r="G403" s="17" t="n">
        <x:v>0</x:v>
      </x:c>
      <x:c r="H403" s="14" t="str">
        <x:v>S02-04:B:question_device</x:v>
      </x:c>
    </x:row>
    <x:row r="404" ht="72" customHeight="1">
      <x:c r="A404" s="14" t="str">
        <x:v>S02-05:A:origin</x:v>
      </x:c>
      <x:c r="B404" s="14" t="str">
        <x:v>A</x:v>
      </x:c>
      <x:c r="C404" s="14" t="str">
        <x:v>origin</x:v>
      </x:c>
      <x:c r="D404" s="14" t="n">
        <x:v>-6</x:v>
      </x:c>
      <x:c r="E404" s="14" t="n">
        <x:v>-6</x:v>
      </x:c>
      <x:c r="F404" s="14" t="n">
        <x:v>0</x:v>
      </x:c>
      <x:c r="G404" s="17" t="n">
        <x:v>0</x:v>
      </x:c>
      <x:c r="H404" s="14" t="str"/>
    </x:row>
    <x:row r="405" ht="72" customHeight="1">
      <x:c r="A405" s="14" t="str">
        <x:v>S02-05:A:origin_interpretation</x:v>
      </x:c>
      <x:c r="B405" s="14" t="str">
        <x:v>A</x:v>
      </x:c>
      <x:c r="C405" s="14" t="str">
        <x:v>origin_interpretation</x:v>
      </x:c>
      <x:c r="D405" s="14" t="n">
        <x:v>-6</x:v>
      </x:c>
      <x:c r="E405" s="14" t="n">
        <x:v>-5.16</x:v>
      </x:c>
      <x:c r="F405" s="14" t="n">
        <x:v>0.84</x:v>
      </x:c>
      <x:c r="G405" s="17" t="n">
        <x:v>1</x:v>
      </x:c>
      <x:c r="H405" s="14" t="str">
        <x:v>S02-05:A:origin</x:v>
      </x:c>
    </x:row>
    <x:row r="406" ht="72" customHeight="1">
      <x:c r="A406" s="14" t="str">
        <x:v>S02-05:A:original_handoff</x:v>
      </x:c>
      <x:c r="B406" s="14" t="str">
        <x:v>A</x:v>
      </x:c>
      <x:c r="C406" s="14" t="str">
        <x:v>original_handoff</x:v>
      </x:c>
      <x:c r="D406" s="14" t="n">
        <x:v>-5.16</x:v>
      </x:c>
      <x:c r="E406" s="14" t="n">
        <x:v>-5.04</x:v>
      </x:c>
      <x:c r="F406" s="14" t="n">
        <x:v>0.12</x:v>
      </x:c>
      <x:c r="G406" s="17" t="n">
        <x:v>1</x:v>
      </x:c>
      <x:c r="H406" s="14" t="str">
        <x:v>S02-05:A:origin_interpretation</x:v>
      </x:c>
    </x:row>
    <x:row r="407" ht="72" customHeight="1">
      <x:c r="A407" s="14" t="str">
        <x:v>S02-05:A:evaluation_utterance_end</x:v>
      </x:c>
      <x:c r="B407" s="14" t="str">
        <x:v>A</x:v>
      </x:c>
      <x:c r="C407" s="14" t="str">
        <x:v>evaluation_utterance_end</x:v>
      </x:c>
      <x:c r="D407" s="14" t="n">
        <x:v>-6</x:v>
      </x:c>
      <x:c r="E407" s="14" t="n">
        <x:v>0</x:v>
      </x:c>
      <x:c r="F407" s="14" t="n">
        <x:v>6</x:v>
      </x:c>
      <x:c r="G407" s="17" t="n">
        <x:v>0</x:v>
      </x:c>
      <x:c r="H407" s="14" t="str">
        <x:v>S02-05:A:origin</x:v>
      </x:c>
    </x:row>
    <x:row r="408" ht="72" customHeight="1">
      <x:c r="A408" s="14" t="str">
        <x:v>S02-05:A:final_transcript</x:v>
      </x:c>
      <x:c r="B408" s="14" t="str">
        <x:v>A</x:v>
      </x:c>
      <x:c r="C408" s="14" t="str">
        <x:v>final_transcript</x:v>
      </x:c>
      <x:c r="D408" s="14" t="n">
        <x:v>0</x:v>
      </x:c>
      <x:c r="E408" s="14" t="n">
        <x:v>0.3</x:v>
      </x:c>
      <x:c r="F408" s="14" t="n">
        <x:v>0.3</x:v>
      </x:c>
      <x:c r="G408" s="17" t="n">
        <x:v>1</x:v>
      </x:c>
      <x:c r="H408" s="14" t="str">
        <x:v>S02-05:A:evaluation_utterance_end</x:v>
      </x:c>
    </x:row>
    <x:row r="409" ht="72" customHeight="1">
      <x:c r="A409" s="14" t="str">
        <x:v>S02-05:A:meaning_adoption</x:v>
      </x:c>
      <x:c r="B409" s="14" t="str">
        <x:v>A</x:v>
      </x:c>
      <x:c r="C409" s="14" t="str">
        <x:v>meaning_adoption</x:v>
      </x:c>
      <x:c r="D409" s="14" t="n">
        <x:v>0.3</x:v>
      </x:c>
      <x:c r="E409" s="14" t="n">
        <x:v>0.866666667</x:v>
      </x:c>
      <x:c r="F409" s="14" t="n">
        <x:v>0.566666667</x:v>
      </x:c>
      <x:c r="G409" s="17" t="n">
        <x:v>1</x:v>
      </x:c>
      <x:c r="H409" s="14" t="str">
        <x:v>S02-05:A:final_transcript
S02-05:A:origin_interpretation</x:v>
      </x:c>
    </x:row>
    <x:row r="410" ht="72" customHeight="1">
      <x:c r="A410" s="14" t="str">
        <x:v>S02-05:A:apply_relation</x:v>
      </x:c>
      <x:c r="B410" s="14" t="str">
        <x:v>A</x:v>
      </x:c>
      <x:c r="C410" s="14" t="str">
        <x:v>apply_relation</x:v>
      </x:c>
      <x:c r="D410" s="14" t="n">
        <x:v>0.866666667</x:v>
      </x:c>
      <x:c r="E410" s="14" t="n">
        <x:v>0.906666667</x:v>
      </x:c>
      <x:c r="F410" s="14" t="n">
        <x:v>0.04</x:v>
      </x:c>
      <x:c r="G410" s="17" t="n">
        <x:v>1</x:v>
      </x:c>
      <x:c r="H410" s="14" t="str">
        <x:v>S02-05:A:meaning_adoption</x:v>
      </x:c>
    </x:row>
    <x:row r="411" ht="72" customHeight="1">
      <x:c r="A411" s="14" t="str">
        <x:v>S02-05:A:evaluation_first_display</x:v>
      </x:c>
      <x:c r="B411" s="14" t="str">
        <x:v>A</x:v>
      </x:c>
      <x:c r="C411" s="14" t="str">
        <x:v>evaluation_first_display</x:v>
      </x:c>
      <x:c r="D411" s="14" t="n">
        <x:v>0.906666667</x:v>
      </x:c>
      <x:c r="E411" s="14" t="n">
        <x:v>0.946666667</x:v>
      </x:c>
      <x:c r="F411" s="14" t="n">
        <x:v>0.04</x:v>
      </x:c>
      <x:c r="G411" s="17" t="n">
        <x:v>1</x:v>
      </x:c>
      <x:c r="H411" s="14" t="str">
        <x:v>S02-05:A:apply_relation</x:v>
      </x:c>
    </x:row>
    <x:row r="412" ht="72" customHeight="1">
      <x:c r="A412" s="14" t="str">
        <x:v>S02-05:A:source_question</x:v>
      </x:c>
      <x:c r="B412" s="14" t="str">
        <x:v>A</x:v>
      </x:c>
      <x:c r="C412" s="14" t="str">
        <x:v>source_question</x:v>
      </x:c>
      <x:c r="D412" s="14" t="n">
        <x:v>-5.04</x:v>
      </x:c>
      <x:c r="E412" s="14" t="n">
        <x:v>-1.4</x:v>
      </x:c>
      <x:c r="F412" s="14" t="n">
        <x:v>3.64</x:v>
      </x:c>
      <x:c r="G412" s="17" t="n">
        <x:v>0</x:v>
      </x:c>
      <x:c r="H412" s="14" t="str">
        <x:v>S02-05:A:original_handoff</x:v>
      </x:c>
    </x:row>
    <x:row r="413" ht="72" customHeight="1">
      <x:c r="A413" s="14" t="str">
        <x:v>S02-05:A:display_question</x:v>
      </x:c>
      <x:c r="B413" s="14" t="str">
        <x:v>A</x:v>
      </x:c>
      <x:c r="C413" s="14" t="str">
        <x:v>display_question</x:v>
      </x:c>
      <x:c r="D413" s="14" t="n">
        <x:v>-1.4</x:v>
      </x:c>
      <x:c r="E413" s="14" t="n">
        <x:v>-1.36</x:v>
      </x:c>
      <x:c r="F413" s="14" t="n">
        <x:v>0.04</x:v>
      </x:c>
      <x:c r="G413" s="17" t="n">
        <x:v>1</x:v>
      </x:c>
      <x:c r="H413" s="14" t="str">
        <x:v>S02-05:A:source_question</x:v>
      </x:c>
    </x:row>
    <x:row r="414" ht="72" customHeight="1">
      <x:c r="A414" s="14" t="str">
        <x:v>S02-05:A:select_question</x:v>
      </x:c>
      <x:c r="B414" s="14" t="str">
        <x:v>A</x:v>
      </x:c>
      <x:c r="C414" s="14" t="str">
        <x:v>select_question</x:v>
      </x:c>
      <x:c r="D414" s="14" t="n">
        <x:v>0.906666667</x:v>
      </x:c>
      <x:c r="E414" s="14" t="n">
        <x:v>0.906666667</x:v>
      </x:c>
      <x:c r="F414" s="14" t="n">
        <x:v>0</x:v>
      </x:c>
      <x:c r="G414" s="17" t="n">
        <x:v>1</x:v>
      </x:c>
      <x:c r="H414" s="14" t="str">
        <x:v>S02-05:A:apply_relation
S02-05:A:source_question</x:v>
      </x:c>
    </x:row>
    <x:row r="415" ht="72" customHeight="1">
      <x:c r="A415" s="14" t="str">
        <x:v>S02-05:A:question_first</x:v>
      </x:c>
      <x:c r="B415" s="14" t="str">
        <x:v>A</x:v>
      </x:c>
      <x:c r="C415" s="14" t="str">
        <x:v>question_first</x:v>
      </x:c>
      <x:c r="D415" s="14" t="n">
        <x:v>-1.4</x:v>
      </x:c>
      <x:c r="E415" s="14" t="n">
        <x:v>-0.999</x:v>
      </x:c>
      <x:c r="F415" s="14" t="n">
        <x:v>0.401</x:v>
      </x:c>
      <x:c r="G415" s="17" t="n">
        <x:v>1</x:v>
      </x:c>
      <x:c r="H415" s="14" t="str">
        <x:v>S02-05:A:source_question</x:v>
      </x:c>
    </x:row>
    <x:row r="416" ht="72" customHeight="1">
      <x:c r="A416" s="14" t="str">
        <x:v>S02-05:A:question_tail</x:v>
      </x:c>
      <x:c r="B416" s="14" t="str">
        <x:v>A</x:v>
      </x:c>
      <x:c r="C416" s="14" t="str">
        <x:v>question_tail</x:v>
      </x:c>
      <x:c r="D416" s="14" t="n">
        <x:v>-0.999</x:v>
      </x:c>
      <x:c r="E416" s="14" t="n">
        <x:v>-0.3505</x:v>
      </x:c>
      <x:c r="F416" s="14" t="n">
        <x:v>0.6485</x:v>
      </x:c>
      <x:c r="G416" s="17" t="n">
        <x:v>1</x:v>
      </x:c>
      <x:c r="H416" s="14" t="str">
        <x:v>S02-05:A:question_first</x:v>
      </x:c>
    </x:row>
    <x:row r="417" ht="72" customHeight="1">
      <x:c r="A417" s="14" t="str">
        <x:v>S02-05:A:question_device</x:v>
      </x:c>
      <x:c r="B417" s="14" t="str">
        <x:v>A</x:v>
      </x:c>
      <x:c r="C417" s="14" t="str">
        <x:v>question_device</x:v>
      </x:c>
      <x:c r="D417" s="14" t="n">
        <x:v>0.906666667</x:v>
      </x:c>
      <x:c r="E417" s="14" t="n">
        <x:v>0.946666667</x:v>
      </x:c>
      <x:c r="F417" s="14" t="n">
        <x:v>0.04</x:v>
      </x:c>
      <x:c r="G417" s="17" t="n">
        <x:v>1</x:v>
      </x:c>
      <x:c r="H417" s="14" t="str">
        <x:v>S02-05:A:select_question
S02-05:A:question_first</x:v>
      </x:c>
    </x:row>
    <x:row r="418" ht="72" customHeight="1">
      <x:c r="A418" s="14" t="str">
        <x:v>S02-05:A:question_played</x:v>
      </x:c>
      <x:c r="B418" s="14" t="str">
        <x:v>A</x:v>
      </x:c>
      <x:c r="C418" s="14" t="str">
        <x:v>question_played</x:v>
      </x:c>
      <x:c r="D418" s="14" t="n">
        <x:v>0.946666667</x:v>
      </x:c>
      <x:c r="E418" s="14" t="n">
        <x:v>3.740666667</x:v>
      </x:c>
      <x:c r="F418" s="14" t="n">
        <x:v>2.794</x:v>
      </x:c>
      <x:c r="G418" s="17" t="n">
        <x:v>0</x:v>
      </x:c>
      <x:c r="H418" s="14" t="str">
        <x:v>S02-05:A:question_device</x:v>
      </x:c>
    </x:row>
    <x:row r="419" ht="72" customHeight="1">
      <x:c r="A419" s="14" t="str">
        <x:v>S02-05:B:origin</x:v>
      </x:c>
      <x:c r="B419" s="14" t="str">
        <x:v>B</x:v>
      </x:c>
      <x:c r="C419" s="14" t="str">
        <x:v>origin</x:v>
      </x:c>
      <x:c r="D419" s="14" t="n">
        <x:v>-6</x:v>
      </x:c>
      <x:c r="E419" s="14" t="n">
        <x:v>-6</x:v>
      </x:c>
      <x:c r="F419" s="14" t="n">
        <x:v>0</x:v>
      </x:c>
      <x:c r="G419" s="17" t="n">
        <x:v>0</x:v>
      </x:c>
      <x:c r="H419" s="14" t="str"/>
    </x:row>
    <x:row r="420" ht="72" customHeight="1">
      <x:c r="A420" s="14" t="str">
        <x:v>S02-05:B:origin_interpretation</x:v>
      </x:c>
      <x:c r="B420" s="14" t="str">
        <x:v>B</x:v>
      </x:c>
      <x:c r="C420" s="14" t="str">
        <x:v>origin_interpretation</x:v>
      </x:c>
      <x:c r="D420" s="14" t="n">
        <x:v>-6</x:v>
      </x:c>
      <x:c r="E420" s="14" t="n">
        <x:v>-5.16</x:v>
      </x:c>
      <x:c r="F420" s="14" t="n">
        <x:v>0.84</x:v>
      </x:c>
      <x:c r="G420" s="17" t="n">
        <x:v>1</x:v>
      </x:c>
      <x:c r="H420" s="14" t="str">
        <x:v>S02-05:B:origin</x:v>
      </x:c>
    </x:row>
    <x:row r="421" ht="72" customHeight="1">
      <x:c r="A421" s="14" t="str">
        <x:v>S02-05:B:original_handoff</x:v>
      </x:c>
      <x:c r="B421" s="14" t="str">
        <x:v>B</x:v>
      </x:c>
      <x:c r="C421" s="14" t="str">
        <x:v>original_handoff</x:v>
      </x:c>
      <x:c r="D421" s="14" t="n">
        <x:v>-5.16</x:v>
      </x:c>
      <x:c r="E421" s="14" t="n">
        <x:v>-5.04</x:v>
      </x:c>
      <x:c r="F421" s="14" t="n">
        <x:v>0.12</x:v>
      </x:c>
      <x:c r="G421" s="17" t="n">
        <x:v>1</x:v>
      </x:c>
      <x:c r="H421" s="14" t="str">
        <x:v>S02-05:B:origin_interpretation</x:v>
      </x:c>
    </x:row>
    <x:row r="422" ht="72" customHeight="1">
      <x:c r="A422" s="14" t="str">
        <x:v>S02-05:B:evaluation_utterance_end</x:v>
      </x:c>
      <x:c r="B422" s="14" t="str">
        <x:v>B</x:v>
      </x:c>
      <x:c r="C422" s="14" t="str">
        <x:v>evaluation_utterance_end</x:v>
      </x:c>
      <x:c r="D422" s="14" t="n">
        <x:v>-6</x:v>
      </x:c>
      <x:c r="E422" s="14" t="n">
        <x:v>0</x:v>
      </x:c>
      <x:c r="F422" s="14" t="n">
        <x:v>6</x:v>
      </x:c>
      <x:c r="G422" s="17" t="n">
        <x:v>0</x:v>
      </x:c>
      <x:c r="H422" s="14" t="str">
        <x:v>S02-05:B:origin</x:v>
      </x:c>
    </x:row>
    <x:row r="423" ht="72" customHeight="1">
      <x:c r="A423" s="14" t="str">
        <x:v>S02-05:B:final_transcript</x:v>
      </x:c>
      <x:c r="B423" s="14" t="str">
        <x:v>B</x:v>
      </x:c>
      <x:c r="C423" s="14" t="str">
        <x:v>final_transcript</x:v>
      </x:c>
      <x:c r="D423" s="14" t="n">
        <x:v>0</x:v>
      </x:c>
      <x:c r="E423" s="14" t="n">
        <x:v>0.3</x:v>
      </x:c>
      <x:c r="F423" s="14" t="n">
        <x:v>0.3</x:v>
      </x:c>
      <x:c r="G423" s="17" t="n">
        <x:v>1</x:v>
      </x:c>
      <x:c r="H423" s="14" t="str">
        <x:v>S02-05:B:evaluation_utterance_end</x:v>
      </x:c>
    </x:row>
    <x:row r="424" ht="72" customHeight="1">
      <x:c r="A424" s="14" t="str">
        <x:v>S02-05:B:meaning_adoption</x:v>
      </x:c>
      <x:c r="B424" s="14" t="str">
        <x:v>B</x:v>
      </x:c>
      <x:c r="C424" s="14" t="str">
        <x:v>meaning_adoption</x:v>
      </x:c>
      <x:c r="D424" s="14" t="n">
        <x:v>0.3</x:v>
      </x:c>
      <x:c r="E424" s="14" t="n">
        <x:v>0.866666667</x:v>
      </x:c>
      <x:c r="F424" s="14" t="n">
        <x:v>0.566666667</x:v>
      </x:c>
      <x:c r="G424" s="17" t="n">
        <x:v>1</x:v>
      </x:c>
      <x:c r="H424" s="14" t="str">
        <x:v>S02-05:B:final_transcript
S02-05:B:origin_interpretation</x:v>
      </x:c>
    </x:row>
    <x:row r="425" ht="72" customHeight="1">
      <x:c r="A425" s="14" t="str">
        <x:v>S02-05:B:apply_relation</x:v>
      </x:c>
      <x:c r="B425" s="14" t="str">
        <x:v>B</x:v>
      </x:c>
      <x:c r="C425" s="14" t="str">
        <x:v>apply_relation</x:v>
      </x:c>
      <x:c r="D425" s="14" t="n">
        <x:v>0.866666667</x:v>
      </x:c>
      <x:c r="E425" s="14" t="n">
        <x:v>0.906666667</x:v>
      </x:c>
      <x:c r="F425" s="14" t="n">
        <x:v>0.04</x:v>
      </x:c>
      <x:c r="G425" s="17" t="n">
        <x:v>1</x:v>
      </x:c>
      <x:c r="H425" s="14" t="str">
        <x:v>S02-05:B:meaning_adoption</x:v>
      </x:c>
    </x:row>
    <x:row r="426" ht="72" customHeight="1">
      <x:c r="A426" s="14" t="str">
        <x:v>S02-05:B:evaluation_first_display</x:v>
      </x:c>
      <x:c r="B426" s="14" t="str">
        <x:v>B</x:v>
      </x:c>
      <x:c r="C426" s="14" t="str">
        <x:v>evaluation_first_display</x:v>
      </x:c>
      <x:c r="D426" s="14" t="n">
        <x:v>0.906666667</x:v>
      </x:c>
      <x:c r="E426" s="14" t="n">
        <x:v>0.946666667</x:v>
      </x:c>
      <x:c r="F426" s="14" t="n">
        <x:v>0.04</x:v>
      </x:c>
      <x:c r="G426" s="17" t="n">
        <x:v>1</x:v>
      </x:c>
      <x:c r="H426" s="14" t="str">
        <x:v>S02-05:B:apply_relation</x:v>
      </x:c>
    </x:row>
    <x:row r="427" ht="72" customHeight="1">
      <x:c r="A427" s="14" t="str">
        <x:v>S02-05:B:source_question</x:v>
      </x:c>
      <x:c r="B427" s="14" t="str">
        <x:v>B</x:v>
      </x:c>
      <x:c r="C427" s="14" t="str">
        <x:v>source_question</x:v>
      </x:c>
      <x:c r="D427" s="14" t="n">
        <x:v>-5.04</x:v>
      </x:c>
      <x:c r="E427" s="14" t="n">
        <x:v>-1.4</x:v>
      </x:c>
      <x:c r="F427" s="14" t="n">
        <x:v>3.64</x:v>
      </x:c>
      <x:c r="G427" s="17" t="n">
        <x:v>0</x:v>
      </x:c>
      <x:c r="H427" s="14" t="str">
        <x:v>S02-05:B:original_handoff</x:v>
      </x:c>
    </x:row>
    <x:row r="428" ht="72" customHeight="1">
      <x:c r="A428" s="14" t="str">
        <x:v>S02-05:B:display_question</x:v>
      </x:c>
      <x:c r="B428" s="14" t="str">
        <x:v>B</x:v>
      </x:c>
      <x:c r="C428" s="14" t="str">
        <x:v>display_question</x:v>
      </x:c>
      <x:c r="D428" s="14" t="n">
        <x:v>-1.4</x:v>
      </x:c>
      <x:c r="E428" s="14" t="n">
        <x:v>-1.36</x:v>
      </x:c>
      <x:c r="F428" s="14" t="n">
        <x:v>0.04</x:v>
      </x:c>
      <x:c r="G428" s="17" t="n">
        <x:v>1</x:v>
      </x:c>
      <x:c r="H428" s="14" t="str">
        <x:v>S02-05:B:source_question</x:v>
      </x:c>
    </x:row>
    <x:row r="429" ht="72" customHeight="1">
      <x:c r="A429" s="14" t="str">
        <x:v>S02-05:B:select_question</x:v>
      </x:c>
      <x:c r="B429" s="14" t="str">
        <x:v>B</x:v>
      </x:c>
      <x:c r="C429" s="14" t="str">
        <x:v>select_question</x:v>
      </x:c>
      <x:c r="D429" s="14" t="n">
        <x:v>0.906666667</x:v>
      </x:c>
      <x:c r="E429" s="14" t="n">
        <x:v>0.906666667</x:v>
      </x:c>
      <x:c r="F429" s="14" t="n">
        <x:v>0</x:v>
      </x:c>
      <x:c r="G429" s="17" t="n">
        <x:v>1</x:v>
      </x:c>
      <x:c r="H429" s="14" t="str">
        <x:v>S02-05:B:apply_relation
S02-05:B:source_question</x:v>
      </x:c>
    </x:row>
    <x:row r="430" ht="72" customHeight="1">
      <x:c r="A430" s="14" t="str">
        <x:v>S02-05:B:question_first</x:v>
      </x:c>
      <x:c r="B430" s="14" t="str">
        <x:v>B</x:v>
      </x:c>
      <x:c r="C430" s="14" t="str">
        <x:v>question_first</x:v>
      </x:c>
      <x:c r="D430" s="14" t="n">
        <x:v>0.906666667</x:v>
      </x:c>
      <x:c r="E430" s="14" t="n">
        <x:v>1.307666667</x:v>
      </x:c>
      <x:c r="F430" s="14" t="n">
        <x:v>0.401</x:v>
      </x:c>
      <x:c r="G430" s="17" t="n">
        <x:v>1</x:v>
      </x:c>
      <x:c r="H430" s="14" t="str">
        <x:v>S02-05:B:select_question</x:v>
      </x:c>
    </x:row>
    <x:row r="431" ht="72" customHeight="1">
      <x:c r="A431" s="14" t="str">
        <x:v>S02-05:B:question_tail</x:v>
      </x:c>
      <x:c r="B431" s="14" t="str">
        <x:v>B</x:v>
      </x:c>
      <x:c r="C431" s="14" t="str">
        <x:v>question_tail</x:v>
      </x:c>
      <x:c r="D431" s="14" t="n">
        <x:v>1.307666667</x:v>
      </x:c>
      <x:c r="E431" s="14" t="n">
        <x:v>1.956166667</x:v>
      </x:c>
      <x:c r="F431" s="14" t="n">
        <x:v>0.6485</x:v>
      </x:c>
      <x:c r="G431" s="17" t="n">
        <x:v>1</x:v>
      </x:c>
      <x:c r="H431" s="14" t="str">
        <x:v>S02-05:B:question_first</x:v>
      </x:c>
    </x:row>
    <x:row r="432" ht="72" customHeight="1">
      <x:c r="A432" s="14" t="str">
        <x:v>S02-05:B:question_device</x:v>
      </x:c>
      <x:c r="B432" s="14" t="str">
        <x:v>B</x:v>
      </x:c>
      <x:c r="C432" s="14" t="str">
        <x:v>question_device</x:v>
      </x:c>
      <x:c r="D432" s="14" t="n">
        <x:v>1.307666667</x:v>
      </x:c>
      <x:c r="E432" s="14" t="n">
        <x:v>1.347666667</x:v>
      </x:c>
      <x:c r="F432" s="14" t="n">
        <x:v>0.04</x:v>
      </x:c>
      <x:c r="G432" s="17" t="n">
        <x:v>1</x:v>
      </x:c>
      <x:c r="H432" s="14" t="str">
        <x:v>S02-05:B:select_question
S02-05:B:question_first</x:v>
      </x:c>
    </x:row>
    <x:row r="433" ht="72" customHeight="1">
      <x:c r="A433" s="14" t="str">
        <x:v>S02-05:B:question_played</x:v>
      </x:c>
      <x:c r="B433" s="14" t="str">
        <x:v>B</x:v>
      </x:c>
      <x:c r="C433" s="14" t="str">
        <x:v>question_played</x:v>
      </x:c>
      <x:c r="D433" s="14" t="n">
        <x:v>1.347666667</x:v>
      </x:c>
      <x:c r="E433" s="14" t="n">
        <x:v>4.141666667</x:v>
      </x:c>
      <x:c r="F433" s="14" t="n">
        <x:v>2.794</x:v>
      </x:c>
      <x:c r="G433" s="17" t="n">
        <x:v>0</x:v>
      </x:c>
      <x:c r="H433" s="14" t="str">
        <x:v>S02-05:B:question_device</x:v>
      </x:c>
    </x:row>
    <x:row r="434" ht="72" customHeight="1">
      <x:c r="A434" s="14" t="str">
        <x:v>S02-06:A:origin</x:v>
      </x:c>
      <x:c r="B434" s="14" t="str">
        <x:v>A</x:v>
      </x:c>
      <x:c r="C434" s="14" t="str">
        <x:v>origin</x:v>
      </x:c>
      <x:c r="D434" s="14" t="n">
        <x:v>-6</x:v>
      </x:c>
      <x:c r="E434" s="14" t="n">
        <x:v>-6</x:v>
      </x:c>
      <x:c r="F434" s="14" t="n">
        <x:v>0</x:v>
      </x:c>
      <x:c r="G434" s="17" t="n">
        <x:v>0</x:v>
      </x:c>
      <x:c r="H434" s="14" t="str"/>
    </x:row>
    <x:row r="435" ht="72" customHeight="1">
      <x:c r="A435" s="14" t="str">
        <x:v>S02-06:A:origin_interpretation</x:v>
      </x:c>
      <x:c r="B435" s="14" t="str">
        <x:v>A</x:v>
      </x:c>
      <x:c r="C435" s="14" t="str">
        <x:v>origin_interpretation</x:v>
      </x:c>
      <x:c r="D435" s="14" t="n">
        <x:v>-6</x:v>
      </x:c>
      <x:c r="E435" s="14" t="n">
        <x:v>-5.16</x:v>
      </x:c>
      <x:c r="F435" s="14" t="n">
        <x:v>0.84</x:v>
      </x:c>
      <x:c r="G435" s="17" t="n">
        <x:v>1</x:v>
      </x:c>
      <x:c r="H435" s="14" t="str">
        <x:v>S02-06:A:origin</x:v>
      </x:c>
    </x:row>
    <x:row r="436" ht="72" customHeight="1">
      <x:c r="A436" s="14" t="str">
        <x:v>S02-06:A:original_handoff</x:v>
      </x:c>
      <x:c r="B436" s="14" t="str">
        <x:v>A</x:v>
      </x:c>
      <x:c r="C436" s="14" t="str">
        <x:v>original_handoff</x:v>
      </x:c>
      <x:c r="D436" s="14" t="n">
        <x:v>-5.16</x:v>
      </x:c>
      <x:c r="E436" s="14" t="n">
        <x:v>-5.04</x:v>
      </x:c>
      <x:c r="F436" s="14" t="n">
        <x:v>0.12</x:v>
      </x:c>
      <x:c r="G436" s="17" t="n">
        <x:v>1</x:v>
      </x:c>
      <x:c r="H436" s="14" t="str">
        <x:v>S02-06:A:origin_interpretation</x:v>
      </x:c>
    </x:row>
    <x:row r="437" ht="72" customHeight="1">
      <x:c r="A437" s="14" t="str">
        <x:v>S02-06:A:evaluation_utterance_end</x:v>
      </x:c>
      <x:c r="B437" s="14" t="str">
        <x:v>A</x:v>
      </x:c>
      <x:c r="C437" s="14" t="str">
        <x:v>evaluation_utterance_end</x:v>
      </x:c>
      <x:c r="D437" s="14" t="n">
        <x:v>-6</x:v>
      </x:c>
      <x:c r="E437" s="14" t="n">
        <x:v>0</x:v>
      </x:c>
      <x:c r="F437" s="14" t="n">
        <x:v>6</x:v>
      </x:c>
      <x:c r="G437" s="17" t="n">
        <x:v>0</x:v>
      </x:c>
      <x:c r="H437" s="14" t="str">
        <x:v>S02-06:A:origin</x:v>
      </x:c>
    </x:row>
    <x:row r="438" ht="72" customHeight="1">
      <x:c r="A438" s="14" t="str">
        <x:v>S02-06:A:final_transcript</x:v>
      </x:c>
      <x:c r="B438" s="14" t="str">
        <x:v>A</x:v>
      </x:c>
      <x:c r="C438" s="14" t="str">
        <x:v>final_transcript</x:v>
      </x:c>
      <x:c r="D438" s="14" t="n">
        <x:v>0</x:v>
      </x:c>
      <x:c r="E438" s="14" t="n">
        <x:v>0.3</x:v>
      </x:c>
      <x:c r="F438" s="14" t="n">
        <x:v>0.3</x:v>
      </x:c>
      <x:c r="G438" s="17" t="n">
        <x:v>1</x:v>
      </x:c>
      <x:c r="H438" s="14" t="str">
        <x:v>S02-06:A:evaluation_utterance_end</x:v>
      </x:c>
    </x:row>
    <x:row r="439" ht="72" customHeight="1">
      <x:c r="A439" s="14" t="str">
        <x:v>S02-06:A:meaning_adoption</x:v>
      </x:c>
      <x:c r="B439" s="14" t="str">
        <x:v>A</x:v>
      </x:c>
      <x:c r="C439" s="14" t="str">
        <x:v>meaning_adoption</x:v>
      </x:c>
      <x:c r="D439" s="14" t="n">
        <x:v>0.3</x:v>
      </x:c>
      <x:c r="E439" s="14" t="n">
        <x:v>0.82</x:v>
      </x:c>
      <x:c r="F439" s="14" t="n">
        <x:v>0.52</x:v>
      </x:c>
      <x:c r="G439" s="17" t="n">
        <x:v>1</x:v>
      </x:c>
      <x:c r="H439" s="14" t="str">
        <x:v>S02-06:A:final_transcript
S02-06:A:origin_interpretation</x:v>
      </x:c>
    </x:row>
    <x:row r="440" ht="72" customHeight="1">
      <x:c r="A440" s="14" t="str">
        <x:v>S02-06:A:apply_relation</x:v>
      </x:c>
      <x:c r="B440" s="14" t="str">
        <x:v>A</x:v>
      </x:c>
      <x:c r="C440" s="14" t="str">
        <x:v>apply_relation</x:v>
      </x:c>
      <x:c r="D440" s="14" t="n">
        <x:v>0.82</x:v>
      </x:c>
      <x:c r="E440" s="14" t="n">
        <x:v>0.86</x:v>
      </x:c>
      <x:c r="F440" s="14" t="n">
        <x:v>0.04</x:v>
      </x:c>
      <x:c r="G440" s="17" t="n">
        <x:v>1</x:v>
      </x:c>
      <x:c r="H440" s="14" t="str">
        <x:v>S02-06:A:meaning_adoption</x:v>
      </x:c>
    </x:row>
    <x:row r="441" ht="72" customHeight="1">
      <x:c r="A441" s="14" t="str">
        <x:v>S02-06:A:evaluation_first_display</x:v>
      </x:c>
      <x:c r="B441" s="14" t="str">
        <x:v>A</x:v>
      </x:c>
      <x:c r="C441" s="14" t="str">
        <x:v>evaluation_first_display</x:v>
      </x:c>
      <x:c r="D441" s="14" t="n">
        <x:v>0.86</x:v>
      </x:c>
      <x:c r="E441" s="14" t="n">
        <x:v>0.9</x:v>
      </x:c>
      <x:c r="F441" s="14" t="n">
        <x:v>0.04</x:v>
      </x:c>
      <x:c r="G441" s="17" t="n">
        <x:v>1</x:v>
      </x:c>
      <x:c r="H441" s="14" t="str">
        <x:v>S02-06:A:apply_relation</x:v>
      </x:c>
    </x:row>
    <x:row r="442" ht="72" customHeight="1">
      <x:c r="A442" s="14" t="str">
        <x:v>S02-06:A:source_question</x:v>
      </x:c>
      <x:c r="B442" s="14" t="str">
        <x:v>A</x:v>
      </x:c>
      <x:c r="C442" s="14" t="str">
        <x:v>source_question</x:v>
      </x:c>
      <x:c r="D442" s="14" t="n">
        <x:v>-5.04</x:v>
      </x:c>
      <x:c r="E442" s="14" t="n">
        <x:v>-1.4</x:v>
      </x:c>
      <x:c r="F442" s="14" t="n">
        <x:v>3.64</x:v>
      </x:c>
      <x:c r="G442" s="17" t="n">
        <x:v>0</x:v>
      </x:c>
      <x:c r="H442" s="14" t="str">
        <x:v>S02-06:A:original_handoff</x:v>
      </x:c>
    </x:row>
    <x:row r="443" ht="72" customHeight="1">
      <x:c r="A443" s="14" t="str">
        <x:v>S02-06:A:display_question</x:v>
      </x:c>
      <x:c r="B443" s="14" t="str">
        <x:v>A</x:v>
      </x:c>
      <x:c r="C443" s="14" t="str">
        <x:v>display_question</x:v>
      </x:c>
      <x:c r="D443" s="14" t="n">
        <x:v>-1.4</x:v>
      </x:c>
      <x:c r="E443" s="14" t="n">
        <x:v>-1.36</x:v>
      </x:c>
      <x:c r="F443" s="14" t="n">
        <x:v>0.04</x:v>
      </x:c>
      <x:c r="G443" s="17" t="n">
        <x:v>1</x:v>
      </x:c>
      <x:c r="H443" s="14" t="str">
        <x:v>S02-06:A:source_question</x:v>
      </x:c>
    </x:row>
    <x:row r="444" ht="72" customHeight="1">
      <x:c r="A444" s="14" t="str">
        <x:v>S02-06:A:select_question</x:v>
      </x:c>
      <x:c r="B444" s="14" t="str">
        <x:v>A</x:v>
      </x:c>
      <x:c r="C444" s="14" t="str">
        <x:v>select_question</x:v>
      </x:c>
      <x:c r="D444" s="14" t="n">
        <x:v>0.86</x:v>
      </x:c>
      <x:c r="E444" s="14" t="n">
        <x:v>0.86</x:v>
      </x:c>
      <x:c r="F444" s="14" t="n">
        <x:v>0</x:v>
      </x:c>
      <x:c r="G444" s="17" t="n">
        <x:v>1</x:v>
      </x:c>
      <x:c r="H444" s="14" t="str">
        <x:v>S02-06:A:apply_relation
S02-06:A:source_question</x:v>
      </x:c>
    </x:row>
    <x:row r="445" ht="72" customHeight="1">
      <x:c r="A445" s="14" t="str">
        <x:v>S02-06:A:question_first</x:v>
      </x:c>
      <x:c r="B445" s="14" t="str">
        <x:v>A</x:v>
      </x:c>
      <x:c r="C445" s="14" t="str">
        <x:v>question_first</x:v>
      </x:c>
      <x:c r="D445" s="14" t="n">
        <x:v>-1.4</x:v>
      </x:c>
      <x:c r="E445" s="14" t="n">
        <x:v>-0.999</x:v>
      </x:c>
      <x:c r="F445" s="14" t="n">
        <x:v>0.401</x:v>
      </x:c>
      <x:c r="G445" s="17" t="n">
        <x:v>1</x:v>
      </x:c>
      <x:c r="H445" s="14" t="str">
        <x:v>S02-06:A:source_question</x:v>
      </x:c>
    </x:row>
    <x:row r="446" ht="72" customHeight="1">
      <x:c r="A446" s="14" t="str">
        <x:v>S02-06:A:question_tail</x:v>
      </x:c>
      <x:c r="B446" s="14" t="str">
        <x:v>A</x:v>
      </x:c>
      <x:c r="C446" s="14" t="str">
        <x:v>question_tail</x:v>
      </x:c>
      <x:c r="D446" s="14" t="n">
        <x:v>-0.999</x:v>
      </x:c>
      <x:c r="E446" s="14" t="n">
        <x:v>-0.3475</x:v>
      </x:c>
      <x:c r="F446" s="14" t="n">
        <x:v>0.6515</x:v>
      </x:c>
      <x:c r="G446" s="17" t="n">
        <x:v>1</x:v>
      </x:c>
      <x:c r="H446" s="14" t="str">
        <x:v>S02-06:A:question_first</x:v>
      </x:c>
    </x:row>
    <x:row r="447" ht="72" customHeight="1">
      <x:c r="A447" s="14" t="str">
        <x:v>S02-06:A:question_device</x:v>
      </x:c>
      <x:c r="B447" s="14" t="str">
        <x:v>A</x:v>
      </x:c>
      <x:c r="C447" s="14" t="str">
        <x:v>question_device</x:v>
      </x:c>
      <x:c r="D447" s="14" t="n">
        <x:v>0.86</x:v>
      </x:c>
      <x:c r="E447" s="14" t="n">
        <x:v>0.9</x:v>
      </x:c>
      <x:c r="F447" s="14" t="n">
        <x:v>0.04</x:v>
      </x:c>
      <x:c r="G447" s="17" t="n">
        <x:v>1</x:v>
      </x:c>
      <x:c r="H447" s="14" t="str">
        <x:v>S02-06:A:select_question
S02-06:A:question_first</x:v>
      </x:c>
    </x:row>
    <x:row r="448" ht="72" customHeight="1">
      <x:c r="A448" s="14" t="str">
        <x:v>S02-06:A:question_played</x:v>
      </x:c>
      <x:c r="B448" s="14" t="str">
        <x:v>A</x:v>
      </x:c>
      <x:c r="C448" s="14" t="str">
        <x:v>question_played</x:v>
      </x:c>
      <x:c r="D448" s="14" t="n">
        <x:v>0.9</x:v>
      </x:c>
      <x:c r="E448" s="14" t="n">
        <x:v>3.706</x:v>
      </x:c>
      <x:c r="F448" s="14" t="n">
        <x:v>2.806</x:v>
      </x:c>
      <x:c r="G448" s="17" t="n">
        <x:v>0</x:v>
      </x:c>
      <x:c r="H448" s="14" t="str">
        <x:v>S02-06:A:question_device</x:v>
      </x:c>
    </x:row>
    <x:row r="449" ht="72" customHeight="1">
      <x:c r="A449" s="14" t="str">
        <x:v>S02-06:B:origin</x:v>
      </x:c>
      <x:c r="B449" s="14" t="str">
        <x:v>B</x:v>
      </x:c>
      <x:c r="C449" s="14" t="str">
        <x:v>origin</x:v>
      </x:c>
      <x:c r="D449" s="14" t="n">
        <x:v>-6</x:v>
      </x:c>
      <x:c r="E449" s="14" t="n">
        <x:v>-6</x:v>
      </x:c>
      <x:c r="F449" s="14" t="n">
        <x:v>0</x:v>
      </x:c>
      <x:c r="G449" s="17" t="n">
        <x:v>0</x:v>
      </x:c>
      <x:c r="H449" s="14" t="str"/>
    </x:row>
    <x:row r="450" ht="72" customHeight="1">
      <x:c r="A450" s="14" t="str">
        <x:v>S02-06:B:origin_interpretation</x:v>
      </x:c>
      <x:c r="B450" s="14" t="str">
        <x:v>B</x:v>
      </x:c>
      <x:c r="C450" s="14" t="str">
        <x:v>origin_interpretation</x:v>
      </x:c>
      <x:c r="D450" s="14" t="n">
        <x:v>-6</x:v>
      </x:c>
      <x:c r="E450" s="14" t="n">
        <x:v>-5.16</x:v>
      </x:c>
      <x:c r="F450" s="14" t="n">
        <x:v>0.84</x:v>
      </x:c>
      <x:c r="G450" s="17" t="n">
        <x:v>1</x:v>
      </x:c>
      <x:c r="H450" s="14" t="str">
        <x:v>S02-06:B:origin</x:v>
      </x:c>
    </x:row>
    <x:row r="451" ht="72" customHeight="1">
      <x:c r="A451" s="14" t="str">
        <x:v>S02-06:B:original_handoff</x:v>
      </x:c>
      <x:c r="B451" s="14" t="str">
        <x:v>B</x:v>
      </x:c>
      <x:c r="C451" s="14" t="str">
        <x:v>original_handoff</x:v>
      </x:c>
      <x:c r="D451" s="14" t="n">
        <x:v>-5.16</x:v>
      </x:c>
      <x:c r="E451" s="14" t="n">
        <x:v>-5.04</x:v>
      </x:c>
      <x:c r="F451" s="14" t="n">
        <x:v>0.12</x:v>
      </x:c>
      <x:c r="G451" s="17" t="n">
        <x:v>1</x:v>
      </x:c>
      <x:c r="H451" s="14" t="str">
        <x:v>S02-06:B:origin_interpretation</x:v>
      </x:c>
    </x:row>
    <x:row r="452" ht="72" customHeight="1">
      <x:c r="A452" s="14" t="str">
        <x:v>S02-06:B:evaluation_utterance_end</x:v>
      </x:c>
      <x:c r="B452" s="14" t="str">
        <x:v>B</x:v>
      </x:c>
      <x:c r="C452" s="14" t="str">
        <x:v>evaluation_utterance_end</x:v>
      </x:c>
      <x:c r="D452" s="14" t="n">
        <x:v>-6</x:v>
      </x:c>
      <x:c r="E452" s="14" t="n">
        <x:v>0</x:v>
      </x:c>
      <x:c r="F452" s="14" t="n">
        <x:v>6</x:v>
      </x:c>
      <x:c r="G452" s="17" t="n">
        <x:v>0</x:v>
      </x:c>
      <x:c r="H452" s="14" t="str">
        <x:v>S02-06:B:origin</x:v>
      </x:c>
    </x:row>
    <x:row r="453" ht="72" customHeight="1">
      <x:c r="A453" s="14" t="str">
        <x:v>S02-06:B:final_transcript</x:v>
      </x:c>
      <x:c r="B453" s="14" t="str">
        <x:v>B</x:v>
      </x:c>
      <x:c r="C453" s="14" t="str">
        <x:v>final_transcript</x:v>
      </x:c>
      <x:c r="D453" s="14" t="n">
        <x:v>0</x:v>
      </x:c>
      <x:c r="E453" s="14" t="n">
        <x:v>0.3</x:v>
      </x:c>
      <x:c r="F453" s="14" t="n">
        <x:v>0.3</x:v>
      </x:c>
      <x:c r="G453" s="17" t="n">
        <x:v>1</x:v>
      </x:c>
      <x:c r="H453" s="14" t="str">
        <x:v>S02-06:B:evaluation_utterance_end</x:v>
      </x:c>
    </x:row>
    <x:row r="454" ht="72" customHeight="1">
      <x:c r="A454" s="14" t="str">
        <x:v>S02-06:B:meaning_adoption</x:v>
      </x:c>
      <x:c r="B454" s="14" t="str">
        <x:v>B</x:v>
      </x:c>
      <x:c r="C454" s="14" t="str">
        <x:v>meaning_adoption</x:v>
      </x:c>
      <x:c r="D454" s="14" t="n">
        <x:v>0.3</x:v>
      </x:c>
      <x:c r="E454" s="14" t="n">
        <x:v>0.82</x:v>
      </x:c>
      <x:c r="F454" s="14" t="n">
        <x:v>0.52</x:v>
      </x:c>
      <x:c r="G454" s="17" t="n">
        <x:v>1</x:v>
      </x:c>
      <x:c r="H454" s="14" t="str">
        <x:v>S02-06:B:final_transcript
S02-06:B:origin_interpretation</x:v>
      </x:c>
    </x:row>
    <x:row r="455" ht="72" customHeight="1">
      <x:c r="A455" s="14" t="str">
        <x:v>S02-06:B:apply_relation</x:v>
      </x:c>
      <x:c r="B455" s="14" t="str">
        <x:v>B</x:v>
      </x:c>
      <x:c r="C455" s="14" t="str">
        <x:v>apply_relation</x:v>
      </x:c>
      <x:c r="D455" s="14" t="n">
        <x:v>0.82</x:v>
      </x:c>
      <x:c r="E455" s="14" t="n">
        <x:v>0.86</x:v>
      </x:c>
      <x:c r="F455" s="14" t="n">
        <x:v>0.04</x:v>
      </x:c>
      <x:c r="G455" s="17" t="n">
        <x:v>1</x:v>
      </x:c>
      <x:c r="H455" s="14" t="str">
        <x:v>S02-06:B:meaning_adoption</x:v>
      </x:c>
    </x:row>
    <x:row r="456" ht="72" customHeight="1">
      <x:c r="A456" s="14" t="str">
        <x:v>S02-06:B:evaluation_first_display</x:v>
      </x:c>
      <x:c r="B456" s="14" t="str">
        <x:v>B</x:v>
      </x:c>
      <x:c r="C456" s="14" t="str">
        <x:v>evaluation_first_display</x:v>
      </x:c>
      <x:c r="D456" s="14" t="n">
        <x:v>0.86</x:v>
      </x:c>
      <x:c r="E456" s="14" t="n">
        <x:v>0.9</x:v>
      </x:c>
      <x:c r="F456" s="14" t="n">
        <x:v>0.04</x:v>
      </x:c>
      <x:c r="G456" s="17" t="n">
        <x:v>1</x:v>
      </x:c>
      <x:c r="H456" s="14" t="str">
        <x:v>S02-06:B:apply_relation</x:v>
      </x:c>
    </x:row>
    <x:row r="457" ht="72" customHeight="1">
      <x:c r="A457" s="14" t="str">
        <x:v>S02-06:B:source_question</x:v>
      </x:c>
      <x:c r="B457" s="14" t="str">
        <x:v>B</x:v>
      </x:c>
      <x:c r="C457" s="14" t="str">
        <x:v>source_question</x:v>
      </x:c>
      <x:c r="D457" s="14" t="n">
        <x:v>-5.04</x:v>
      </x:c>
      <x:c r="E457" s="14" t="n">
        <x:v>-1.4</x:v>
      </x:c>
      <x:c r="F457" s="14" t="n">
        <x:v>3.64</x:v>
      </x:c>
      <x:c r="G457" s="17" t="n">
        <x:v>0</x:v>
      </x:c>
      <x:c r="H457" s="14" t="str">
        <x:v>S02-06:B:original_handoff</x:v>
      </x:c>
    </x:row>
    <x:row r="458" ht="72" customHeight="1">
      <x:c r="A458" s="14" t="str">
        <x:v>S02-06:B:display_question</x:v>
      </x:c>
      <x:c r="B458" s="14" t="str">
        <x:v>B</x:v>
      </x:c>
      <x:c r="C458" s="14" t="str">
        <x:v>display_question</x:v>
      </x:c>
      <x:c r="D458" s="14" t="n">
        <x:v>-1.4</x:v>
      </x:c>
      <x:c r="E458" s="14" t="n">
        <x:v>-1.36</x:v>
      </x:c>
      <x:c r="F458" s="14" t="n">
        <x:v>0.04</x:v>
      </x:c>
      <x:c r="G458" s="17" t="n">
        <x:v>1</x:v>
      </x:c>
      <x:c r="H458" s="14" t="str">
        <x:v>S02-06:B:source_question</x:v>
      </x:c>
    </x:row>
    <x:row r="459" ht="72" customHeight="1">
      <x:c r="A459" s="14" t="str">
        <x:v>S02-06:B:select_question</x:v>
      </x:c>
      <x:c r="B459" s="14" t="str">
        <x:v>B</x:v>
      </x:c>
      <x:c r="C459" s="14" t="str">
        <x:v>select_question</x:v>
      </x:c>
      <x:c r="D459" s="14" t="n">
        <x:v>0.86</x:v>
      </x:c>
      <x:c r="E459" s="14" t="n">
        <x:v>0.86</x:v>
      </x:c>
      <x:c r="F459" s="14" t="n">
        <x:v>0</x:v>
      </x:c>
      <x:c r="G459" s="17" t="n">
        <x:v>1</x:v>
      </x:c>
      <x:c r="H459" s="14" t="str">
        <x:v>S02-06:B:apply_relation
S02-06:B:source_question</x:v>
      </x:c>
    </x:row>
    <x:row r="460" ht="72" customHeight="1">
      <x:c r="A460" s="14" t="str">
        <x:v>S02-06:B:question_first</x:v>
      </x:c>
      <x:c r="B460" s="14" t="str">
        <x:v>B</x:v>
      </x:c>
      <x:c r="C460" s="14" t="str">
        <x:v>question_first</x:v>
      </x:c>
      <x:c r="D460" s="14" t="n">
        <x:v>0.86</x:v>
      </x:c>
      <x:c r="E460" s="14" t="n">
        <x:v>1.261</x:v>
      </x:c>
      <x:c r="F460" s="14" t="n">
        <x:v>0.401</x:v>
      </x:c>
      <x:c r="G460" s="17" t="n">
        <x:v>1</x:v>
      </x:c>
      <x:c r="H460" s="14" t="str">
        <x:v>S02-06:B:select_question</x:v>
      </x:c>
    </x:row>
    <x:row r="461" ht="72" customHeight="1">
      <x:c r="A461" s="14" t="str">
        <x:v>S02-06:B:question_tail</x:v>
      </x:c>
      <x:c r="B461" s="14" t="str">
        <x:v>B</x:v>
      </x:c>
      <x:c r="C461" s="14" t="str">
        <x:v>question_tail</x:v>
      </x:c>
      <x:c r="D461" s="14" t="n">
        <x:v>1.261</x:v>
      </x:c>
      <x:c r="E461" s="14" t="n">
        <x:v>1.9125</x:v>
      </x:c>
      <x:c r="F461" s="14" t="n">
        <x:v>0.6515</x:v>
      </x:c>
      <x:c r="G461" s="17" t="n">
        <x:v>1</x:v>
      </x:c>
      <x:c r="H461" s="14" t="str">
        <x:v>S02-06:B:question_first</x:v>
      </x:c>
    </x:row>
    <x:row r="462" ht="72" customHeight="1">
      <x:c r="A462" s="14" t="str">
        <x:v>S02-06:B:question_device</x:v>
      </x:c>
      <x:c r="B462" s="14" t="str">
        <x:v>B</x:v>
      </x:c>
      <x:c r="C462" s="14" t="str">
        <x:v>question_device</x:v>
      </x:c>
      <x:c r="D462" s="14" t="n">
        <x:v>1.261</x:v>
      </x:c>
      <x:c r="E462" s="14" t="n">
        <x:v>1.301</x:v>
      </x:c>
      <x:c r="F462" s="14" t="n">
        <x:v>0.04</x:v>
      </x:c>
      <x:c r="G462" s="17" t="n">
        <x:v>1</x:v>
      </x:c>
      <x:c r="H462" s="14" t="str">
        <x:v>S02-06:B:select_question
S02-06:B:question_first</x:v>
      </x:c>
    </x:row>
    <x:row r="463" ht="72" customHeight="1">
      <x:c r="A463" s="14" t="str">
        <x:v>S02-06:B:question_played</x:v>
      </x:c>
      <x:c r="B463" s="14" t="str">
        <x:v>B</x:v>
      </x:c>
      <x:c r="C463" s="14" t="str">
        <x:v>question_played</x:v>
      </x:c>
      <x:c r="D463" s="14" t="n">
        <x:v>1.301</x:v>
      </x:c>
      <x:c r="E463" s="14" t="n">
        <x:v>4.107</x:v>
      </x:c>
      <x:c r="F463" s="14" t="n">
        <x:v>2.806</x:v>
      </x:c>
      <x:c r="G463" s="17" t="n">
        <x:v>0</x:v>
      </x:c>
      <x:c r="H463" s="14" t="str">
        <x:v>S02-06:B:question_device</x:v>
      </x:c>
    </x:row>
    <x:row r="464" ht="72" customHeight="1">
      <x:c r="A464" s="14" t="str">
        <x:v>S02-07:A:origin</x:v>
      </x:c>
      <x:c r="B464" s="14" t="str">
        <x:v>A</x:v>
      </x:c>
      <x:c r="C464" s="14" t="str">
        <x:v>origin</x:v>
      </x:c>
      <x:c r="D464" s="14" t="n">
        <x:v>-6</x:v>
      </x:c>
      <x:c r="E464" s="14" t="n">
        <x:v>-6</x:v>
      </x:c>
      <x:c r="F464" s="14" t="n">
        <x:v>0</x:v>
      </x:c>
      <x:c r="G464" s="17" t="n">
        <x:v>0</x:v>
      </x:c>
      <x:c r="H464" s="14" t="str"/>
    </x:row>
    <x:row r="465" ht="72" customHeight="1">
      <x:c r="A465" s="14" t="str">
        <x:v>S02-07:A:origin_interpretation</x:v>
      </x:c>
      <x:c r="B465" s="14" t="str">
        <x:v>A</x:v>
      </x:c>
      <x:c r="C465" s="14" t="str">
        <x:v>origin_interpretation</x:v>
      </x:c>
      <x:c r="D465" s="14" t="n">
        <x:v>-6</x:v>
      </x:c>
      <x:c r="E465" s="14" t="n">
        <x:v>-5.16</x:v>
      </x:c>
      <x:c r="F465" s="14" t="n">
        <x:v>0.84</x:v>
      </x:c>
      <x:c r="G465" s="17" t="n">
        <x:v>1</x:v>
      </x:c>
      <x:c r="H465" s="14" t="str">
        <x:v>S02-07:A:origin</x:v>
      </x:c>
    </x:row>
    <x:row r="466" ht="72" customHeight="1">
      <x:c r="A466" s="14" t="str">
        <x:v>S02-07:A:original_handoff</x:v>
      </x:c>
      <x:c r="B466" s="14" t="str">
        <x:v>A</x:v>
      </x:c>
      <x:c r="C466" s="14" t="str">
        <x:v>original_handoff</x:v>
      </x:c>
      <x:c r="D466" s="14" t="n">
        <x:v>-5.16</x:v>
      </x:c>
      <x:c r="E466" s="14" t="n">
        <x:v>-5.04</x:v>
      </x:c>
      <x:c r="F466" s="14" t="n">
        <x:v>0.12</x:v>
      </x:c>
      <x:c r="G466" s="17" t="n">
        <x:v>1</x:v>
      </x:c>
      <x:c r="H466" s="14" t="str">
        <x:v>S02-07:A:origin_interpretation</x:v>
      </x:c>
    </x:row>
    <x:row r="467" ht="72" customHeight="1">
      <x:c r="A467" s="14" t="str">
        <x:v>S02-07:A:evaluation_utterance_end</x:v>
      </x:c>
      <x:c r="B467" s="14" t="str">
        <x:v>A</x:v>
      </x:c>
      <x:c r="C467" s="14" t="str">
        <x:v>evaluation_utterance_end</x:v>
      </x:c>
      <x:c r="D467" s="14" t="n">
        <x:v>-6</x:v>
      </x:c>
      <x:c r="E467" s="14" t="n">
        <x:v>0</x:v>
      </x:c>
      <x:c r="F467" s="14" t="n">
        <x:v>6</x:v>
      </x:c>
      <x:c r="G467" s="17" t="n">
        <x:v>0</x:v>
      </x:c>
      <x:c r="H467" s="14" t="str">
        <x:v>S02-07:A:origin</x:v>
      </x:c>
    </x:row>
    <x:row r="468" ht="72" customHeight="1">
      <x:c r="A468" s="14" t="str">
        <x:v>S02-07:A:final_transcript</x:v>
      </x:c>
      <x:c r="B468" s="14" t="str">
        <x:v>A</x:v>
      </x:c>
      <x:c r="C468" s="14" t="str">
        <x:v>final_transcript</x:v>
      </x:c>
      <x:c r="D468" s="14" t="n">
        <x:v>0</x:v>
      </x:c>
      <x:c r="E468" s="14" t="n">
        <x:v>0.3</x:v>
      </x:c>
      <x:c r="F468" s="14" t="n">
        <x:v>0.3</x:v>
      </x:c>
      <x:c r="G468" s="17" t="n">
        <x:v>1</x:v>
      </x:c>
      <x:c r="H468" s="14" t="str">
        <x:v>S02-07:A:evaluation_utterance_end</x:v>
      </x:c>
    </x:row>
    <x:row r="469" ht="72" customHeight="1">
      <x:c r="A469" s="14" t="str">
        <x:v>S02-07:A:meaning_adoption</x:v>
      </x:c>
      <x:c r="B469" s="14" t="str">
        <x:v>A</x:v>
      </x:c>
      <x:c r="C469" s="14" t="str">
        <x:v>meaning_adoption</x:v>
      </x:c>
      <x:c r="D469" s="14" t="n">
        <x:v>0.3</x:v>
      </x:c>
      <x:c r="E469" s="14" t="n">
        <x:v>0.848333333</x:v>
      </x:c>
      <x:c r="F469" s="14" t="n">
        <x:v>0.548333333</x:v>
      </x:c>
      <x:c r="G469" s="17" t="n">
        <x:v>1</x:v>
      </x:c>
      <x:c r="H469" s="14" t="str">
        <x:v>S02-07:A:final_transcript
S02-07:A:origin_interpretation</x:v>
      </x:c>
    </x:row>
    <x:row r="470" ht="72" customHeight="1">
      <x:c r="A470" s="14" t="str">
        <x:v>S02-07:A:apply_relation</x:v>
      </x:c>
      <x:c r="B470" s="14" t="str">
        <x:v>A</x:v>
      </x:c>
      <x:c r="C470" s="14" t="str">
        <x:v>apply_relation</x:v>
      </x:c>
      <x:c r="D470" s="14" t="n">
        <x:v>0.848333333</x:v>
      </x:c>
      <x:c r="E470" s="14" t="n">
        <x:v>0.888333333</x:v>
      </x:c>
      <x:c r="F470" s="14" t="n">
        <x:v>0.04</x:v>
      </x:c>
      <x:c r="G470" s="17" t="n">
        <x:v>1</x:v>
      </x:c>
      <x:c r="H470" s="14" t="str">
        <x:v>S02-07:A:meaning_adoption</x:v>
      </x:c>
    </x:row>
    <x:row r="471" ht="72" customHeight="1">
      <x:c r="A471" s="14" t="str">
        <x:v>S02-07:A:evaluation_first_display</x:v>
      </x:c>
      <x:c r="B471" s="14" t="str">
        <x:v>A</x:v>
      </x:c>
      <x:c r="C471" s="14" t="str">
        <x:v>evaluation_first_display</x:v>
      </x:c>
      <x:c r="D471" s="14" t="n">
        <x:v>0.888333333</x:v>
      </x:c>
      <x:c r="E471" s="14" t="n">
        <x:v>0.928333333</x:v>
      </x:c>
      <x:c r="F471" s="14" t="n">
        <x:v>0.04</x:v>
      </x:c>
      <x:c r="G471" s="17" t="n">
        <x:v>1</x:v>
      </x:c>
      <x:c r="H471" s="14" t="str">
        <x:v>S02-07:A:apply_relation</x:v>
      </x:c>
    </x:row>
    <x:row r="472" ht="72" customHeight="1">
      <x:c r="A472" s="14" t="str">
        <x:v>S02-07:A:source_question</x:v>
      </x:c>
      <x:c r="B472" s="14" t="str">
        <x:v>A</x:v>
      </x:c>
      <x:c r="C472" s="14" t="str">
        <x:v>source_question</x:v>
      </x:c>
      <x:c r="D472" s="14" t="n">
        <x:v>-5.04</x:v>
      </x:c>
      <x:c r="E472" s="14" t="n">
        <x:v>-1.4</x:v>
      </x:c>
      <x:c r="F472" s="14" t="n">
        <x:v>3.64</x:v>
      </x:c>
      <x:c r="G472" s="17" t="n">
        <x:v>0</x:v>
      </x:c>
      <x:c r="H472" s="14" t="str">
        <x:v>S02-07:A:original_handoff</x:v>
      </x:c>
    </x:row>
    <x:row r="473" ht="72" customHeight="1">
      <x:c r="A473" s="14" t="str">
        <x:v>S02-07:A:display_question</x:v>
      </x:c>
      <x:c r="B473" s="14" t="str">
        <x:v>A</x:v>
      </x:c>
      <x:c r="C473" s="14" t="str">
        <x:v>display_question</x:v>
      </x:c>
      <x:c r="D473" s="14" t="n">
        <x:v>-1.4</x:v>
      </x:c>
      <x:c r="E473" s="14" t="n">
        <x:v>-1.36</x:v>
      </x:c>
      <x:c r="F473" s="14" t="n">
        <x:v>0.04</x:v>
      </x:c>
      <x:c r="G473" s="17" t="n">
        <x:v>1</x:v>
      </x:c>
      <x:c r="H473" s="14" t="str">
        <x:v>S02-07:A:source_question</x:v>
      </x:c>
    </x:row>
    <x:row r="474" ht="72" customHeight="1">
      <x:c r="A474" s="14" t="str">
        <x:v>S02-07:A:select_question</x:v>
      </x:c>
      <x:c r="B474" s="14" t="str">
        <x:v>A</x:v>
      </x:c>
      <x:c r="C474" s="14" t="str">
        <x:v>select_question</x:v>
      </x:c>
      <x:c r="D474" s="14" t="n">
        <x:v>0.888333333</x:v>
      </x:c>
      <x:c r="E474" s="14" t="n">
        <x:v>0.888333333</x:v>
      </x:c>
      <x:c r="F474" s="14" t="n">
        <x:v>0</x:v>
      </x:c>
      <x:c r="G474" s="17" t="n">
        <x:v>1</x:v>
      </x:c>
      <x:c r="H474" s="14" t="str">
        <x:v>S02-07:A:apply_relation
S02-07:A:source_question</x:v>
      </x:c>
    </x:row>
    <x:row r="475" ht="72" customHeight="1">
      <x:c r="A475" s="14" t="str">
        <x:v>S02-07:A:question_first</x:v>
      </x:c>
      <x:c r="B475" s="14" t="str">
        <x:v>A</x:v>
      </x:c>
      <x:c r="C475" s="14" t="str">
        <x:v>question_first</x:v>
      </x:c>
      <x:c r="D475" s="14" t="n">
        <x:v>-1.4</x:v>
      </x:c>
      <x:c r="E475" s="14" t="n">
        <x:v>-0.999</x:v>
      </x:c>
      <x:c r="F475" s="14" t="n">
        <x:v>0.401</x:v>
      </x:c>
      <x:c r="G475" s="17" t="n">
        <x:v>1</x:v>
      </x:c>
      <x:c r="H475" s="14" t="str">
        <x:v>S02-07:A:source_question</x:v>
      </x:c>
    </x:row>
    <x:row r="476" ht="72" customHeight="1">
      <x:c r="A476" s="14" t="str">
        <x:v>S02-07:A:question_tail</x:v>
      </x:c>
      <x:c r="B476" s="14" t="str">
        <x:v>A</x:v>
      </x:c>
      <x:c r="C476" s="14" t="str">
        <x:v>question_tail</x:v>
      </x:c>
      <x:c r="D476" s="14" t="n">
        <x:v>-0.999</x:v>
      </x:c>
      <x:c r="E476" s="14" t="n">
        <x:v>-0.3445</x:v>
      </x:c>
      <x:c r="F476" s="14" t="n">
        <x:v>0.6545</x:v>
      </x:c>
      <x:c r="G476" s="17" t="n">
        <x:v>1</x:v>
      </x:c>
      <x:c r="H476" s="14" t="str">
        <x:v>S02-07:A:question_first</x:v>
      </x:c>
    </x:row>
    <x:row r="477" ht="72" customHeight="1">
      <x:c r="A477" s="14" t="str">
        <x:v>S02-07:A:question_device</x:v>
      </x:c>
      <x:c r="B477" s="14" t="str">
        <x:v>A</x:v>
      </x:c>
      <x:c r="C477" s="14" t="str">
        <x:v>question_device</x:v>
      </x:c>
      <x:c r="D477" s="14" t="n">
        <x:v>0.888333333</x:v>
      </x:c>
      <x:c r="E477" s="14" t="n">
        <x:v>0.928333333</x:v>
      </x:c>
      <x:c r="F477" s="14" t="n">
        <x:v>0.04</x:v>
      </x:c>
      <x:c r="G477" s="17" t="n">
        <x:v>1</x:v>
      </x:c>
      <x:c r="H477" s="14" t="str">
        <x:v>S02-07:A:select_question
S02-07:A:question_first</x:v>
      </x:c>
    </x:row>
    <x:row r="478" ht="72" customHeight="1">
      <x:c r="A478" s="14" t="str">
        <x:v>S02-07:A:question_played</x:v>
      </x:c>
      <x:c r="B478" s="14" t="str">
        <x:v>A</x:v>
      </x:c>
      <x:c r="C478" s="14" t="str">
        <x:v>question_played</x:v>
      </x:c>
      <x:c r="D478" s="14" t="n">
        <x:v>0.928333333</x:v>
      </x:c>
      <x:c r="E478" s="14" t="n">
        <x:v>3.746333333</x:v>
      </x:c>
      <x:c r="F478" s="14" t="n">
        <x:v>2.818</x:v>
      </x:c>
      <x:c r="G478" s="17" t="n">
        <x:v>0</x:v>
      </x:c>
      <x:c r="H478" s="14" t="str">
        <x:v>S02-07:A:question_device</x:v>
      </x:c>
    </x:row>
    <x:row r="479" ht="72" customHeight="1">
      <x:c r="A479" s="14" t="str">
        <x:v>S02-07:B:origin</x:v>
      </x:c>
      <x:c r="B479" s="14" t="str">
        <x:v>B</x:v>
      </x:c>
      <x:c r="C479" s="14" t="str">
        <x:v>origin</x:v>
      </x:c>
      <x:c r="D479" s="14" t="n">
        <x:v>-6</x:v>
      </x:c>
      <x:c r="E479" s="14" t="n">
        <x:v>-6</x:v>
      </x:c>
      <x:c r="F479" s="14" t="n">
        <x:v>0</x:v>
      </x:c>
      <x:c r="G479" s="17" t="n">
        <x:v>0</x:v>
      </x:c>
      <x:c r="H479" s="14" t="str"/>
    </x:row>
    <x:row r="480" ht="72" customHeight="1">
      <x:c r="A480" s="14" t="str">
        <x:v>S02-07:B:origin_interpretation</x:v>
      </x:c>
      <x:c r="B480" s="14" t="str">
        <x:v>B</x:v>
      </x:c>
      <x:c r="C480" s="14" t="str">
        <x:v>origin_interpretation</x:v>
      </x:c>
      <x:c r="D480" s="14" t="n">
        <x:v>-6</x:v>
      </x:c>
      <x:c r="E480" s="14" t="n">
        <x:v>-5.16</x:v>
      </x:c>
      <x:c r="F480" s="14" t="n">
        <x:v>0.84</x:v>
      </x:c>
      <x:c r="G480" s="17" t="n">
        <x:v>1</x:v>
      </x:c>
      <x:c r="H480" s="14" t="str">
        <x:v>S02-07:B:origin</x:v>
      </x:c>
    </x:row>
    <x:row r="481" ht="72" customHeight="1">
      <x:c r="A481" s="14" t="str">
        <x:v>S02-07:B:original_handoff</x:v>
      </x:c>
      <x:c r="B481" s="14" t="str">
        <x:v>B</x:v>
      </x:c>
      <x:c r="C481" s="14" t="str">
        <x:v>original_handoff</x:v>
      </x:c>
      <x:c r="D481" s="14" t="n">
        <x:v>-5.16</x:v>
      </x:c>
      <x:c r="E481" s="14" t="n">
        <x:v>-5.04</x:v>
      </x:c>
      <x:c r="F481" s="14" t="n">
        <x:v>0.12</x:v>
      </x:c>
      <x:c r="G481" s="17" t="n">
        <x:v>1</x:v>
      </x:c>
      <x:c r="H481" s="14" t="str">
        <x:v>S02-07:B:origin_interpretation</x:v>
      </x:c>
    </x:row>
    <x:row r="482" ht="72" customHeight="1">
      <x:c r="A482" s="14" t="str">
        <x:v>S02-07:B:evaluation_utterance_end</x:v>
      </x:c>
      <x:c r="B482" s="14" t="str">
        <x:v>B</x:v>
      </x:c>
      <x:c r="C482" s="14" t="str">
        <x:v>evaluation_utterance_end</x:v>
      </x:c>
      <x:c r="D482" s="14" t="n">
        <x:v>-6</x:v>
      </x:c>
      <x:c r="E482" s="14" t="n">
        <x:v>0</x:v>
      </x:c>
      <x:c r="F482" s="14" t="n">
        <x:v>6</x:v>
      </x:c>
      <x:c r="G482" s="17" t="n">
        <x:v>0</x:v>
      </x:c>
      <x:c r="H482" s="14" t="str">
        <x:v>S02-07:B:origin</x:v>
      </x:c>
    </x:row>
    <x:row r="483" ht="72" customHeight="1">
      <x:c r="A483" s="14" t="str">
        <x:v>S02-07:B:final_transcript</x:v>
      </x:c>
      <x:c r="B483" s="14" t="str">
        <x:v>B</x:v>
      </x:c>
      <x:c r="C483" s="14" t="str">
        <x:v>final_transcript</x:v>
      </x:c>
      <x:c r="D483" s="14" t="n">
        <x:v>0</x:v>
      </x:c>
      <x:c r="E483" s="14" t="n">
        <x:v>0.3</x:v>
      </x:c>
      <x:c r="F483" s="14" t="n">
        <x:v>0.3</x:v>
      </x:c>
      <x:c r="G483" s="17" t="n">
        <x:v>1</x:v>
      </x:c>
      <x:c r="H483" s="14" t="str">
        <x:v>S02-07:B:evaluation_utterance_end</x:v>
      </x:c>
    </x:row>
    <x:row r="484" ht="72" customHeight="1">
      <x:c r="A484" s="14" t="str">
        <x:v>S02-07:B:meaning_adoption</x:v>
      </x:c>
      <x:c r="B484" s="14" t="str">
        <x:v>B</x:v>
      </x:c>
      <x:c r="C484" s="14" t="str">
        <x:v>meaning_adoption</x:v>
      </x:c>
      <x:c r="D484" s="14" t="n">
        <x:v>0.3</x:v>
      </x:c>
      <x:c r="E484" s="14" t="n">
        <x:v>0.848333333</x:v>
      </x:c>
      <x:c r="F484" s="14" t="n">
        <x:v>0.548333333</x:v>
      </x:c>
      <x:c r="G484" s="17" t="n">
        <x:v>1</x:v>
      </x:c>
      <x:c r="H484" s="14" t="str">
        <x:v>S02-07:B:final_transcript
S02-07:B:origin_interpretation</x:v>
      </x:c>
    </x:row>
    <x:row r="485" ht="72" customHeight="1">
      <x:c r="A485" s="14" t="str">
        <x:v>S02-07:B:apply_relation</x:v>
      </x:c>
      <x:c r="B485" s="14" t="str">
        <x:v>B</x:v>
      </x:c>
      <x:c r="C485" s="14" t="str">
        <x:v>apply_relation</x:v>
      </x:c>
      <x:c r="D485" s="14" t="n">
        <x:v>0.848333333</x:v>
      </x:c>
      <x:c r="E485" s="14" t="n">
        <x:v>0.888333333</x:v>
      </x:c>
      <x:c r="F485" s="14" t="n">
        <x:v>0.04</x:v>
      </x:c>
      <x:c r="G485" s="17" t="n">
        <x:v>1</x:v>
      </x:c>
      <x:c r="H485" s="14" t="str">
        <x:v>S02-07:B:meaning_adoption</x:v>
      </x:c>
    </x:row>
    <x:row r="486" ht="72" customHeight="1">
      <x:c r="A486" s="14" t="str">
        <x:v>S02-07:B:evaluation_first_display</x:v>
      </x:c>
      <x:c r="B486" s="14" t="str">
        <x:v>B</x:v>
      </x:c>
      <x:c r="C486" s="14" t="str">
        <x:v>evaluation_first_display</x:v>
      </x:c>
      <x:c r="D486" s="14" t="n">
        <x:v>0.888333333</x:v>
      </x:c>
      <x:c r="E486" s="14" t="n">
        <x:v>0.928333333</x:v>
      </x:c>
      <x:c r="F486" s="14" t="n">
        <x:v>0.04</x:v>
      </x:c>
      <x:c r="G486" s="17" t="n">
        <x:v>1</x:v>
      </x:c>
      <x:c r="H486" s="14" t="str">
        <x:v>S02-07:B:apply_relation</x:v>
      </x:c>
    </x:row>
    <x:row r="487" ht="72" customHeight="1">
      <x:c r="A487" s="14" t="str">
        <x:v>S02-07:B:source_question</x:v>
      </x:c>
      <x:c r="B487" s="14" t="str">
        <x:v>B</x:v>
      </x:c>
      <x:c r="C487" s="14" t="str">
        <x:v>source_question</x:v>
      </x:c>
      <x:c r="D487" s="14" t="n">
        <x:v>-5.04</x:v>
      </x:c>
      <x:c r="E487" s="14" t="n">
        <x:v>-1.4</x:v>
      </x:c>
      <x:c r="F487" s="14" t="n">
        <x:v>3.64</x:v>
      </x:c>
      <x:c r="G487" s="17" t="n">
        <x:v>0</x:v>
      </x:c>
      <x:c r="H487" s="14" t="str">
        <x:v>S02-07:B:original_handoff</x:v>
      </x:c>
    </x:row>
    <x:row r="488" ht="72" customHeight="1">
      <x:c r="A488" s="14" t="str">
        <x:v>S02-07:B:display_question</x:v>
      </x:c>
      <x:c r="B488" s="14" t="str">
        <x:v>B</x:v>
      </x:c>
      <x:c r="C488" s="14" t="str">
        <x:v>display_question</x:v>
      </x:c>
      <x:c r="D488" s="14" t="n">
        <x:v>-1.4</x:v>
      </x:c>
      <x:c r="E488" s="14" t="n">
        <x:v>-1.36</x:v>
      </x:c>
      <x:c r="F488" s="14" t="n">
        <x:v>0.04</x:v>
      </x:c>
      <x:c r="G488" s="17" t="n">
        <x:v>1</x:v>
      </x:c>
      <x:c r="H488" s="14" t="str">
        <x:v>S02-07:B:source_question</x:v>
      </x:c>
    </x:row>
    <x:row r="489" ht="72" customHeight="1">
      <x:c r="A489" s="14" t="str">
        <x:v>S02-07:B:select_question</x:v>
      </x:c>
      <x:c r="B489" s="14" t="str">
        <x:v>B</x:v>
      </x:c>
      <x:c r="C489" s="14" t="str">
        <x:v>select_question</x:v>
      </x:c>
      <x:c r="D489" s="14" t="n">
        <x:v>0.888333333</x:v>
      </x:c>
      <x:c r="E489" s="14" t="n">
        <x:v>0.888333333</x:v>
      </x:c>
      <x:c r="F489" s="14" t="n">
        <x:v>0</x:v>
      </x:c>
      <x:c r="G489" s="17" t="n">
        <x:v>1</x:v>
      </x:c>
      <x:c r="H489" s="14" t="str">
        <x:v>S02-07:B:apply_relation
S02-07:B:source_question</x:v>
      </x:c>
    </x:row>
    <x:row r="490" ht="72" customHeight="1">
      <x:c r="A490" s="14" t="str">
        <x:v>S02-07:B:question_first</x:v>
      </x:c>
      <x:c r="B490" s="14" t="str">
        <x:v>B</x:v>
      </x:c>
      <x:c r="C490" s="14" t="str">
        <x:v>question_first</x:v>
      </x:c>
      <x:c r="D490" s="14" t="n">
        <x:v>0.888333333</x:v>
      </x:c>
      <x:c r="E490" s="14" t="n">
        <x:v>1.289333333</x:v>
      </x:c>
      <x:c r="F490" s="14" t="n">
        <x:v>0.401</x:v>
      </x:c>
      <x:c r="G490" s="17" t="n">
        <x:v>1</x:v>
      </x:c>
      <x:c r="H490" s="14" t="str">
        <x:v>S02-07:B:select_question</x:v>
      </x:c>
    </x:row>
    <x:row r="491" ht="72" customHeight="1">
      <x:c r="A491" s="14" t="str">
        <x:v>S02-07:B:question_tail</x:v>
      </x:c>
      <x:c r="B491" s="14" t="str">
        <x:v>B</x:v>
      </x:c>
      <x:c r="C491" s="14" t="str">
        <x:v>question_tail</x:v>
      </x:c>
      <x:c r="D491" s="14" t="n">
        <x:v>1.289333333</x:v>
      </x:c>
      <x:c r="E491" s="14" t="n">
        <x:v>1.943833333</x:v>
      </x:c>
      <x:c r="F491" s="14" t="n">
        <x:v>0.6545</x:v>
      </x:c>
      <x:c r="G491" s="17" t="n">
        <x:v>1</x:v>
      </x:c>
      <x:c r="H491" s="14" t="str">
        <x:v>S02-07:B:question_first</x:v>
      </x:c>
    </x:row>
    <x:row r="492" ht="72" customHeight="1">
      <x:c r="A492" s="14" t="str">
        <x:v>S02-07:B:question_device</x:v>
      </x:c>
      <x:c r="B492" s="14" t="str">
        <x:v>B</x:v>
      </x:c>
      <x:c r="C492" s="14" t="str">
        <x:v>question_device</x:v>
      </x:c>
      <x:c r="D492" s="14" t="n">
        <x:v>1.289333333</x:v>
      </x:c>
      <x:c r="E492" s="14" t="n">
        <x:v>1.329333333</x:v>
      </x:c>
      <x:c r="F492" s="14" t="n">
        <x:v>0.04</x:v>
      </x:c>
      <x:c r="G492" s="17" t="n">
        <x:v>1</x:v>
      </x:c>
      <x:c r="H492" s="14" t="str">
        <x:v>S02-07:B:select_question
S02-07:B:question_first</x:v>
      </x:c>
    </x:row>
    <x:row r="493" ht="72" customHeight="1">
      <x:c r="A493" s="14" t="str">
        <x:v>S02-07:B:question_played</x:v>
      </x:c>
      <x:c r="B493" s="14" t="str">
        <x:v>B</x:v>
      </x:c>
      <x:c r="C493" s="14" t="str">
        <x:v>question_played</x:v>
      </x:c>
      <x:c r="D493" s="14" t="n">
        <x:v>1.329333333</x:v>
      </x:c>
      <x:c r="E493" s="14" t="n">
        <x:v>4.147333333</x:v>
      </x:c>
      <x:c r="F493" s="14" t="n">
        <x:v>2.818</x:v>
      </x:c>
      <x:c r="G493" s="17" t="n">
        <x:v>0</x:v>
      </x:c>
      <x:c r="H493" s="14" t="str">
        <x:v>S02-07:B:question_device</x:v>
      </x:c>
    </x:row>
    <x:row r="494" ht="72" customHeight="1">
      <x:c r="A494" s="14" t="str">
        <x:v>S02-08:A:origin</x:v>
      </x:c>
      <x:c r="B494" s="14" t="str">
        <x:v>A</x:v>
      </x:c>
      <x:c r="C494" s="14" t="str">
        <x:v>origin</x:v>
      </x:c>
      <x:c r="D494" s="14" t="n">
        <x:v>-6</x:v>
      </x:c>
      <x:c r="E494" s="14" t="n">
        <x:v>-6</x:v>
      </x:c>
      <x:c r="F494" s="14" t="n">
        <x:v>0</x:v>
      </x:c>
      <x:c r="G494" s="17" t="n">
        <x:v>0</x:v>
      </x:c>
      <x:c r="H494" s="14" t="str"/>
    </x:row>
    <x:row r="495" ht="72" customHeight="1">
      <x:c r="A495" s="14" t="str">
        <x:v>S02-08:A:origin_interpretation</x:v>
      </x:c>
      <x:c r="B495" s="14" t="str">
        <x:v>A</x:v>
      </x:c>
      <x:c r="C495" s="14" t="str">
        <x:v>origin_interpretation</x:v>
      </x:c>
      <x:c r="D495" s="14" t="n">
        <x:v>-6</x:v>
      </x:c>
      <x:c r="E495" s="14" t="n">
        <x:v>-5.16</x:v>
      </x:c>
      <x:c r="F495" s="14" t="n">
        <x:v>0.84</x:v>
      </x:c>
      <x:c r="G495" s="17" t="n">
        <x:v>1</x:v>
      </x:c>
      <x:c r="H495" s="14" t="str">
        <x:v>S02-08:A:origin</x:v>
      </x:c>
    </x:row>
    <x:row r="496" ht="72" customHeight="1">
      <x:c r="A496" s="14" t="str">
        <x:v>S02-08:A:original_handoff</x:v>
      </x:c>
      <x:c r="B496" s="14" t="str">
        <x:v>A</x:v>
      </x:c>
      <x:c r="C496" s="14" t="str">
        <x:v>original_handoff</x:v>
      </x:c>
      <x:c r="D496" s="14" t="n">
        <x:v>-5.16</x:v>
      </x:c>
      <x:c r="E496" s="14" t="n">
        <x:v>-5.04</x:v>
      </x:c>
      <x:c r="F496" s="14" t="n">
        <x:v>0.12</x:v>
      </x:c>
      <x:c r="G496" s="17" t="n">
        <x:v>1</x:v>
      </x:c>
      <x:c r="H496" s="14" t="str">
        <x:v>S02-08:A:origin_interpretation</x:v>
      </x:c>
    </x:row>
    <x:row r="497" ht="72" customHeight="1">
      <x:c r="A497" s="14" t="str">
        <x:v>S02-08:A:evaluation_utterance_end</x:v>
      </x:c>
      <x:c r="B497" s="14" t="str">
        <x:v>A</x:v>
      </x:c>
      <x:c r="C497" s="14" t="str">
        <x:v>evaluation_utterance_end</x:v>
      </x:c>
      <x:c r="D497" s="14" t="n">
        <x:v>-6</x:v>
      </x:c>
      <x:c r="E497" s="14" t="n">
        <x:v>0</x:v>
      </x:c>
      <x:c r="F497" s="14" t="n">
        <x:v>6</x:v>
      </x:c>
      <x:c r="G497" s="17" t="n">
        <x:v>0</x:v>
      </x:c>
      <x:c r="H497" s="14" t="str">
        <x:v>S02-08:A:origin</x:v>
      </x:c>
    </x:row>
    <x:row r="498" ht="72" customHeight="1">
      <x:c r="A498" s="14" t="str">
        <x:v>S02-08:A:final_transcript</x:v>
      </x:c>
      <x:c r="B498" s="14" t="str">
        <x:v>A</x:v>
      </x:c>
      <x:c r="C498" s="14" t="str">
        <x:v>final_transcript</x:v>
      </x:c>
      <x:c r="D498" s="14" t="n">
        <x:v>0</x:v>
      </x:c>
      <x:c r="E498" s="14" t="n">
        <x:v>0.3</x:v>
      </x:c>
      <x:c r="F498" s="14" t="n">
        <x:v>0.3</x:v>
      </x:c>
      <x:c r="G498" s="17" t="n">
        <x:v>1</x:v>
      </x:c>
      <x:c r="H498" s="14" t="str">
        <x:v>S02-08:A:evaluation_utterance_end</x:v>
      </x:c>
    </x:row>
    <x:row r="499" ht="72" customHeight="1">
      <x:c r="A499" s="14" t="str">
        <x:v>S02-08:A:meaning_adoption</x:v>
      </x:c>
      <x:c r="B499" s="14" t="str">
        <x:v>A</x:v>
      </x:c>
      <x:c r="C499" s="14" t="str">
        <x:v>meaning_adoption</x:v>
      </x:c>
      <x:c r="D499" s="14" t="n">
        <x:v>0.3</x:v>
      </x:c>
      <x:c r="E499" s="14" t="n">
        <x:v>0.876666667</x:v>
      </x:c>
      <x:c r="F499" s="14" t="n">
        <x:v>0.576666667</x:v>
      </x:c>
      <x:c r="G499" s="17" t="n">
        <x:v>1</x:v>
      </x:c>
      <x:c r="H499" s="14" t="str">
        <x:v>S02-08:A:final_transcript
S02-08:A:origin_interpretation</x:v>
      </x:c>
    </x:row>
    <x:row r="500" ht="72" customHeight="1">
      <x:c r="A500" s="14" t="str">
        <x:v>S02-08:A:apply_relation</x:v>
      </x:c>
      <x:c r="B500" s="14" t="str">
        <x:v>A</x:v>
      </x:c>
      <x:c r="C500" s="14" t="str">
        <x:v>apply_relation</x:v>
      </x:c>
      <x:c r="D500" s="14" t="n">
        <x:v>0.876666667</x:v>
      </x:c>
      <x:c r="E500" s="14" t="n">
        <x:v>0.916666667</x:v>
      </x:c>
      <x:c r="F500" s="14" t="n">
        <x:v>0.04</x:v>
      </x:c>
      <x:c r="G500" s="17" t="n">
        <x:v>1</x:v>
      </x:c>
      <x:c r="H500" s="14" t="str">
        <x:v>S02-08:A:meaning_adoption</x:v>
      </x:c>
    </x:row>
    <x:row r="501" ht="72" customHeight="1">
      <x:c r="A501" s="14" t="str">
        <x:v>S02-08:A:evaluation_first_display</x:v>
      </x:c>
      <x:c r="B501" s="14" t="str">
        <x:v>A</x:v>
      </x:c>
      <x:c r="C501" s="14" t="str">
        <x:v>evaluation_first_display</x:v>
      </x:c>
      <x:c r="D501" s="14" t="n">
        <x:v>0.916666667</x:v>
      </x:c>
      <x:c r="E501" s="14" t="n">
        <x:v>0.956666667</x:v>
      </x:c>
      <x:c r="F501" s="14" t="n">
        <x:v>0.04</x:v>
      </x:c>
      <x:c r="G501" s="17" t="n">
        <x:v>1</x:v>
      </x:c>
      <x:c r="H501" s="14" t="str">
        <x:v>S02-08:A:apply_relation</x:v>
      </x:c>
    </x:row>
    <x:row r="502" ht="72" customHeight="1">
      <x:c r="A502" s="14" t="str">
        <x:v>S02-08:A:source_question</x:v>
      </x:c>
      <x:c r="B502" s="14" t="str">
        <x:v>A</x:v>
      </x:c>
      <x:c r="C502" s="14" t="str">
        <x:v>source_question</x:v>
      </x:c>
      <x:c r="D502" s="14" t="n">
        <x:v>-5.04</x:v>
      </x:c>
      <x:c r="E502" s="14" t="n">
        <x:v>-1.4</x:v>
      </x:c>
      <x:c r="F502" s="14" t="n">
        <x:v>3.64</x:v>
      </x:c>
      <x:c r="G502" s="17" t="n">
        <x:v>0</x:v>
      </x:c>
      <x:c r="H502" s="14" t="str">
        <x:v>S02-08:A:original_handoff</x:v>
      </x:c>
    </x:row>
    <x:row r="503" ht="72" customHeight="1">
      <x:c r="A503" s="14" t="str">
        <x:v>S02-08:A:display_question</x:v>
      </x:c>
      <x:c r="B503" s="14" t="str">
        <x:v>A</x:v>
      </x:c>
      <x:c r="C503" s="14" t="str">
        <x:v>display_question</x:v>
      </x:c>
      <x:c r="D503" s="14" t="n">
        <x:v>-1.4</x:v>
      </x:c>
      <x:c r="E503" s="14" t="n">
        <x:v>-1.36</x:v>
      </x:c>
      <x:c r="F503" s="14" t="n">
        <x:v>0.04</x:v>
      </x:c>
      <x:c r="G503" s="17" t="n">
        <x:v>1</x:v>
      </x:c>
      <x:c r="H503" s="14" t="str">
        <x:v>S02-08:A:source_question</x:v>
      </x:c>
    </x:row>
    <x:row r="504" ht="72" customHeight="1">
      <x:c r="A504" s="14" t="str">
        <x:v>S02-08:A:select_question</x:v>
      </x:c>
      <x:c r="B504" s="14" t="str">
        <x:v>A</x:v>
      </x:c>
      <x:c r="C504" s="14" t="str">
        <x:v>select_question</x:v>
      </x:c>
      <x:c r="D504" s="14" t="n">
        <x:v>0.916666667</x:v>
      </x:c>
      <x:c r="E504" s="14" t="n">
        <x:v>0.916666667</x:v>
      </x:c>
      <x:c r="F504" s="14" t="n">
        <x:v>0</x:v>
      </x:c>
      <x:c r="G504" s="17" t="n">
        <x:v>1</x:v>
      </x:c>
      <x:c r="H504" s="14" t="str">
        <x:v>S02-08:A:apply_relation
S02-08:A:source_question</x:v>
      </x:c>
    </x:row>
    <x:row r="505" ht="72" customHeight="1">
      <x:c r="A505" s="14" t="str">
        <x:v>S02-08:A:question_first</x:v>
      </x:c>
      <x:c r="B505" s="14" t="str">
        <x:v>A</x:v>
      </x:c>
      <x:c r="C505" s="14" t="str">
        <x:v>question_first</x:v>
      </x:c>
      <x:c r="D505" s="14" t="n">
        <x:v>-1.4</x:v>
      </x:c>
      <x:c r="E505" s="14" t="n">
        <x:v>-0.999</x:v>
      </x:c>
      <x:c r="F505" s="14" t="n">
        <x:v>0.401</x:v>
      </x:c>
      <x:c r="G505" s="17" t="n">
        <x:v>1</x:v>
      </x:c>
      <x:c r="H505" s="14" t="str">
        <x:v>S02-08:A:source_question</x:v>
      </x:c>
    </x:row>
    <x:row r="506" ht="72" customHeight="1">
      <x:c r="A506" s="14" t="str">
        <x:v>S02-08:A:question_tail</x:v>
      </x:c>
      <x:c r="B506" s="14" t="str">
        <x:v>A</x:v>
      </x:c>
      <x:c r="C506" s="14" t="str">
        <x:v>question_tail</x:v>
      </x:c>
      <x:c r="D506" s="14" t="n">
        <x:v>-0.999</x:v>
      </x:c>
      <x:c r="E506" s="14" t="n">
        <x:v>-0.3415</x:v>
      </x:c>
      <x:c r="F506" s="14" t="n">
        <x:v>0.6575</x:v>
      </x:c>
      <x:c r="G506" s="17" t="n">
        <x:v>1</x:v>
      </x:c>
      <x:c r="H506" s="14" t="str">
        <x:v>S02-08:A:question_first</x:v>
      </x:c>
    </x:row>
    <x:row r="507" ht="72" customHeight="1">
      <x:c r="A507" s="14" t="str">
        <x:v>S02-08:A:question_device</x:v>
      </x:c>
      <x:c r="B507" s="14" t="str">
        <x:v>A</x:v>
      </x:c>
      <x:c r="C507" s="14" t="str">
        <x:v>question_device</x:v>
      </x:c>
      <x:c r="D507" s="14" t="n">
        <x:v>0.916666667</x:v>
      </x:c>
      <x:c r="E507" s="14" t="n">
        <x:v>0.956666667</x:v>
      </x:c>
      <x:c r="F507" s="14" t="n">
        <x:v>0.04</x:v>
      </x:c>
      <x:c r="G507" s="17" t="n">
        <x:v>1</x:v>
      </x:c>
      <x:c r="H507" s="14" t="str">
        <x:v>S02-08:A:select_question
S02-08:A:question_first</x:v>
      </x:c>
    </x:row>
    <x:row r="508" ht="72" customHeight="1">
      <x:c r="A508" s="14" t="str">
        <x:v>S02-08:A:question_played</x:v>
      </x:c>
      <x:c r="B508" s="14" t="str">
        <x:v>A</x:v>
      </x:c>
      <x:c r="C508" s="14" t="str">
        <x:v>question_played</x:v>
      </x:c>
      <x:c r="D508" s="14" t="n">
        <x:v>0.956666667</x:v>
      </x:c>
      <x:c r="E508" s="14" t="n">
        <x:v>3.786666667</x:v>
      </x:c>
      <x:c r="F508" s="14" t="n">
        <x:v>2.83</x:v>
      </x:c>
      <x:c r="G508" s="17" t="n">
        <x:v>0</x:v>
      </x:c>
      <x:c r="H508" s="14" t="str">
        <x:v>S02-08:A:question_device</x:v>
      </x:c>
    </x:row>
    <x:row r="509" ht="72" customHeight="1">
      <x:c r="A509" s="14" t="str">
        <x:v>S02-08:B:origin</x:v>
      </x:c>
      <x:c r="B509" s="14" t="str">
        <x:v>B</x:v>
      </x:c>
      <x:c r="C509" s="14" t="str">
        <x:v>origin</x:v>
      </x:c>
      <x:c r="D509" s="14" t="n">
        <x:v>-6</x:v>
      </x:c>
      <x:c r="E509" s="14" t="n">
        <x:v>-6</x:v>
      </x:c>
      <x:c r="F509" s="14" t="n">
        <x:v>0</x:v>
      </x:c>
      <x:c r="G509" s="17" t="n">
        <x:v>0</x:v>
      </x:c>
      <x:c r="H509" s="14" t="str"/>
    </x:row>
    <x:row r="510" ht="72" customHeight="1">
      <x:c r="A510" s="14" t="str">
        <x:v>S02-08:B:origin_interpretation</x:v>
      </x:c>
      <x:c r="B510" s="14" t="str">
        <x:v>B</x:v>
      </x:c>
      <x:c r="C510" s="14" t="str">
        <x:v>origin_interpretation</x:v>
      </x:c>
      <x:c r="D510" s="14" t="n">
        <x:v>-6</x:v>
      </x:c>
      <x:c r="E510" s="14" t="n">
        <x:v>-5.16</x:v>
      </x:c>
      <x:c r="F510" s="14" t="n">
        <x:v>0.84</x:v>
      </x:c>
      <x:c r="G510" s="17" t="n">
        <x:v>1</x:v>
      </x:c>
      <x:c r="H510" s="14" t="str">
        <x:v>S02-08:B:origin</x:v>
      </x:c>
    </x:row>
    <x:row r="511" ht="72" customHeight="1">
      <x:c r="A511" s="14" t="str">
        <x:v>S02-08:B:original_handoff</x:v>
      </x:c>
      <x:c r="B511" s="14" t="str">
        <x:v>B</x:v>
      </x:c>
      <x:c r="C511" s="14" t="str">
        <x:v>original_handoff</x:v>
      </x:c>
      <x:c r="D511" s="14" t="n">
        <x:v>-5.16</x:v>
      </x:c>
      <x:c r="E511" s="14" t="n">
        <x:v>-5.04</x:v>
      </x:c>
      <x:c r="F511" s="14" t="n">
        <x:v>0.12</x:v>
      </x:c>
      <x:c r="G511" s="17" t="n">
        <x:v>1</x:v>
      </x:c>
      <x:c r="H511" s="14" t="str">
        <x:v>S02-08:B:origin_interpretation</x:v>
      </x:c>
    </x:row>
    <x:row r="512" ht="72" customHeight="1">
      <x:c r="A512" s="14" t="str">
        <x:v>S02-08:B:evaluation_utterance_end</x:v>
      </x:c>
      <x:c r="B512" s="14" t="str">
        <x:v>B</x:v>
      </x:c>
      <x:c r="C512" s="14" t="str">
        <x:v>evaluation_utterance_end</x:v>
      </x:c>
      <x:c r="D512" s="14" t="n">
        <x:v>-6</x:v>
      </x:c>
      <x:c r="E512" s="14" t="n">
        <x:v>0</x:v>
      </x:c>
      <x:c r="F512" s="14" t="n">
        <x:v>6</x:v>
      </x:c>
      <x:c r="G512" s="17" t="n">
        <x:v>0</x:v>
      </x:c>
      <x:c r="H512" s="14" t="str">
        <x:v>S02-08:B:origin</x:v>
      </x:c>
    </x:row>
    <x:row r="513" ht="72" customHeight="1">
      <x:c r="A513" s="14" t="str">
        <x:v>S02-08:B:final_transcript</x:v>
      </x:c>
      <x:c r="B513" s="14" t="str">
        <x:v>B</x:v>
      </x:c>
      <x:c r="C513" s="14" t="str">
        <x:v>final_transcript</x:v>
      </x:c>
      <x:c r="D513" s="14" t="n">
        <x:v>0</x:v>
      </x:c>
      <x:c r="E513" s="14" t="n">
        <x:v>0.3</x:v>
      </x:c>
      <x:c r="F513" s="14" t="n">
        <x:v>0.3</x:v>
      </x:c>
      <x:c r="G513" s="17" t="n">
        <x:v>1</x:v>
      </x:c>
      <x:c r="H513" s="14" t="str">
        <x:v>S02-08:B:evaluation_utterance_end</x:v>
      </x:c>
    </x:row>
    <x:row r="514" ht="72" customHeight="1">
      <x:c r="A514" s="14" t="str">
        <x:v>S02-08:B:meaning_adoption</x:v>
      </x:c>
      <x:c r="B514" s="14" t="str">
        <x:v>B</x:v>
      </x:c>
      <x:c r="C514" s="14" t="str">
        <x:v>meaning_adoption</x:v>
      </x:c>
      <x:c r="D514" s="14" t="n">
        <x:v>0.3</x:v>
      </x:c>
      <x:c r="E514" s="14" t="n">
        <x:v>0.876666667</x:v>
      </x:c>
      <x:c r="F514" s="14" t="n">
        <x:v>0.576666667</x:v>
      </x:c>
      <x:c r="G514" s="17" t="n">
        <x:v>1</x:v>
      </x:c>
      <x:c r="H514" s="14" t="str">
        <x:v>S02-08:B:final_transcript
S02-08:B:origin_interpretation</x:v>
      </x:c>
    </x:row>
    <x:row r="515" ht="72" customHeight="1">
      <x:c r="A515" s="14" t="str">
        <x:v>S02-08:B:apply_relation</x:v>
      </x:c>
      <x:c r="B515" s="14" t="str">
        <x:v>B</x:v>
      </x:c>
      <x:c r="C515" s="14" t="str">
        <x:v>apply_relation</x:v>
      </x:c>
      <x:c r="D515" s="14" t="n">
        <x:v>0.876666667</x:v>
      </x:c>
      <x:c r="E515" s="14" t="n">
        <x:v>0.916666667</x:v>
      </x:c>
      <x:c r="F515" s="14" t="n">
        <x:v>0.04</x:v>
      </x:c>
      <x:c r="G515" s="17" t="n">
        <x:v>1</x:v>
      </x:c>
      <x:c r="H515" s="14" t="str">
        <x:v>S02-08:B:meaning_adoption</x:v>
      </x:c>
    </x:row>
    <x:row r="516" ht="72" customHeight="1">
      <x:c r="A516" s="14" t="str">
        <x:v>S02-08:B:evaluation_first_display</x:v>
      </x:c>
      <x:c r="B516" s="14" t="str">
        <x:v>B</x:v>
      </x:c>
      <x:c r="C516" s="14" t="str">
        <x:v>evaluation_first_display</x:v>
      </x:c>
      <x:c r="D516" s="14" t="n">
        <x:v>0.916666667</x:v>
      </x:c>
      <x:c r="E516" s="14" t="n">
        <x:v>0.956666667</x:v>
      </x:c>
      <x:c r="F516" s="14" t="n">
        <x:v>0.04</x:v>
      </x:c>
      <x:c r="G516" s="17" t="n">
        <x:v>1</x:v>
      </x:c>
      <x:c r="H516" s="14" t="str">
        <x:v>S02-08:B:apply_relation</x:v>
      </x:c>
    </x:row>
    <x:row r="517" ht="72" customHeight="1">
      <x:c r="A517" s="14" t="str">
        <x:v>S02-08:B:source_question</x:v>
      </x:c>
      <x:c r="B517" s="14" t="str">
        <x:v>B</x:v>
      </x:c>
      <x:c r="C517" s="14" t="str">
        <x:v>source_question</x:v>
      </x:c>
      <x:c r="D517" s="14" t="n">
        <x:v>-5.04</x:v>
      </x:c>
      <x:c r="E517" s="14" t="n">
        <x:v>-1.4</x:v>
      </x:c>
      <x:c r="F517" s="14" t="n">
        <x:v>3.64</x:v>
      </x:c>
      <x:c r="G517" s="17" t="n">
        <x:v>0</x:v>
      </x:c>
      <x:c r="H517" s="14" t="str">
        <x:v>S02-08:B:original_handoff</x:v>
      </x:c>
    </x:row>
    <x:row r="518" ht="72" customHeight="1">
      <x:c r="A518" s="14" t="str">
        <x:v>S02-08:B:display_question</x:v>
      </x:c>
      <x:c r="B518" s="14" t="str">
        <x:v>B</x:v>
      </x:c>
      <x:c r="C518" s="14" t="str">
        <x:v>display_question</x:v>
      </x:c>
      <x:c r="D518" s="14" t="n">
        <x:v>-1.4</x:v>
      </x:c>
      <x:c r="E518" s="14" t="n">
        <x:v>-1.36</x:v>
      </x:c>
      <x:c r="F518" s="14" t="n">
        <x:v>0.04</x:v>
      </x:c>
      <x:c r="G518" s="17" t="n">
        <x:v>1</x:v>
      </x:c>
      <x:c r="H518" s="14" t="str">
        <x:v>S02-08:B:source_question</x:v>
      </x:c>
    </x:row>
    <x:row r="519" ht="72" customHeight="1">
      <x:c r="A519" s="14" t="str">
        <x:v>S02-08:B:select_question</x:v>
      </x:c>
      <x:c r="B519" s="14" t="str">
        <x:v>B</x:v>
      </x:c>
      <x:c r="C519" s="14" t="str">
        <x:v>select_question</x:v>
      </x:c>
      <x:c r="D519" s="14" t="n">
        <x:v>0.916666667</x:v>
      </x:c>
      <x:c r="E519" s="14" t="n">
        <x:v>0.916666667</x:v>
      </x:c>
      <x:c r="F519" s="14" t="n">
        <x:v>0</x:v>
      </x:c>
      <x:c r="G519" s="17" t="n">
        <x:v>1</x:v>
      </x:c>
      <x:c r="H519" s="14" t="str">
        <x:v>S02-08:B:apply_relation
S02-08:B:source_question</x:v>
      </x:c>
    </x:row>
    <x:row r="520" ht="72" customHeight="1">
      <x:c r="A520" s="14" t="str">
        <x:v>S02-08:B:question_first</x:v>
      </x:c>
      <x:c r="B520" s="14" t="str">
        <x:v>B</x:v>
      </x:c>
      <x:c r="C520" s="14" t="str">
        <x:v>question_first</x:v>
      </x:c>
      <x:c r="D520" s="14" t="n">
        <x:v>0.916666667</x:v>
      </x:c>
      <x:c r="E520" s="14" t="n">
        <x:v>1.317666667</x:v>
      </x:c>
      <x:c r="F520" s="14" t="n">
        <x:v>0.401</x:v>
      </x:c>
      <x:c r="G520" s="17" t="n">
        <x:v>1</x:v>
      </x:c>
      <x:c r="H520" s="14" t="str">
        <x:v>S02-08:B:select_question</x:v>
      </x:c>
    </x:row>
    <x:row r="521" ht="72" customHeight="1">
      <x:c r="A521" s="14" t="str">
        <x:v>S02-08:B:question_tail</x:v>
      </x:c>
      <x:c r="B521" s="14" t="str">
        <x:v>B</x:v>
      </x:c>
      <x:c r="C521" s="14" t="str">
        <x:v>question_tail</x:v>
      </x:c>
      <x:c r="D521" s="14" t="n">
        <x:v>1.317666667</x:v>
      </x:c>
      <x:c r="E521" s="14" t="n">
        <x:v>1.975166667</x:v>
      </x:c>
      <x:c r="F521" s="14" t="n">
        <x:v>0.6575</x:v>
      </x:c>
      <x:c r="G521" s="17" t="n">
        <x:v>1</x:v>
      </x:c>
      <x:c r="H521" s="14" t="str">
        <x:v>S02-08:B:question_first</x:v>
      </x:c>
    </x:row>
    <x:row r="522" ht="72" customHeight="1">
      <x:c r="A522" s="14" t="str">
        <x:v>S02-08:B:question_device</x:v>
      </x:c>
      <x:c r="B522" s="14" t="str">
        <x:v>B</x:v>
      </x:c>
      <x:c r="C522" s="14" t="str">
        <x:v>question_device</x:v>
      </x:c>
      <x:c r="D522" s="14" t="n">
        <x:v>1.317666667</x:v>
      </x:c>
      <x:c r="E522" s="14" t="n">
        <x:v>1.357666667</x:v>
      </x:c>
      <x:c r="F522" s="14" t="n">
        <x:v>0.04</x:v>
      </x:c>
      <x:c r="G522" s="17" t="n">
        <x:v>1</x:v>
      </x:c>
      <x:c r="H522" s="14" t="str">
        <x:v>S02-08:B:select_question
S02-08:B:question_first</x:v>
      </x:c>
    </x:row>
    <x:row r="523" ht="72" customHeight="1">
      <x:c r="A523" s="14" t="str">
        <x:v>S02-08:B:question_played</x:v>
      </x:c>
      <x:c r="B523" s="14" t="str">
        <x:v>B</x:v>
      </x:c>
      <x:c r="C523" s="14" t="str">
        <x:v>question_played</x:v>
      </x:c>
      <x:c r="D523" s="14" t="n">
        <x:v>1.357666667</x:v>
      </x:c>
      <x:c r="E523" s="14" t="n">
        <x:v>4.187666667</x:v>
      </x:c>
      <x:c r="F523" s="14" t="n">
        <x:v>2.83</x:v>
      </x:c>
      <x:c r="G523" s="17" t="n">
        <x:v>0</x:v>
      </x:c>
      <x:c r="H523" s="14" t="str">
        <x:v>S02-08:B:question_device</x:v>
      </x:c>
    </x:row>
    <x:row r="524" ht="72" customHeight="1">
      <x:c r="A524" s="14" t="str">
        <x:v>S02-09:A:origin</x:v>
      </x:c>
      <x:c r="B524" s="14" t="str">
        <x:v>A</x:v>
      </x:c>
      <x:c r="C524" s="14" t="str">
        <x:v>origin</x:v>
      </x:c>
      <x:c r="D524" s="14" t="n">
        <x:v>-6</x:v>
      </x:c>
      <x:c r="E524" s="14" t="n">
        <x:v>-6</x:v>
      </x:c>
      <x:c r="F524" s="14" t="n">
        <x:v>0</x:v>
      </x:c>
      <x:c r="G524" s="17" t="n">
        <x:v>0</x:v>
      </x:c>
      <x:c r="H524" s="14" t="str"/>
    </x:row>
    <x:row r="525" ht="72" customHeight="1">
      <x:c r="A525" s="14" t="str">
        <x:v>S02-09:A:origin_interpretation</x:v>
      </x:c>
      <x:c r="B525" s="14" t="str">
        <x:v>A</x:v>
      </x:c>
      <x:c r="C525" s="14" t="str">
        <x:v>origin_interpretation</x:v>
      </x:c>
      <x:c r="D525" s="14" t="n">
        <x:v>-6</x:v>
      </x:c>
      <x:c r="E525" s="14" t="n">
        <x:v>-5.16</x:v>
      </x:c>
      <x:c r="F525" s="14" t="n">
        <x:v>0.84</x:v>
      </x:c>
      <x:c r="G525" s="17" t="n">
        <x:v>1</x:v>
      </x:c>
      <x:c r="H525" s="14" t="str">
        <x:v>S02-09:A:origin</x:v>
      </x:c>
    </x:row>
    <x:row r="526" ht="72" customHeight="1">
      <x:c r="A526" s="14" t="str">
        <x:v>S02-09:A:original_handoff</x:v>
      </x:c>
      <x:c r="B526" s="14" t="str">
        <x:v>A</x:v>
      </x:c>
      <x:c r="C526" s="14" t="str">
        <x:v>original_handoff</x:v>
      </x:c>
      <x:c r="D526" s="14" t="n">
        <x:v>-5.16</x:v>
      </x:c>
      <x:c r="E526" s="14" t="n">
        <x:v>-5.04</x:v>
      </x:c>
      <x:c r="F526" s="14" t="n">
        <x:v>0.12</x:v>
      </x:c>
      <x:c r="G526" s="17" t="n">
        <x:v>1</x:v>
      </x:c>
      <x:c r="H526" s="14" t="str">
        <x:v>S02-09:A:origin_interpretation</x:v>
      </x:c>
    </x:row>
    <x:row r="527" ht="72" customHeight="1">
      <x:c r="A527" s="14" t="str">
        <x:v>S02-09:A:evaluation_utterance_end</x:v>
      </x:c>
      <x:c r="B527" s="14" t="str">
        <x:v>A</x:v>
      </x:c>
      <x:c r="C527" s="14" t="str">
        <x:v>evaluation_utterance_end</x:v>
      </x:c>
      <x:c r="D527" s="14" t="n">
        <x:v>-6</x:v>
      </x:c>
      <x:c r="E527" s="14" t="n">
        <x:v>0</x:v>
      </x:c>
      <x:c r="F527" s="14" t="n">
        <x:v>6</x:v>
      </x:c>
      <x:c r="G527" s="17" t="n">
        <x:v>0</x:v>
      </x:c>
      <x:c r="H527" s="14" t="str">
        <x:v>S02-09:A:origin</x:v>
      </x:c>
    </x:row>
    <x:row r="528" ht="72" customHeight="1">
      <x:c r="A528" s="14" t="str">
        <x:v>S02-09:A:final_transcript</x:v>
      </x:c>
      <x:c r="B528" s="14" t="str">
        <x:v>A</x:v>
      </x:c>
      <x:c r="C528" s="14" t="str">
        <x:v>final_transcript</x:v>
      </x:c>
      <x:c r="D528" s="14" t="n">
        <x:v>0</x:v>
      </x:c>
      <x:c r="E528" s="14" t="n">
        <x:v>0.3</x:v>
      </x:c>
      <x:c r="F528" s="14" t="n">
        <x:v>0.3</x:v>
      </x:c>
      <x:c r="G528" s="17" t="n">
        <x:v>1</x:v>
      </x:c>
      <x:c r="H528" s="14" t="str">
        <x:v>S02-09:A:evaluation_utterance_end</x:v>
      </x:c>
    </x:row>
    <x:row r="529" ht="72" customHeight="1">
      <x:c r="A529" s="14" t="str">
        <x:v>S02-09:A:meaning_adoption</x:v>
      </x:c>
      <x:c r="B529" s="14" t="str">
        <x:v>A</x:v>
      </x:c>
      <x:c r="C529" s="14" t="str">
        <x:v>meaning_adoption</x:v>
      </x:c>
      <x:c r="D529" s="14" t="n">
        <x:v>0.3</x:v>
      </x:c>
      <x:c r="E529" s="14" t="n">
        <x:v>0.83</x:v>
      </x:c>
      <x:c r="F529" s="14" t="n">
        <x:v>0.53</x:v>
      </x:c>
      <x:c r="G529" s="17" t="n">
        <x:v>1</x:v>
      </x:c>
      <x:c r="H529" s="14" t="str">
        <x:v>S02-09:A:final_transcript
S02-09:A:origin_interpretation</x:v>
      </x:c>
    </x:row>
    <x:row r="530" ht="72" customHeight="1">
      <x:c r="A530" s="14" t="str">
        <x:v>S02-09:A:apply_relation</x:v>
      </x:c>
      <x:c r="B530" s="14" t="str">
        <x:v>A</x:v>
      </x:c>
      <x:c r="C530" s="14" t="str">
        <x:v>apply_relation</x:v>
      </x:c>
      <x:c r="D530" s="14" t="n">
        <x:v>0.83</x:v>
      </x:c>
      <x:c r="E530" s="14" t="n">
        <x:v>0.87</x:v>
      </x:c>
      <x:c r="F530" s="14" t="n">
        <x:v>0.04</x:v>
      </x:c>
      <x:c r="G530" s="17" t="n">
        <x:v>1</x:v>
      </x:c>
      <x:c r="H530" s="14" t="str">
        <x:v>S02-09:A:meaning_adoption</x:v>
      </x:c>
    </x:row>
    <x:row r="531" ht="72" customHeight="1">
      <x:c r="A531" s="14" t="str">
        <x:v>S02-09:A:evaluation_first_display</x:v>
      </x:c>
      <x:c r="B531" s="14" t="str">
        <x:v>A</x:v>
      </x:c>
      <x:c r="C531" s="14" t="str">
        <x:v>evaluation_first_display</x:v>
      </x:c>
      <x:c r="D531" s="14" t="n">
        <x:v>0.87</x:v>
      </x:c>
      <x:c r="E531" s="14" t="n">
        <x:v>0.91</x:v>
      </x:c>
      <x:c r="F531" s="14" t="n">
        <x:v>0.04</x:v>
      </x:c>
      <x:c r="G531" s="17" t="n">
        <x:v>1</x:v>
      </x:c>
      <x:c r="H531" s="14" t="str">
        <x:v>S02-09:A:apply_relation</x:v>
      </x:c>
    </x:row>
    <x:row r="532" ht="72" customHeight="1">
      <x:c r="A532" s="14" t="str">
        <x:v>S02-09:A:source_question</x:v>
      </x:c>
      <x:c r="B532" s="14" t="str">
        <x:v>A</x:v>
      </x:c>
      <x:c r="C532" s="14" t="str">
        <x:v>source_question</x:v>
      </x:c>
      <x:c r="D532" s="14" t="n">
        <x:v>-5.04</x:v>
      </x:c>
      <x:c r="E532" s="14" t="n">
        <x:v>-1.4</x:v>
      </x:c>
      <x:c r="F532" s="14" t="n">
        <x:v>3.64</x:v>
      </x:c>
      <x:c r="G532" s="17" t="n">
        <x:v>0</x:v>
      </x:c>
      <x:c r="H532" s="14" t="str">
        <x:v>S02-09:A:original_handoff</x:v>
      </x:c>
    </x:row>
    <x:row r="533" ht="72" customHeight="1">
      <x:c r="A533" s="14" t="str">
        <x:v>S02-09:A:display_question</x:v>
      </x:c>
      <x:c r="B533" s="14" t="str">
        <x:v>A</x:v>
      </x:c>
      <x:c r="C533" s="14" t="str">
        <x:v>display_question</x:v>
      </x:c>
      <x:c r="D533" s="14" t="n">
        <x:v>-1.4</x:v>
      </x:c>
      <x:c r="E533" s="14" t="n">
        <x:v>-1.36</x:v>
      </x:c>
      <x:c r="F533" s="14" t="n">
        <x:v>0.04</x:v>
      </x:c>
      <x:c r="G533" s="17" t="n">
        <x:v>1</x:v>
      </x:c>
      <x:c r="H533" s="14" t="str">
        <x:v>S02-09:A:source_question</x:v>
      </x:c>
    </x:row>
    <x:row r="534" ht="72" customHeight="1">
      <x:c r="A534" s="14" t="str">
        <x:v>S02-09:A:select_question</x:v>
      </x:c>
      <x:c r="B534" s="14" t="str">
        <x:v>A</x:v>
      </x:c>
      <x:c r="C534" s="14" t="str">
        <x:v>select_question</x:v>
      </x:c>
      <x:c r="D534" s="14" t="n">
        <x:v>0.87</x:v>
      </x:c>
      <x:c r="E534" s="14" t="n">
        <x:v>0.87</x:v>
      </x:c>
      <x:c r="F534" s="14" t="n">
        <x:v>0</x:v>
      </x:c>
      <x:c r="G534" s="17" t="n">
        <x:v>1</x:v>
      </x:c>
      <x:c r="H534" s="14" t="str">
        <x:v>S02-09:A:apply_relation
S02-09:A:source_question</x:v>
      </x:c>
    </x:row>
    <x:row r="535" ht="72" customHeight="1">
      <x:c r="A535" s="14" t="str">
        <x:v>S02-09:A:question_first</x:v>
      </x:c>
      <x:c r="B535" s="14" t="str">
        <x:v>A</x:v>
      </x:c>
      <x:c r="C535" s="14" t="str">
        <x:v>question_first</x:v>
      </x:c>
      <x:c r="D535" s="14" t="n">
        <x:v>-1.4</x:v>
      </x:c>
      <x:c r="E535" s="14" t="n">
        <x:v>-0.999</x:v>
      </x:c>
      <x:c r="F535" s="14" t="n">
        <x:v>0.401</x:v>
      </x:c>
      <x:c r="G535" s="17" t="n">
        <x:v>1</x:v>
      </x:c>
      <x:c r="H535" s="14" t="str">
        <x:v>S02-09:A:source_question</x:v>
      </x:c>
    </x:row>
    <x:row r="536" ht="72" customHeight="1">
      <x:c r="A536" s="14" t="str">
        <x:v>S02-09:A:question_tail</x:v>
      </x:c>
      <x:c r="B536" s="14" t="str">
        <x:v>A</x:v>
      </x:c>
      <x:c r="C536" s="14" t="str">
        <x:v>question_tail</x:v>
      </x:c>
      <x:c r="D536" s="14" t="n">
        <x:v>-0.999</x:v>
      </x:c>
      <x:c r="E536" s="14" t="n">
        <x:v>-0.3385</x:v>
      </x:c>
      <x:c r="F536" s="14" t="n">
        <x:v>0.6605</x:v>
      </x:c>
      <x:c r="G536" s="17" t="n">
        <x:v>1</x:v>
      </x:c>
      <x:c r="H536" s="14" t="str">
        <x:v>S02-09:A:question_first</x:v>
      </x:c>
    </x:row>
    <x:row r="537" ht="72" customHeight="1">
      <x:c r="A537" s="14" t="str">
        <x:v>S02-09:A:question_device</x:v>
      </x:c>
      <x:c r="B537" s="14" t="str">
        <x:v>A</x:v>
      </x:c>
      <x:c r="C537" s="14" t="str">
        <x:v>question_device</x:v>
      </x:c>
      <x:c r="D537" s="14" t="n">
        <x:v>0.87</x:v>
      </x:c>
      <x:c r="E537" s="14" t="n">
        <x:v>0.91</x:v>
      </x:c>
      <x:c r="F537" s="14" t="n">
        <x:v>0.04</x:v>
      </x:c>
      <x:c r="G537" s="17" t="n">
        <x:v>1</x:v>
      </x:c>
      <x:c r="H537" s="14" t="str">
        <x:v>S02-09:A:select_question
S02-09:A:question_first</x:v>
      </x:c>
    </x:row>
    <x:row r="538" ht="72" customHeight="1">
      <x:c r="A538" s="14" t="str">
        <x:v>S02-09:A:question_played</x:v>
      </x:c>
      <x:c r="B538" s="14" t="str">
        <x:v>A</x:v>
      </x:c>
      <x:c r="C538" s="14" t="str">
        <x:v>question_played</x:v>
      </x:c>
      <x:c r="D538" s="14" t="n">
        <x:v>0.91</x:v>
      </x:c>
      <x:c r="E538" s="14" t="n">
        <x:v>3.752</x:v>
      </x:c>
      <x:c r="F538" s="14" t="n">
        <x:v>2.842</x:v>
      </x:c>
      <x:c r="G538" s="17" t="n">
        <x:v>0</x:v>
      </x:c>
      <x:c r="H538" s="14" t="str">
        <x:v>S02-09:A:question_device</x:v>
      </x:c>
    </x:row>
    <x:row r="539" ht="72" customHeight="1">
      <x:c r="A539" s="14" t="str">
        <x:v>S02-09:B:origin</x:v>
      </x:c>
      <x:c r="B539" s="14" t="str">
        <x:v>B</x:v>
      </x:c>
      <x:c r="C539" s="14" t="str">
        <x:v>origin</x:v>
      </x:c>
      <x:c r="D539" s="14" t="n">
        <x:v>-6</x:v>
      </x:c>
      <x:c r="E539" s="14" t="n">
        <x:v>-6</x:v>
      </x:c>
      <x:c r="F539" s="14" t="n">
        <x:v>0</x:v>
      </x:c>
      <x:c r="G539" s="17" t="n">
        <x:v>0</x:v>
      </x:c>
      <x:c r="H539" s="14" t="str"/>
    </x:row>
    <x:row r="540" ht="72" customHeight="1">
      <x:c r="A540" s="14" t="str">
        <x:v>S02-09:B:origin_interpretation</x:v>
      </x:c>
      <x:c r="B540" s="14" t="str">
        <x:v>B</x:v>
      </x:c>
      <x:c r="C540" s="14" t="str">
        <x:v>origin_interpretation</x:v>
      </x:c>
      <x:c r="D540" s="14" t="n">
        <x:v>-6</x:v>
      </x:c>
      <x:c r="E540" s="14" t="n">
        <x:v>-5.16</x:v>
      </x:c>
      <x:c r="F540" s="14" t="n">
        <x:v>0.84</x:v>
      </x:c>
      <x:c r="G540" s="17" t="n">
        <x:v>1</x:v>
      </x:c>
      <x:c r="H540" s="14" t="str">
        <x:v>S02-09:B:origin</x:v>
      </x:c>
    </x:row>
    <x:row r="541" ht="72" customHeight="1">
      <x:c r="A541" s="14" t="str">
        <x:v>S02-09:B:original_handoff</x:v>
      </x:c>
      <x:c r="B541" s="14" t="str">
        <x:v>B</x:v>
      </x:c>
      <x:c r="C541" s="14" t="str">
        <x:v>original_handoff</x:v>
      </x:c>
      <x:c r="D541" s="14" t="n">
        <x:v>-5.16</x:v>
      </x:c>
      <x:c r="E541" s="14" t="n">
        <x:v>-5.04</x:v>
      </x:c>
      <x:c r="F541" s="14" t="n">
        <x:v>0.12</x:v>
      </x:c>
      <x:c r="G541" s="17" t="n">
        <x:v>1</x:v>
      </x:c>
      <x:c r="H541" s="14" t="str">
        <x:v>S02-09:B:origin_interpretation</x:v>
      </x:c>
    </x:row>
    <x:row r="542" ht="72" customHeight="1">
      <x:c r="A542" s="14" t="str">
        <x:v>S02-09:B:evaluation_utterance_end</x:v>
      </x:c>
      <x:c r="B542" s="14" t="str">
        <x:v>B</x:v>
      </x:c>
      <x:c r="C542" s="14" t="str">
        <x:v>evaluation_utterance_end</x:v>
      </x:c>
      <x:c r="D542" s="14" t="n">
        <x:v>-6</x:v>
      </x:c>
      <x:c r="E542" s="14" t="n">
        <x:v>0</x:v>
      </x:c>
      <x:c r="F542" s="14" t="n">
        <x:v>6</x:v>
      </x:c>
      <x:c r="G542" s="17" t="n">
        <x:v>0</x:v>
      </x:c>
      <x:c r="H542" s="14" t="str">
        <x:v>S02-09:B:origin</x:v>
      </x:c>
    </x:row>
    <x:row r="543" ht="72" customHeight="1">
      <x:c r="A543" s="14" t="str">
        <x:v>S02-09:B:final_transcript</x:v>
      </x:c>
      <x:c r="B543" s="14" t="str">
        <x:v>B</x:v>
      </x:c>
      <x:c r="C543" s="14" t="str">
        <x:v>final_transcript</x:v>
      </x:c>
      <x:c r="D543" s="14" t="n">
        <x:v>0</x:v>
      </x:c>
      <x:c r="E543" s="14" t="n">
        <x:v>0.3</x:v>
      </x:c>
      <x:c r="F543" s="14" t="n">
        <x:v>0.3</x:v>
      </x:c>
      <x:c r="G543" s="17" t="n">
        <x:v>1</x:v>
      </x:c>
      <x:c r="H543" s="14" t="str">
        <x:v>S02-09:B:evaluation_utterance_end</x:v>
      </x:c>
    </x:row>
    <x:row r="544" ht="72" customHeight="1">
      <x:c r="A544" s="14" t="str">
        <x:v>S02-09:B:meaning_adoption</x:v>
      </x:c>
      <x:c r="B544" s="14" t="str">
        <x:v>B</x:v>
      </x:c>
      <x:c r="C544" s="14" t="str">
        <x:v>meaning_adoption</x:v>
      </x:c>
      <x:c r="D544" s="14" t="n">
        <x:v>0.3</x:v>
      </x:c>
      <x:c r="E544" s="14" t="n">
        <x:v>0.83</x:v>
      </x:c>
      <x:c r="F544" s="14" t="n">
        <x:v>0.53</x:v>
      </x:c>
      <x:c r="G544" s="17" t="n">
        <x:v>1</x:v>
      </x:c>
      <x:c r="H544" s="14" t="str">
        <x:v>S02-09:B:final_transcript
S02-09:B:origin_interpretation</x:v>
      </x:c>
    </x:row>
    <x:row r="545" ht="72" customHeight="1">
      <x:c r="A545" s="14" t="str">
        <x:v>S02-09:B:apply_relation</x:v>
      </x:c>
      <x:c r="B545" s="14" t="str">
        <x:v>B</x:v>
      </x:c>
      <x:c r="C545" s="14" t="str">
        <x:v>apply_relation</x:v>
      </x:c>
      <x:c r="D545" s="14" t="n">
        <x:v>0.83</x:v>
      </x:c>
      <x:c r="E545" s="14" t="n">
        <x:v>0.87</x:v>
      </x:c>
      <x:c r="F545" s="14" t="n">
        <x:v>0.04</x:v>
      </x:c>
      <x:c r="G545" s="17" t="n">
        <x:v>1</x:v>
      </x:c>
      <x:c r="H545" s="14" t="str">
        <x:v>S02-09:B:meaning_adoption</x:v>
      </x:c>
    </x:row>
    <x:row r="546" ht="72" customHeight="1">
      <x:c r="A546" s="14" t="str">
        <x:v>S02-09:B:evaluation_first_display</x:v>
      </x:c>
      <x:c r="B546" s="14" t="str">
        <x:v>B</x:v>
      </x:c>
      <x:c r="C546" s="14" t="str">
        <x:v>evaluation_first_display</x:v>
      </x:c>
      <x:c r="D546" s="14" t="n">
        <x:v>0.87</x:v>
      </x:c>
      <x:c r="E546" s="14" t="n">
        <x:v>0.91</x:v>
      </x:c>
      <x:c r="F546" s="14" t="n">
        <x:v>0.04</x:v>
      </x:c>
      <x:c r="G546" s="17" t="n">
        <x:v>1</x:v>
      </x:c>
      <x:c r="H546" s="14" t="str">
        <x:v>S02-09:B:apply_relation</x:v>
      </x:c>
    </x:row>
    <x:row r="547" ht="72" customHeight="1">
      <x:c r="A547" s="14" t="str">
        <x:v>S02-09:B:source_question</x:v>
      </x:c>
      <x:c r="B547" s="14" t="str">
        <x:v>B</x:v>
      </x:c>
      <x:c r="C547" s="14" t="str">
        <x:v>source_question</x:v>
      </x:c>
      <x:c r="D547" s="14" t="n">
        <x:v>-5.04</x:v>
      </x:c>
      <x:c r="E547" s="14" t="n">
        <x:v>-1.4</x:v>
      </x:c>
      <x:c r="F547" s="14" t="n">
        <x:v>3.64</x:v>
      </x:c>
      <x:c r="G547" s="17" t="n">
        <x:v>0</x:v>
      </x:c>
      <x:c r="H547" s="14" t="str">
        <x:v>S02-09:B:original_handoff</x:v>
      </x:c>
    </x:row>
    <x:row r="548" ht="72" customHeight="1">
      <x:c r="A548" s="14" t="str">
        <x:v>S02-09:B:display_question</x:v>
      </x:c>
      <x:c r="B548" s="14" t="str">
        <x:v>B</x:v>
      </x:c>
      <x:c r="C548" s="14" t="str">
        <x:v>display_question</x:v>
      </x:c>
      <x:c r="D548" s="14" t="n">
        <x:v>-1.4</x:v>
      </x:c>
      <x:c r="E548" s="14" t="n">
        <x:v>-1.36</x:v>
      </x:c>
      <x:c r="F548" s="14" t="n">
        <x:v>0.04</x:v>
      </x:c>
      <x:c r="G548" s="17" t="n">
        <x:v>1</x:v>
      </x:c>
      <x:c r="H548" s="14" t="str">
        <x:v>S02-09:B:source_question</x:v>
      </x:c>
    </x:row>
    <x:row r="549" ht="72" customHeight="1">
      <x:c r="A549" s="14" t="str">
        <x:v>S02-09:B:select_question</x:v>
      </x:c>
      <x:c r="B549" s="14" t="str">
        <x:v>B</x:v>
      </x:c>
      <x:c r="C549" s="14" t="str">
        <x:v>select_question</x:v>
      </x:c>
      <x:c r="D549" s="14" t="n">
        <x:v>0.87</x:v>
      </x:c>
      <x:c r="E549" s="14" t="n">
        <x:v>0.87</x:v>
      </x:c>
      <x:c r="F549" s="14" t="n">
        <x:v>0</x:v>
      </x:c>
      <x:c r="G549" s="17" t="n">
        <x:v>1</x:v>
      </x:c>
      <x:c r="H549" s="14" t="str">
        <x:v>S02-09:B:apply_relation
S02-09:B:source_question</x:v>
      </x:c>
    </x:row>
    <x:row r="550" ht="72" customHeight="1">
      <x:c r="A550" s="14" t="str">
        <x:v>S02-09:B:question_first</x:v>
      </x:c>
      <x:c r="B550" s="14" t="str">
        <x:v>B</x:v>
      </x:c>
      <x:c r="C550" s="14" t="str">
        <x:v>question_first</x:v>
      </x:c>
      <x:c r="D550" s="14" t="n">
        <x:v>0.87</x:v>
      </x:c>
      <x:c r="E550" s="14" t="n">
        <x:v>1.271</x:v>
      </x:c>
      <x:c r="F550" s="14" t="n">
        <x:v>0.401</x:v>
      </x:c>
      <x:c r="G550" s="17" t="n">
        <x:v>1</x:v>
      </x:c>
      <x:c r="H550" s="14" t="str">
        <x:v>S02-09:B:select_question</x:v>
      </x:c>
    </x:row>
    <x:row r="551" ht="72" customHeight="1">
      <x:c r="A551" s="14" t="str">
        <x:v>S02-09:B:question_tail</x:v>
      </x:c>
      <x:c r="B551" s="14" t="str">
        <x:v>B</x:v>
      </x:c>
      <x:c r="C551" s="14" t="str">
        <x:v>question_tail</x:v>
      </x:c>
      <x:c r="D551" s="14" t="n">
        <x:v>1.271</x:v>
      </x:c>
      <x:c r="E551" s="14" t="n">
        <x:v>1.9315</x:v>
      </x:c>
      <x:c r="F551" s="14" t="n">
        <x:v>0.6605</x:v>
      </x:c>
      <x:c r="G551" s="17" t="n">
        <x:v>1</x:v>
      </x:c>
      <x:c r="H551" s="14" t="str">
        <x:v>S02-09:B:question_first</x:v>
      </x:c>
    </x:row>
    <x:row r="552" ht="72" customHeight="1">
      <x:c r="A552" s="14" t="str">
        <x:v>S02-09:B:question_device</x:v>
      </x:c>
      <x:c r="B552" s="14" t="str">
        <x:v>B</x:v>
      </x:c>
      <x:c r="C552" s="14" t="str">
        <x:v>question_device</x:v>
      </x:c>
      <x:c r="D552" s="14" t="n">
        <x:v>1.271</x:v>
      </x:c>
      <x:c r="E552" s="14" t="n">
        <x:v>1.311</x:v>
      </x:c>
      <x:c r="F552" s="14" t="n">
        <x:v>0.04</x:v>
      </x:c>
      <x:c r="G552" s="17" t="n">
        <x:v>1</x:v>
      </x:c>
      <x:c r="H552" s="14" t="str">
        <x:v>S02-09:B:select_question
S02-09:B:question_first</x:v>
      </x:c>
    </x:row>
    <x:row r="553" ht="72" customHeight="1">
      <x:c r="A553" s="14" t="str">
        <x:v>S02-09:B:question_played</x:v>
      </x:c>
      <x:c r="B553" s="14" t="str">
        <x:v>B</x:v>
      </x:c>
      <x:c r="C553" s="14" t="str">
        <x:v>question_played</x:v>
      </x:c>
      <x:c r="D553" s="14" t="n">
        <x:v>1.311</x:v>
      </x:c>
      <x:c r="E553" s="14" t="n">
        <x:v>4.153</x:v>
      </x:c>
      <x:c r="F553" s="14" t="n">
        <x:v>2.842</x:v>
      </x:c>
      <x:c r="G553" s="17" t="n">
        <x:v>0</x:v>
      </x:c>
      <x:c r="H553" s="14" t="str">
        <x:v>S02-09:B:question_device</x:v>
      </x:c>
    </x:row>
    <x:row r="554" ht="72" customHeight="1">
      <x:c r="A554" s="14" t="str">
        <x:v>S02-10:A:origin</x:v>
      </x:c>
      <x:c r="B554" s="14" t="str">
        <x:v>A</x:v>
      </x:c>
      <x:c r="C554" s="14" t="str">
        <x:v>origin</x:v>
      </x:c>
      <x:c r="D554" s="14" t="n">
        <x:v>-6</x:v>
      </x:c>
      <x:c r="E554" s="14" t="n">
        <x:v>-6</x:v>
      </x:c>
      <x:c r="F554" s="14" t="n">
        <x:v>0</x:v>
      </x:c>
      <x:c r="G554" s="17" t="n">
        <x:v>0</x:v>
      </x:c>
      <x:c r="H554" s="14" t="str"/>
    </x:row>
    <x:row r="555" ht="72" customHeight="1">
      <x:c r="A555" s="14" t="str">
        <x:v>S02-10:A:origin_interpretation</x:v>
      </x:c>
      <x:c r="B555" s="14" t="str">
        <x:v>A</x:v>
      </x:c>
      <x:c r="C555" s="14" t="str">
        <x:v>origin_interpretation</x:v>
      </x:c>
      <x:c r="D555" s="14" t="n">
        <x:v>-6</x:v>
      </x:c>
      <x:c r="E555" s="14" t="n">
        <x:v>-5.16</x:v>
      </x:c>
      <x:c r="F555" s="14" t="n">
        <x:v>0.84</x:v>
      </x:c>
      <x:c r="G555" s="17" t="n">
        <x:v>1</x:v>
      </x:c>
      <x:c r="H555" s="14" t="str">
        <x:v>S02-10:A:origin</x:v>
      </x:c>
    </x:row>
    <x:row r="556" ht="72" customHeight="1">
      <x:c r="A556" s="14" t="str">
        <x:v>S02-10:A:original_handoff</x:v>
      </x:c>
      <x:c r="B556" s="14" t="str">
        <x:v>A</x:v>
      </x:c>
      <x:c r="C556" s="14" t="str">
        <x:v>original_handoff</x:v>
      </x:c>
      <x:c r="D556" s="14" t="n">
        <x:v>-5.16</x:v>
      </x:c>
      <x:c r="E556" s="14" t="n">
        <x:v>-5.04</x:v>
      </x:c>
      <x:c r="F556" s="14" t="n">
        <x:v>0.12</x:v>
      </x:c>
      <x:c r="G556" s="17" t="n">
        <x:v>1</x:v>
      </x:c>
      <x:c r="H556" s="14" t="str">
        <x:v>S02-10:A:origin_interpretation</x:v>
      </x:c>
    </x:row>
    <x:row r="557" ht="72" customHeight="1">
      <x:c r="A557" s="14" t="str">
        <x:v>S02-10:A:evaluation_utterance_end</x:v>
      </x:c>
      <x:c r="B557" s="14" t="str">
        <x:v>A</x:v>
      </x:c>
      <x:c r="C557" s="14" t="str">
        <x:v>evaluation_utterance_end</x:v>
      </x:c>
      <x:c r="D557" s="14" t="n">
        <x:v>-6</x:v>
      </x:c>
      <x:c r="E557" s="14" t="n">
        <x:v>0</x:v>
      </x:c>
      <x:c r="F557" s="14" t="n">
        <x:v>6</x:v>
      </x:c>
      <x:c r="G557" s="17" t="n">
        <x:v>0</x:v>
      </x:c>
      <x:c r="H557" s="14" t="str">
        <x:v>S02-10:A:origin</x:v>
      </x:c>
    </x:row>
    <x:row r="558" ht="72" customHeight="1">
      <x:c r="A558" s="14" t="str">
        <x:v>S02-10:A:final_transcript</x:v>
      </x:c>
      <x:c r="B558" s="14" t="str">
        <x:v>A</x:v>
      </x:c>
      <x:c r="C558" s="14" t="str">
        <x:v>final_transcript</x:v>
      </x:c>
      <x:c r="D558" s="14" t="n">
        <x:v>0</x:v>
      </x:c>
      <x:c r="E558" s="14" t="n">
        <x:v>0.3</x:v>
      </x:c>
      <x:c r="F558" s="14" t="n">
        <x:v>0.3</x:v>
      </x:c>
      <x:c r="G558" s="17" t="n">
        <x:v>1</x:v>
      </x:c>
      <x:c r="H558" s="14" t="str">
        <x:v>S02-10:A:evaluation_utterance_end</x:v>
      </x:c>
    </x:row>
    <x:row r="559" ht="72" customHeight="1">
      <x:c r="A559" s="14" t="str">
        <x:v>S02-10:A:meaning_adoption</x:v>
      </x:c>
      <x:c r="B559" s="14" t="str">
        <x:v>A</x:v>
      </x:c>
      <x:c r="C559" s="14" t="str">
        <x:v>meaning_adoption</x:v>
      </x:c>
      <x:c r="D559" s="14" t="n">
        <x:v>0.3</x:v>
      </x:c>
      <x:c r="E559" s="14" t="n">
        <x:v>0.858333333</x:v>
      </x:c>
      <x:c r="F559" s="14" t="n">
        <x:v>0.558333333</x:v>
      </x:c>
      <x:c r="G559" s="17" t="n">
        <x:v>1</x:v>
      </x:c>
      <x:c r="H559" s="14" t="str">
        <x:v>S02-10:A:final_transcript
S02-10:A:origin_interpretation</x:v>
      </x:c>
    </x:row>
    <x:row r="560" ht="72" customHeight="1">
      <x:c r="A560" s="14" t="str">
        <x:v>S02-10:A:apply_relation</x:v>
      </x:c>
      <x:c r="B560" s="14" t="str">
        <x:v>A</x:v>
      </x:c>
      <x:c r="C560" s="14" t="str">
        <x:v>apply_relation</x:v>
      </x:c>
      <x:c r="D560" s="14" t="n">
        <x:v>0.858333333</x:v>
      </x:c>
      <x:c r="E560" s="14" t="n">
        <x:v>0.898333333</x:v>
      </x:c>
      <x:c r="F560" s="14" t="n">
        <x:v>0.04</x:v>
      </x:c>
      <x:c r="G560" s="17" t="n">
        <x:v>1</x:v>
      </x:c>
      <x:c r="H560" s="14" t="str">
        <x:v>S02-10:A:meaning_adoption</x:v>
      </x:c>
    </x:row>
    <x:row r="561" ht="72" customHeight="1">
      <x:c r="A561" s="14" t="str">
        <x:v>S02-10:A:evaluation_first_display</x:v>
      </x:c>
      <x:c r="B561" s="14" t="str">
        <x:v>A</x:v>
      </x:c>
      <x:c r="C561" s="14" t="str">
        <x:v>evaluation_first_display</x:v>
      </x:c>
      <x:c r="D561" s="14" t="n">
        <x:v>0.898333333</x:v>
      </x:c>
      <x:c r="E561" s="14" t="n">
        <x:v>0.938333333</x:v>
      </x:c>
      <x:c r="F561" s="14" t="n">
        <x:v>0.04</x:v>
      </x:c>
      <x:c r="G561" s="17" t="n">
        <x:v>1</x:v>
      </x:c>
      <x:c r="H561" s="14" t="str">
        <x:v>S02-10:A:apply_relation</x:v>
      </x:c>
    </x:row>
    <x:row r="562" ht="72" customHeight="1">
      <x:c r="A562" s="14" t="str">
        <x:v>S02-10:A:source_question</x:v>
      </x:c>
      <x:c r="B562" s="14" t="str">
        <x:v>A</x:v>
      </x:c>
      <x:c r="C562" s="14" t="str">
        <x:v>source_question</x:v>
      </x:c>
      <x:c r="D562" s="14" t="n">
        <x:v>-5.04</x:v>
      </x:c>
      <x:c r="E562" s="14" t="n">
        <x:v>-1.4</x:v>
      </x:c>
      <x:c r="F562" s="14" t="n">
        <x:v>3.64</x:v>
      </x:c>
      <x:c r="G562" s="17" t="n">
        <x:v>0</x:v>
      </x:c>
      <x:c r="H562" s="14" t="str">
        <x:v>S02-10:A:original_handoff</x:v>
      </x:c>
    </x:row>
    <x:row r="563" ht="72" customHeight="1">
      <x:c r="A563" s="14" t="str">
        <x:v>S02-10:A:display_question</x:v>
      </x:c>
      <x:c r="B563" s="14" t="str">
        <x:v>A</x:v>
      </x:c>
      <x:c r="C563" s="14" t="str">
        <x:v>display_question</x:v>
      </x:c>
      <x:c r="D563" s="14" t="n">
        <x:v>-1.4</x:v>
      </x:c>
      <x:c r="E563" s="14" t="n">
        <x:v>-1.36</x:v>
      </x:c>
      <x:c r="F563" s="14" t="n">
        <x:v>0.04</x:v>
      </x:c>
      <x:c r="G563" s="17" t="n">
        <x:v>1</x:v>
      </x:c>
      <x:c r="H563" s="14" t="str">
        <x:v>S02-10:A:source_question</x:v>
      </x:c>
    </x:row>
    <x:row r="564" ht="72" customHeight="1">
      <x:c r="A564" s="14" t="str">
        <x:v>S02-10:A:select_question</x:v>
      </x:c>
      <x:c r="B564" s="14" t="str">
        <x:v>A</x:v>
      </x:c>
      <x:c r="C564" s="14" t="str">
        <x:v>select_question</x:v>
      </x:c>
      <x:c r="D564" s="14" t="n">
        <x:v>0.898333333</x:v>
      </x:c>
      <x:c r="E564" s="14" t="n">
        <x:v>0.898333333</x:v>
      </x:c>
      <x:c r="F564" s="14" t="n">
        <x:v>0</x:v>
      </x:c>
      <x:c r="G564" s="17" t="n">
        <x:v>1</x:v>
      </x:c>
      <x:c r="H564" s="14" t="str">
        <x:v>S02-10:A:apply_relation
S02-10:A:source_question</x:v>
      </x:c>
    </x:row>
    <x:row r="565" ht="72" customHeight="1">
      <x:c r="A565" s="14" t="str">
        <x:v>S02-10:A:question_first</x:v>
      </x:c>
      <x:c r="B565" s="14" t="str">
        <x:v>A</x:v>
      </x:c>
      <x:c r="C565" s="14" t="str">
        <x:v>question_first</x:v>
      </x:c>
      <x:c r="D565" s="14" t="n">
        <x:v>-1.4</x:v>
      </x:c>
      <x:c r="E565" s="14" t="n">
        <x:v>-0.999</x:v>
      </x:c>
      <x:c r="F565" s="14" t="n">
        <x:v>0.401</x:v>
      </x:c>
      <x:c r="G565" s="17" t="n">
        <x:v>1</x:v>
      </x:c>
      <x:c r="H565" s="14" t="str">
        <x:v>S02-10:A:source_question</x:v>
      </x:c>
    </x:row>
    <x:row r="566" ht="72" customHeight="1">
      <x:c r="A566" s="14" t="str">
        <x:v>S02-10:A:question_tail</x:v>
      </x:c>
      <x:c r="B566" s="14" t="str">
        <x:v>A</x:v>
      </x:c>
      <x:c r="C566" s="14" t="str">
        <x:v>question_tail</x:v>
      </x:c>
      <x:c r="D566" s="14" t="n">
        <x:v>-0.999</x:v>
      </x:c>
      <x:c r="E566" s="14" t="n">
        <x:v>-0.3355</x:v>
      </x:c>
      <x:c r="F566" s="14" t="n">
        <x:v>0.6635</x:v>
      </x:c>
      <x:c r="G566" s="17" t="n">
        <x:v>1</x:v>
      </x:c>
      <x:c r="H566" s="14" t="str">
        <x:v>S02-10:A:question_first</x:v>
      </x:c>
    </x:row>
    <x:row r="567" ht="72" customHeight="1">
      <x:c r="A567" s="14" t="str">
        <x:v>S02-10:A:question_device</x:v>
      </x:c>
      <x:c r="B567" s="14" t="str">
        <x:v>A</x:v>
      </x:c>
      <x:c r="C567" s="14" t="str">
        <x:v>question_device</x:v>
      </x:c>
      <x:c r="D567" s="14" t="n">
        <x:v>0.898333333</x:v>
      </x:c>
      <x:c r="E567" s="14" t="n">
        <x:v>0.938333333</x:v>
      </x:c>
      <x:c r="F567" s="14" t="n">
        <x:v>0.04</x:v>
      </x:c>
      <x:c r="G567" s="17" t="n">
        <x:v>1</x:v>
      </x:c>
      <x:c r="H567" s="14" t="str">
        <x:v>S02-10:A:select_question
S02-10:A:question_first</x:v>
      </x:c>
    </x:row>
    <x:row r="568" ht="72" customHeight="1">
      <x:c r="A568" s="14" t="str">
        <x:v>S02-10:A:question_played</x:v>
      </x:c>
      <x:c r="B568" s="14" t="str">
        <x:v>A</x:v>
      </x:c>
      <x:c r="C568" s="14" t="str">
        <x:v>question_played</x:v>
      </x:c>
      <x:c r="D568" s="14" t="n">
        <x:v>0.938333333</x:v>
      </x:c>
      <x:c r="E568" s="14" t="n">
        <x:v>3.792333333</x:v>
      </x:c>
      <x:c r="F568" s="14" t="n">
        <x:v>2.854</x:v>
      </x:c>
      <x:c r="G568" s="17" t="n">
        <x:v>0</x:v>
      </x:c>
      <x:c r="H568" s="14" t="str">
        <x:v>S02-10:A:question_device</x:v>
      </x:c>
    </x:row>
    <x:row r="569" ht="72" customHeight="1">
      <x:c r="A569" s="14" t="str">
        <x:v>S02-10:B:origin</x:v>
      </x:c>
      <x:c r="B569" s="14" t="str">
        <x:v>B</x:v>
      </x:c>
      <x:c r="C569" s="14" t="str">
        <x:v>origin</x:v>
      </x:c>
      <x:c r="D569" s="14" t="n">
        <x:v>-6</x:v>
      </x:c>
      <x:c r="E569" s="14" t="n">
        <x:v>-6</x:v>
      </x:c>
      <x:c r="F569" s="14" t="n">
        <x:v>0</x:v>
      </x:c>
      <x:c r="G569" s="17" t="n">
        <x:v>0</x:v>
      </x:c>
      <x:c r="H569" s="14" t="str"/>
    </x:row>
    <x:row r="570" ht="72" customHeight="1">
      <x:c r="A570" s="14" t="str">
        <x:v>S02-10:B:origin_interpretation</x:v>
      </x:c>
      <x:c r="B570" s="14" t="str">
        <x:v>B</x:v>
      </x:c>
      <x:c r="C570" s="14" t="str">
        <x:v>origin_interpretation</x:v>
      </x:c>
      <x:c r="D570" s="14" t="n">
        <x:v>-6</x:v>
      </x:c>
      <x:c r="E570" s="14" t="n">
        <x:v>-5.16</x:v>
      </x:c>
      <x:c r="F570" s="14" t="n">
        <x:v>0.84</x:v>
      </x:c>
      <x:c r="G570" s="17" t="n">
        <x:v>1</x:v>
      </x:c>
      <x:c r="H570" s="14" t="str">
        <x:v>S02-10:B:origin</x:v>
      </x:c>
    </x:row>
    <x:row r="571" ht="72" customHeight="1">
      <x:c r="A571" s="14" t="str">
        <x:v>S02-10:B:original_handoff</x:v>
      </x:c>
      <x:c r="B571" s="14" t="str">
        <x:v>B</x:v>
      </x:c>
      <x:c r="C571" s="14" t="str">
        <x:v>original_handoff</x:v>
      </x:c>
      <x:c r="D571" s="14" t="n">
        <x:v>-5.16</x:v>
      </x:c>
      <x:c r="E571" s="14" t="n">
        <x:v>-5.04</x:v>
      </x:c>
      <x:c r="F571" s="14" t="n">
        <x:v>0.12</x:v>
      </x:c>
      <x:c r="G571" s="17" t="n">
        <x:v>1</x:v>
      </x:c>
      <x:c r="H571" s="14" t="str">
        <x:v>S02-10:B:origin_interpretation</x:v>
      </x:c>
    </x:row>
    <x:row r="572" ht="72" customHeight="1">
      <x:c r="A572" s="14" t="str">
        <x:v>S02-10:B:evaluation_utterance_end</x:v>
      </x:c>
      <x:c r="B572" s="14" t="str">
        <x:v>B</x:v>
      </x:c>
      <x:c r="C572" s="14" t="str">
        <x:v>evaluation_utterance_end</x:v>
      </x:c>
      <x:c r="D572" s="14" t="n">
        <x:v>-6</x:v>
      </x:c>
      <x:c r="E572" s="14" t="n">
        <x:v>0</x:v>
      </x:c>
      <x:c r="F572" s="14" t="n">
        <x:v>6</x:v>
      </x:c>
      <x:c r="G572" s="17" t="n">
        <x:v>0</x:v>
      </x:c>
      <x:c r="H572" s="14" t="str">
        <x:v>S02-10:B:origin</x:v>
      </x:c>
    </x:row>
    <x:row r="573" ht="72" customHeight="1">
      <x:c r="A573" s="14" t="str">
        <x:v>S02-10:B:final_transcript</x:v>
      </x:c>
      <x:c r="B573" s="14" t="str">
        <x:v>B</x:v>
      </x:c>
      <x:c r="C573" s="14" t="str">
        <x:v>final_transcript</x:v>
      </x:c>
      <x:c r="D573" s="14" t="n">
        <x:v>0</x:v>
      </x:c>
      <x:c r="E573" s="14" t="n">
        <x:v>0.3</x:v>
      </x:c>
      <x:c r="F573" s="14" t="n">
        <x:v>0.3</x:v>
      </x:c>
      <x:c r="G573" s="17" t="n">
        <x:v>1</x:v>
      </x:c>
      <x:c r="H573" s="14" t="str">
        <x:v>S02-10:B:evaluation_utterance_end</x:v>
      </x:c>
    </x:row>
    <x:row r="574" ht="72" customHeight="1">
      <x:c r="A574" s="14" t="str">
        <x:v>S02-10:B:meaning_adoption</x:v>
      </x:c>
      <x:c r="B574" s="14" t="str">
        <x:v>B</x:v>
      </x:c>
      <x:c r="C574" s="14" t="str">
        <x:v>meaning_adoption</x:v>
      </x:c>
      <x:c r="D574" s="14" t="n">
        <x:v>0.3</x:v>
      </x:c>
      <x:c r="E574" s="14" t="n">
        <x:v>0.858333333</x:v>
      </x:c>
      <x:c r="F574" s="14" t="n">
        <x:v>0.558333333</x:v>
      </x:c>
      <x:c r="G574" s="17" t="n">
        <x:v>1</x:v>
      </x:c>
      <x:c r="H574" s="14" t="str">
        <x:v>S02-10:B:final_transcript
S02-10:B:origin_interpretation</x:v>
      </x:c>
    </x:row>
    <x:row r="575" ht="72" customHeight="1">
      <x:c r="A575" s="14" t="str">
        <x:v>S02-10:B:apply_relation</x:v>
      </x:c>
      <x:c r="B575" s="14" t="str">
        <x:v>B</x:v>
      </x:c>
      <x:c r="C575" s="14" t="str">
        <x:v>apply_relation</x:v>
      </x:c>
      <x:c r="D575" s="14" t="n">
        <x:v>0.858333333</x:v>
      </x:c>
      <x:c r="E575" s="14" t="n">
        <x:v>0.898333333</x:v>
      </x:c>
      <x:c r="F575" s="14" t="n">
        <x:v>0.04</x:v>
      </x:c>
      <x:c r="G575" s="17" t="n">
        <x:v>1</x:v>
      </x:c>
      <x:c r="H575" s="14" t="str">
        <x:v>S02-10:B:meaning_adoption</x:v>
      </x:c>
    </x:row>
    <x:row r="576" ht="72" customHeight="1">
      <x:c r="A576" s="14" t="str">
        <x:v>S02-10:B:evaluation_first_display</x:v>
      </x:c>
      <x:c r="B576" s="14" t="str">
        <x:v>B</x:v>
      </x:c>
      <x:c r="C576" s="14" t="str">
        <x:v>evaluation_first_display</x:v>
      </x:c>
      <x:c r="D576" s="14" t="n">
        <x:v>0.898333333</x:v>
      </x:c>
      <x:c r="E576" s="14" t="n">
        <x:v>0.938333333</x:v>
      </x:c>
      <x:c r="F576" s="14" t="n">
        <x:v>0.04</x:v>
      </x:c>
      <x:c r="G576" s="17" t="n">
        <x:v>1</x:v>
      </x:c>
      <x:c r="H576" s="14" t="str">
        <x:v>S02-10:B:apply_relation</x:v>
      </x:c>
    </x:row>
    <x:row r="577" ht="72" customHeight="1">
      <x:c r="A577" s="14" t="str">
        <x:v>S02-10:B:source_question</x:v>
      </x:c>
      <x:c r="B577" s="14" t="str">
        <x:v>B</x:v>
      </x:c>
      <x:c r="C577" s="14" t="str">
        <x:v>source_question</x:v>
      </x:c>
      <x:c r="D577" s="14" t="n">
        <x:v>-5.04</x:v>
      </x:c>
      <x:c r="E577" s="14" t="n">
        <x:v>-1.4</x:v>
      </x:c>
      <x:c r="F577" s="14" t="n">
        <x:v>3.64</x:v>
      </x:c>
      <x:c r="G577" s="17" t="n">
        <x:v>0</x:v>
      </x:c>
      <x:c r="H577" s="14" t="str">
        <x:v>S02-10:B:original_handoff</x:v>
      </x:c>
    </x:row>
    <x:row r="578" ht="72" customHeight="1">
      <x:c r="A578" s="14" t="str">
        <x:v>S02-10:B:display_question</x:v>
      </x:c>
      <x:c r="B578" s="14" t="str">
        <x:v>B</x:v>
      </x:c>
      <x:c r="C578" s="14" t="str">
        <x:v>display_question</x:v>
      </x:c>
      <x:c r="D578" s="14" t="n">
        <x:v>-1.4</x:v>
      </x:c>
      <x:c r="E578" s="14" t="n">
        <x:v>-1.36</x:v>
      </x:c>
      <x:c r="F578" s="14" t="n">
        <x:v>0.04</x:v>
      </x:c>
      <x:c r="G578" s="17" t="n">
        <x:v>1</x:v>
      </x:c>
      <x:c r="H578" s="14" t="str">
        <x:v>S02-10:B:source_question</x:v>
      </x:c>
    </x:row>
    <x:row r="579" ht="72" customHeight="1">
      <x:c r="A579" s="14" t="str">
        <x:v>S02-10:B:select_question</x:v>
      </x:c>
      <x:c r="B579" s="14" t="str">
        <x:v>B</x:v>
      </x:c>
      <x:c r="C579" s="14" t="str">
        <x:v>select_question</x:v>
      </x:c>
      <x:c r="D579" s="14" t="n">
        <x:v>0.898333333</x:v>
      </x:c>
      <x:c r="E579" s="14" t="n">
        <x:v>0.898333333</x:v>
      </x:c>
      <x:c r="F579" s="14" t="n">
        <x:v>0</x:v>
      </x:c>
      <x:c r="G579" s="17" t="n">
        <x:v>1</x:v>
      </x:c>
      <x:c r="H579" s="14" t="str">
        <x:v>S02-10:B:apply_relation
S02-10:B:source_question</x:v>
      </x:c>
    </x:row>
    <x:row r="580" ht="72" customHeight="1">
      <x:c r="A580" s="14" t="str">
        <x:v>S02-10:B:question_first</x:v>
      </x:c>
      <x:c r="B580" s="14" t="str">
        <x:v>B</x:v>
      </x:c>
      <x:c r="C580" s="14" t="str">
        <x:v>question_first</x:v>
      </x:c>
      <x:c r="D580" s="14" t="n">
        <x:v>0.898333333</x:v>
      </x:c>
      <x:c r="E580" s="14" t="n">
        <x:v>1.299333333</x:v>
      </x:c>
      <x:c r="F580" s="14" t="n">
        <x:v>0.401</x:v>
      </x:c>
      <x:c r="G580" s="17" t="n">
        <x:v>1</x:v>
      </x:c>
      <x:c r="H580" s="14" t="str">
        <x:v>S02-10:B:select_question</x:v>
      </x:c>
    </x:row>
    <x:row r="581" ht="72" customHeight="1">
      <x:c r="A581" s="14" t="str">
        <x:v>S02-10:B:question_tail</x:v>
      </x:c>
      <x:c r="B581" s="14" t="str">
        <x:v>B</x:v>
      </x:c>
      <x:c r="C581" s="14" t="str">
        <x:v>question_tail</x:v>
      </x:c>
      <x:c r="D581" s="14" t="n">
        <x:v>1.299333333</x:v>
      </x:c>
      <x:c r="E581" s="14" t="n">
        <x:v>1.962833333</x:v>
      </x:c>
      <x:c r="F581" s="14" t="n">
        <x:v>0.6635</x:v>
      </x:c>
      <x:c r="G581" s="17" t="n">
        <x:v>1</x:v>
      </x:c>
      <x:c r="H581" s="14" t="str">
        <x:v>S02-10:B:question_first</x:v>
      </x:c>
    </x:row>
    <x:row r="582" ht="72" customHeight="1">
      <x:c r="A582" s="14" t="str">
        <x:v>S02-10:B:question_device</x:v>
      </x:c>
      <x:c r="B582" s="14" t="str">
        <x:v>B</x:v>
      </x:c>
      <x:c r="C582" s="14" t="str">
        <x:v>question_device</x:v>
      </x:c>
      <x:c r="D582" s="14" t="n">
        <x:v>1.299333333</x:v>
      </x:c>
      <x:c r="E582" s="14" t="n">
        <x:v>1.339333333</x:v>
      </x:c>
      <x:c r="F582" s="14" t="n">
        <x:v>0.04</x:v>
      </x:c>
      <x:c r="G582" s="17" t="n">
        <x:v>1</x:v>
      </x:c>
      <x:c r="H582" s="14" t="str">
        <x:v>S02-10:B:select_question
S02-10:B:question_first</x:v>
      </x:c>
    </x:row>
    <x:row r="583" ht="72" customHeight="1">
      <x:c r="A583" s="14" t="str">
        <x:v>S02-10:B:question_played</x:v>
      </x:c>
      <x:c r="B583" s="14" t="str">
        <x:v>B</x:v>
      </x:c>
      <x:c r="C583" s="14" t="str">
        <x:v>question_played</x:v>
      </x:c>
      <x:c r="D583" s="14" t="n">
        <x:v>1.339333333</x:v>
      </x:c>
      <x:c r="E583" s="14" t="n">
        <x:v>4.193333333</x:v>
      </x:c>
      <x:c r="F583" s="14" t="n">
        <x:v>2.854</x:v>
      </x:c>
      <x:c r="G583" s="17" t="n">
        <x:v>0</x:v>
      </x:c>
      <x:c r="H583" s="14" t="str">
        <x:v>S02-10:B:question_device</x:v>
      </x:c>
    </x:row>
    <x:row r="584" ht="72" customHeight="1">
      <x:c r="A584" s="14" t="str">
        <x:v>S03-01:A:origin</x:v>
      </x:c>
      <x:c r="B584" s="14" t="str">
        <x:v>A</x:v>
      </x:c>
      <x:c r="C584" s="14" t="str">
        <x:v>origin</x:v>
      </x:c>
      <x:c r="D584" s="14" t="n">
        <x:v>-6</x:v>
      </x:c>
      <x:c r="E584" s="14" t="n">
        <x:v>-6</x:v>
      </x:c>
      <x:c r="F584" s="14" t="n">
        <x:v>0</x:v>
      </x:c>
      <x:c r="G584" s="17" t="n">
        <x:v>0</x:v>
      </x:c>
      <x:c r="H584" s="14" t="str"/>
    </x:row>
    <x:row r="585" ht="72" customHeight="1">
      <x:c r="A585" s="14" t="str">
        <x:v>S03-01:A:origin_interpretation</x:v>
      </x:c>
      <x:c r="B585" s="14" t="str">
        <x:v>A</x:v>
      </x:c>
      <x:c r="C585" s="14" t="str">
        <x:v>origin_interpretation</x:v>
      </x:c>
      <x:c r="D585" s="14" t="n">
        <x:v>-6</x:v>
      </x:c>
      <x:c r="E585" s="14" t="n">
        <x:v>-5.16</x:v>
      </x:c>
      <x:c r="F585" s="14" t="n">
        <x:v>0.84</x:v>
      </x:c>
      <x:c r="G585" s="17" t="n">
        <x:v>1</x:v>
      </x:c>
      <x:c r="H585" s="14" t="str">
        <x:v>S03-01:A:origin</x:v>
      </x:c>
    </x:row>
    <x:row r="586" ht="72" customHeight="1">
      <x:c r="A586" s="14" t="str">
        <x:v>S03-01:A:original_handoff</x:v>
      </x:c>
      <x:c r="B586" s="14" t="str">
        <x:v>A</x:v>
      </x:c>
      <x:c r="C586" s="14" t="str">
        <x:v>original_handoff</x:v>
      </x:c>
      <x:c r="D586" s="14" t="n">
        <x:v>-5.16</x:v>
      </x:c>
      <x:c r="E586" s="14" t="n">
        <x:v>-5.04</x:v>
      </x:c>
      <x:c r="F586" s="14" t="n">
        <x:v>0.12</x:v>
      </x:c>
      <x:c r="G586" s="17" t="n">
        <x:v>1</x:v>
      </x:c>
      <x:c r="H586" s="14" t="str">
        <x:v>S03-01:A:origin_interpretation</x:v>
      </x:c>
    </x:row>
    <x:row r="587" ht="72" customHeight="1">
      <x:c r="A587" s="14" t="str">
        <x:v>S03-01:A:evaluation_utterance_end</x:v>
      </x:c>
      <x:c r="B587" s="14" t="str">
        <x:v>A</x:v>
      </x:c>
      <x:c r="C587" s="14" t="str">
        <x:v>evaluation_utterance_end</x:v>
      </x:c>
      <x:c r="D587" s="14" t="n">
        <x:v>-6</x:v>
      </x:c>
      <x:c r="E587" s="14" t="n">
        <x:v>0</x:v>
      </x:c>
      <x:c r="F587" s="14" t="n">
        <x:v>6</x:v>
      </x:c>
      <x:c r="G587" s="17" t="n">
        <x:v>0</x:v>
      </x:c>
      <x:c r="H587" s="14" t="str">
        <x:v>S03-01:A:origin</x:v>
      </x:c>
    </x:row>
    <x:row r="588" ht="72" customHeight="1">
      <x:c r="A588" s="14" t="str">
        <x:v>S03-01:A:final_transcript</x:v>
      </x:c>
      <x:c r="B588" s="14" t="str">
        <x:v>A</x:v>
      </x:c>
      <x:c r="C588" s="14" t="str">
        <x:v>final_transcript</x:v>
      </x:c>
      <x:c r="D588" s="14" t="n">
        <x:v>0</x:v>
      </x:c>
      <x:c r="E588" s="14" t="n">
        <x:v>0.3</x:v>
      </x:c>
      <x:c r="F588" s="14" t="n">
        <x:v>0.3</x:v>
      </x:c>
      <x:c r="G588" s="17" t="n">
        <x:v>1</x:v>
      </x:c>
      <x:c r="H588" s="14" t="str">
        <x:v>S03-01:A:evaluation_utterance_end</x:v>
      </x:c>
    </x:row>
    <x:row r="589" ht="72" customHeight="1">
      <x:c r="A589" s="14" t="str">
        <x:v>S03-01:A:meaning_adoption</x:v>
      </x:c>
      <x:c r="B589" s="14" t="str">
        <x:v>A</x:v>
      </x:c>
      <x:c r="C589" s="14" t="str">
        <x:v>meaning_adoption</x:v>
      </x:c>
      <x:c r="D589" s="14" t="n">
        <x:v>0.3</x:v>
      </x:c>
      <x:c r="E589" s="14" t="n">
        <x:v>0.828333333</x:v>
      </x:c>
      <x:c r="F589" s="14" t="n">
        <x:v>0.528333333</x:v>
      </x:c>
      <x:c r="G589" s="17" t="n">
        <x:v>1</x:v>
      </x:c>
      <x:c r="H589" s="14" t="str">
        <x:v>S03-01:A:final_transcript
S03-01:A:origin_interpretation</x:v>
      </x:c>
    </x:row>
    <x:row r="590" ht="72" customHeight="1">
      <x:c r="A590" s="14" t="str">
        <x:v>S03-01:A:apply_relation</x:v>
      </x:c>
      <x:c r="B590" s="14" t="str">
        <x:v>A</x:v>
      </x:c>
      <x:c r="C590" s="14" t="str">
        <x:v>apply_relation</x:v>
      </x:c>
      <x:c r="D590" s="14" t="n">
        <x:v>0.828333333</x:v>
      </x:c>
      <x:c r="E590" s="14" t="n">
        <x:v>0.868333333</x:v>
      </x:c>
      <x:c r="F590" s="14" t="n">
        <x:v>0.04</x:v>
      </x:c>
      <x:c r="G590" s="17" t="n">
        <x:v>1</x:v>
      </x:c>
      <x:c r="H590" s="14" t="str">
        <x:v>S03-01:A:meaning_adoption</x:v>
      </x:c>
    </x:row>
    <x:row r="591" ht="72" customHeight="1">
      <x:c r="A591" s="14" t="str">
        <x:v>S03-01:A:evaluation_first_display</x:v>
      </x:c>
      <x:c r="B591" s="14" t="str">
        <x:v>A</x:v>
      </x:c>
      <x:c r="C591" s="14" t="str">
        <x:v>evaluation_first_display</x:v>
      </x:c>
      <x:c r="D591" s="14" t="n">
        <x:v>0.868333333</x:v>
      </x:c>
      <x:c r="E591" s="14" t="n">
        <x:v>0.908333333</x:v>
      </x:c>
      <x:c r="F591" s="14" t="n">
        <x:v>0.04</x:v>
      </x:c>
      <x:c r="G591" s="17" t="n">
        <x:v>1</x:v>
      </x:c>
      <x:c r="H591" s="14" t="str">
        <x:v>S03-01:A:apply_relation</x:v>
      </x:c>
    </x:row>
    <x:row r="592" ht="72" customHeight="1">
      <x:c r="A592" s="14" t="str">
        <x:v>S03-01:A:source_question</x:v>
      </x:c>
      <x:c r="B592" s="14" t="str">
        <x:v>A</x:v>
      </x:c>
      <x:c r="C592" s="14" t="str">
        <x:v>source_question</x:v>
      </x:c>
      <x:c r="D592" s="14" t="n">
        <x:v>-5.04</x:v>
      </x:c>
      <x:c r="E592" s="14" t="n">
        <x:v>-1.4</x:v>
      </x:c>
      <x:c r="F592" s="14" t="n">
        <x:v>3.64</x:v>
      </x:c>
      <x:c r="G592" s="17" t="n">
        <x:v>0</x:v>
      </x:c>
      <x:c r="H592" s="14" t="str">
        <x:v>S03-01:A:original_handoff</x:v>
      </x:c>
    </x:row>
    <x:row r="593" ht="72" customHeight="1">
      <x:c r="A593" s="14" t="str">
        <x:v>S03-01:A:display_question</x:v>
      </x:c>
      <x:c r="B593" s="14" t="str">
        <x:v>A</x:v>
      </x:c>
      <x:c r="C593" s="14" t="str">
        <x:v>display_question</x:v>
      </x:c>
      <x:c r="D593" s="14" t="n">
        <x:v>-1.4</x:v>
      </x:c>
      <x:c r="E593" s="14" t="n">
        <x:v>-1.36</x:v>
      </x:c>
      <x:c r="F593" s="14" t="n">
        <x:v>0.04</x:v>
      </x:c>
      <x:c r="G593" s="17" t="n">
        <x:v>1</x:v>
      </x:c>
      <x:c r="H593" s="14" t="str">
        <x:v>S03-01:A:source_question</x:v>
      </x:c>
    </x:row>
    <x:row r="594" ht="72" customHeight="1">
      <x:c r="A594" s="14" t="str">
        <x:v>S03-01:A:select_question</x:v>
      </x:c>
      <x:c r="B594" s="14" t="str">
        <x:v>A</x:v>
      </x:c>
      <x:c r="C594" s="14" t="str">
        <x:v>select_question</x:v>
      </x:c>
      <x:c r="D594" s="14" t="n">
        <x:v>0.868333333</x:v>
      </x:c>
      <x:c r="E594" s="14" t="n">
        <x:v>0.868333333</x:v>
      </x:c>
      <x:c r="F594" s="14" t="n">
        <x:v>0</x:v>
      </x:c>
      <x:c r="G594" s="17" t="n">
        <x:v>1</x:v>
      </x:c>
      <x:c r="H594" s="14" t="str">
        <x:v>S03-01:A:apply_relation
S03-01:A:source_question</x:v>
      </x:c>
    </x:row>
    <x:row r="595" ht="72" customHeight="1">
      <x:c r="A595" s="14" t="str">
        <x:v>S03-01:A:question_first</x:v>
      </x:c>
      <x:c r="B595" s="14" t="str">
        <x:v>A</x:v>
      </x:c>
      <x:c r="C595" s="14" t="str">
        <x:v>question_first</x:v>
      </x:c>
      <x:c r="D595" s="14" t="n">
        <x:v>-1.4</x:v>
      </x:c>
      <x:c r="E595" s="14" t="n">
        <x:v>-0.999</x:v>
      </x:c>
      <x:c r="F595" s="14" t="n">
        <x:v>0.401</x:v>
      </x:c>
      <x:c r="G595" s="17" t="n">
        <x:v>1</x:v>
      </x:c>
      <x:c r="H595" s="14" t="str">
        <x:v>S03-01:A:source_question</x:v>
      </x:c>
    </x:row>
    <x:row r="596" ht="72" customHeight="1">
      <x:c r="A596" s="14" t="str">
        <x:v>S03-01:A:question_tail</x:v>
      </x:c>
      <x:c r="B596" s="14" t="str">
        <x:v>A</x:v>
      </x:c>
      <x:c r="C596" s="14" t="str">
        <x:v>question_tail</x:v>
      </x:c>
      <x:c r="D596" s="14" t="n">
        <x:v>-0.999</x:v>
      </x:c>
      <x:c r="E596" s="14" t="n">
        <x:v>-0.3625</x:v>
      </x:c>
      <x:c r="F596" s="14" t="n">
        <x:v>0.6365</x:v>
      </x:c>
      <x:c r="G596" s="17" t="n">
        <x:v>1</x:v>
      </x:c>
      <x:c r="H596" s="14" t="str">
        <x:v>S03-01:A:question_first</x:v>
      </x:c>
    </x:row>
    <x:row r="597" ht="72" customHeight="1">
      <x:c r="A597" s="14" t="str">
        <x:v>S03-01:A:question_device</x:v>
      </x:c>
      <x:c r="B597" s="14" t="str">
        <x:v>A</x:v>
      </x:c>
      <x:c r="C597" s="14" t="str">
        <x:v>question_device</x:v>
      </x:c>
      <x:c r="D597" s="14" t="n">
        <x:v>0.868333333</x:v>
      </x:c>
      <x:c r="E597" s="14" t="n">
        <x:v>0.908333333</x:v>
      </x:c>
      <x:c r="F597" s="14" t="n">
        <x:v>0.04</x:v>
      </x:c>
      <x:c r="G597" s="17" t="n">
        <x:v>1</x:v>
      </x:c>
      <x:c r="H597" s="14" t="str">
        <x:v>S03-01:A:select_question
S03-01:A:question_first</x:v>
      </x:c>
    </x:row>
    <x:row r="598" ht="72" customHeight="1">
      <x:c r="A598" s="14" t="str">
        <x:v>S03-01:A:question_played</x:v>
      </x:c>
      <x:c r="B598" s="14" t="str">
        <x:v>A</x:v>
      </x:c>
      <x:c r="C598" s="14" t="str">
        <x:v>question_played</x:v>
      </x:c>
      <x:c r="D598" s="14" t="n">
        <x:v>0.908333333</x:v>
      </x:c>
      <x:c r="E598" s="14" t="n">
        <x:v>3.654333333</x:v>
      </x:c>
      <x:c r="F598" s="14" t="n">
        <x:v>2.746</x:v>
      </x:c>
      <x:c r="G598" s="17" t="n">
        <x:v>0</x:v>
      </x:c>
      <x:c r="H598" s="14" t="str">
        <x:v>S03-01:A:question_device</x:v>
      </x:c>
    </x:row>
    <x:row r="599" ht="72" customHeight="1">
      <x:c r="A599" s="14" t="str">
        <x:v>S03-01:A:source_report_v1</x:v>
      </x:c>
      <x:c r="B599" s="14" t="str">
        <x:v>A</x:v>
      </x:c>
      <x:c r="C599" s="14" t="str">
        <x:v>source_report_v1</x:v>
      </x:c>
      <x:c r="D599" s="14" t="n">
        <x:v>-5.04</x:v>
      </x:c>
      <x:c r="E599" s="14" t="n">
        <x:v>-1</x:v>
      </x:c>
      <x:c r="F599" s="14" t="n">
        <x:v>4.04</x:v>
      </x:c>
      <x:c r="G599" s="17" t="n">
        <x:v>0</x:v>
      </x:c>
      <x:c r="H599" s="14" t="str">
        <x:v>S03-01:A:original_handoff</x:v>
      </x:c>
    </x:row>
    <x:row r="600" ht="72" customHeight="1">
      <x:c r="A600" s="14" t="str">
        <x:v>S03-01:A:display_report_v1</x:v>
      </x:c>
      <x:c r="B600" s="14" t="str">
        <x:v>A</x:v>
      </x:c>
      <x:c r="C600" s="14" t="str">
        <x:v>display_report_v1</x:v>
      </x:c>
      <x:c r="D600" s="14" t="n">
        <x:v>-1</x:v>
      </x:c>
      <x:c r="E600" s="14" t="n">
        <x:v>-0.96</x:v>
      </x:c>
      <x:c r="F600" s="14" t="n">
        <x:v>0.04</x:v>
      </x:c>
      <x:c r="G600" s="17" t="n">
        <x:v>1</x:v>
      </x:c>
      <x:c r="H600" s="14" t="str">
        <x:v>S03-01:A:source_report_v1</x:v>
      </x:c>
    </x:row>
    <x:row r="601" ht="72" customHeight="1">
      <x:c r="A601" s="14" t="str">
        <x:v>S03-01:A:report_v1_first</x:v>
      </x:c>
      <x:c r="B601" s="14" t="str">
        <x:v>A</x:v>
      </x:c>
      <x:c r="C601" s="14" t="str">
        <x:v>report_v1_first</x:v>
      </x:c>
      <x:c r="D601" s="14" t="n">
        <x:v>-1</x:v>
      </x:c>
      <x:c r="E601" s="14" t="n">
        <x:v>-0.59</x:v>
      </x:c>
      <x:c r="F601" s="14" t="n">
        <x:v>0.41</x:v>
      </x:c>
      <x:c r="G601" s="17" t="n">
        <x:v>1</x:v>
      </x:c>
      <x:c r="H601" s="14" t="str">
        <x:v>S03-01:A:source_report_v1</x:v>
      </x:c>
    </x:row>
    <x:row r="602" ht="72" customHeight="1">
      <x:c r="A602" s="14" t="str">
        <x:v>S03-01:A:report_v1_tail</x:v>
      </x:c>
      <x:c r="B602" s="14" t="str">
        <x:v>A</x:v>
      </x:c>
      <x:c r="C602" s="14" t="str">
        <x:v>report_v1_tail</x:v>
      </x:c>
      <x:c r="D602" s="14" t="n">
        <x:v>-0.59</x:v>
      </x:c>
      <x:c r="E602" s="14" t="n">
        <x:v>0.968333333</x:v>
      </x:c>
      <x:c r="F602" s="14" t="n">
        <x:v>1.558333333</x:v>
      </x:c>
      <x:c r="G602" s="17" t="n">
        <x:v>1</x:v>
      </x:c>
      <x:c r="H602" s="14" t="str">
        <x:v>S03-01:A:report_v1_first</x:v>
      </x:c>
    </x:row>
    <x:row r="603" ht="72" customHeight="1">
      <x:c r="A603" s="14" t="str">
        <x:v>S03-01:A:revision_handoff</x:v>
      </x:c>
      <x:c r="B603" s="14" t="str">
        <x:v>A</x:v>
      </x:c>
      <x:c r="C603" s="14" t="str">
        <x:v>revision_handoff</x:v>
      </x:c>
      <x:c r="D603" s="14" t="n">
        <x:v>0.868333333</x:v>
      </x:c>
      <x:c r="E603" s="14" t="n">
        <x:v>0.988333333</x:v>
      </x:c>
      <x:c r="F603" s="14" t="n">
        <x:v>0.12</x:v>
      </x:c>
      <x:c r="G603" s="17" t="n">
        <x:v>1</x:v>
      </x:c>
      <x:c r="H603" s="14" t="str">
        <x:v>S03-01:A:apply_relation</x:v>
      </x:c>
    </x:row>
    <x:row r="604" ht="72" customHeight="1">
      <x:c r="A604" s="14" t="str">
        <x:v>S03-01:A:source_report_v2</x:v>
      </x:c>
      <x:c r="B604" s="14" t="str">
        <x:v>A</x:v>
      </x:c>
      <x:c r="C604" s="14" t="str">
        <x:v>source_report_v2</x:v>
      </x:c>
      <x:c r="D604" s="14" t="n">
        <x:v>0.988333333</x:v>
      </x:c>
      <x:c r="E604" s="14" t="n">
        <x:v>3.388333333</x:v>
      </x:c>
      <x:c r="F604" s="14" t="n">
        <x:v>2.4</x:v>
      </x:c>
      <x:c r="G604" s="17" t="n">
        <x:v>0</x:v>
      </x:c>
      <x:c r="H604" s="14" t="str">
        <x:v>S03-01:A:revision_handoff</x:v>
      </x:c>
    </x:row>
    <x:row r="605" ht="72" customHeight="1">
      <x:c r="A605" s="14" t="str">
        <x:v>S03-01:A:display_report_v2</x:v>
      </x:c>
      <x:c r="B605" s="14" t="str">
        <x:v>A</x:v>
      </x:c>
      <x:c r="C605" s="14" t="str">
        <x:v>display_report_v2</x:v>
      </x:c>
      <x:c r="D605" s="14" t="n">
        <x:v>3.388333333</x:v>
      </x:c>
      <x:c r="E605" s="14" t="n">
        <x:v>3.428333333</x:v>
      </x:c>
      <x:c r="F605" s="14" t="n">
        <x:v>0.04</x:v>
      </x:c>
      <x:c r="G605" s="17" t="n">
        <x:v>1</x:v>
      </x:c>
      <x:c r="H605" s="14" t="str">
        <x:v>S03-01:A:source_report_v2</x:v>
      </x:c>
    </x:row>
    <x:row r="606" ht="72" customHeight="1">
      <x:c r="A606" s="14" t="str">
        <x:v>S03-01:A:select_report_v2</x:v>
      </x:c>
      <x:c r="B606" s="14" t="str">
        <x:v>A</x:v>
      </x:c>
      <x:c r="C606" s="14" t="str">
        <x:v>select_report_v2</x:v>
      </x:c>
      <x:c r="D606" s="14" t="n">
        <x:v>3.654333333</x:v>
      </x:c>
      <x:c r="E606" s="14" t="n">
        <x:v>3.654333333</x:v>
      </x:c>
      <x:c r="F606" s="14" t="n">
        <x:v>0</x:v>
      </x:c>
      <x:c r="G606" s="17" t="n">
        <x:v>1</x:v>
      </x:c>
      <x:c r="H606" s="14" t="str">
        <x:v>S03-01:A:question_played
S03-01:A:source_report_v2</x:v>
      </x:c>
    </x:row>
    <x:row r="607" ht="72" customHeight="1">
      <x:c r="A607" s="14" t="str">
        <x:v>S03-01:A:report_v2_first</x:v>
      </x:c>
      <x:c r="B607" s="14" t="str">
        <x:v>A</x:v>
      </x:c>
      <x:c r="C607" s="14" t="str">
        <x:v>report_v2_first</x:v>
      </x:c>
      <x:c r="D607" s="14" t="n">
        <x:v>3.388333333</x:v>
      </x:c>
      <x:c r="E607" s="14" t="n">
        <x:v>3.797333333</x:v>
      </x:c>
      <x:c r="F607" s="14" t="n">
        <x:v>0.409</x:v>
      </x:c>
      <x:c r="G607" s="17" t="n">
        <x:v>1</x:v>
      </x:c>
      <x:c r="H607" s="14" t="str">
        <x:v>S03-01:A:source_report_v2</x:v>
      </x:c>
    </x:row>
    <x:row r="608" ht="72" customHeight="1">
      <x:c r="A608" s="14" t="str">
        <x:v>S03-01:A:report_v2_tail</x:v>
      </x:c>
      <x:c r="B608" s="14" t="str">
        <x:v>A</x:v>
      </x:c>
      <x:c r="C608" s="14" t="str">
        <x:v>report_v2_tail</x:v>
      </x:c>
      <x:c r="D608" s="14" t="n">
        <x:v>3.797333333</x:v>
      </x:c>
      <x:c r="E608" s="14" t="n">
        <x:v>5.733833333</x:v>
      </x:c>
      <x:c r="F608" s="14" t="n">
        <x:v>1.9365</x:v>
      </x:c>
      <x:c r="G608" s="17" t="n">
        <x:v>1</x:v>
      </x:c>
      <x:c r="H608" s="14" t="str">
        <x:v>S03-01:A:report_v2_first</x:v>
      </x:c>
    </x:row>
    <x:row r="609" ht="72" customHeight="1">
      <x:c r="A609" s="14" t="str">
        <x:v>S03-01:A:report_v2_device</x:v>
      </x:c>
      <x:c r="B609" s="14" t="str">
        <x:v>A</x:v>
      </x:c>
      <x:c r="C609" s="14" t="str">
        <x:v>report_v2_device</x:v>
      </x:c>
      <x:c r="D609" s="14" t="n">
        <x:v>3.797333333</x:v>
      </x:c>
      <x:c r="E609" s="14" t="n">
        <x:v>3.837333333</x:v>
      </x:c>
      <x:c r="F609" s="14" t="n">
        <x:v>0.04</x:v>
      </x:c>
      <x:c r="G609" s="17" t="n">
        <x:v>1</x:v>
      </x:c>
      <x:c r="H609" s="14" t="str">
        <x:v>S03-01:A:select_report_v2
S03-01:A:report_v2_first</x:v>
      </x:c>
    </x:row>
    <x:row r="610" ht="72" customHeight="1">
      <x:c r="A610" s="14" t="str">
        <x:v>S03-01:A:report_v2_played</x:v>
      </x:c>
      <x:c r="B610" s="14" t="str">
        <x:v>A</x:v>
      </x:c>
      <x:c r="C610" s="14" t="str">
        <x:v>report_v2_played</x:v>
      </x:c>
      <x:c r="D610" s="14" t="n">
        <x:v>3.837333333</x:v>
      </x:c>
      <x:c r="E610" s="14" t="n">
        <x:v>11.783333333</x:v>
      </x:c>
      <x:c r="F610" s="14" t="n">
        <x:v>7.946</x:v>
      </x:c>
      <x:c r="G610" s="17" t="n">
        <x:v>0</x:v>
      </x:c>
      <x:c r="H610" s="14" t="str">
        <x:v>S03-01:A:report_v2_device</x:v>
      </x:c>
    </x:row>
    <x:row r="611" ht="72" customHeight="1">
      <x:c r="A611" s="14" t="str">
        <x:v>S03-01:B:origin</x:v>
      </x:c>
      <x:c r="B611" s="14" t="str">
        <x:v>B</x:v>
      </x:c>
      <x:c r="C611" s="14" t="str">
        <x:v>origin</x:v>
      </x:c>
      <x:c r="D611" s="14" t="n">
        <x:v>-6</x:v>
      </x:c>
      <x:c r="E611" s="14" t="n">
        <x:v>-6</x:v>
      </x:c>
      <x:c r="F611" s="14" t="n">
        <x:v>0</x:v>
      </x:c>
      <x:c r="G611" s="17" t="n">
        <x:v>0</x:v>
      </x:c>
      <x:c r="H611" s="14" t="str"/>
    </x:row>
    <x:row r="612" ht="72" customHeight="1">
      <x:c r="A612" s="14" t="str">
        <x:v>S03-01:B:origin_interpretation</x:v>
      </x:c>
      <x:c r="B612" s="14" t="str">
        <x:v>B</x:v>
      </x:c>
      <x:c r="C612" s="14" t="str">
        <x:v>origin_interpretation</x:v>
      </x:c>
      <x:c r="D612" s="14" t="n">
        <x:v>-6</x:v>
      </x:c>
      <x:c r="E612" s="14" t="n">
        <x:v>-5.16</x:v>
      </x:c>
      <x:c r="F612" s="14" t="n">
        <x:v>0.84</x:v>
      </x:c>
      <x:c r="G612" s="17" t="n">
        <x:v>1</x:v>
      </x:c>
      <x:c r="H612" s="14" t="str">
        <x:v>S03-01:B:origin</x:v>
      </x:c>
    </x:row>
    <x:row r="613" ht="72" customHeight="1">
      <x:c r="A613" s="14" t="str">
        <x:v>S03-01:B:original_handoff</x:v>
      </x:c>
      <x:c r="B613" s="14" t="str">
        <x:v>B</x:v>
      </x:c>
      <x:c r="C613" s="14" t="str">
        <x:v>original_handoff</x:v>
      </x:c>
      <x:c r="D613" s="14" t="n">
        <x:v>-5.16</x:v>
      </x:c>
      <x:c r="E613" s="14" t="n">
        <x:v>-5.04</x:v>
      </x:c>
      <x:c r="F613" s="14" t="n">
        <x:v>0.12</x:v>
      </x:c>
      <x:c r="G613" s="17" t="n">
        <x:v>1</x:v>
      </x:c>
      <x:c r="H613" s="14" t="str">
        <x:v>S03-01:B:origin_interpretation</x:v>
      </x:c>
    </x:row>
    <x:row r="614" ht="72" customHeight="1">
      <x:c r="A614" s="14" t="str">
        <x:v>S03-01:B:evaluation_utterance_end</x:v>
      </x:c>
      <x:c r="B614" s="14" t="str">
        <x:v>B</x:v>
      </x:c>
      <x:c r="C614" s="14" t="str">
        <x:v>evaluation_utterance_end</x:v>
      </x:c>
      <x:c r="D614" s="14" t="n">
        <x:v>-6</x:v>
      </x:c>
      <x:c r="E614" s="14" t="n">
        <x:v>0</x:v>
      </x:c>
      <x:c r="F614" s="14" t="n">
        <x:v>6</x:v>
      </x:c>
      <x:c r="G614" s="17" t="n">
        <x:v>0</x:v>
      </x:c>
      <x:c r="H614" s="14" t="str">
        <x:v>S03-01:B:origin</x:v>
      </x:c>
    </x:row>
    <x:row r="615" ht="72" customHeight="1">
      <x:c r="A615" s="14" t="str">
        <x:v>S03-01:B:final_transcript</x:v>
      </x:c>
      <x:c r="B615" s="14" t="str">
        <x:v>B</x:v>
      </x:c>
      <x:c r="C615" s="14" t="str">
        <x:v>final_transcript</x:v>
      </x:c>
      <x:c r="D615" s="14" t="n">
        <x:v>0</x:v>
      </x:c>
      <x:c r="E615" s="14" t="n">
        <x:v>0.3</x:v>
      </x:c>
      <x:c r="F615" s="14" t="n">
        <x:v>0.3</x:v>
      </x:c>
      <x:c r="G615" s="17" t="n">
        <x:v>1</x:v>
      </x:c>
      <x:c r="H615" s="14" t="str">
        <x:v>S03-01:B:evaluation_utterance_end</x:v>
      </x:c>
    </x:row>
    <x:row r="616" ht="72" customHeight="1">
      <x:c r="A616" s="14" t="str">
        <x:v>S03-01:B:meaning_adoption</x:v>
      </x:c>
      <x:c r="B616" s="14" t="str">
        <x:v>B</x:v>
      </x:c>
      <x:c r="C616" s="14" t="str">
        <x:v>meaning_adoption</x:v>
      </x:c>
      <x:c r="D616" s="14" t="n">
        <x:v>0.3</x:v>
      </x:c>
      <x:c r="E616" s="14" t="n">
        <x:v>0.828333333</x:v>
      </x:c>
      <x:c r="F616" s="14" t="n">
        <x:v>0.528333333</x:v>
      </x:c>
      <x:c r="G616" s="17" t="n">
        <x:v>1</x:v>
      </x:c>
      <x:c r="H616" s="14" t="str">
        <x:v>S03-01:B:final_transcript
S03-01:B:origin_interpretation</x:v>
      </x:c>
    </x:row>
    <x:row r="617" ht="72" customHeight="1">
      <x:c r="A617" s="14" t="str">
        <x:v>S03-01:B:apply_relation</x:v>
      </x:c>
      <x:c r="B617" s="14" t="str">
        <x:v>B</x:v>
      </x:c>
      <x:c r="C617" s="14" t="str">
        <x:v>apply_relation</x:v>
      </x:c>
      <x:c r="D617" s="14" t="n">
        <x:v>0.828333333</x:v>
      </x:c>
      <x:c r="E617" s="14" t="n">
        <x:v>0.868333333</x:v>
      </x:c>
      <x:c r="F617" s="14" t="n">
        <x:v>0.04</x:v>
      </x:c>
      <x:c r="G617" s="17" t="n">
        <x:v>1</x:v>
      </x:c>
      <x:c r="H617" s="14" t="str">
        <x:v>S03-01:B:meaning_adoption</x:v>
      </x:c>
    </x:row>
    <x:row r="618" ht="72" customHeight="1">
      <x:c r="A618" s="14" t="str">
        <x:v>S03-01:B:evaluation_first_display</x:v>
      </x:c>
      <x:c r="B618" s="14" t="str">
        <x:v>B</x:v>
      </x:c>
      <x:c r="C618" s="14" t="str">
        <x:v>evaluation_first_display</x:v>
      </x:c>
      <x:c r="D618" s="14" t="n">
        <x:v>0.868333333</x:v>
      </x:c>
      <x:c r="E618" s="14" t="n">
        <x:v>0.908333333</x:v>
      </x:c>
      <x:c r="F618" s="14" t="n">
        <x:v>0.04</x:v>
      </x:c>
      <x:c r="G618" s="17" t="n">
        <x:v>1</x:v>
      </x:c>
      <x:c r="H618" s="14" t="str">
        <x:v>S03-01:B:apply_relation</x:v>
      </x:c>
    </x:row>
    <x:row r="619" ht="72" customHeight="1">
      <x:c r="A619" s="14" t="str">
        <x:v>S03-01:B:source_question</x:v>
      </x:c>
      <x:c r="B619" s="14" t="str">
        <x:v>B</x:v>
      </x:c>
      <x:c r="C619" s="14" t="str">
        <x:v>source_question</x:v>
      </x:c>
      <x:c r="D619" s="14" t="n">
        <x:v>-5.04</x:v>
      </x:c>
      <x:c r="E619" s="14" t="n">
        <x:v>-1.4</x:v>
      </x:c>
      <x:c r="F619" s="14" t="n">
        <x:v>3.64</x:v>
      </x:c>
      <x:c r="G619" s="17" t="n">
        <x:v>0</x:v>
      </x:c>
      <x:c r="H619" s="14" t="str">
        <x:v>S03-01:B:original_handoff</x:v>
      </x:c>
    </x:row>
    <x:row r="620" ht="72" customHeight="1">
      <x:c r="A620" s="14" t="str">
        <x:v>S03-01:B:display_question</x:v>
      </x:c>
      <x:c r="B620" s="14" t="str">
        <x:v>B</x:v>
      </x:c>
      <x:c r="C620" s="14" t="str">
        <x:v>display_question</x:v>
      </x:c>
      <x:c r="D620" s="14" t="n">
        <x:v>-1.4</x:v>
      </x:c>
      <x:c r="E620" s="14" t="n">
        <x:v>-1.36</x:v>
      </x:c>
      <x:c r="F620" s="14" t="n">
        <x:v>0.04</x:v>
      </x:c>
      <x:c r="G620" s="17" t="n">
        <x:v>1</x:v>
      </x:c>
      <x:c r="H620" s="14" t="str">
        <x:v>S03-01:B:source_question</x:v>
      </x:c>
    </x:row>
    <x:row r="621" ht="72" customHeight="1">
      <x:c r="A621" s="14" t="str">
        <x:v>S03-01:B:select_question</x:v>
      </x:c>
      <x:c r="B621" s="14" t="str">
        <x:v>B</x:v>
      </x:c>
      <x:c r="C621" s="14" t="str">
        <x:v>select_question</x:v>
      </x:c>
      <x:c r="D621" s="14" t="n">
        <x:v>0.868333333</x:v>
      </x:c>
      <x:c r="E621" s="14" t="n">
        <x:v>0.868333333</x:v>
      </x:c>
      <x:c r="F621" s="14" t="n">
        <x:v>0</x:v>
      </x:c>
      <x:c r="G621" s="17" t="n">
        <x:v>1</x:v>
      </x:c>
      <x:c r="H621" s="14" t="str">
        <x:v>S03-01:B:apply_relation
S03-01:B:source_question</x:v>
      </x:c>
    </x:row>
    <x:row r="622" ht="72" customHeight="1">
      <x:c r="A622" s="14" t="str">
        <x:v>S03-01:B:question_first</x:v>
      </x:c>
      <x:c r="B622" s="14" t="str">
        <x:v>B</x:v>
      </x:c>
      <x:c r="C622" s="14" t="str">
        <x:v>question_first</x:v>
      </x:c>
      <x:c r="D622" s="14" t="n">
        <x:v>0.868333333</x:v>
      </x:c>
      <x:c r="E622" s="14" t="n">
        <x:v>1.269333333</x:v>
      </x:c>
      <x:c r="F622" s="14" t="n">
        <x:v>0.401</x:v>
      </x:c>
      <x:c r="G622" s="17" t="n">
        <x:v>1</x:v>
      </x:c>
      <x:c r="H622" s="14" t="str">
        <x:v>S03-01:B:select_question</x:v>
      </x:c>
    </x:row>
    <x:row r="623" ht="72" customHeight="1">
      <x:c r="A623" s="14" t="str">
        <x:v>S03-01:B:question_tail</x:v>
      </x:c>
      <x:c r="B623" s="14" t="str">
        <x:v>B</x:v>
      </x:c>
      <x:c r="C623" s="14" t="str">
        <x:v>question_tail</x:v>
      </x:c>
      <x:c r="D623" s="14" t="n">
        <x:v>1.269333333</x:v>
      </x:c>
      <x:c r="E623" s="14" t="n">
        <x:v>1.905833333</x:v>
      </x:c>
      <x:c r="F623" s="14" t="n">
        <x:v>0.6365</x:v>
      </x:c>
      <x:c r="G623" s="17" t="n">
        <x:v>1</x:v>
      </x:c>
      <x:c r="H623" s="14" t="str">
        <x:v>S03-01:B:question_first</x:v>
      </x:c>
    </x:row>
    <x:row r="624" ht="72" customHeight="1">
      <x:c r="A624" s="14" t="str">
        <x:v>S03-01:B:question_device</x:v>
      </x:c>
      <x:c r="B624" s="14" t="str">
        <x:v>B</x:v>
      </x:c>
      <x:c r="C624" s="14" t="str">
        <x:v>question_device</x:v>
      </x:c>
      <x:c r="D624" s="14" t="n">
        <x:v>1.269333333</x:v>
      </x:c>
      <x:c r="E624" s="14" t="n">
        <x:v>1.309333333</x:v>
      </x:c>
      <x:c r="F624" s="14" t="n">
        <x:v>0.04</x:v>
      </x:c>
      <x:c r="G624" s="17" t="n">
        <x:v>1</x:v>
      </x:c>
      <x:c r="H624" s="14" t="str">
        <x:v>S03-01:B:select_question
S03-01:B:question_first</x:v>
      </x:c>
    </x:row>
    <x:row r="625" ht="72" customHeight="1">
      <x:c r="A625" s="14" t="str">
        <x:v>S03-01:B:question_played</x:v>
      </x:c>
      <x:c r="B625" s="14" t="str">
        <x:v>B</x:v>
      </x:c>
      <x:c r="C625" s="14" t="str">
        <x:v>question_played</x:v>
      </x:c>
      <x:c r="D625" s="14" t="n">
        <x:v>1.309333333</x:v>
      </x:c>
      <x:c r="E625" s="14" t="n">
        <x:v>4.055333333</x:v>
      </x:c>
      <x:c r="F625" s="14" t="n">
        <x:v>2.746</x:v>
      </x:c>
      <x:c r="G625" s="17" t="n">
        <x:v>0</x:v>
      </x:c>
      <x:c r="H625" s="14" t="str">
        <x:v>S03-01:B:question_device</x:v>
      </x:c>
    </x:row>
    <x:row r="626" ht="72" customHeight="1">
      <x:c r="A626" s="14" t="str">
        <x:v>S03-01:B:source_report_v1</x:v>
      </x:c>
      <x:c r="B626" s="14" t="str">
        <x:v>B</x:v>
      </x:c>
      <x:c r="C626" s="14" t="str">
        <x:v>source_report_v1</x:v>
      </x:c>
      <x:c r="D626" s="14" t="n">
        <x:v>-5.04</x:v>
      </x:c>
      <x:c r="E626" s="14" t="n">
        <x:v>-1</x:v>
      </x:c>
      <x:c r="F626" s="14" t="n">
        <x:v>4.04</x:v>
      </x:c>
      <x:c r="G626" s="17" t="n">
        <x:v>0</x:v>
      </x:c>
      <x:c r="H626" s="14" t="str">
        <x:v>S03-01:B:original_handoff</x:v>
      </x:c>
    </x:row>
    <x:row r="627" ht="72" customHeight="1">
      <x:c r="A627" s="14" t="str">
        <x:v>S03-01:B:display_report_v1</x:v>
      </x:c>
      <x:c r="B627" s="14" t="str">
        <x:v>B</x:v>
      </x:c>
      <x:c r="C627" s="14" t="str">
        <x:v>display_report_v1</x:v>
      </x:c>
      <x:c r="D627" s="14" t="n">
        <x:v>-1</x:v>
      </x:c>
      <x:c r="E627" s="14" t="n">
        <x:v>-0.96</x:v>
      </x:c>
      <x:c r="F627" s="14" t="n">
        <x:v>0.04</x:v>
      </x:c>
      <x:c r="G627" s="17" t="n">
        <x:v>1</x:v>
      </x:c>
      <x:c r="H627" s="14" t="str">
        <x:v>S03-01:B:source_report_v1</x:v>
      </x:c>
    </x:row>
    <x:row r="628" ht="72" customHeight="1">
      <x:c r="A628" s="14" t="str">
        <x:v>S03-01:B:revision_handoff</x:v>
      </x:c>
      <x:c r="B628" s="14" t="str">
        <x:v>B</x:v>
      </x:c>
      <x:c r="C628" s="14" t="str">
        <x:v>revision_handoff</x:v>
      </x:c>
      <x:c r="D628" s="14" t="n">
        <x:v>0.868333333</x:v>
      </x:c>
      <x:c r="E628" s="14" t="n">
        <x:v>0.988333333</x:v>
      </x:c>
      <x:c r="F628" s="14" t="n">
        <x:v>0.12</x:v>
      </x:c>
      <x:c r="G628" s="17" t="n">
        <x:v>1</x:v>
      </x:c>
      <x:c r="H628" s="14" t="str">
        <x:v>S03-01:B:apply_relation</x:v>
      </x:c>
    </x:row>
    <x:row r="629" ht="72" customHeight="1">
      <x:c r="A629" s="14" t="str">
        <x:v>S03-01:B:source_report_v2</x:v>
      </x:c>
      <x:c r="B629" s="14" t="str">
        <x:v>B</x:v>
      </x:c>
      <x:c r="C629" s="14" t="str">
        <x:v>source_report_v2</x:v>
      </x:c>
      <x:c r="D629" s="14" t="n">
        <x:v>0.988333333</x:v>
      </x:c>
      <x:c r="E629" s="14" t="n">
        <x:v>3.388333333</x:v>
      </x:c>
      <x:c r="F629" s="14" t="n">
        <x:v>2.4</x:v>
      </x:c>
      <x:c r="G629" s="17" t="n">
        <x:v>0</x:v>
      </x:c>
      <x:c r="H629" s="14" t="str">
        <x:v>S03-01:B:revision_handoff</x:v>
      </x:c>
    </x:row>
    <x:row r="630" ht="72" customHeight="1">
      <x:c r="A630" s="14" t="str">
        <x:v>S03-01:B:display_report_v2</x:v>
      </x:c>
      <x:c r="B630" s="14" t="str">
        <x:v>B</x:v>
      </x:c>
      <x:c r="C630" s="14" t="str">
        <x:v>display_report_v2</x:v>
      </x:c>
      <x:c r="D630" s="14" t="n">
        <x:v>3.388333333</x:v>
      </x:c>
      <x:c r="E630" s="14" t="n">
        <x:v>3.428333333</x:v>
      </x:c>
      <x:c r="F630" s="14" t="n">
        <x:v>0.04</x:v>
      </x:c>
      <x:c r="G630" s="17" t="n">
        <x:v>1</x:v>
      </x:c>
      <x:c r="H630" s="14" t="str">
        <x:v>S03-01:B:source_report_v2</x:v>
      </x:c>
    </x:row>
    <x:row r="631" ht="72" customHeight="1">
      <x:c r="A631" s="14" t="str">
        <x:v>S03-01:B:select_report_v2</x:v>
      </x:c>
      <x:c r="B631" s="14" t="str">
        <x:v>B</x:v>
      </x:c>
      <x:c r="C631" s="14" t="str">
        <x:v>select_report_v2</x:v>
      </x:c>
      <x:c r="D631" s="14" t="n">
        <x:v>4.055333333</x:v>
      </x:c>
      <x:c r="E631" s="14" t="n">
        <x:v>4.055333333</x:v>
      </x:c>
      <x:c r="F631" s="14" t="n">
        <x:v>0</x:v>
      </x:c>
      <x:c r="G631" s="17" t="n">
        <x:v>1</x:v>
      </x:c>
      <x:c r="H631" s="14" t="str">
        <x:v>S03-01:B:question_played
S03-01:B:source_report_v2</x:v>
      </x:c>
    </x:row>
    <x:row r="632" ht="72" customHeight="1">
      <x:c r="A632" s="14" t="str">
        <x:v>S03-01:B:report_v2_first</x:v>
      </x:c>
      <x:c r="B632" s="14" t="str">
        <x:v>B</x:v>
      </x:c>
      <x:c r="C632" s="14" t="str">
        <x:v>report_v2_first</x:v>
      </x:c>
      <x:c r="D632" s="14" t="n">
        <x:v>4.055333333</x:v>
      </x:c>
      <x:c r="E632" s="14" t="n">
        <x:v>4.464333333</x:v>
      </x:c>
      <x:c r="F632" s="14" t="n">
        <x:v>0.409</x:v>
      </x:c>
      <x:c r="G632" s="17" t="n">
        <x:v>1</x:v>
      </x:c>
      <x:c r="H632" s="14" t="str">
        <x:v>S03-01:B:select_report_v2</x:v>
      </x:c>
    </x:row>
    <x:row r="633" ht="72" customHeight="1">
      <x:c r="A633" s="14" t="str">
        <x:v>S03-01:B:report_v2_tail</x:v>
      </x:c>
      <x:c r="B633" s="14" t="str">
        <x:v>B</x:v>
      </x:c>
      <x:c r="C633" s="14" t="str">
        <x:v>report_v2_tail</x:v>
      </x:c>
      <x:c r="D633" s="14" t="n">
        <x:v>4.464333333</x:v>
      </x:c>
      <x:c r="E633" s="14" t="n">
        <x:v>6.400833333</x:v>
      </x:c>
      <x:c r="F633" s="14" t="n">
        <x:v>1.9365</x:v>
      </x:c>
      <x:c r="G633" s="17" t="n">
        <x:v>1</x:v>
      </x:c>
      <x:c r="H633" s="14" t="str">
        <x:v>S03-01:B:report_v2_first</x:v>
      </x:c>
    </x:row>
    <x:row r="634" ht="72" customHeight="1">
      <x:c r="A634" s="14" t="str">
        <x:v>S03-01:B:report_v2_device</x:v>
      </x:c>
      <x:c r="B634" s="14" t="str">
        <x:v>B</x:v>
      </x:c>
      <x:c r="C634" s="14" t="str">
        <x:v>report_v2_device</x:v>
      </x:c>
      <x:c r="D634" s="14" t="n">
        <x:v>4.464333333</x:v>
      </x:c>
      <x:c r="E634" s="14" t="n">
        <x:v>4.504333333</x:v>
      </x:c>
      <x:c r="F634" s="14" t="n">
        <x:v>0.04</x:v>
      </x:c>
      <x:c r="G634" s="17" t="n">
        <x:v>1</x:v>
      </x:c>
      <x:c r="H634" s="14" t="str">
        <x:v>S03-01:B:select_report_v2
S03-01:B:report_v2_first</x:v>
      </x:c>
    </x:row>
    <x:row r="635" ht="72" customHeight="1">
      <x:c r="A635" s="14" t="str">
        <x:v>S03-01:B:report_v2_played</x:v>
      </x:c>
      <x:c r="B635" s="14" t="str">
        <x:v>B</x:v>
      </x:c>
      <x:c r="C635" s="14" t="str">
        <x:v>report_v2_played</x:v>
      </x:c>
      <x:c r="D635" s="14" t="n">
        <x:v>4.504333333</x:v>
      </x:c>
      <x:c r="E635" s="14" t="n">
        <x:v>12.450333333</x:v>
      </x:c>
      <x:c r="F635" s="14" t="n">
        <x:v>7.946</x:v>
      </x:c>
      <x:c r="G635" s="17" t="n">
        <x:v>0</x:v>
      </x:c>
      <x:c r="H635" s="14" t="str">
        <x:v>S03-01:B:report_v2_device</x:v>
      </x:c>
    </x:row>
    <x:row r="636" ht="72" customHeight="1">
      <x:c r="A636" s="14" t="str">
        <x:v>S03-02:A:origin</x:v>
      </x:c>
      <x:c r="B636" s="14" t="str">
        <x:v>A</x:v>
      </x:c>
      <x:c r="C636" s="14" t="str">
        <x:v>origin</x:v>
      </x:c>
      <x:c r="D636" s="14" t="n">
        <x:v>-6</x:v>
      </x:c>
      <x:c r="E636" s="14" t="n">
        <x:v>-6</x:v>
      </x:c>
      <x:c r="F636" s="14" t="n">
        <x:v>0</x:v>
      </x:c>
      <x:c r="G636" s="17" t="n">
        <x:v>0</x:v>
      </x:c>
      <x:c r="H636" s="14" t="str"/>
    </x:row>
    <x:row r="637" ht="72" customHeight="1">
      <x:c r="A637" s="14" t="str">
        <x:v>S03-02:A:origin_interpretation</x:v>
      </x:c>
      <x:c r="B637" s="14" t="str">
        <x:v>A</x:v>
      </x:c>
      <x:c r="C637" s="14" t="str">
        <x:v>origin_interpretation</x:v>
      </x:c>
      <x:c r="D637" s="14" t="n">
        <x:v>-6</x:v>
      </x:c>
      <x:c r="E637" s="14" t="n">
        <x:v>-5.16</x:v>
      </x:c>
      <x:c r="F637" s="14" t="n">
        <x:v>0.84</x:v>
      </x:c>
      <x:c r="G637" s="17" t="n">
        <x:v>1</x:v>
      </x:c>
      <x:c r="H637" s="14" t="str">
        <x:v>S03-02:A:origin</x:v>
      </x:c>
    </x:row>
    <x:row r="638" ht="72" customHeight="1">
      <x:c r="A638" s="14" t="str">
        <x:v>S03-02:A:original_handoff</x:v>
      </x:c>
      <x:c r="B638" s="14" t="str">
        <x:v>A</x:v>
      </x:c>
      <x:c r="C638" s="14" t="str">
        <x:v>original_handoff</x:v>
      </x:c>
      <x:c r="D638" s="14" t="n">
        <x:v>-5.16</x:v>
      </x:c>
      <x:c r="E638" s="14" t="n">
        <x:v>-5.04</x:v>
      </x:c>
      <x:c r="F638" s="14" t="n">
        <x:v>0.12</x:v>
      </x:c>
      <x:c r="G638" s="17" t="n">
        <x:v>1</x:v>
      </x:c>
      <x:c r="H638" s="14" t="str">
        <x:v>S03-02:A:origin_interpretation</x:v>
      </x:c>
    </x:row>
    <x:row r="639" ht="72" customHeight="1">
      <x:c r="A639" s="14" t="str">
        <x:v>S03-02:A:evaluation_utterance_end</x:v>
      </x:c>
      <x:c r="B639" s="14" t="str">
        <x:v>A</x:v>
      </x:c>
      <x:c r="C639" s="14" t="str">
        <x:v>evaluation_utterance_end</x:v>
      </x:c>
      <x:c r="D639" s="14" t="n">
        <x:v>-6</x:v>
      </x:c>
      <x:c r="E639" s="14" t="n">
        <x:v>0</x:v>
      </x:c>
      <x:c r="F639" s="14" t="n">
        <x:v>6</x:v>
      </x:c>
      <x:c r="G639" s="17" t="n">
        <x:v>0</x:v>
      </x:c>
      <x:c r="H639" s="14" t="str">
        <x:v>S03-02:A:origin</x:v>
      </x:c>
    </x:row>
    <x:row r="640" ht="72" customHeight="1">
      <x:c r="A640" s="14" t="str">
        <x:v>S03-02:A:final_transcript</x:v>
      </x:c>
      <x:c r="B640" s="14" t="str">
        <x:v>A</x:v>
      </x:c>
      <x:c r="C640" s="14" t="str">
        <x:v>final_transcript</x:v>
      </x:c>
      <x:c r="D640" s="14" t="n">
        <x:v>0</x:v>
      </x:c>
      <x:c r="E640" s="14" t="n">
        <x:v>0.3</x:v>
      </x:c>
      <x:c r="F640" s="14" t="n">
        <x:v>0.3</x:v>
      </x:c>
      <x:c r="G640" s="17" t="n">
        <x:v>1</x:v>
      </x:c>
      <x:c r="H640" s="14" t="str">
        <x:v>S03-02:A:evaluation_utterance_end</x:v>
      </x:c>
    </x:row>
    <x:row r="641" ht="72" customHeight="1">
      <x:c r="A641" s="14" t="str">
        <x:v>S03-02:A:meaning_adoption</x:v>
      </x:c>
      <x:c r="B641" s="14" t="str">
        <x:v>A</x:v>
      </x:c>
      <x:c r="C641" s="14" t="str">
        <x:v>meaning_adoption</x:v>
      </x:c>
      <x:c r="D641" s="14" t="n">
        <x:v>0.3</x:v>
      </x:c>
      <x:c r="E641" s="14" t="n">
        <x:v>0.856666667</x:v>
      </x:c>
      <x:c r="F641" s="14" t="n">
        <x:v>0.556666667</x:v>
      </x:c>
      <x:c r="G641" s="17" t="n">
        <x:v>1</x:v>
      </x:c>
      <x:c r="H641" s="14" t="str">
        <x:v>S03-02:A:final_transcript
S03-02:A:origin_interpretation</x:v>
      </x:c>
    </x:row>
    <x:row r="642" ht="72" customHeight="1">
      <x:c r="A642" s="14" t="str">
        <x:v>S03-02:A:apply_relation</x:v>
      </x:c>
      <x:c r="B642" s="14" t="str">
        <x:v>A</x:v>
      </x:c>
      <x:c r="C642" s="14" t="str">
        <x:v>apply_relation</x:v>
      </x:c>
      <x:c r="D642" s="14" t="n">
        <x:v>0.856666667</x:v>
      </x:c>
      <x:c r="E642" s="14" t="n">
        <x:v>0.896666667</x:v>
      </x:c>
      <x:c r="F642" s="14" t="n">
        <x:v>0.04</x:v>
      </x:c>
      <x:c r="G642" s="17" t="n">
        <x:v>1</x:v>
      </x:c>
      <x:c r="H642" s="14" t="str">
        <x:v>S03-02:A:meaning_adoption</x:v>
      </x:c>
    </x:row>
    <x:row r="643" ht="72" customHeight="1">
      <x:c r="A643" s="14" t="str">
        <x:v>S03-02:A:evaluation_first_display</x:v>
      </x:c>
      <x:c r="B643" s="14" t="str">
        <x:v>A</x:v>
      </x:c>
      <x:c r="C643" s="14" t="str">
        <x:v>evaluation_first_display</x:v>
      </x:c>
      <x:c r="D643" s="14" t="n">
        <x:v>0.896666667</x:v>
      </x:c>
      <x:c r="E643" s="14" t="n">
        <x:v>0.936666667</x:v>
      </x:c>
      <x:c r="F643" s="14" t="n">
        <x:v>0.04</x:v>
      </x:c>
      <x:c r="G643" s="17" t="n">
        <x:v>1</x:v>
      </x:c>
      <x:c r="H643" s="14" t="str">
        <x:v>S03-02:A:apply_relation</x:v>
      </x:c>
    </x:row>
    <x:row r="644" ht="72" customHeight="1">
      <x:c r="A644" s="14" t="str">
        <x:v>S03-02:A:source_question</x:v>
      </x:c>
      <x:c r="B644" s="14" t="str">
        <x:v>A</x:v>
      </x:c>
      <x:c r="C644" s="14" t="str">
        <x:v>source_question</x:v>
      </x:c>
      <x:c r="D644" s="14" t="n">
        <x:v>-5.04</x:v>
      </x:c>
      <x:c r="E644" s="14" t="n">
        <x:v>-1.4</x:v>
      </x:c>
      <x:c r="F644" s="14" t="n">
        <x:v>3.64</x:v>
      </x:c>
      <x:c r="G644" s="17" t="n">
        <x:v>0</x:v>
      </x:c>
      <x:c r="H644" s="14" t="str">
        <x:v>S03-02:A:original_handoff</x:v>
      </x:c>
    </x:row>
    <x:row r="645" ht="72" customHeight="1">
      <x:c r="A645" s="14" t="str">
        <x:v>S03-02:A:display_question</x:v>
      </x:c>
      <x:c r="B645" s="14" t="str">
        <x:v>A</x:v>
      </x:c>
      <x:c r="C645" s="14" t="str">
        <x:v>display_question</x:v>
      </x:c>
      <x:c r="D645" s="14" t="n">
        <x:v>-1.4</x:v>
      </x:c>
      <x:c r="E645" s="14" t="n">
        <x:v>-1.36</x:v>
      </x:c>
      <x:c r="F645" s="14" t="n">
        <x:v>0.04</x:v>
      </x:c>
      <x:c r="G645" s="17" t="n">
        <x:v>1</x:v>
      </x:c>
      <x:c r="H645" s="14" t="str">
        <x:v>S03-02:A:source_question</x:v>
      </x:c>
    </x:row>
    <x:row r="646" ht="72" customHeight="1">
      <x:c r="A646" s="14" t="str">
        <x:v>S03-02:A:select_question</x:v>
      </x:c>
      <x:c r="B646" s="14" t="str">
        <x:v>A</x:v>
      </x:c>
      <x:c r="C646" s="14" t="str">
        <x:v>select_question</x:v>
      </x:c>
      <x:c r="D646" s="14" t="n">
        <x:v>0.896666667</x:v>
      </x:c>
      <x:c r="E646" s="14" t="n">
        <x:v>0.896666667</x:v>
      </x:c>
      <x:c r="F646" s="14" t="n">
        <x:v>0</x:v>
      </x:c>
      <x:c r="G646" s="17" t="n">
        <x:v>1</x:v>
      </x:c>
      <x:c r="H646" s="14" t="str">
        <x:v>S03-02:A:apply_relation
S03-02:A:source_question</x:v>
      </x:c>
    </x:row>
    <x:row r="647" ht="72" customHeight="1">
      <x:c r="A647" s="14" t="str">
        <x:v>S03-02:A:question_first</x:v>
      </x:c>
      <x:c r="B647" s="14" t="str">
        <x:v>A</x:v>
      </x:c>
      <x:c r="C647" s="14" t="str">
        <x:v>question_first</x:v>
      </x:c>
      <x:c r="D647" s="14" t="n">
        <x:v>-1.4</x:v>
      </x:c>
      <x:c r="E647" s="14" t="n">
        <x:v>-0.999</x:v>
      </x:c>
      <x:c r="F647" s="14" t="n">
        <x:v>0.401</x:v>
      </x:c>
      <x:c r="G647" s="17" t="n">
        <x:v>1</x:v>
      </x:c>
      <x:c r="H647" s="14" t="str">
        <x:v>S03-02:A:source_question</x:v>
      </x:c>
    </x:row>
    <x:row r="648" ht="72" customHeight="1">
      <x:c r="A648" s="14" t="str">
        <x:v>S03-02:A:question_tail</x:v>
      </x:c>
      <x:c r="B648" s="14" t="str">
        <x:v>A</x:v>
      </x:c>
      <x:c r="C648" s="14" t="str">
        <x:v>question_tail</x:v>
      </x:c>
      <x:c r="D648" s="14" t="n">
        <x:v>-0.999</x:v>
      </x:c>
      <x:c r="E648" s="14" t="n">
        <x:v>-0.3595</x:v>
      </x:c>
      <x:c r="F648" s="14" t="n">
        <x:v>0.6395</x:v>
      </x:c>
      <x:c r="G648" s="17" t="n">
        <x:v>1</x:v>
      </x:c>
      <x:c r="H648" s="14" t="str">
        <x:v>S03-02:A:question_first</x:v>
      </x:c>
    </x:row>
    <x:row r="649" ht="72" customHeight="1">
      <x:c r="A649" s="14" t="str">
        <x:v>S03-02:A:question_device</x:v>
      </x:c>
      <x:c r="B649" s="14" t="str">
        <x:v>A</x:v>
      </x:c>
      <x:c r="C649" s="14" t="str">
        <x:v>question_device</x:v>
      </x:c>
      <x:c r="D649" s="14" t="n">
        <x:v>0.896666667</x:v>
      </x:c>
      <x:c r="E649" s="14" t="n">
        <x:v>0.936666667</x:v>
      </x:c>
      <x:c r="F649" s="14" t="n">
        <x:v>0.04</x:v>
      </x:c>
      <x:c r="G649" s="17" t="n">
        <x:v>1</x:v>
      </x:c>
      <x:c r="H649" s="14" t="str">
        <x:v>S03-02:A:select_question
S03-02:A:question_first</x:v>
      </x:c>
    </x:row>
    <x:row r="650" ht="72" customHeight="1">
      <x:c r="A650" s="14" t="str">
        <x:v>S03-02:A:question_played</x:v>
      </x:c>
      <x:c r="B650" s="14" t="str">
        <x:v>A</x:v>
      </x:c>
      <x:c r="C650" s="14" t="str">
        <x:v>question_played</x:v>
      </x:c>
      <x:c r="D650" s="14" t="n">
        <x:v>0.936666667</x:v>
      </x:c>
      <x:c r="E650" s="14" t="n">
        <x:v>3.694666667</x:v>
      </x:c>
      <x:c r="F650" s="14" t="n">
        <x:v>2.758</x:v>
      </x:c>
      <x:c r="G650" s="17" t="n">
        <x:v>0</x:v>
      </x:c>
      <x:c r="H650" s="14" t="str">
        <x:v>S03-02:A:question_device</x:v>
      </x:c>
    </x:row>
    <x:row r="651" ht="72" customHeight="1">
      <x:c r="A651" s="14" t="str">
        <x:v>S03-02:A:source_report_v1</x:v>
      </x:c>
      <x:c r="B651" s="14" t="str">
        <x:v>A</x:v>
      </x:c>
      <x:c r="C651" s="14" t="str">
        <x:v>source_report_v1</x:v>
      </x:c>
      <x:c r="D651" s="14" t="n">
        <x:v>-5.04</x:v>
      </x:c>
      <x:c r="E651" s="14" t="n">
        <x:v>-1</x:v>
      </x:c>
      <x:c r="F651" s="14" t="n">
        <x:v>4.04</x:v>
      </x:c>
      <x:c r="G651" s="17" t="n">
        <x:v>0</x:v>
      </x:c>
      <x:c r="H651" s="14" t="str">
        <x:v>S03-02:A:original_handoff</x:v>
      </x:c>
    </x:row>
    <x:row r="652" ht="72" customHeight="1">
      <x:c r="A652" s="14" t="str">
        <x:v>S03-02:A:display_report_v1</x:v>
      </x:c>
      <x:c r="B652" s="14" t="str">
        <x:v>A</x:v>
      </x:c>
      <x:c r="C652" s="14" t="str">
        <x:v>display_report_v1</x:v>
      </x:c>
      <x:c r="D652" s="14" t="n">
        <x:v>-1</x:v>
      </x:c>
      <x:c r="E652" s="14" t="n">
        <x:v>-0.96</x:v>
      </x:c>
      <x:c r="F652" s="14" t="n">
        <x:v>0.04</x:v>
      </x:c>
      <x:c r="G652" s="17" t="n">
        <x:v>1</x:v>
      </x:c>
      <x:c r="H652" s="14" t="str">
        <x:v>S03-02:A:source_report_v1</x:v>
      </x:c>
    </x:row>
    <x:row r="653" ht="72" customHeight="1">
      <x:c r="A653" s="14" t="str">
        <x:v>S03-02:A:report_v1_first</x:v>
      </x:c>
      <x:c r="B653" s="14" t="str">
        <x:v>A</x:v>
      </x:c>
      <x:c r="C653" s="14" t="str">
        <x:v>report_v1_first</x:v>
      </x:c>
      <x:c r="D653" s="14" t="n">
        <x:v>-1</x:v>
      </x:c>
      <x:c r="E653" s="14" t="n">
        <x:v>-0.59</x:v>
      </x:c>
      <x:c r="F653" s="14" t="n">
        <x:v>0.41</x:v>
      </x:c>
      <x:c r="G653" s="17" t="n">
        <x:v>1</x:v>
      </x:c>
      <x:c r="H653" s="14" t="str">
        <x:v>S03-02:A:source_report_v1</x:v>
      </x:c>
    </x:row>
    <x:row r="654" ht="72" customHeight="1">
      <x:c r="A654" s="14" t="str">
        <x:v>S03-02:A:report_v1_tail</x:v>
      </x:c>
      <x:c r="B654" s="14" t="str">
        <x:v>A</x:v>
      </x:c>
      <x:c r="C654" s="14" t="str">
        <x:v>report_v1_tail</x:v>
      </x:c>
      <x:c r="D654" s="14" t="n">
        <x:v>-0.59</x:v>
      </x:c>
      <x:c r="E654" s="14" t="n">
        <x:v>0.996666667</x:v>
      </x:c>
      <x:c r="F654" s="14" t="n">
        <x:v>1.586666667</x:v>
      </x:c>
      <x:c r="G654" s="17" t="n">
        <x:v>1</x:v>
      </x:c>
      <x:c r="H654" s="14" t="str">
        <x:v>S03-02:A:report_v1_first</x:v>
      </x:c>
    </x:row>
    <x:row r="655" ht="72" customHeight="1">
      <x:c r="A655" s="14" t="str">
        <x:v>S03-02:A:revision_handoff</x:v>
      </x:c>
      <x:c r="B655" s="14" t="str">
        <x:v>A</x:v>
      </x:c>
      <x:c r="C655" s="14" t="str">
        <x:v>revision_handoff</x:v>
      </x:c>
      <x:c r="D655" s="14" t="n">
        <x:v>0.896666667</x:v>
      </x:c>
      <x:c r="E655" s="14" t="n">
        <x:v>1.016666667</x:v>
      </x:c>
      <x:c r="F655" s="14" t="n">
        <x:v>0.12</x:v>
      </x:c>
      <x:c r="G655" s="17" t="n">
        <x:v>1</x:v>
      </x:c>
      <x:c r="H655" s="14" t="str">
        <x:v>S03-02:A:apply_relation</x:v>
      </x:c>
    </x:row>
    <x:row r="656" ht="72" customHeight="1">
      <x:c r="A656" s="14" t="str">
        <x:v>S03-02:A:source_report_v2</x:v>
      </x:c>
      <x:c r="B656" s="14" t="str">
        <x:v>A</x:v>
      </x:c>
      <x:c r="C656" s="14" t="str">
        <x:v>source_report_v2</x:v>
      </x:c>
      <x:c r="D656" s="14" t="n">
        <x:v>1.016666667</x:v>
      </x:c>
      <x:c r="E656" s="14" t="n">
        <x:v>3.416666667</x:v>
      </x:c>
      <x:c r="F656" s="14" t="n">
        <x:v>2.4</x:v>
      </x:c>
      <x:c r="G656" s="17" t="n">
        <x:v>0</x:v>
      </x:c>
      <x:c r="H656" s="14" t="str">
        <x:v>S03-02:A:revision_handoff</x:v>
      </x:c>
    </x:row>
    <x:row r="657" ht="72" customHeight="1">
      <x:c r="A657" s="14" t="str">
        <x:v>S03-02:A:display_report_v2</x:v>
      </x:c>
      <x:c r="B657" s="14" t="str">
        <x:v>A</x:v>
      </x:c>
      <x:c r="C657" s="14" t="str">
        <x:v>display_report_v2</x:v>
      </x:c>
      <x:c r="D657" s="14" t="n">
        <x:v>3.416666667</x:v>
      </x:c>
      <x:c r="E657" s="14" t="n">
        <x:v>3.456666667</x:v>
      </x:c>
      <x:c r="F657" s="14" t="n">
        <x:v>0.04</x:v>
      </x:c>
      <x:c r="G657" s="17" t="n">
        <x:v>1</x:v>
      </x:c>
      <x:c r="H657" s="14" t="str">
        <x:v>S03-02:A:source_report_v2</x:v>
      </x:c>
    </x:row>
    <x:row r="658" ht="72" customHeight="1">
      <x:c r="A658" s="14" t="str">
        <x:v>S03-02:A:select_report_v2</x:v>
      </x:c>
      <x:c r="B658" s="14" t="str">
        <x:v>A</x:v>
      </x:c>
      <x:c r="C658" s="14" t="str">
        <x:v>select_report_v2</x:v>
      </x:c>
      <x:c r="D658" s="14" t="n">
        <x:v>3.694666667</x:v>
      </x:c>
      <x:c r="E658" s="14" t="n">
        <x:v>3.694666667</x:v>
      </x:c>
      <x:c r="F658" s="14" t="n">
        <x:v>0</x:v>
      </x:c>
      <x:c r="G658" s="17" t="n">
        <x:v>1</x:v>
      </x:c>
      <x:c r="H658" s="14" t="str">
        <x:v>S03-02:A:question_played
S03-02:A:source_report_v2</x:v>
      </x:c>
    </x:row>
    <x:row r="659" ht="72" customHeight="1">
      <x:c r="A659" s="14" t="str">
        <x:v>S03-02:A:report_v2_first</x:v>
      </x:c>
      <x:c r="B659" s="14" t="str">
        <x:v>A</x:v>
      </x:c>
      <x:c r="C659" s="14" t="str">
        <x:v>report_v2_first</x:v>
      </x:c>
      <x:c r="D659" s="14" t="n">
        <x:v>3.416666667</x:v>
      </x:c>
      <x:c r="E659" s="14" t="n">
        <x:v>3.825666667</x:v>
      </x:c>
      <x:c r="F659" s="14" t="n">
        <x:v>0.409</x:v>
      </x:c>
      <x:c r="G659" s="17" t="n">
        <x:v>1</x:v>
      </x:c>
      <x:c r="H659" s="14" t="str">
        <x:v>S03-02:A:source_report_v2</x:v>
      </x:c>
    </x:row>
    <x:row r="660" ht="72" customHeight="1">
      <x:c r="A660" s="14" t="str">
        <x:v>S03-02:A:report_v2_tail</x:v>
      </x:c>
      <x:c r="B660" s="14" t="str">
        <x:v>A</x:v>
      </x:c>
      <x:c r="C660" s="14" t="str">
        <x:v>report_v2_tail</x:v>
      </x:c>
      <x:c r="D660" s="14" t="n">
        <x:v>3.825666667</x:v>
      </x:c>
      <x:c r="E660" s="14" t="n">
        <x:v>5.765166667</x:v>
      </x:c>
      <x:c r="F660" s="14" t="n">
        <x:v>1.9395</x:v>
      </x:c>
      <x:c r="G660" s="17" t="n">
        <x:v>1</x:v>
      </x:c>
      <x:c r="H660" s="14" t="str">
        <x:v>S03-02:A:report_v2_first</x:v>
      </x:c>
    </x:row>
    <x:row r="661" ht="72" customHeight="1">
      <x:c r="A661" s="14" t="str">
        <x:v>S03-02:A:report_v2_device</x:v>
      </x:c>
      <x:c r="B661" s="14" t="str">
        <x:v>A</x:v>
      </x:c>
      <x:c r="C661" s="14" t="str">
        <x:v>report_v2_device</x:v>
      </x:c>
      <x:c r="D661" s="14" t="n">
        <x:v>3.825666667</x:v>
      </x:c>
      <x:c r="E661" s="14" t="n">
        <x:v>3.865666667</x:v>
      </x:c>
      <x:c r="F661" s="14" t="n">
        <x:v>0.04</x:v>
      </x:c>
      <x:c r="G661" s="17" t="n">
        <x:v>1</x:v>
      </x:c>
      <x:c r="H661" s="14" t="str">
        <x:v>S03-02:A:select_report_v2
S03-02:A:report_v2_first</x:v>
      </x:c>
    </x:row>
    <x:row r="662" ht="72" customHeight="1">
      <x:c r="A662" s="14" t="str">
        <x:v>S03-02:A:report_v2_played</x:v>
      </x:c>
      <x:c r="B662" s="14" t="str">
        <x:v>A</x:v>
      </x:c>
      <x:c r="C662" s="14" t="str">
        <x:v>report_v2_played</x:v>
      </x:c>
      <x:c r="D662" s="14" t="n">
        <x:v>3.865666667</x:v>
      </x:c>
      <x:c r="E662" s="14" t="n">
        <x:v>11.823666667</x:v>
      </x:c>
      <x:c r="F662" s="14" t="n">
        <x:v>7.958</x:v>
      </x:c>
      <x:c r="G662" s="17" t="n">
        <x:v>0</x:v>
      </x:c>
      <x:c r="H662" s="14" t="str">
        <x:v>S03-02:A:report_v2_device</x:v>
      </x:c>
    </x:row>
    <x:row r="663" ht="72" customHeight="1">
      <x:c r="A663" s="14" t="str">
        <x:v>S03-02:B:origin</x:v>
      </x:c>
      <x:c r="B663" s="14" t="str">
        <x:v>B</x:v>
      </x:c>
      <x:c r="C663" s="14" t="str">
        <x:v>origin</x:v>
      </x:c>
      <x:c r="D663" s="14" t="n">
        <x:v>-6</x:v>
      </x:c>
      <x:c r="E663" s="14" t="n">
        <x:v>-6</x:v>
      </x:c>
      <x:c r="F663" s="14" t="n">
        <x:v>0</x:v>
      </x:c>
      <x:c r="G663" s="17" t="n">
        <x:v>0</x:v>
      </x:c>
      <x:c r="H663" s="14" t="str"/>
    </x:row>
    <x:row r="664" ht="72" customHeight="1">
      <x:c r="A664" s="14" t="str">
        <x:v>S03-02:B:origin_interpretation</x:v>
      </x:c>
      <x:c r="B664" s="14" t="str">
        <x:v>B</x:v>
      </x:c>
      <x:c r="C664" s="14" t="str">
        <x:v>origin_interpretation</x:v>
      </x:c>
      <x:c r="D664" s="14" t="n">
        <x:v>-6</x:v>
      </x:c>
      <x:c r="E664" s="14" t="n">
        <x:v>-5.16</x:v>
      </x:c>
      <x:c r="F664" s="14" t="n">
        <x:v>0.84</x:v>
      </x:c>
      <x:c r="G664" s="17" t="n">
        <x:v>1</x:v>
      </x:c>
      <x:c r="H664" s="14" t="str">
        <x:v>S03-02:B:origin</x:v>
      </x:c>
    </x:row>
    <x:row r="665" ht="72" customHeight="1">
      <x:c r="A665" s="14" t="str">
        <x:v>S03-02:B:original_handoff</x:v>
      </x:c>
      <x:c r="B665" s="14" t="str">
        <x:v>B</x:v>
      </x:c>
      <x:c r="C665" s="14" t="str">
        <x:v>original_handoff</x:v>
      </x:c>
      <x:c r="D665" s="14" t="n">
        <x:v>-5.16</x:v>
      </x:c>
      <x:c r="E665" s="14" t="n">
        <x:v>-5.04</x:v>
      </x:c>
      <x:c r="F665" s="14" t="n">
        <x:v>0.12</x:v>
      </x:c>
      <x:c r="G665" s="17" t="n">
        <x:v>1</x:v>
      </x:c>
      <x:c r="H665" s="14" t="str">
        <x:v>S03-02:B:origin_interpretation</x:v>
      </x:c>
    </x:row>
    <x:row r="666" ht="72" customHeight="1">
      <x:c r="A666" s="14" t="str">
        <x:v>S03-02:B:evaluation_utterance_end</x:v>
      </x:c>
      <x:c r="B666" s="14" t="str">
        <x:v>B</x:v>
      </x:c>
      <x:c r="C666" s="14" t="str">
        <x:v>evaluation_utterance_end</x:v>
      </x:c>
      <x:c r="D666" s="14" t="n">
        <x:v>-6</x:v>
      </x:c>
      <x:c r="E666" s="14" t="n">
        <x:v>0</x:v>
      </x:c>
      <x:c r="F666" s="14" t="n">
        <x:v>6</x:v>
      </x:c>
      <x:c r="G666" s="17" t="n">
        <x:v>0</x:v>
      </x:c>
      <x:c r="H666" s="14" t="str">
        <x:v>S03-02:B:origin</x:v>
      </x:c>
    </x:row>
    <x:row r="667" ht="72" customHeight="1">
      <x:c r="A667" s="14" t="str">
        <x:v>S03-02:B:final_transcript</x:v>
      </x:c>
      <x:c r="B667" s="14" t="str">
        <x:v>B</x:v>
      </x:c>
      <x:c r="C667" s="14" t="str">
        <x:v>final_transcript</x:v>
      </x:c>
      <x:c r="D667" s="14" t="n">
        <x:v>0</x:v>
      </x:c>
      <x:c r="E667" s="14" t="n">
        <x:v>0.3</x:v>
      </x:c>
      <x:c r="F667" s="14" t="n">
        <x:v>0.3</x:v>
      </x:c>
      <x:c r="G667" s="17" t="n">
        <x:v>1</x:v>
      </x:c>
      <x:c r="H667" s="14" t="str">
        <x:v>S03-02:B:evaluation_utterance_end</x:v>
      </x:c>
    </x:row>
    <x:row r="668" ht="72" customHeight="1">
      <x:c r="A668" s="14" t="str">
        <x:v>S03-02:B:meaning_adoption</x:v>
      </x:c>
      <x:c r="B668" s="14" t="str">
        <x:v>B</x:v>
      </x:c>
      <x:c r="C668" s="14" t="str">
        <x:v>meaning_adoption</x:v>
      </x:c>
      <x:c r="D668" s="14" t="n">
        <x:v>0.3</x:v>
      </x:c>
      <x:c r="E668" s="14" t="n">
        <x:v>0.856666667</x:v>
      </x:c>
      <x:c r="F668" s="14" t="n">
        <x:v>0.556666667</x:v>
      </x:c>
      <x:c r="G668" s="17" t="n">
        <x:v>1</x:v>
      </x:c>
      <x:c r="H668" s="14" t="str">
        <x:v>S03-02:B:final_transcript
S03-02:B:origin_interpretation</x:v>
      </x:c>
    </x:row>
    <x:row r="669" ht="72" customHeight="1">
      <x:c r="A669" s="14" t="str">
        <x:v>S03-02:B:apply_relation</x:v>
      </x:c>
      <x:c r="B669" s="14" t="str">
        <x:v>B</x:v>
      </x:c>
      <x:c r="C669" s="14" t="str">
        <x:v>apply_relation</x:v>
      </x:c>
      <x:c r="D669" s="14" t="n">
        <x:v>0.856666667</x:v>
      </x:c>
      <x:c r="E669" s="14" t="n">
        <x:v>0.896666667</x:v>
      </x:c>
      <x:c r="F669" s="14" t="n">
        <x:v>0.04</x:v>
      </x:c>
      <x:c r="G669" s="17" t="n">
        <x:v>1</x:v>
      </x:c>
      <x:c r="H669" s="14" t="str">
        <x:v>S03-02:B:meaning_adoption</x:v>
      </x:c>
    </x:row>
    <x:row r="670" ht="72" customHeight="1">
      <x:c r="A670" s="14" t="str">
        <x:v>S03-02:B:evaluation_first_display</x:v>
      </x:c>
      <x:c r="B670" s="14" t="str">
        <x:v>B</x:v>
      </x:c>
      <x:c r="C670" s="14" t="str">
        <x:v>evaluation_first_display</x:v>
      </x:c>
      <x:c r="D670" s="14" t="n">
        <x:v>0.896666667</x:v>
      </x:c>
      <x:c r="E670" s="14" t="n">
        <x:v>0.936666667</x:v>
      </x:c>
      <x:c r="F670" s="14" t="n">
        <x:v>0.04</x:v>
      </x:c>
      <x:c r="G670" s="17" t="n">
        <x:v>1</x:v>
      </x:c>
      <x:c r="H670" s="14" t="str">
        <x:v>S03-02:B:apply_relation</x:v>
      </x:c>
    </x:row>
    <x:row r="671" ht="72" customHeight="1">
      <x:c r="A671" s="14" t="str">
        <x:v>S03-02:B:source_question</x:v>
      </x:c>
      <x:c r="B671" s="14" t="str">
        <x:v>B</x:v>
      </x:c>
      <x:c r="C671" s="14" t="str">
        <x:v>source_question</x:v>
      </x:c>
      <x:c r="D671" s="14" t="n">
        <x:v>-5.04</x:v>
      </x:c>
      <x:c r="E671" s="14" t="n">
        <x:v>-1.4</x:v>
      </x:c>
      <x:c r="F671" s="14" t="n">
        <x:v>3.64</x:v>
      </x:c>
      <x:c r="G671" s="17" t="n">
        <x:v>0</x:v>
      </x:c>
      <x:c r="H671" s="14" t="str">
        <x:v>S03-02:B:original_handoff</x:v>
      </x:c>
    </x:row>
    <x:row r="672" ht="72" customHeight="1">
      <x:c r="A672" s="14" t="str">
        <x:v>S03-02:B:display_question</x:v>
      </x:c>
      <x:c r="B672" s="14" t="str">
        <x:v>B</x:v>
      </x:c>
      <x:c r="C672" s="14" t="str">
        <x:v>display_question</x:v>
      </x:c>
      <x:c r="D672" s="14" t="n">
        <x:v>-1.4</x:v>
      </x:c>
      <x:c r="E672" s="14" t="n">
        <x:v>-1.36</x:v>
      </x:c>
      <x:c r="F672" s="14" t="n">
        <x:v>0.04</x:v>
      </x:c>
      <x:c r="G672" s="17" t="n">
        <x:v>1</x:v>
      </x:c>
      <x:c r="H672" s="14" t="str">
        <x:v>S03-02:B:source_question</x:v>
      </x:c>
    </x:row>
    <x:row r="673" ht="72" customHeight="1">
      <x:c r="A673" s="14" t="str">
        <x:v>S03-02:B:select_question</x:v>
      </x:c>
      <x:c r="B673" s="14" t="str">
        <x:v>B</x:v>
      </x:c>
      <x:c r="C673" s="14" t="str">
        <x:v>select_question</x:v>
      </x:c>
      <x:c r="D673" s="14" t="n">
        <x:v>0.896666667</x:v>
      </x:c>
      <x:c r="E673" s="14" t="n">
        <x:v>0.896666667</x:v>
      </x:c>
      <x:c r="F673" s="14" t="n">
        <x:v>0</x:v>
      </x:c>
      <x:c r="G673" s="17" t="n">
        <x:v>1</x:v>
      </x:c>
      <x:c r="H673" s="14" t="str">
        <x:v>S03-02:B:apply_relation
S03-02:B:source_question</x:v>
      </x:c>
    </x:row>
    <x:row r="674" ht="72" customHeight="1">
      <x:c r="A674" s="14" t="str">
        <x:v>S03-02:B:question_first</x:v>
      </x:c>
      <x:c r="B674" s="14" t="str">
        <x:v>B</x:v>
      </x:c>
      <x:c r="C674" s="14" t="str">
        <x:v>question_first</x:v>
      </x:c>
      <x:c r="D674" s="14" t="n">
        <x:v>0.896666667</x:v>
      </x:c>
      <x:c r="E674" s="14" t="n">
        <x:v>1.297666667</x:v>
      </x:c>
      <x:c r="F674" s="14" t="n">
        <x:v>0.401</x:v>
      </x:c>
      <x:c r="G674" s="17" t="n">
        <x:v>1</x:v>
      </x:c>
      <x:c r="H674" s="14" t="str">
        <x:v>S03-02:B:select_question</x:v>
      </x:c>
    </x:row>
    <x:row r="675" ht="72" customHeight="1">
      <x:c r="A675" s="14" t="str">
        <x:v>S03-02:B:question_tail</x:v>
      </x:c>
      <x:c r="B675" s="14" t="str">
        <x:v>B</x:v>
      </x:c>
      <x:c r="C675" s="14" t="str">
        <x:v>question_tail</x:v>
      </x:c>
      <x:c r="D675" s="14" t="n">
        <x:v>1.297666667</x:v>
      </x:c>
      <x:c r="E675" s="14" t="n">
        <x:v>1.937166667</x:v>
      </x:c>
      <x:c r="F675" s="14" t="n">
        <x:v>0.6395</x:v>
      </x:c>
      <x:c r="G675" s="17" t="n">
        <x:v>1</x:v>
      </x:c>
      <x:c r="H675" s="14" t="str">
        <x:v>S03-02:B:question_first</x:v>
      </x:c>
    </x:row>
    <x:row r="676" ht="72" customHeight="1">
      <x:c r="A676" s="14" t="str">
        <x:v>S03-02:B:question_device</x:v>
      </x:c>
      <x:c r="B676" s="14" t="str">
        <x:v>B</x:v>
      </x:c>
      <x:c r="C676" s="14" t="str">
        <x:v>question_device</x:v>
      </x:c>
      <x:c r="D676" s="14" t="n">
        <x:v>1.297666667</x:v>
      </x:c>
      <x:c r="E676" s="14" t="n">
        <x:v>1.337666667</x:v>
      </x:c>
      <x:c r="F676" s="14" t="n">
        <x:v>0.04</x:v>
      </x:c>
      <x:c r="G676" s="17" t="n">
        <x:v>1</x:v>
      </x:c>
      <x:c r="H676" s="14" t="str">
        <x:v>S03-02:B:select_question
S03-02:B:question_first</x:v>
      </x:c>
    </x:row>
    <x:row r="677" ht="72" customHeight="1">
      <x:c r="A677" s="14" t="str">
        <x:v>S03-02:B:question_played</x:v>
      </x:c>
      <x:c r="B677" s="14" t="str">
        <x:v>B</x:v>
      </x:c>
      <x:c r="C677" s="14" t="str">
        <x:v>question_played</x:v>
      </x:c>
      <x:c r="D677" s="14" t="n">
        <x:v>1.337666667</x:v>
      </x:c>
      <x:c r="E677" s="14" t="n">
        <x:v>4.095666667</x:v>
      </x:c>
      <x:c r="F677" s="14" t="n">
        <x:v>2.758</x:v>
      </x:c>
      <x:c r="G677" s="17" t="n">
        <x:v>0</x:v>
      </x:c>
      <x:c r="H677" s="14" t="str">
        <x:v>S03-02:B:question_device</x:v>
      </x:c>
    </x:row>
    <x:row r="678" ht="72" customHeight="1">
      <x:c r="A678" s="14" t="str">
        <x:v>S03-02:B:source_report_v1</x:v>
      </x:c>
      <x:c r="B678" s="14" t="str">
        <x:v>B</x:v>
      </x:c>
      <x:c r="C678" s="14" t="str">
        <x:v>source_report_v1</x:v>
      </x:c>
      <x:c r="D678" s="14" t="n">
        <x:v>-5.04</x:v>
      </x:c>
      <x:c r="E678" s="14" t="n">
        <x:v>-1</x:v>
      </x:c>
      <x:c r="F678" s="14" t="n">
        <x:v>4.04</x:v>
      </x:c>
      <x:c r="G678" s="17" t="n">
        <x:v>0</x:v>
      </x:c>
      <x:c r="H678" s="14" t="str">
        <x:v>S03-02:B:original_handoff</x:v>
      </x:c>
    </x:row>
    <x:row r="679" ht="72" customHeight="1">
      <x:c r="A679" s="14" t="str">
        <x:v>S03-02:B:display_report_v1</x:v>
      </x:c>
      <x:c r="B679" s="14" t="str">
        <x:v>B</x:v>
      </x:c>
      <x:c r="C679" s="14" t="str">
        <x:v>display_report_v1</x:v>
      </x:c>
      <x:c r="D679" s="14" t="n">
        <x:v>-1</x:v>
      </x:c>
      <x:c r="E679" s="14" t="n">
        <x:v>-0.96</x:v>
      </x:c>
      <x:c r="F679" s="14" t="n">
        <x:v>0.04</x:v>
      </x:c>
      <x:c r="G679" s="17" t="n">
        <x:v>1</x:v>
      </x:c>
      <x:c r="H679" s="14" t="str">
        <x:v>S03-02:B:source_report_v1</x:v>
      </x:c>
    </x:row>
    <x:row r="680" ht="72" customHeight="1">
      <x:c r="A680" s="14" t="str">
        <x:v>S03-02:B:revision_handoff</x:v>
      </x:c>
      <x:c r="B680" s="14" t="str">
        <x:v>B</x:v>
      </x:c>
      <x:c r="C680" s="14" t="str">
        <x:v>revision_handoff</x:v>
      </x:c>
      <x:c r="D680" s="14" t="n">
        <x:v>0.896666667</x:v>
      </x:c>
      <x:c r="E680" s="14" t="n">
        <x:v>1.016666667</x:v>
      </x:c>
      <x:c r="F680" s="14" t="n">
        <x:v>0.12</x:v>
      </x:c>
      <x:c r="G680" s="17" t="n">
        <x:v>1</x:v>
      </x:c>
      <x:c r="H680" s="14" t="str">
        <x:v>S03-02:B:apply_relation</x:v>
      </x:c>
    </x:row>
    <x:row r="681" ht="72" customHeight="1">
      <x:c r="A681" s="14" t="str">
        <x:v>S03-02:B:source_report_v2</x:v>
      </x:c>
      <x:c r="B681" s="14" t="str">
        <x:v>B</x:v>
      </x:c>
      <x:c r="C681" s="14" t="str">
        <x:v>source_report_v2</x:v>
      </x:c>
      <x:c r="D681" s="14" t="n">
        <x:v>1.016666667</x:v>
      </x:c>
      <x:c r="E681" s="14" t="n">
        <x:v>3.416666667</x:v>
      </x:c>
      <x:c r="F681" s="14" t="n">
        <x:v>2.4</x:v>
      </x:c>
      <x:c r="G681" s="17" t="n">
        <x:v>0</x:v>
      </x:c>
      <x:c r="H681" s="14" t="str">
        <x:v>S03-02:B:revision_handoff</x:v>
      </x:c>
    </x:row>
    <x:row r="682" ht="72" customHeight="1">
      <x:c r="A682" s="14" t="str">
        <x:v>S03-02:B:display_report_v2</x:v>
      </x:c>
      <x:c r="B682" s="14" t="str">
        <x:v>B</x:v>
      </x:c>
      <x:c r="C682" s="14" t="str">
        <x:v>display_report_v2</x:v>
      </x:c>
      <x:c r="D682" s="14" t="n">
        <x:v>3.416666667</x:v>
      </x:c>
      <x:c r="E682" s="14" t="n">
        <x:v>3.456666667</x:v>
      </x:c>
      <x:c r="F682" s="14" t="n">
        <x:v>0.04</x:v>
      </x:c>
      <x:c r="G682" s="17" t="n">
        <x:v>1</x:v>
      </x:c>
      <x:c r="H682" s="14" t="str">
        <x:v>S03-02:B:source_report_v2</x:v>
      </x:c>
    </x:row>
    <x:row r="683" ht="72" customHeight="1">
      <x:c r="A683" s="14" t="str">
        <x:v>S03-02:B:select_report_v2</x:v>
      </x:c>
      <x:c r="B683" s="14" t="str">
        <x:v>B</x:v>
      </x:c>
      <x:c r="C683" s="14" t="str">
        <x:v>select_report_v2</x:v>
      </x:c>
      <x:c r="D683" s="14" t="n">
        <x:v>4.095666667</x:v>
      </x:c>
      <x:c r="E683" s="14" t="n">
        <x:v>4.095666667</x:v>
      </x:c>
      <x:c r="F683" s="14" t="n">
        <x:v>0</x:v>
      </x:c>
      <x:c r="G683" s="17" t="n">
        <x:v>1</x:v>
      </x:c>
      <x:c r="H683" s="14" t="str">
        <x:v>S03-02:B:question_played
S03-02:B:source_report_v2</x:v>
      </x:c>
    </x:row>
    <x:row r="684" ht="72" customHeight="1">
      <x:c r="A684" s="14" t="str">
        <x:v>S03-02:B:report_v2_first</x:v>
      </x:c>
      <x:c r="B684" s="14" t="str">
        <x:v>B</x:v>
      </x:c>
      <x:c r="C684" s="14" t="str">
        <x:v>report_v2_first</x:v>
      </x:c>
      <x:c r="D684" s="14" t="n">
        <x:v>4.095666667</x:v>
      </x:c>
      <x:c r="E684" s="14" t="n">
        <x:v>4.504666667</x:v>
      </x:c>
      <x:c r="F684" s="14" t="n">
        <x:v>0.409</x:v>
      </x:c>
      <x:c r="G684" s="17" t="n">
        <x:v>1</x:v>
      </x:c>
      <x:c r="H684" s="14" t="str">
        <x:v>S03-02:B:select_report_v2</x:v>
      </x:c>
    </x:row>
    <x:row r="685" ht="72" customHeight="1">
      <x:c r="A685" s="14" t="str">
        <x:v>S03-02:B:report_v2_tail</x:v>
      </x:c>
      <x:c r="B685" s="14" t="str">
        <x:v>B</x:v>
      </x:c>
      <x:c r="C685" s="14" t="str">
        <x:v>report_v2_tail</x:v>
      </x:c>
      <x:c r="D685" s="14" t="n">
        <x:v>4.504666667</x:v>
      </x:c>
      <x:c r="E685" s="14" t="n">
        <x:v>6.444166667</x:v>
      </x:c>
      <x:c r="F685" s="14" t="n">
        <x:v>1.9395</x:v>
      </x:c>
      <x:c r="G685" s="17" t="n">
        <x:v>1</x:v>
      </x:c>
      <x:c r="H685" s="14" t="str">
        <x:v>S03-02:B:report_v2_first</x:v>
      </x:c>
    </x:row>
    <x:row r="686" ht="72" customHeight="1">
      <x:c r="A686" s="14" t="str">
        <x:v>S03-02:B:report_v2_device</x:v>
      </x:c>
      <x:c r="B686" s="14" t="str">
        <x:v>B</x:v>
      </x:c>
      <x:c r="C686" s="14" t="str">
        <x:v>report_v2_device</x:v>
      </x:c>
      <x:c r="D686" s="14" t="n">
        <x:v>4.504666667</x:v>
      </x:c>
      <x:c r="E686" s="14" t="n">
        <x:v>4.544666667</x:v>
      </x:c>
      <x:c r="F686" s="14" t="n">
        <x:v>0.04</x:v>
      </x:c>
      <x:c r="G686" s="17" t="n">
        <x:v>1</x:v>
      </x:c>
      <x:c r="H686" s="14" t="str">
        <x:v>S03-02:B:select_report_v2
S03-02:B:report_v2_first</x:v>
      </x:c>
    </x:row>
    <x:row r="687" ht="72" customHeight="1">
      <x:c r="A687" s="14" t="str">
        <x:v>S03-02:B:report_v2_played</x:v>
      </x:c>
      <x:c r="B687" s="14" t="str">
        <x:v>B</x:v>
      </x:c>
      <x:c r="C687" s="14" t="str">
        <x:v>report_v2_played</x:v>
      </x:c>
      <x:c r="D687" s="14" t="n">
        <x:v>4.544666667</x:v>
      </x:c>
      <x:c r="E687" s="14" t="n">
        <x:v>12.502666667</x:v>
      </x:c>
      <x:c r="F687" s="14" t="n">
        <x:v>7.958</x:v>
      </x:c>
      <x:c r="G687" s="17" t="n">
        <x:v>0</x:v>
      </x:c>
      <x:c r="H687" s="14" t="str">
        <x:v>S03-02:B:report_v2_device</x:v>
      </x:c>
    </x:row>
    <x:row r="688" ht="72" customHeight="1">
      <x:c r="A688" s="14" t="str">
        <x:v>S03-03:A:origin</x:v>
      </x:c>
      <x:c r="B688" s="14" t="str">
        <x:v>A</x:v>
      </x:c>
      <x:c r="C688" s="14" t="str">
        <x:v>origin</x:v>
      </x:c>
      <x:c r="D688" s="14" t="n">
        <x:v>-6</x:v>
      </x:c>
      <x:c r="E688" s="14" t="n">
        <x:v>-6</x:v>
      </x:c>
      <x:c r="F688" s="14" t="n">
        <x:v>0</x:v>
      </x:c>
      <x:c r="G688" s="17" t="n">
        <x:v>0</x:v>
      </x:c>
      <x:c r="H688" s="14" t="str"/>
    </x:row>
    <x:row r="689" ht="72" customHeight="1">
      <x:c r="A689" s="14" t="str">
        <x:v>S03-03:A:origin_interpretation</x:v>
      </x:c>
      <x:c r="B689" s="14" t="str">
        <x:v>A</x:v>
      </x:c>
      <x:c r="C689" s="14" t="str">
        <x:v>origin_interpretation</x:v>
      </x:c>
      <x:c r="D689" s="14" t="n">
        <x:v>-6</x:v>
      </x:c>
      <x:c r="E689" s="14" t="n">
        <x:v>-5.16</x:v>
      </x:c>
      <x:c r="F689" s="14" t="n">
        <x:v>0.84</x:v>
      </x:c>
      <x:c r="G689" s="17" t="n">
        <x:v>1</x:v>
      </x:c>
      <x:c r="H689" s="14" t="str">
        <x:v>S03-03:A:origin</x:v>
      </x:c>
    </x:row>
    <x:row r="690" ht="72" customHeight="1">
      <x:c r="A690" s="14" t="str">
        <x:v>S03-03:A:original_handoff</x:v>
      </x:c>
      <x:c r="B690" s="14" t="str">
        <x:v>A</x:v>
      </x:c>
      <x:c r="C690" s="14" t="str">
        <x:v>original_handoff</x:v>
      </x:c>
      <x:c r="D690" s="14" t="n">
        <x:v>-5.16</x:v>
      </x:c>
      <x:c r="E690" s="14" t="n">
        <x:v>-5.04</x:v>
      </x:c>
      <x:c r="F690" s="14" t="n">
        <x:v>0.12</x:v>
      </x:c>
      <x:c r="G690" s="17" t="n">
        <x:v>1</x:v>
      </x:c>
      <x:c r="H690" s="14" t="str">
        <x:v>S03-03:A:origin_interpretation</x:v>
      </x:c>
    </x:row>
    <x:row r="691" ht="72" customHeight="1">
      <x:c r="A691" s="14" t="str">
        <x:v>S03-03:A:evaluation_utterance_end</x:v>
      </x:c>
      <x:c r="B691" s="14" t="str">
        <x:v>A</x:v>
      </x:c>
      <x:c r="C691" s="14" t="str">
        <x:v>evaluation_utterance_end</x:v>
      </x:c>
      <x:c r="D691" s="14" t="n">
        <x:v>-6</x:v>
      </x:c>
      <x:c r="E691" s="14" t="n">
        <x:v>0</x:v>
      </x:c>
      <x:c r="F691" s="14" t="n">
        <x:v>6</x:v>
      </x:c>
      <x:c r="G691" s="17" t="n">
        <x:v>0</x:v>
      </x:c>
      <x:c r="H691" s="14" t="str">
        <x:v>S03-03:A:origin</x:v>
      </x:c>
    </x:row>
    <x:row r="692" ht="72" customHeight="1">
      <x:c r="A692" s="14" t="str">
        <x:v>S03-03:A:final_transcript</x:v>
      </x:c>
      <x:c r="B692" s="14" t="str">
        <x:v>A</x:v>
      </x:c>
      <x:c r="C692" s="14" t="str">
        <x:v>final_transcript</x:v>
      </x:c>
      <x:c r="D692" s="14" t="n">
        <x:v>0</x:v>
      </x:c>
      <x:c r="E692" s="14" t="n">
        <x:v>0.3</x:v>
      </x:c>
      <x:c r="F692" s="14" t="n">
        <x:v>0.3</x:v>
      </x:c>
      <x:c r="G692" s="17" t="n">
        <x:v>1</x:v>
      </x:c>
      <x:c r="H692" s="14" t="str">
        <x:v>S03-03:A:evaluation_utterance_end</x:v>
      </x:c>
    </x:row>
    <x:row r="693" ht="72" customHeight="1">
      <x:c r="A693" s="14" t="str">
        <x:v>S03-03:A:meaning_adoption</x:v>
      </x:c>
      <x:c r="B693" s="14" t="str">
        <x:v>A</x:v>
      </x:c>
      <x:c r="C693" s="14" t="str">
        <x:v>meaning_adoption</x:v>
      </x:c>
      <x:c r="D693" s="14" t="n">
        <x:v>0.3</x:v>
      </x:c>
      <x:c r="E693" s="14" t="n">
        <x:v>0.81</x:v>
      </x:c>
      <x:c r="F693" s="14" t="n">
        <x:v>0.51</x:v>
      </x:c>
      <x:c r="G693" s="17" t="n">
        <x:v>1</x:v>
      </x:c>
      <x:c r="H693" s="14" t="str">
        <x:v>S03-03:A:final_transcript
S03-03:A:origin_interpretation</x:v>
      </x:c>
    </x:row>
    <x:row r="694" ht="72" customHeight="1">
      <x:c r="A694" s="14" t="str">
        <x:v>S03-03:A:apply_relation</x:v>
      </x:c>
      <x:c r="B694" s="14" t="str">
        <x:v>A</x:v>
      </x:c>
      <x:c r="C694" s="14" t="str">
        <x:v>apply_relation</x:v>
      </x:c>
      <x:c r="D694" s="14" t="n">
        <x:v>0.81</x:v>
      </x:c>
      <x:c r="E694" s="14" t="n">
        <x:v>0.85</x:v>
      </x:c>
      <x:c r="F694" s="14" t="n">
        <x:v>0.04</x:v>
      </x:c>
      <x:c r="G694" s="17" t="n">
        <x:v>1</x:v>
      </x:c>
      <x:c r="H694" s="14" t="str">
        <x:v>S03-03:A:meaning_adoption</x:v>
      </x:c>
    </x:row>
    <x:row r="695" ht="72" customHeight="1">
      <x:c r="A695" s="14" t="str">
        <x:v>S03-03:A:evaluation_first_display</x:v>
      </x:c>
      <x:c r="B695" s="14" t="str">
        <x:v>A</x:v>
      </x:c>
      <x:c r="C695" s="14" t="str">
        <x:v>evaluation_first_display</x:v>
      </x:c>
      <x:c r="D695" s="14" t="n">
        <x:v>0.85</x:v>
      </x:c>
      <x:c r="E695" s="14" t="n">
        <x:v>0.89</x:v>
      </x:c>
      <x:c r="F695" s="14" t="n">
        <x:v>0.04</x:v>
      </x:c>
      <x:c r="G695" s="17" t="n">
        <x:v>1</x:v>
      </x:c>
      <x:c r="H695" s="14" t="str">
        <x:v>S03-03:A:apply_relation</x:v>
      </x:c>
    </x:row>
    <x:row r="696" ht="72" customHeight="1">
      <x:c r="A696" s="14" t="str">
        <x:v>S03-03:A:source_question</x:v>
      </x:c>
      <x:c r="B696" s="14" t="str">
        <x:v>A</x:v>
      </x:c>
      <x:c r="C696" s="14" t="str">
        <x:v>source_question</x:v>
      </x:c>
      <x:c r="D696" s="14" t="n">
        <x:v>-5.04</x:v>
      </x:c>
      <x:c r="E696" s="14" t="n">
        <x:v>-1.4</x:v>
      </x:c>
      <x:c r="F696" s="14" t="n">
        <x:v>3.64</x:v>
      </x:c>
      <x:c r="G696" s="17" t="n">
        <x:v>0</x:v>
      </x:c>
      <x:c r="H696" s="14" t="str">
        <x:v>S03-03:A:original_handoff</x:v>
      </x:c>
    </x:row>
    <x:row r="697" ht="72" customHeight="1">
      <x:c r="A697" s="14" t="str">
        <x:v>S03-03:A:display_question</x:v>
      </x:c>
      <x:c r="B697" s="14" t="str">
        <x:v>A</x:v>
      </x:c>
      <x:c r="C697" s="14" t="str">
        <x:v>display_question</x:v>
      </x:c>
      <x:c r="D697" s="14" t="n">
        <x:v>-1.4</x:v>
      </x:c>
      <x:c r="E697" s="14" t="n">
        <x:v>-1.36</x:v>
      </x:c>
      <x:c r="F697" s="14" t="n">
        <x:v>0.04</x:v>
      </x:c>
      <x:c r="G697" s="17" t="n">
        <x:v>1</x:v>
      </x:c>
      <x:c r="H697" s="14" t="str">
        <x:v>S03-03:A:source_question</x:v>
      </x:c>
    </x:row>
    <x:row r="698" ht="72" customHeight="1">
      <x:c r="A698" s="14" t="str">
        <x:v>S03-03:A:select_question</x:v>
      </x:c>
      <x:c r="B698" s="14" t="str">
        <x:v>A</x:v>
      </x:c>
      <x:c r="C698" s="14" t="str">
        <x:v>select_question</x:v>
      </x:c>
      <x:c r="D698" s="14" t="n">
        <x:v>0.85</x:v>
      </x:c>
      <x:c r="E698" s="14" t="n">
        <x:v>0.85</x:v>
      </x:c>
      <x:c r="F698" s="14" t="n">
        <x:v>0</x:v>
      </x:c>
      <x:c r="G698" s="17" t="n">
        <x:v>1</x:v>
      </x:c>
      <x:c r="H698" s="14" t="str">
        <x:v>S03-03:A:apply_relation
S03-03:A:source_question</x:v>
      </x:c>
    </x:row>
    <x:row r="699" ht="72" customHeight="1">
      <x:c r="A699" s="14" t="str">
        <x:v>S03-03:A:question_first</x:v>
      </x:c>
      <x:c r="B699" s="14" t="str">
        <x:v>A</x:v>
      </x:c>
      <x:c r="C699" s="14" t="str">
        <x:v>question_first</x:v>
      </x:c>
      <x:c r="D699" s="14" t="n">
        <x:v>-1.4</x:v>
      </x:c>
      <x:c r="E699" s="14" t="n">
        <x:v>-0.999</x:v>
      </x:c>
      <x:c r="F699" s="14" t="n">
        <x:v>0.401</x:v>
      </x:c>
      <x:c r="G699" s="17" t="n">
        <x:v>1</x:v>
      </x:c>
      <x:c r="H699" s="14" t="str">
        <x:v>S03-03:A:source_question</x:v>
      </x:c>
    </x:row>
    <x:row r="700" ht="72" customHeight="1">
      <x:c r="A700" s="14" t="str">
        <x:v>S03-03:A:question_tail</x:v>
      </x:c>
      <x:c r="B700" s="14" t="str">
        <x:v>A</x:v>
      </x:c>
      <x:c r="C700" s="14" t="str">
        <x:v>question_tail</x:v>
      </x:c>
      <x:c r="D700" s="14" t="n">
        <x:v>-0.999</x:v>
      </x:c>
      <x:c r="E700" s="14" t="n">
        <x:v>-0.3565</x:v>
      </x:c>
      <x:c r="F700" s="14" t="n">
        <x:v>0.6425</x:v>
      </x:c>
      <x:c r="G700" s="17" t="n">
        <x:v>1</x:v>
      </x:c>
      <x:c r="H700" s="14" t="str">
        <x:v>S03-03:A:question_first</x:v>
      </x:c>
    </x:row>
    <x:row r="701" ht="72" customHeight="1">
      <x:c r="A701" s="14" t="str">
        <x:v>S03-03:A:question_device</x:v>
      </x:c>
      <x:c r="B701" s="14" t="str">
        <x:v>A</x:v>
      </x:c>
      <x:c r="C701" s="14" t="str">
        <x:v>question_device</x:v>
      </x:c>
      <x:c r="D701" s="14" t="n">
        <x:v>0.85</x:v>
      </x:c>
      <x:c r="E701" s="14" t="n">
        <x:v>0.89</x:v>
      </x:c>
      <x:c r="F701" s="14" t="n">
        <x:v>0.04</x:v>
      </x:c>
      <x:c r="G701" s="17" t="n">
        <x:v>1</x:v>
      </x:c>
      <x:c r="H701" s="14" t="str">
        <x:v>S03-03:A:select_question
S03-03:A:question_first</x:v>
      </x:c>
    </x:row>
    <x:row r="702" ht="72" customHeight="1">
      <x:c r="A702" s="14" t="str">
        <x:v>S03-03:A:question_played</x:v>
      </x:c>
      <x:c r="B702" s="14" t="str">
        <x:v>A</x:v>
      </x:c>
      <x:c r="C702" s="14" t="str">
        <x:v>question_played</x:v>
      </x:c>
      <x:c r="D702" s="14" t="n">
        <x:v>0.89</x:v>
      </x:c>
      <x:c r="E702" s="14" t="n">
        <x:v>3.66</x:v>
      </x:c>
      <x:c r="F702" s="14" t="n">
        <x:v>2.77</x:v>
      </x:c>
      <x:c r="G702" s="17" t="n">
        <x:v>0</x:v>
      </x:c>
      <x:c r="H702" s="14" t="str">
        <x:v>S03-03:A:question_device</x:v>
      </x:c>
    </x:row>
    <x:row r="703" ht="72" customHeight="1">
      <x:c r="A703" s="14" t="str">
        <x:v>S03-03:A:source_report_v1</x:v>
      </x:c>
      <x:c r="B703" s="14" t="str">
        <x:v>A</x:v>
      </x:c>
      <x:c r="C703" s="14" t="str">
        <x:v>source_report_v1</x:v>
      </x:c>
      <x:c r="D703" s="14" t="n">
        <x:v>-5.04</x:v>
      </x:c>
      <x:c r="E703" s="14" t="n">
        <x:v>-1</x:v>
      </x:c>
      <x:c r="F703" s="14" t="n">
        <x:v>4.04</x:v>
      </x:c>
      <x:c r="G703" s="17" t="n">
        <x:v>0</x:v>
      </x:c>
      <x:c r="H703" s="14" t="str">
        <x:v>S03-03:A:original_handoff</x:v>
      </x:c>
    </x:row>
    <x:row r="704" ht="72" customHeight="1">
      <x:c r="A704" s="14" t="str">
        <x:v>S03-03:A:display_report_v1</x:v>
      </x:c>
      <x:c r="B704" s="14" t="str">
        <x:v>A</x:v>
      </x:c>
      <x:c r="C704" s="14" t="str">
        <x:v>display_report_v1</x:v>
      </x:c>
      <x:c r="D704" s="14" t="n">
        <x:v>-1</x:v>
      </x:c>
      <x:c r="E704" s="14" t="n">
        <x:v>-0.96</x:v>
      </x:c>
      <x:c r="F704" s="14" t="n">
        <x:v>0.04</x:v>
      </x:c>
      <x:c r="G704" s="17" t="n">
        <x:v>1</x:v>
      </x:c>
      <x:c r="H704" s="14" t="str">
        <x:v>S03-03:A:source_report_v1</x:v>
      </x:c>
    </x:row>
    <x:row r="705" ht="72" customHeight="1">
      <x:c r="A705" s="14" t="str">
        <x:v>S03-03:A:report_v1_first</x:v>
      </x:c>
      <x:c r="B705" s="14" t="str">
        <x:v>A</x:v>
      </x:c>
      <x:c r="C705" s="14" t="str">
        <x:v>report_v1_first</x:v>
      </x:c>
      <x:c r="D705" s="14" t="n">
        <x:v>-1</x:v>
      </x:c>
      <x:c r="E705" s="14" t="n">
        <x:v>-0.59</x:v>
      </x:c>
      <x:c r="F705" s="14" t="n">
        <x:v>0.41</x:v>
      </x:c>
      <x:c r="G705" s="17" t="n">
        <x:v>1</x:v>
      </x:c>
      <x:c r="H705" s="14" t="str">
        <x:v>S03-03:A:source_report_v1</x:v>
      </x:c>
    </x:row>
    <x:row r="706" ht="72" customHeight="1">
      <x:c r="A706" s="14" t="str">
        <x:v>S03-03:A:report_v1_tail</x:v>
      </x:c>
      <x:c r="B706" s="14" t="str">
        <x:v>A</x:v>
      </x:c>
      <x:c r="C706" s="14" t="str">
        <x:v>report_v1_tail</x:v>
      </x:c>
      <x:c r="D706" s="14" t="n">
        <x:v>-0.59</x:v>
      </x:c>
      <x:c r="E706" s="14" t="n">
        <x:v>0.95</x:v>
      </x:c>
      <x:c r="F706" s="14" t="n">
        <x:v>1.54</x:v>
      </x:c>
      <x:c r="G706" s="17" t="n">
        <x:v>1</x:v>
      </x:c>
      <x:c r="H706" s="14" t="str">
        <x:v>S03-03:A:report_v1_first</x:v>
      </x:c>
    </x:row>
    <x:row r="707" ht="72" customHeight="1">
      <x:c r="A707" s="14" t="str">
        <x:v>S03-03:A:revision_handoff</x:v>
      </x:c>
      <x:c r="B707" s="14" t="str">
        <x:v>A</x:v>
      </x:c>
      <x:c r="C707" s="14" t="str">
        <x:v>revision_handoff</x:v>
      </x:c>
      <x:c r="D707" s="14" t="n">
        <x:v>0.85</x:v>
      </x:c>
      <x:c r="E707" s="14" t="n">
        <x:v>0.97</x:v>
      </x:c>
      <x:c r="F707" s="14" t="n">
        <x:v>0.12</x:v>
      </x:c>
      <x:c r="G707" s="17" t="n">
        <x:v>1</x:v>
      </x:c>
      <x:c r="H707" s="14" t="str">
        <x:v>S03-03:A:apply_relation</x:v>
      </x:c>
    </x:row>
    <x:row r="708" ht="72" customHeight="1">
      <x:c r="A708" s="14" t="str">
        <x:v>S03-03:A:source_report_v2</x:v>
      </x:c>
      <x:c r="B708" s="14" t="str">
        <x:v>A</x:v>
      </x:c>
      <x:c r="C708" s="14" t="str">
        <x:v>source_report_v2</x:v>
      </x:c>
      <x:c r="D708" s="14" t="n">
        <x:v>0.97</x:v>
      </x:c>
      <x:c r="E708" s="14" t="n">
        <x:v>3.37</x:v>
      </x:c>
      <x:c r="F708" s="14" t="n">
        <x:v>2.4</x:v>
      </x:c>
      <x:c r="G708" s="17" t="n">
        <x:v>0</x:v>
      </x:c>
      <x:c r="H708" s="14" t="str">
        <x:v>S03-03:A:revision_handoff</x:v>
      </x:c>
    </x:row>
    <x:row r="709" ht="72" customHeight="1">
      <x:c r="A709" s="14" t="str">
        <x:v>S03-03:A:display_report_v2</x:v>
      </x:c>
      <x:c r="B709" s="14" t="str">
        <x:v>A</x:v>
      </x:c>
      <x:c r="C709" s="14" t="str">
        <x:v>display_report_v2</x:v>
      </x:c>
      <x:c r="D709" s="14" t="n">
        <x:v>3.37</x:v>
      </x:c>
      <x:c r="E709" s="14" t="n">
        <x:v>3.41</x:v>
      </x:c>
      <x:c r="F709" s="14" t="n">
        <x:v>0.04</x:v>
      </x:c>
      <x:c r="G709" s="17" t="n">
        <x:v>1</x:v>
      </x:c>
      <x:c r="H709" s="14" t="str">
        <x:v>S03-03:A:source_report_v2</x:v>
      </x:c>
    </x:row>
    <x:row r="710" ht="72" customHeight="1">
      <x:c r="A710" s="14" t="str">
        <x:v>S03-03:A:select_report_v2</x:v>
      </x:c>
      <x:c r="B710" s="14" t="str">
        <x:v>A</x:v>
      </x:c>
      <x:c r="C710" s="14" t="str">
        <x:v>select_report_v2</x:v>
      </x:c>
      <x:c r="D710" s="14" t="n">
        <x:v>3.66</x:v>
      </x:c>
      <x:c r="E710" s="14" t="n">
        <x:v>3.66</x:v>
      </x:c>
      <x:c r="F710" s="14" t="n">
        <x:v>0</x:v>
      </x:c>
      <x:c r="G710" s="17" t="n">
        <x:v>1</x:v>
      </x:c>
      <x:c r="H710" s="14" t="str">
        <x:v>S03-03:A:question_played
S03-03:A:source_report_v2</x:v>
      </x:c>
    </x:row>
    <x:row r="711" ht="72" customHeight="1">
      <x:c r="A711" s="14" t="str">
        <x:v>S03-03:A:report_v2_first</x:v>
      </x:c>
      <x:c r="B711" s="14" t="str">
        <x:v>A</x:v>
      </x:c>
      <x:c r="C711" s="14" t="str">
        <x:v>report_v2_first</x:v>
      </x:c>
      <x:c r="D711" s="14" t="n">
        <x:v>3.37</x:v>
      </x:c>
      <x:c r="E711" s="14" t="n">
        <x:v>3.779</x:v>
      </x:c>
      <x:c r="F711" s="14" t="n">
        <x:v>0.409</x:v>
      </x:c>
      <x:c r="G711" s="17" t="n">
        <x:v>1</x:v>
      </x:c>
      <x:c r="H711" s="14" t="str">
        <x:v>S03-03:A:source_report_v2</x:v>
      </x:c>
    </x:row>
    <x:row r="712" ht="72" customHeight="1">
      <x:c r="A712" s="14" t="str">
        <x:v>S03-03:A:report_v2_tail</x:v>
      </x:c>
      <x:c r="B712" s="14" t="str">
        <x:v>A</x:v>
      </x:c>
      <x:c r="C712" s="14" t="str">
        <x:v>report_v2_tail</x:v>
      </x:c>
      <x:c r="D712" s="14" t="n">
        <x:v>3.779</x:v>
      </x:c>
      <x:c r="E712" s="14" t="n">
        <x:v>5.7215</x:v>
      </x:c>
      <x:c r="F712" s="14" t="n">
        <x:v>1.9425</x:v>
      </x:c>
      <x:c r="G712" s="17" t="n">
        <x:v>1</x:v>
      </x:c>
      <x:c r="H712" s="14" t="str">
        <x:v>S03-03:A:report_v2_first</x:v>
      </x:c>
    </x:row>
    <x:row r="713" ht="72" customHeight="1">
      <x:c r="A713" s="14" t="str">
        <x:v>S03-03:A:report_v2_device</x:v>
      </x:c>
      <x:c r="B713" s="14" t="str">
        <x:v>A</x:v>
      </x:c>
      <x:c r="C713" s="14" t="str">
        <x:v>report_v2_device</x:v>
      </x:c>
      <x:c r="D713" s="14" t="n">
        <x:v>3.779</x:v>
      </x:c>
      <x:c r="E713" s="14" t="n">
        <x:v>3.819</x:v>
      </x:c>
      <x:c r="F713" s="14" t="n">
        <x:v>0.04</x:v>
      </x:c>
      <x:c r="G713" s="17" t="n">
        <x:v>1</x:v>
      </x:c>
      <x:c r="H713" s="14" t="str">
        <x:v>S03-03:A:select_report_v2
S03-03:A:report_v2_first</x:v>
      </x:c>
    </x:row>
    <x:row r="714" ht="72" customHeight="1">
      <x:c r="A714" s="14" t="str">
        <x:v>S03-03:A:report_v2_played</x:v>
      </x:c>
      <x:c r="B714" s="14" t="str">
        <x:v>A</x:v>
      </x:c>
      <x:c r="C714" s="14" t="str">
        <x:v>report_v2_played</x:v>
      </x:c>
      <x:c r="D714" s="14" t="n">
        <x:v>3.819</x:v>
      </x:c>
      <x:c r="E714" s="14" t="n">
        <x:v>11.789</x:v>
      </x:c>
      <x:c r="F714" s="14" t="n">
        <x:v>7.97</x:v>
      </x:c>
      <x:c r="G714" s="17" t="n">
        <x:v>0</x:v>
      </x:c>
      <x:c r="H714" s="14" t="str">
        <x:v>S03-03:A:report_v2_device</x:v>
      </x:c>
    </x:row>
    <x:row r="715" ht="72" customHeight="1">
      <x:c r="A715" s="14" t="str">
        <x:v>S03-03:B:origin</x:v>
      </x:c>
      <x:c r="B715" s="14" t="str">
        <x:v>B</x:v>
      </x:c>
      <x:c r="C715" s="14" t="str">
        <x:v>origin</x:v>
      </x:c>
      <x:c r="D715" s="14" t="n">
        <x:v>-6</x:v>
      </x:c>
      <x:c r="E715" s="14" t="n">
        <x:v>-6</x:v>
      </x:c>
      <x:c r="F715" s="14" t="n">
        <x:v>0</x:v>
      </x:c>
      <x:c r="G715" s="17" t="n">
        <x:v>0</x:v>
      </x:c>
      <x:c r="H715" s="14" t="str"/>
    </x:row>
    <x:row r="716" ht="72" customHeight="1">
      <x:c r="A716" s="14" t="str">
        <x:v>S03-03:B:origin_interpretation</x:v>
      </x:c>
      <x:c r="B716" s="14" t="str">
        <x:v>B</x:v>
      </x:c>
      <x:c r="C716" s="14" t="str">
        <x:v>origin_interpretation</x:v>
      </x:c>
      <x:c r="D716" s="14" t="n">
        <x:v>-6</x:v>
      </x:c>
      <x:c r="E716" s="14" t="n">
        <x:v>-5.16</x:v>
      </x:c>
      <x:c r="F716" s="14" t="n">
        <x:v>0.84</x:v>
      </x:c>
      <x:c r="G716" s="17" t="n">
        <x:v>1</x:v>
      </x:c>
      <x:c r="H716" s="14" t="str">
        <x:v>S03-03:B:origin</x:v>
      </x:c>
    </x:row>
    <x:row r="717" ht="72" customHeight="1">
      <x:c r="A717" s="14" t="str">
        <x:v>S03-03:B:original_handoff</x:v>
      </x:c>
      <x:c r="B717" s="14" t="str">
        <x:v>B</x:v>
      </x:c>
      <x:c r="C717" s="14" t="str">
        <x:v>original_handoff</x:v>
      </x:c>
      <x:c r="D717" s="14" t="n">
        <x:v>-5.16</x:v>
      </x:c>
      <x:c r="E717" s="14" t="n">
        <x:v>-5.04</x:v>
      </x:c>
      <x:c r="F717" s="14" t="n">
        <x:v>0.12</x:v>
      </x:c>
      <x:c r="G717" s="17" t="n">
        <x:v>1</x:v>
      </x:c>
      <x:c r="H717" s="14" t="str">
        <x:v>S03-03:B:origin_interpretation</x:v>
      </x:c>
    </x:row>
    <x:row r="718" ht="72" customHeight="1">
      <x:c r="A718" s="14" t="str">
        <x:v>S03-03:B:evaluation_utterance_end</x:v>
      </x:c>
      <x:c r="B718" s="14" t="str">
        <x:v>B</x:v>
      </x:c>
      <x:c r="C718" s="14" t="str">
        <x:v>evaluation_utterance_end</x:v>
      </x:c>
      <x:c r="D718" s="14" t="n">
        <x:v>-6</x:v>
      </x:c>
      <x:c r="E718" s="14" t="n">
        <x:v>0</x:v>
      </x:c>
      <x:c r="F718" s="14" t="n">
        <x:v>6</x:v>
      </x:c>
      <x:c r="G718" s="17" t="n">
        <x:v>0</x:v>
      </x:c>
      <x:c r="H718" s="14" t="str">
        <x:v>S03-03:B:origin</x:v>
      </x:c>
    </x:row>
    <x:row r="719" ht="72" customHeight="1">
      <x:c r="A719" s="14" t="str">
        <x:v>S03-03:B:final_transcript</x:v>
      </x:c>
      <x:c r="B719" s="14" t="str">
        <x:v>B</x:v>
      </x:c>
      <x:c r="C719" s="14" t="str">
        <x:v>final_transcript</x:v>
      </x:c>
      <x:c r="D719" s="14" t="n">
        <x:v>0</x:v>
      </x:c>
      <x:c r="E719" s="14" t="n">
        <x:v>0.3</x:v>
      </x:c>
      <x:c r="F719" s="14" t="n">
        <x:v>0.3</x:v>
      </x:c>
      <x:c r="G719" s="17" t="n">
        <x:v>1</x:v>
      </x:c>
      <x:c r="H719" s="14" t="str">
        <x:v>S03-03:B:evaluation_utterance_end</x:v>
      </x:c>
    </x:row>
    <x:row r="720" ht="72" customHeight="1">
      <x:c r="A720" s="14" t="str">
        <x:v>S03-03:B:meaning_adoption</x:v>
      </x:c>
      <x:c r="B720" s="14" t="str">
        <x:v>B</x:v>
      </x:c>
      <x:c r="C720" s="14" t="str">
        <x:v>meaning_adoption</x:v>
      </x:c>
      <x:c r="D720" s="14" t="n">
        <x:v>0.3</x:v>
      </x:c>
      <x:c r="E720" s="14" t="n">
        <x:v>0.81</x:v>
      </x:c>
      <x:c r="F720" s="14" t="n">
        <x:v>0.51</x:v>
      </x:c>
      <x:c r="G720" s="17" t="n">
        <x:v>1</x:v>
      </x:c>
      <x:c r="H720" s="14" t="str">
        <x:v>S03-03:B:final_transcript
S03-03:B:origin_interpretation</x:v>
      </x:c>
    </x:row>
    <x:row r="721" ht="72" customHeight="1">
      <x:c r="A721" s="14" t="str">
        <x:v>S03-03:B:apply_relation</x:v>
      </x:c>
      <x:c r="B721" s="14" t="str">
        <x:v>B</x:v>
      </x:c>
      <x:c r="C721" s="14" t="str">
        <x:v>apply_relation</x:v>
      </x:c>
      <x:c r="D721" s="14" t="n">
        <x:v>0.81</x:v>
      </x:c>
      <x:c r="E721" s="14" t="n">
        <x:v>0.85</x:v>
      </x:c>
      <x:c r="F721" s="14" t="n">
        <x:v>0.04</x:v>
      </x:c>
      <x:c r="G721" s="17" t="n">
        <x:v>1</x:v>
      </x:c>
      <x:c r="H721" s="14" t="str">
        <x:v>S03-03:B:meaning_adoption</x:v>
      </x:c>
    </x:row>
    <x:row r="722" ht="72" customHeight="1">
      <x:c r="A722" s="14" t="str">
        <x:v>S03-03:B:evaluation_first_display</x:v>
      </x:c>
      <x:c r="B722" s="14" t="str">
        <x:v>B</x:v>
      </x:c>
      <x:c r="C722" s="14" t="str">
        <x:v>evaluation_first_display</x:v>
      </x:c>
      <x:c r="D722" s="14" t="n">
        <x:v>0.85</x:v>
      </x:c>
      <x:c r="E722" s="14" t="n">
        <x:v>0.89</x:v>
      </x:c>
      <x:c r="F722" s="14" t="n">
        <x:v>0.04</x:v>
      </x:c>
      <x:c r="G722" s="17" t="n">
        <x:v>1</x:v>
      </x:c>
      <x:c r="H722" s="14" t="str">
        <x:v>S03-03:B:apply_relation</x:v>
      </x:c>
    </x:row>
    <x:row r="723" ht="72" customHeight="1">
      <x:c r="A723" s="14" t="str">
        <x:v>S03-03:B:source_question</x:v>
      </x:c>
      <x:c r="B723" s="14" t="str">
        <x:v>B</x:v>
      </x:c>
      <x:c r="C723" s="14" t="str">
        <x:v>source_question</x:v>
      </x:c>
      <x:c r="D723" s="14" t="n">
        <x:v>-5.04</x:v>
      </x:c>
      <x:c r="E723" s="14" t="n">
        <x:v>-1.4</x:v>
      </x:c>
      <x:c r="F723" s="14" t="n">
        <x:v>3.64</x:v>
      </x:c>
      <x:c r="G723" s="17" t="n">
        <x:v>0</x:v>
      </x:c>
      <x:c r="H723" s="14" t="str">
        <x:v>S03-03:B:original_handoff</x:v>
      </x:c>
    </x:row>
    <x:row r="724" ht="72" customHeight="1">
      <x:c r="A724" s="14" t="str">
        <x:v>S03-03:B:display_question</x:v>
      </x:c>
      <x:c r="B724" s="14" t="str">
        <x:v>B</x:v>
      </x:c>
      <x:c r="C724" s="14" t="str">
        <x:v>display_question</x:v>
      </x:c>
      <x:c r="D724" s="14" t="n">
        <x:v>-1.4</x:v>
      </x:c>
      <x:c r="E724" s="14" t="n">
        <x:v>-1.36</x:v>
      </x:c>
      <x:c r="F724" s="14" t="n">
        <x:v>0.04</x:v>
      </x:c>
      <x:c r="G724" s="17" t="n">
        <x:v>1</x:v>
      </x:c>
      <x:c r="H724" s="14" t="str">
        <x:v>S03-03:B:source_question</x:v>
      </x:c>
    </x:row>
    <x:row r="725" ht="72" customHeight="1">
      <x:c r="A725" s="14" t="str">
        <x:v>S03-03:B:select_question</x:v>
      </x:c>
      <x:c r="B725" s="14" t="str">
        <x:v>B</x:v>
      </x:c>
      <x:c r="C725" s="14" t="str">
        <x:v>select_question</x:v>
      </x:c>
      <x:c r="D725" s="14" t="n">
        <x:v>0.85</x:v>
      </x:c>
      <x:c r="E725" s="14" t="n">
        <x:v>0.85</x:v>
      </x:c>
      <x:c r="F725" s="14" t="n">
        <x:v>0</x:v>
      </x:c>
      <x:c r="G725" s="17" t="n">
        <x:v>1</x:v>
      </x:c>
      <x:c r="H725" s="14" t="str">
        <x:v>S03-03:B:apply_relation
S03-03:B:source_question</x:v>
      </x:c>
    </x:row>
    <x:row r="726" ht="72" customHeight="1">
      <x:c r="A726" s="14" t="str">
        <x:v>S03-03:B:question_first</x:v>
      </x:c>
      <x:c r="B726" s="14" t="str">
        <x:v>B</x:v>
      </x:c>
      <x:c r="C726" s="14" t="str">
        <x:v>question_first</x:v>
      </x:c>
      <x:c r="D726" s="14" t="n">
        <x:v>0.85</x:v>
      </x:c>
      <x:c r="E726" s="14" t="n">
        <x:v>1.251</x:v>
      </x:c>
      <x:c r="F726" s="14" t="n">
        <x:v>0.401</x:v>
      </x:c>
      <x:c r="G726" s="17" t="n">
        <x:v>1</x:v>
      </x:c>
      <x:c r="H726" s="14" t="str">
        <x:v>S03-03:B:select_question</x:v>
      </x:c>
    </x:row>
    <x:row r="727" ht="72" customHeight="1">
      <x:c r="A727" s="14" t="str">
        <x:v>S03-03:B:question_tail</x:v>
      </x:c>
      <x:c r="B727" s="14" t="str">
        <x:v>B</x:v>
      </x:c>
      <x:c r="C727" s="14" t="str">
        <x:v>question_tail</x:v>
      </x:c>
      <x:c r="D727" s="14" t="n">
        <x:v>1.251</x:v>
      </x:c>
      <x:c r="E727" s="14" t="n">
        <x:v>1.8935</x:v>
      </x:c>
      <x:c r="F727" s="14" t="n">
        <x:v>0.6425</x:v>
      </x:c>
      <x:c r="G727" s="17" t="n">
        <x:v>1</x:v>
      </x:c>
      <x:c r="H727" s="14" t="str">
        <x:v>S03-03:B:question_first</x:v>
      </x:c>
    </x:row>
    <x:row r="728" ht="72" customHeight="1">
      <x:c r="A728" s="14" t="str">
        <x:v>S03-03:B:question_device</x:v>
      </x:c>
      <x:c r="B728" s="14" t="str">
        <x:v>B</x:v>
      </x:c>
      <x:c r="C728" s="14" t="str">
        <x:v>question_device</x:v>
      </x:c>
      <x:c r="D728" s="14" t="n">
        <x:v>1.251</x:v>
      </x:c>
      <x:c r="E728" s="14" t="n">
        <x:v>1.291</x:v>
      </x:c>
      <x:c r="F728" s="14" t="n">
        <x:v>0.04</x:v>
      </x:c>
      <x:c r="G728" s="17" t="n">
        <x:v>1</x:v>
      </x:c>
      <x:c r="H728" s="14" t="str">
        <x:v>S03-03:B:select_question
S03-03:B:question_first</x:v>
      </x:c>
    </x:row>
    <x:row r="729" ht="72" customHeight="1">
      <x:c r="A729" s="14" t="str">
        <x:v>S03-03:B:question_played</x:v>
      </x:c>
      <x:c r="B729" s="14" t="str">
        <x:v>B</x:v>
      </x:c>
      <x:c r="C729" s="14" t="str">
        <x:v>question_played</x:v>
      </x:c>
      <x:c r="D729" s="14" t="n">
        <x:v>1.291</x:v>
      </x:c>
      <x:c r="E729" s="14" t="n">
        <x:v>4.061</x:v>
      </x:c>
      <x:c r="F729" s="14" t="n">
        <x:v>2.77</x:v>
      </x:c>
      <x:c r="G729" s="17" t="n">
        <x:v>0</x:v>
      </x:c>
      <x:c r="H729" s="14" t="str">
        <x:v>S03-03:B:question_device</x:v>
      </x:c>
    </x:row>
    <x:row r="730" ht="72" customHeight="1">
      <x:c r="A730" s="14" t="str">
        <x:v>S03-03:B:source_report_v1</x:v>
      </x:c>
      <x:c r="B730" s="14" t="str">
        <x:v>B</x:v>
      </x:c>
      <x:c r="C730" s="14" t="str">
        <x:v>source_report_v1</x:v>
      </x:c>
      <x:c r="D730" s="14" t="n">
        <x:v>-5.04</x:v>
      </x:c>
      <x:c r="E730" s="14" t="n">
        <x:v>-1</x:v>
      </x:c>
      <x:c r="F730" s="14" t="n">
        <x:v>4.04</x:v>
      </x:c>
      <x:c r="G730" s="17" t="n">
        <x:v>0</x:v>
      </x:c>
      <x:c r="H730" s="14" t="str">
        <x:v>S03-03:B:original_handoff</x:v>
      </x:c>
    </x:row>
    <x:row r="731" ht="72" customHeight="1">
      <x:c r="A731" s="14" t="str">
        <x:v>S03-03:B:display_report_v1</x:v>
      </x:c>
      <x:c r="B731" s="14" t="str">
        <x:v>B</x:v>
      </x:c>
      <x:c r="C731" s="14" t="str">
        <x:v>display_report_v1</x:v>
      </x:c>
      <x:c r="D731" s="14" t="n">
        <x:v>-1</x:v>
      </x:c>
      <x:c r="E731" s="14" t="n">
        <x:v>-0.96</x:v>
      </x:c>
      <x:c r="F731" s="14" t="n">
        <x:v>0.04</x:v>
      </x:c>
      <x:c r="G731" s="17" t="n">
        <x:v>1</x:v>
      </x:c>
      <x:c r="H731" s="14" t="str">
        <x:v>S03-03:B:source_report_v1</x:v>
      </x:c>
    </x:row>
    <x:row r="732" ht="72" customHeight="1">
      <x:c r="A732" s="14" t="str">
        <x:v>S03-03:B:revision_handoff</x:v>
      </x:c>
      <x:c r="B732" s="14" t="str">
        <x:v>B</x:v>
      </x:c>
      <x:c r="C732" s="14" t="str">
        <x:v>revision_handoff</x:v>
      </x:c>
      <x:c r="D732" s="14" t="n">
        <x:v>0.85</x:v>
      </x:c>
      <x:c r="E732" s="14" t="n">
        <x:v>0.97</x:v>
      </x:c>
      <x:c r="F732" s="14" t="n">
        <x:v>0.12</x:v>
      </x:c>
      <x:c r="G732" s="17" t="n">
        <x:v>1</x:v>
      </x:c>
      <x:c r="H732" s="14" t="str">
        <x:v>S03-03:B:apply_relation</x:v>
      </x:c>
    </x:row>
    <x:row r="733" ht="72" customHeight="1">
      <x:c r="A733" s="14" t="str">
        <x:v>S03-03:B:source_report_v2</x:v>
      </x:c>
      <x:c r="B733" s="14" t="str">
        <x:v>B</x:v>
      </x:c>
      <x:c r="C733" s="14" t="str">
        <x:v>source_report_v2</x:v>
      </x:c>
      <x:c r="D733" s="14" t="n">
        <x:v>0.97</x:v>
      </x:c>
      <x:c r="E733" s="14" t="n">
        <x:v>3.37</x:v>
      </x:c>
      <x:c r="F733" s="14" t="n">
        <x:v>2.4</x:v>
      </x:c>
      <x:c r="G733" s="17" t="n">
        <x:v>0</x:v>
      </x:c>
      <x:c r="H733" s="14" t="str">
        <x:v>S03-03:B:revision_handoff</x:v>
      </x:c>
    </x:row>
    <x:row r="734" ht="72" customHeight="1">
      <x:c r="A734" s="14" t="str">
        <x:v>S03-03:B:display_report_v2</x:v>
      </x:c>
      <x:c r="B734" s="14" t="str">
        <x:v>B</x:v>
      </x:c>
      <x:c r="C734" s="14" t="str">
        <x:v>display_report_v2</x:v>
      </x:c>
      <x:c r="D734" s="14" t="n">
        <x:v>3.37</x:v>
      </x:c>
      <x:c r="E734" s="14" t="n">
        <x:v>3.41</x:v>
      </x:c>
      <x:c r="F734" s="14" t="n">
        <x:v>0.04</x:v>
      </x:c>
      <x:c r="G734" s="17" t="n">
        <x:v>1</x:v>
      </x:c>
      <x:c r="H734" s="14" t="str">
        <x:v>S03-03:B:source_report_v2</x:v>
      </x:c>
    </x:row>
    <x:row r="735" ht="72" customHeight="1">
      <x:c r="A735" s="14" t="str">
        <x:v>S03-03:B:select_report_v2</x:v>
      </x:c>
      <x:c r="B735" s="14" t="str">
        <x:v>B</x:v>
      </x:c>
      <x:c r="C735" s="14" t="str">
        <x:v>select_report_v2</x:v>
      </x:c>
      <x:c r="D735" s="14" t="n">
        <x:v>4.061</x:v>
      </x:c>
      <x:c r="E735" s="14" t="n">
        <x:v>4.061</x:v>
      </x:c>
      <x:c r="F735" s="14" t="n">
        <x:v>0</x:v>
      </x:c>
      <x:c r="G735" s="17" t="n">
        <x:v>1</x:v>
      </x:c>
      <x:c r="H735" s="14" t="str">
        <x:v>S03-03:B:question_played
S03-03:B:source_report_v2</x:v>
      </x:c>
    </x:row>
    <x:row r="736" ht="72" customHeight="1">
      <x:c r="A736" s="14" t="str">
        <x:v>S03-03:B:report_v2_first</x:v>
      </x:c>
      <x:c r="B736" s="14" t="str">
        <x:v>B</x:v>
      </x:c>
      <x:c r="C736" s="14" t="str">
        <x:v>report_v2_first</x:v>
      </x:c>
      <x:c r="D736" s="14" t="n">
        <x:v>4.061</x:v>
      </x:c>
      <x:c r="E736" s="14" t="n">
        <x:v>4.47</x:v>
      </x:c>
      <x:c r="F736" s="14" t="n">
        <x:v>0.409</x:v>
      </x:c>
      <x:c r="G736" s="17" t="n">
        <x:v>1</x:v>
      </x:c>
      <x:c r="H736" s="14" t="str">
        <x:v>S03-03:B:select_report_v2</x:v>
      </x:c>
    </x:row>
    <x:row r="737" ht="72" customHeight="1">
      <x:c r="A737" s="14" t="str">
        <x:v>S03-03:B:report_v2_tail</x:v>
      </x:c>
      <x:c r="B737" s="14" t="str">
        <x:v>B</x:v>
      </x:c>
      <x:c r="C737" s="14" t="str">
        <x:v>report_v2_tail</x:v>
      </x:c>
      <x:c r="D737" s="14" t="n">
        <x:v>4.47</x:v>
      </x:c>
      <x:c r="E737" s="14" t="n">
        <x:v>6.4125</x:v>
      </x:c>
      <x:c r="F737" s="14" t="n">
        <x:v>1.9425</x:v>
      </x:c>
      <x:c r="G737" s="17" t="n">
        <x:v>1</x:v>
      </x:c>
      <x:c r="H737" s="14" t="str">
        <x:v>S03-03:B:report_v2_first</x:v>
      </x:c>
    </x:row>
    <x:row r="738" ht="72" customHeight="1">
      <x:c r="A738" s="14" t="str">
        <x:v>S03-03:B:report_v2_device</x:v>
      </x:c>
      <x:c r="B738" s="14" t="str">
        <x:v>B</x:v>
      </x:c>
      <x:c r="C738" s="14" t="str">
        <x:v>report_v2_device</x:v>
      </x:c>
      <x:c r="D738" s="14" t="n">
        <x:v>4.47</x:v>
      </x:c>
      <x:c r="E738" s="14" t="n">
        <x:v>4.51</x:v>
      </x:c>
      <x:c r="F738" s="14" t="n">
        <x:v>0.04</x:v>
      </x:c>
      <x:c r="G738" s="17" t="n">
        <x:v>1</x:v>
      </x:c>
      <x:c r="H738" s="14" t="str">
        <x:v>S03-03:B:select_report_v2
S03-03:B:report_v2_first</x:v>
      </x:c>
    </x:row>
    <x:row r="739" ht="72" customHeight="1">
      <x:c r="A739" s="14" t="str">
        <x:v>S03-03:B:report_v2_played</x:v>
      </x:c>
      <x:c r="B739" s="14" t="str">
        <x:v>B</x:v>
      </x:c>
      <x:c r="C739" s="14" t="str">
        <x:v>report_v2_played</x:v>
      </x:c>
      <x:c r="D739" s="14" t="n">
        <x:v>4.51</x:v>
      </x:c>
      <x:c r="E739" s="14" t="n">
        <x:v>12.48</x:v>
      </x:c>
      <x:c r="F739" s="14" t="n">
        <x:v>7.97</x:v>
      </x:c>
      <x:c r="G739" s="17" t="n">
        <x:v>0</x:v>
      </x:c>
      <x:c r="H739" s="14" t="str">
        <x:v>S03-03:B:report_v2_device</x:v>
      </x:c>
    </x:row>
    <x:row r="740" ht="72" customHeight="1">
      <x:c r="A740" s="14" t="str">
        <x:v>S03-04:A:origin</x:v>
      </x:c>
      <x:c r="B740" s="14" t="str">
        <x:v>A</x:v>
      </x:c>
      <x:c r="C740" s="14" t="str">
        <x:v>origin</x:v>
      </x:c>
      <x:c r="D740" s="14" t="n">
        <x:v>-6</x:v>
      </x:c>
      <x:c r="E740" s="14" t="n">
        <x:v>-6</x:v>
      </x:c>
      <x:c r="F740" s="14" t="n">
        <x:v>0</x:v>
      </x:c>
      <x:c r="G740" s="17" t="n">
        <x:v>0</x:v>
      </x:c>
      <x:c r="H740" s="14" t="str"/>
    </x:row>
    <x:row r="741" ht="72" customHeight="1">
      <x:c r="A741" s="14" t="str">
        <x:v>S03-04:A:origin_interpretation</x:v>
      </x:c>
      <x:c r="B741" s="14" t="str">
        <x:v>A</x:v>
      </x:c>
      <x:c r="C741" s="14" t="str">
        <x:v>origin_interpretation</x:v>
      </x:c>
      <x:c r="D741" s="14" t="n">
        <x:v>-6</x:v>
      </x:c>
      <x:c r="E741" s="14" t="n">
        <x:v>-5.16</x:v>
      </x:c>
      <x:c r="F741" s="14" t="n">
        <x:v>0.84</x:v>
      </x:c>
      <x:c r="G741" s="17" t="n">
        <x:v>1</x:v>
      </x:c>
      <x:c r="H741" s="14" t="str">
        <x:v>S03-04:A:origin</x:v>
      </x:c>
    </x:row>
    <x:row r="742" ht="72" customHeight="1">
      <x:c r="A742" s="14" t="str">
        <x:v>S03-04:A:original_handoff</x:v>
      </x:c>
      <x:c r="B742" s="14" t="str">
        <x:v>A</x:v>
      </x:c>
      <x:c r="C742" s="14" t="str">
        <x:v>original_handoff</x:v>
      </x:c>
      <x:c r="D742" s="14" t="n">
        <x:v>-5.16</x:v>
      </x:c>
      <x:c r="E742" s="14" t="n">
        <x:v>-5.04</x:v>
      </x:c>
      <x:c r="F742" s="14" t="n">
        <x:v>0.12</x:v>
      </x:c>
      <x:c r="G742" s="17" t="n">
        <x:v>1</x:v>
      </x:c>
      <x:c r="H742" s="14" t="str">
        <x:v>S03-04:A:origin_interpretation</x:v>
      </x:c>
    </x:row>
    <x:row r="743" ht="72" customHeight="1">
      <x:c r="A743" s="14" t="str">
        <x:v>S03-04:A:evaluation_utterance_end</x:v>
      </x:c>
      <x:c r="B743" s="14" t="str">
        <x:v>A</x:v>
      </x:c>
      <x:c r="C743" s="14" t="str">
        <x:v>evaluation_utterance_end</x:v>
      </x:c>
      <x:c r="D743" s="14" t="n">
        <x:v>-6</x:v>
      </x:c>
      <x:c r="E743" s="14" t="n">
        <x:v>0</x:v>
      </x:c>
      <x:c r="F743" s="14" t="n">
        <x:v>6</x:v>
      </x:c>
      <x:c r="G743" s="17" t="n">
        <x:v>0</x:v>
      </x:c>
      <x:c r="H743" s="14" t="str">
        <x:v>S03-04:A:origin</x:v>
      </x:c>
    </x:row>
    <x:row r="744" ht="72" customHeight="1">
      <x:c r="A744" s="14" t="str">
        <x:v>S03-04:A:final_transcript</x:v>
      </x:c>
      <x:c r="B744" s="14" t="str">
        <x:v>A</x:v>
      </x:c>
      <x:c r="C744" s="14" t="str">
        <x:v>final_transcript</x:v>
      </x:c>
      <x:c r="D744" s="14" t="n">
        <x:v>0</x:v>
      </x:c>
      <x:c r="E744" s="14" t="n">
        <x:v>0.3</x:v>
      </x:c>
      <x:c r="F744" s="14" t="n">
        <x:v>0.3</x:v>
      </x:c>
      <x:c r="G744" s="17" t="n">
        <x:v>1</x:v>
      </x:c>
      <x:c r="H744" s="14" t="str">
        <x:v>S03-04:A:evaluation_utterance_end</x:v>
      </x:c>
    </x:row>
    <x:row r="745" ht="72" customHeight="1">
      <x:c r="A745" s="14" t="str">
        <x:v>S03-04:A:meaning_adoption</x:v>
      </x:c>
      <x:c r="B745" s="14" t="str">
        <x:v>A</x:v>
      </x:c>
      <x:c r="C745" s="14" t="str">
        <x:v>meaning_adoption</x:v>
      </x:c>
      <x:c r="D745" s="14" t="n">
        <x:v>0.3</x:v>
      </x:c>
      <x:c r="E745" s="14" t="n">
        <x:v>0.838333333</x:v>
      </x:c>
      <x:c r="F745" s="14" t="n">
        <x:v>0.538333333</x:v>
      </x:c>
      <x:c r="G745" s="17" t="n">
        <x:v>1</x:v>
      </x:c>
      <x:c r="H745" s="14" t="str">
        <x:v>S03-04:A:final_transcript
S03-04:A:origin_interpretation</x:v>
      </x:c>
    </x:row>
    <x:row r="746" ht="72" customHeight="1">
      <x:c r="A746" s="14" t="str">
        <x:v>S03-04:A:apply_relation</x:v>
      </x:c>
      <x:c r="B746" s="14" t="str">
        <x:v>A</x:v>
      </x:c>
      <x:c r="C746" s="14" t="str">
        <x:v>apply_relation</x:v>
      </x:c>
      <x:c r="D746" s="14" t="n">
        <x:v>0.838333333</x:v>
      </x:c>
      <x:c r="E746" s="14" t="n">
        <x:v>0.878333333</x:v>
      </x:c>
      <x:c r="F746" s="14" t="n">
        <x:v>0.04</x:v>
      </x:c>
      <x:c r="G746" s="17" t="n">
        <x:v>1</x:v>
      </x:c>
      <x:c r="H746" s="14" t="str">
        <x:v>S03-04:A:meaning_adoption</x:v>
      </x:c>
    </x:row>
    <x:row r="747" ht="72" customHeight="1">
      <x:c r="A747" s="14" t="str">
        <x:v>S03-04:A:evaluation_first_display</x:v>
      </x:c>
      <x:c r="B747" s="14" t="str">
        <x:v>A</x:v>
      </x:c>
      <x:c r="C747" s="14" t="str">
        <x:v>evaluation_first_display</x:v>
      </x:c>
      <x:c r="D747" s="14" t="n">
        <x:v>0.878333333</x:v>
      </x:c>
      <x:c r="E747" s="14" t="n">
        <x:v>0.918333333</x:v>
      </x:c>
      <x:c r="F747" s="14" t="n">
        <x:v>0.04</x:v>
      </x:c>
      <x:c r="G747" s="17" t="n">
        <x:v>1</x:v>
      </x:c>
      <x:c r="H747" s="14" t="str">
        <x:v>S03-04:A:apply_relation</x:v>
      </x:c>
    </x:row>
    <x:row r="748" ht="72" customHeight="1">
      <x:c r="A748" s="14" t="str">
        <x:v>S03-04:A:source_question</x:v>
      </x:c>
      <x:c r="B748" s="14" t="str">
        <x:v>A</x:v>
      </x:c>
      <x:c r="C748" s="14" t="str">
        <x:v>source_question</x:v>
      </x:c>
      <x:c r="D748" s="14" t="n">
        <x:v>-5.04</x:v>
      </x:c>
      <x:c r="E748" s="14" t="n">
        <x:v>-1.4</x:v>
      </x:c>
      <x:c r="F748" s="14" t="n">
        <x:v>3.64</x:v>
      </x:c>
      <x:c r="G748" s="17" t="n">
        <x:v>0</x:v>
      </x:c>
      <x:c r="H748" s="14" t="str">
        <x:v>S03-04:A:original_handoff</x:v>
      </x:c>
    </x:row>
    <x:row r="749" ht="72" customHeight="1">
      <x:c r="A749" s="14" t="str">
        <x:v>S03-04:A:display_question</x:v>
      </x:c>
      <x:c r="B749" s="14" t="str">
        <x:v>A</x:v>
      </x:c>
      <x:c r="C749" s="14" t="str">
        <x:v>display_question</x:v>
      </x:c>
      <x:c r="D749" s="14" t="n">
        <x:v>-1.4</x:v>
      </x:c>
      <x:c r="E749" s="14" t="n">
        <x:v>-1.36</x:v>
      </x:c>
      <x:c r="F749" s="14" t="n">
        <x:v>0.04</x:v>
      </x:c>
      <x:c r="G749" s="17" t="n">
        <x:v>1</x:v>
      </x:c>
      <x:c r="H749" s="14" t="str">
        <x:v>S03-04:A:source_question</x:v>
      </x:c>
    </x:row>
    <x:row r="750" ht="72" customHeight="1">
      <x:c r="A750" s="14" t="str">
        <x:v>S03-04:A:select_question</x:v>
      </x:c>
      <x:c r="B750" s="14" t="str">
        <x:v>A</x:v>
      </x:c>
      <x:c r="C750" s="14" t="str">
        <x:v>select_question</x:v>
      </x:c>
      <x:c r="D750" s="14" t="n">
        <x:v>0.878333333</x:v>
      </x:c>
      <x:c r="E750" s="14" t="n">
        <x:v>0.878333333</x:v>
      </x:c>
      <x:c r="F750" s="14" t="n">
        <x:v>0</x:v>
      </x:c>
      <x:c r="G750" s="17" t="n">
        <x:v>1</x:v>
      </x:c>
      <x:c r="H750" s="14" t="str">
        <x:v>S03-04:A:apply_relation
S03-04:A:source_question</x:v>
      </x:c>
    </x:row>
    <x:row r="751" ht="72" customHeight="1">
      <x:c r="A751" s="14" t="str">
        <x:v>S03-04:A:question_first</x:v>
      </x:c>
      <x:c r="B751" s="14" t="str">
        <x:v>A</x:v>
      </x:c>
      <x:c r="C751" s="14" t="str">
        <x:v>question_first</x:v>
      </x:c>
      <x:c r="D751" s="14" t="n">
        <x:v>-1.4</x:v>
      </x:c>
      <x:c r="E751" s="14" t="n">
        <x:v>-0.999</x:v>
      </x:c>
      <x:c r="F751" s="14" t="n">
        <x:v>0.401</x:v>
      </x:c>
      <x:c r="G751" s="17" t="n">
        <x:v>1</x:v>
      </x:c>
      <x:c r="H751" s="14" t="str">
        <x:v>S03-04:A:source_question</x:v>
      </x:c>
    </x:row>
    <x:row r="752" ht="72" customHeight="1">
      <x:c r="A752" s="14" t="str">
        <x:v>S03-04:A:question_tail</x:v>
      </x:c>
      <x:c r="B752" s="14" t="str">
        <x:v>A</x:v>
      </x:c>
      <x:c r="C752" s="14" t="str">
        <x:v>question_tail</x:v>
      </x:c>
      <x:c r="D752" s="14" t="n">
        <x:v>-0.999</x:v>
      </x:c>
      <x:c r="E752" s="14" t="n">
        <x:v>-0.3535</x:v>
      </x:c>
      <x:c r="F752" s="14" t="n">
        <x:v>0.6455</x:v>
      </x:c>
      <x:c r="G752" s="17" t="n">
        <x:v>1</x:v>
      </x:c>
      <x:c r="H752" s="14" t="str">
        <x:v>S03-04:A:question_first</x:v>
      </x:c>
    </x:row>
    <x:row r="753" ht="72" customHeight="1">
      <x:c r="A753" s="14" t="str">
        <x:v>S03-04:A:question_device</x:v>
      </x:c>
      <x:c r="B753" s="14" t="str">
        <x:v>A</x:v>
      </x:c>
      <x:c r="C753" s="14" t="str">
        <x:v>question_device</x:v>
      </x:c>
      <x:c r="D753" s="14" t="n">
        <x:v>0.878333333</x:v>
      </x:c>
      <x:c r="E753" s="14" t="n">
        <x:v>0.918333333</x:v>
      </x:c>
      <x:c r="F753" s="14" t="n">
        <x:v>0.04</x:v>
      </x:c>
      <x:c r="G753" s="17" t="n">
        <x:v>1</x:v>
      </x:c>
      <x:c r="H753" s="14" t="str">
        <x:v>S03-04:A:select_question
S03-04:A:question_first</x:v>
      </x:c>
    </x:row>
    <x:row r="754" ht="72" customHeight="1">
      <x:c r="A754" s="14" t="str">
        <x:v>S03-04:A:question_played</x:v>
      </x:c>
      <x:c r="B754" s="14" t="str">
        <x:v>A</x:v>
      </x:c>
      <x:c r="C754" s="14" t="str">
        <x:v>question_played</x:v>
      </x:c>
      <x:c r="D754" s="14" t="n">
        <x:v>0.918333333</x:v>
      </x:c>
      <x:c r="E754" s="14" t="n">
        <x:v>3.700333333</x:v>
      </x:c>
      <x:c r="F754" s="14" t="n">
        <x:v>2.782</x:v>
      </x:c>
      <x:c r="G754" s="17" t="n">
        <x:v>0</x:v>
      </x:c>
      <x:c r="H754" s="14" t="str">
        <x:v>S03-04:A:question_device</x:v>
      </x:c>
    </x:row>
    <x:row r="755" ht="72" customHeight="1">
      <x:c r="A755" s="14" t="str">
        <x:v>S03-04:A:source_report_v1</x:v>
      </x:c>
      <x:c r="B755" s="14" t="str">
        <x:v>A</x:v>
      </x:c>
      <x:c r="C755" s="14" t="str">
        <x:v>source_report_v1</x:v>
      </x:c>
      <x:c r="D755" s="14" t="n">
        <x:v>-5.04</x:v>
      </x:c>
      <x:c r="E755" s="14" t="n">
        <x:v>-1</x:v>
      </x:c>
      <x:c r="F755" s="14" t="n">
        <x:v>4.04</x:v>
      </x:c>
      <x:c r="G755" s="17" t="n">
        <x:v>0</x:v>
      </x:c>
      <x:c r="H755" s="14" t="str">
        <x:v>S03-04:A:original_handoff</x:v>
      </x:c>
    </x:row>
    <x:row r="756" ht="72" customHeight="1">
      <x:c r="A756" s="14" t="str">
        <x:v>S03-04:A:display_report_v1</x:v>
      </x:c>
      <x:c r="B756" s="14" t="str">
        <x:v>A</x:v>
      </x:c>
      <x:c r="C756" s="14" t="str">
        <x:v>display_report_v1</x:v>
      </x:c>
      <x:c r="D756" s="14" t="n">
        <x:v>-1</x:v>
      </x:c>
      <x:c r="E756" s="14" t="n">
        <x:v>-0.96</x:v>
      </x:c>
      <x:c r="F756" s="14" t="n">
        <x:v>0.04</x:v>
      </x:c>
      <x:c r="G756" s="17" t="n">
        <x:v>1</x:v>
      </x:c>
      <x:c r="H756" s="14" t="str">
        <x:v>S03-04:A:source_report_v1</x:v>
      </x:c>
    </x:row>
    <x:row r="757" ht="72" customHeight="1">
      <x:c r="A757" s="14" t="str">
        <x:v>S03-04:A:report_v1_first</x:v>
      </x:c>
      <x:c r="B757" s="14" t="str">
        <x:v>A</x:v>
      </x:c>
      <x:c r="C757" s="14" t="str">
        <x:v>report_v1_first</x:v>
      </x:c>
      <x:c r="D757" s="14" t="n">
        <x:v>-1</x:v>
      </x:c>
      <x:c r="E757" s="14" t="n">
        <x:v>-0.59</x:v>
      </x:c>
      <x:c r="F757" s="14" t="n">
        <x:v>0.41</x:v>
      </x:c>
      <x:c r="G757" s="17" t="n">
        <x:v>1</x:v>
      </x:c>
      <x:c r="H757" s="14" t="str">
        <x:v>S03-04:A:source_report_v1</x:v>
      </x:c>
    </x:row>
    <x:row r="758" ht="72" customHeight="1">
      <x:c r="A758" s="14" t="str">
        <x:v>S03-04:A:report_v1_tail</x:v>
      </x:c>
      <x:c r="B758" s="14" t="str">
        <x:v>A</x:v>
      </x:c>
      <x:c r="C758" s="14" t="str">
        <x:v>report_v1_tail</x:v>
      </x:c>
      <x:c r="D758" s="14" t="n">
        <x:v>-0.59</x:v>
      </x:c>
      <x:c r="E758" s="14" t="n">
        <x:v>0.978333333</x:v>
      </x:c>
      <x:c r="F758" s="14" t="n">
        <x:v>1.568333333</x:v>
      </x:c>
      <x:c r="G758" s="17" t="n">
        <x:v>1</x:v>
      </x:c>
      <x:c r="H758" s="14" t="str">
        <x:v>S03-04:A:report_v1_first</x:v>
      </x:c>
    </x:row>
    <x:row r="759" ht="72" customHeight="1">
      <x:c r="A759" s="14" t="str">
        <x:v>S03-04:A:revision_handoff</x:v>
      </x:c>
      <x:c r="B759" s="14" t="str">
        <x:v>A</x:v>
      </x:c>
      <x:c r="C759" s="14" t="str">
        <x:v>revision_handoff</x:v>
      </x:c>
      <x:c r="D759" s="14" t="n">
        <x:v>0.878333333</x:v>
      </x:c>
      <x:c r="E759" s="14" t="n">
        <x:v>0.998333333</x:v>
      </x:c>
      <x:c r="F759" s="14" t="n">
        <x:v>0.12</x:v>
      </x:c>
      <x:c r="G759" s="17" t="n">
        <x:v>1</x:v>
      </x:c>
      <x:c r="H759" s="14" t="str">
        <x:v>S03-04:A:apply_relation</x:v>
      </x:c>
    </x:row>
    <x:row r="760" ht="72" customHeight="1">
      <x:c r="A760" s="14" t="str">
        <x:v>S03-04:A:source_report_v2</x:v>
      </x:c>
      <x:c r="B760" s="14" t="str">
        <x:v>A</x:v>
      </x:c>
      <x:c r="C760" s="14" t="str">
        <x:v>source_report_v2</x:v>
      </x:c>
      <x:c r="D760" s="14" t="n">
        <x:v>0.998333333</x:v>
      </x:c>
      <x:c r="E760" s="14" t="n">
        <x:v>3.398333333</x:v>
      </x:c>
      <x:c r="F760" s="14" t="n">
        <x:v>2.4</x:v>
      </x:c>
      <x:c r="G760" s="17" t="n">
        <x:v>0</x:v>
      </x:c>
      <x:c r="H760" s="14" t="str">
        <x:v>S03-04:A:revision_handoff</x:v>
      </x:c>
    </x:row>
    <x:row r="761" ht="72" customHeight="1">
      <x:c r="A761" s="14" t="str">
        <x:v>S03-04:A:display_report_v2</x:v>
      </x:c>
      <x:c r="B761" s="14" t="str">
        <x:v>A</x:v>
      </x:c>
      <x:c r="C761" s="14" t="str">
        <x:v>display_report_v2</x:v>
      </x:c>
      <x:c r="D761" s="14" t="n">
        <x:v>3.398333333</x:v>
      </x:c>
      <x:c r="E761" s="14" t="n">
        <x:v>3.438333333</x:v>
      </x:c>
      <x:c r="F761" s="14" t="n">
        <x:v>0.04</x:v>
      </x:c>
      <x:c r="G761" s="17" t="n">
        <x:v>1</x:v>
      </x:c>
      <x:c r="H761" s="14" t="str">
        <x:v>S03-04:A:source_report_v2</x:v>
      </x:c>
    </x:row>
    <x:row r="762" ht="72" customHeight="1">
      <x:c r="A762" s="14" t="str">
        <x:v>S03-04:A:select_report_v2</x:v>
      </x:c>
      <x:c r="B762" s="14" t="str">
        <x:v>A</x:v>
      </x:c>
      <x:c r="C762" s="14" t="str">
        <x:v>select_report_v2</x:v>
      </x:c>
      <x:c r="D762" s="14" t="n">
        <x:v>3.700333333</x:v>
      </x:c>
      <x:c r="E762" s="14" t="n">
        <x:v>3.700333333</x:v>
      </x:c>
      <x:c r="F762" s="14" t="n">
        <x:v>0</x:v>
      </x:c>
      <x:c r="G762" s="17" t="n">
        <x:v>1</x:v>
      </x:c>
      <x:c r="H762" s="14" t="str">
        <x:v>S03-04:A:question_played
S03-04:A:source_report_v2</x:v>
      </x:c>
    </x:row>
    <x:row r="763" ht="72" customHeight="1">
      <x:c r="A763" s="14" t="str">
        <x:v>S03-04:A:report_v2_first</x:v>
      </x:c>
      <x:c r="B763" s="14" t="str">
        <x:v>A</x:v>
      </x:c>
      <x:c r="C763" s="14" t="str">
        <x:v>report_v2_first</x:v>
      </x:c>
      <x:c r="D763" s="14" t="n">
        <x:v>3.398333333</x:v>
      </x:c>
      <x:c r="E763" s="14" t="n">
        <x:v>3.807333333</x:v>
      </x:c>
      <x:c r="F763" s="14" t="n">
        <x:v>0.409</x:v>
      </x:c>
      <x:c r="G763" s="17" t="n">
        <x:v>1</x:v>
      </x:c>
      <x:c r="H763" s="14" t="str">
        <x:v>S03-04:A:source_report_v2</x:v>
      </x:c>
    </x:row>
    <x:row r="764" ht="72" customHeight="1">
      <x:c r="A764" s="14" t="str">
        <x:v>S03-04:A:report_v2_tail</x:v>
      </x:c>
      <x:c r="B764" s="14" t="str">
        <x:v>A</x:v>
      </x:c>
      <x:c r="C764" s="14" t="str">
        <x:v>report_v2_tail</x:v>
      </x:c>
      <x:c r="D764" s="14" t="n">
        <x:v>3.807333333</x:v>
      </x:c>
      <x:c r="E764" s="14" t="n">
        <x:v>5.752833333</x:v>
      </x:c>
      <x:c r="F764" s="14" t="n">
        <x:v>1.9455</x:v>
      </x:c>
      <x:c r="G764" s="17" t="n">
        <x:v>1</x:v>
      </x:c>
      <x:c r="H764" s="14" t="str">
        <x:v>S03-04:A:report_v2_first</x:v>
      </x:c>
    </x:row>
    <x:row r="765" ht="72" customHeight="1">
      <x:c r="A765" s="14" t="str">
        <x:v>S03-04:A:report_v2_device</x:v>
      </x:c>
      <x:c r="B765" s="14" t="str">
        <x:v>A</x:v>
      </x:c>
      <x:c r="C765" s="14" t="str">
        <x:v>report_v2_device</x:v>
      </x:c>
      <x:c r="D765" s="14" t="n">
        <x:v>3.807333333</x:v>
      </x:c>
      <x:c r="E765" s="14" t="n">
        <x:v>3.847333333</x:v>
      </x:c>
      <x:c r="F765" s="14" t="n">
        <x:v>0.04</x:v>
      </x:c>
      <x:c r="G765" s="17" t="n">
        <x:v>1</x:v>
      </x:c>
      <x:c r="H765" s="14" t="str">
        <x:v>S03-04:A:select_report_v2
S03-04:A:report_v2_first</x:v>
      </x:c>
    </x:row>
    <x:row r="766" ht="72" customHeight="1">
      <x:c r="A766" s="14" t="str">
        <x:v>S03-04:A:report_v2_played</x:v>
      </x:c>
      <x:c r="B766" s="14" t="str">
        <x:v>A</x:v>
      </x:c>
      <x:c r="C766" s="14" t="str">
        <x:v>report_v2_played</x:v>
      </x:c>
      <x:c r="D766" s="14" t="n">
        <x:v>3.847333333</x:v>
      </x:c>
      <x:c r="E766" s="14" t="n">
        <x:v>11.829333333</x:v>
      </x:c>
      <x:c r="F766" s="14" t="n">
        <x:v>7.982</x:v>
      </x:c>
      <x:c r="G766" s="17" t="n">
        <x:v>0</x:v>
      </x:c>
      <x:c r="H766" s="14" t="str">
        <x:v>S03-04:A:report_v2_device</x:v>
      </x:c>
    </x:row>
    <x:row r="767" ht="72" customHeight="1">
      <x:c r="A767" s="14" t="str">
        <x:v>S03-04:B:origin</x:v>
      </x:c>
      <x:c r="B767" s="14" t="str">
        <x:v>B</x:v>
      </x:c>
      <x:c r="C767" s="14" t="str">
        <x:v>origin</x:v>
      </x:c>
      <x:c r="D767" s="14" t="n">
        <x:v>-6</x:v>
      </x:c>
      <x:c r="E767" s="14" t="n">
        <x:v>-6</x:v>
      </x:c>
      <x:c r="F767" s="14" t="n">
        <x:v>0</x:v>
      </x:c>
      <x:c r="G767" s="17" t="n">
        <x:v>0</x:v>
      </x:c>
      <x:c r="H767" s="14" t="str"/>
    </x:row>
    <x:row r="768" ht="72" customHeight="1">
      <x:c r="A768" s="14" t="str">
        <x:v>S03-04:B:origin_interpretation</x:v>
      </x:c>
      <x:c r="B768" s="14" t="str">
        <x:v>B</x:v>
      </x:c>
      <x:c r="C768" s="14" t="str">
        <x:v>origin_interpretation</x:v>
      </x:c>
      <x:c r="D768" s="14" t="n">
        <x:v>-6</x:v>
      </x:c>
      <x:c r="E768" s="14" t="n">
        <x:v>-5.16</x:v>
      </x:c>
      <x:c r="F768" s="14" t="n">
        <x:v>0.84</x:v>
      </x:c>
      <x:c r="G768" s="17" t="n">
        <x:v>1</x:v>
      </x:c>
      <x:c r="H768" s="14" t="str">
        <x:v>S03-04:B:origin</x:v>
      </x:c>
    </x:row>
    <x:row r="769" ht="72" customHeight="1">
      <x:c r="A769" s="14" t="str">
        <x:v>S03-04:B:original_handoff</x:v>
      </x:c>
      <x:c r="B769" s="14" t="str">
        <x:v>B</x:v>
      </x:c>
      <x:c r="C769" s="14" t="str">
        <x:v>original_handoff</x:v>
      </x:c>
      <x:c r="D769" s="14" t="n">
        <x:v>-5.16</x:v>
      </x:c>
      <x:c r="E769" s="14" t="n">
        <x:v>-5.04</x:v>
      </x:c>
      <x:c r="F769" s="14" t="n">
        <x:v>0.12</x:v>
      </x:c>
      <x:c r="G769" s="17" t="n">
        <x:v>1</x:v>
      </x:c>
      <x:c r="H769" s="14" t="str">
        <x:v>S03-04:B:origin_interpretation</x:v>
      </x:c>
    </x:row>
    <x:row r="770" ht="72" customHeight="1">
      <x:c r="A770" s="14" t="str">
        <x:v>S03-04:B:evaluation_utterance_end</x:v>
      </x:c>
      <x:c r="B770" s="14" t="str">
        <x:v>B</x:v>
      </x:c>
      <x:c r="C770" s="14" t="str">
        <x:v>evaluation_utterance_end</x:v>
      </x:c>
      <x:c r="D770" s="14" t="n">
        <x:v>-6</x:v>
      </x:c>
      <x:c r="E770" s="14" t="n">
        <x:v>0</x:v>
      </x:c>
      <x:c r="F770" s="14" t="n">
        <x:v>6</x:v>
      </x:c>
      <x:c r="G770" s="17" t="n">
        <x:v>0</x:v>
      </x:c>
      <x:c r="H770" s="14" t="str">
        <x:v>S03-04:B:origin</x:v>
      </x:c>
    </x:row>
    <x:row r="771" ht="72" customHeight="1">
      <x:c r="A771" s="14" t="str">
        <x:v>S03-04:B:final_transcript</x:v>
      </x:c>
      <x:c r="B771" s="14" t="str">
        <x:v>B</x:v>
      </x:c>
      <x:c r="C771" s="14" t="str">
        <x:v>final_transcript</x:v>
      </x:c>
      <x:c r="D771" s="14" t="n">
        <x:v>0</x:v>
      </x:c>
      <x:c r="E771" s="14" t="n">
        <x:v>0.3</x:v>
      </x:c>
      <x:c r="F771" s="14" t="n">
        <x:v>0.3</x:v>
      </x:c>
      <x:c r="G771" s="17" t="n">
        <x:v>1</x:v>
      </x:c>
      <x:c r="H771" s="14" t="str">
        <x:v>S03-04:B:evaluation_utterance_end</x:v>
      </x:c>
    </x:row>
    <x:row r="772" ht="72" customHeight="1">
      <x:c r="A772" s="14" t="str">
        <x:v>S03-04:B:meaning_adoption</x:v>
      </x:c>
      <x:c r="B772" s="14" t="str">
        <x:v>B</x:v>
      </x:c>
      <x:c r="C772" s="14" t="str">
        <x:v>meaning_adoption</x:v>
      </x:c>
      <x:c r="D772" s="14" t="n">
        <x:v>0.3</x:v>
      </x:c>
      <x:c r="E772" s="14" t="n">
        <x:v>0.838333333</x:v>
      </x:c>
      <x:c r="F772" s="14" t="n">
        <x:v>0.538333333</x:v>
      </x:c>
      <x:c r="G772" s="17" t="n">
        <x:v>1</x:v>
      </x:c>
      <x:c r="H772" s="14" t="str">
        <x:v>S03-04:B:final_transcript
S03-04:B:origin_interpretation</x:v>
      </x:c>
    </x:row>
    <x:row r="773" ht="72" customHeight="1">
      <x:c r="A773" s="14" t="str">
        <x:v>S03-04:B:apply_relation</x:v>
      </x:c>
      <x:c r="B773" s="14" t="str">
        <x:v>B</x:v>
      </x:c>
      <x:c r="C773" s="14" t="str">
        <x:v>apply_relation</x:v>
      </x:c>
      <x:c r="D773" s="14" t="n">
        <x:v>0.838333333</x:v>
      </x:c>
      <x:c r="E773" s="14" t="n">
        <x:v>0.878333333</x:v>
      </x:c>
      <x:c r="F773" s="14" t="n">
        <x:v>0.04</x:v>
      </x:c>
      <x:c r="G773" s="17" t="n">
        <x:v>1</x:v>
      </x:c>
      <x:c r="H773" s="14" t="str">
        <x:v>S03-04:B:meaning_adoption</x:v>
      </x:c>
    </x:row>
    <x:row r="774" ht="72" customHeight="1">
      <x:c r="A774" s="14" t="str">
        <x:v>S03-04:B:evaluation_first_display</x:v>
      </x:c>
      <x:c r="B774" s="14" t="str">
        <x:v>B</x:v>
      </x:c>
      <x:c r="C774" s="14" t="str">
        <x:v>evaluation_first_display</x:v>
      </x:c>
      <x:c r="D774" s="14" t="n">
        <x:v>0.878333333</x:v>
      </x:c>
      <x:c r="E774" s="14" t="n">
        <x:v>0.918333333</x:v>
      </x:c>
      <x:c r="F774" s="14" t="n">
        <x:v>0.04</x:v>
      </x:c>
      <x:c r="G774" s="17" t="n">
        <x:v>1</x:v>
      </x:c>
      <x:c r="H774" s="14" t="str">
        <x:v>S03-04:B:apply_relation</x:v>
      </x:c>
    </x:row>
    <x:row r="775" ht="72" customHeight="1">
      <x:c r="A775" s="14" t="str">
        <x:v>S03-04:B:source_question</x:v>
      </x:c>
      <x:c r="B775" s="14" t="str">
        <x:v>B</x:v>
      </x:c>
      <x:c r="C775" s="14" t="str">
        <x:v>source_question</x:v>
      </x:c>
      <x:c r="D775" s="14" t="n">
        <x:v>-5.04</x:v>
      </x:c>
      <x:c r="E775" s="14" t="n">
        <x:v>-1.4</x:v>
      </x:c>
      <x:c r="F775" s="14" t="n">
        <x:v>3.64</x:v>
      </x:c>
      <x:c r="G775" s="17" t="n">
        <x:v>0</x:v>
      </x:c>
      <x:c r="H775" s="14" t="str">
        <x:v>S03-04:B:original_handoff</x:v>
      </x:c>
    </x:row>
    <x:row r="776" ht="72" customHeight="1">
      <x:c r="A776" s="14" t="str">
        <x:v>S03-04:B:display_question</x:v>
      </x:c>
      <x:c r="B776" s="14" t="str">
        <x:v>B</x:v>
      </x:c>
      <x:c r="C776" s="14" t="str">
        <x:v>display_question</x:v>
      </x:c>
      <x:c r="D776" s="14" t="n">
        <x:v>-1.4</x:v>
      </x:c>
      <x:c r="E776" s="14" t="n">
        <x:v>-1.36</x:v>
      </x:c>
      <x:c r="F776" s="14" t="n">
        <x:v>0.04</x:v>
      </x:c>
      <x:c r="G776" s="17" t="n">
        <x:v>1</x:v>
      </x:c>
      <x:c r="H776" s="14" t="str">
        <x:v>S03-04:B:source_question</x:v>
      </x:c>
    </x:row>
    <x:row r="777" ht="72" customHeight="1">
      <x:c r="A777" s="14" t="str">
        <x:v>S03-04:B:select_question</x:v>
      </x:c>
      <x:c r="B777" s="14" t="str">
        <x:v>B</x:v>
      </x:c>
      <x:c r="C777" s="14" t="str">
        <x:v>select_question</x:v>
      </x:c>
      <x:c r="D777" s="14" t="n">
        <x:v>0.878333333</x:v>
      </x:c>
      <x:c r="E777" s="14" t="n">
        <x:v>0.878333333</x:v>
      </x:c>
      <x:c r="F777" s="14" t="n">
        <x:v>0</x:v>
      </x:c>
      <x:c r="G777" s="17" t="n">
        <x:v>1</x:v>
      </x:c>
      <x:c r="H777" s="14" t="str">
        <x:v>S03-04:B:apply_relation
S03-04:B:source_question</x:v>
      </x:c>
    </x:row>
    <x:row r="778" ht="72" customHeight="1">
      <x:c r="A778" s="14" t="str">
        <x:v>S03-04:B:question_first</x:v>
      </x:c>
      <x:c r="B778" s="14" t="str">
        <x:v>B</x:v>
      </x:c>
      <x:c r="C778" s="14" t="str">
        <x:v>question_first</x:v>
      </x:c>
      <x:c r="D778" s="14" t="n">
        <x:v>0.878333333</x:v>
      </x:c>
      <x:c r="E778" s="14" t="n">
        <x:v>1.279333333</x:v>
      </x:c>
      <x:c r="F778" s="14" t="n">
        <x:v>0.401</x:v>
      </x:c>
      <x:c r="G778" s="17" t="n">
        <x:v>1</x:v>
      </x:c>
      <x:c r="H778" s="14" t="str">
        <x:v>S03-04:B:select_question</x:v>
      </x:c>
    </x:row>
    <x:row r="779" ht="72" customHeight="1">
      <x:c r="A779" s="14" t="str">
        <x:v>S03-04:B:question_tail</x:v>
      </x:c>
      <x:c r="B779" s="14" t="str">
        <x:v>B</x:v>
      </x:c>
      <x:c r="C779" s="14" t="str">
        <x:v>question_tail</x:v>
      </x:c>
      <x:c r="D779" s="14" t="n">
        <x:v>1.279333333</x:v>
      </x:c>
      <x:c r="E779" s="14" t="n">
        <x:v>1.924833333</x:v>
      </x:c>
      <x:c r="F779" s="14" t="n">
        <x:v>0.6455</x:v>
      </x:c>
      <x:c r="G779" s="17" t="n">
        <x:v>1</x:v>
      </x:c>
      <x:c r="H779" s="14" t="str">
        <x:v>S03-04:B:question_first</x:v>
      </x:c>
    </x:row>
    <x:row r="780" ht="72" customHeight="1">
      <x:c r="A780" s="14" t="str">
        <x:v>S03-04:B:question_device</x:v>
      </x:c>
      <x:c r="B780" s="14" t="str">
        <x:v>B</x:v>
      </x:c>
      <x:c r="C780" s="14" t="str">
        <x:v>question_device</x:v>
      </x:c>
      <x:c r="D780" s="14" t="n">
        <x:v>1.279333333</x:v>
      </x:c>
      <x:c r="E780" s="14" t="n">
        <x:v>1.319333333</x:v>
      </x:c>
      <x:c r="F780" s="14" t="n">
        <x:v>0.04</x:v>
      </x:c>
      <x:c r="G780" s="17" t="n">
        <x:v>1</x:v>
      </x:c>
      <x:c r="H780" s="14" t="str">
        <x:v>S03-04:B:select_question
S03-04:B:question_first</x:v>
      </x:c>
    </x:row>
    <x:row r="781" ht="72" customHeight="1">
      <x:c r="A781" s="14" t="str">
        <x:v>S03-04:B:question_played</x:v>
      </x:c>
      <x:c r="B781" s="14" t="str">
        <x:v>B</x:v>
      </x:c>
      <x:c r="C781" s="14" t="str">
        <x:v>question_played</x:v>
      </x:c>
      <x:c r="D781" s="14" t="n">
        <x:v>1.319333333</x:v>
      </x:c>
      <x:c r="E781" s="14" t="n">
        <x:v>4.101333333</x:v>
      </x:c>
      <x:c r="F781" s="14" t="n">
        <x:v>2.782</x:v>
      </x:c>
      <x:c r="G781" s="17" t="n">
        <x:v>0</x:v>
      </x:c>
      <x:c r="H781" s="14" t="str">
        <x:v>S03-04:B:question_device</x:v>
      </x:c>
    </x:row>
    <x:row r="782" ht="72" customHeight="1">
      <x:c r="A782" s="14" t="str">
        <x:v>S03-04:B:source_report_v1</x:v>
      </x:c>
      <x:c r="B782" s="14" t="str">
        <x:v>B</x:v>
      </x:c>
      <x:c r="C782" s="14" t="str">
        <x:v>source_report_v1</x:v>
      </x:c>
      <x:c r="D782" s="14" t="n">
        <x:v>-5.04</x:v>
      </x:c>
      <x:c r="E782" s="14" t="n">
        <x:v>-1</x:v>
      </x:c>
      <x:c r="F782" s="14" t="n">
        <x:v>4.04</x:v>
      </x:c>
      <x:c r="G782" s="17" t="n">
        <x:v>0</x:v>
      </x:c>
      <x:c r="H782" s="14" t="str">
        <x:v>S03-04:B:original_handoff</x:v>
      </x:c>
    </x:row>
    <x:row r="783" ht="72" customHeight="1">
      <x:c r="A783" s="14" t="str">
        <x:v>S03-04:B:display_report_v1</x:v>
      </x:c>
      <x:c r="B783" s="14" t="str">
        <x:v>B</x:v>
      </x:c>
      <x:c r="C783" s="14" t="str">
        <x:v>display_report_v1</x:v>
      </x:c>
      <x:c r="D783" s="14" t="n">
        <x:v>-1</x:v>
      </x:c>
      <x:c r="E783" s="14" t="n">
        <x:v>-0.96</x:v>
      </x:c>
      <x:c r="F783" s="14" t="n">
        <x:v>0.04</x:v>
      </x:c>
      <x:c r="G783" s="17" t="n">
        <x:v>1</x:v>
      </x:c>
      <x:c r="H783" s="14" t="str">
        <x:v>S03-04:B:source_report_v1</x:v>
      </x:c>
    </x:row>
    <x:row r="784" ht="72" customHeight="1">
      <x:c r="A784" s="14" t="str">
        <x:v>S03-04:B:revision_handoff</x:v>
      </x:c>
      <x:c r="B784" s="14" t="str">
        <x:v>B</x:v>
      </x:c>
      <x:c r="C784" s="14" t="str">
        <x:v>revision_handoff</x:v>
      </x:c>
      <x:c r="D784" s="14" t="n">
        <x:v>0.878333333</x:v>
      </x:c>
      <x:c r="E784" s="14" t="n">
        <x:v>0.998333333</x:v>
      </x:c>
      <x:c r="F784" s="14" t="n">
        <x:v>0.12</x:v>
      </x:c>
      <x:c r="G784" s="17" t="n">
        <x:v>1</x:v>
      </x:c>
      <x:c r="H784" s="14" t="str">
        <x:v>S03-04:B:apply_relation</x:v>
      </x:c>
    </x:row>
    <x:row r="785" ht="72" customHeight="1">
      <x:c r="A785" s="14" t="str">
        <x:v>S03-04:B:source_report_v2</x:v>
      </x:c>
      <x:c r="B785" s="14" t="str">
        <x:v>B</x:v>
      </x:c>
      <x:c r="C785" s="14" t="str">
        <x:v>source_report_v2</x:v>
      </x:c>
      <x:c r="D785" s="14" t="n">
        <x:v>0.998333333</x:v>
      </x:c>
      <x:c r="E785" s="14" t="n">
        <x:v>3.398333333</x:v>
      </x:c>
      <x:c r="F785" s="14" t="n">
        <x:v>2.4</x:v>
      </x:c>
      <x:c r="G785" s="17" t="n">
        <x:v>0</x:v>
      </x:c>
      <x:c r="H785" s="14" t="str">
        <x:v>S03-04:B:revision_handoff</x:v>
      </x:c>
    </x:row>
    <x:row r="786" ht="72" customHeight="1">
      <x:c r="A786" s="14" t="str">
        <x:v>S03-04:B:display_report_v2</x:v>
      </x:c>
      <x:c r="B786" s="14" t="str">
        <x:v>B</x:v>
      </x:c>
      <x:c r="C786" s="14" t="str">
        <x:v>display_report_v2</x:v>
      </x:c>
      <x:c r="D786" s="14" t="n">
        <x:v>3.398333333</x:v>
      </x:c>
      <x:c r="E786" s="14" t="n">
        <x:v>3.438333333</x:v>
      </x:c>
      <x:c r="F786" s="14" t="n">
        <x:v>0.04</x:v>
      </x:c>
      <x:c r="G786" s="17" t="n">
        <x:v>1</x:v>
      </x:c>
      <x:c r="H786" s="14" t="str">
        <x:v>S03-04:B:source_report_v2</x:v>
      </x:c>
    </x:row>
    <x:row r="787" ht="72" customHeight="1">
      <x:c r="A787" s="14" t="str">
        <x:v>S03-04:B:select_report_v2</x:v>
      </x:c>
      <x:c r="B787" s="14" t="str">
        <x:v>B</x:v>
      </x:c>
      <x:c r="C787" s="14" t="str">
        <x:v>select_report_v2</x:v>
      </x:c>
      <x:c r="D787" s="14" t="n">
        <x:v>4.101333333</x:v>
      </x:c>
      <x:c r="E787" s="14" t="n">
        <x:v>4.101333333</x:v>
      </x:c>
      <x:c r="F787" s="14" t="n">
        <x:v>0</x:v>
      </x:c>
      <x:c r="G787" s="17" t="n">
        <x:v>1</x:v>
      </x:c>
      <x:c r="H787" s="14" t="str">
        <x:v>S03-04:B:question_played
S03-04:B:source_report_v2</x:v>
      </x:c>
    </x:row>
    <x:row r="788" ht="72" customHeight="1">
      <x:c r="A788" s="14" t="str">
        <x:v>S03-04:B:report_v2_first</x:v>
      </x:c>
      <x:c r="B788" s="14" t="str">
        <x:v>B</x:v>
      </x:c>
      <x:c r="C788" s="14" t="str">
        <x:v>report_v2_first</x:v>
      </x:c>
      <x:c r="D788" s="14" t="n">
        <x:v>4.101333333</x:v>
      </x:c>
      <x:c r="E788" s="14" t="n">
        <x:v>4.510333333</x:v>
      </x:c>
      <x:c r="F788" s="14" t="n">
        <x:v>0.409</x:v>
      </x:c>
      <x:c r="G788" s="17" t="n">
        <x:v>1</x:v>
      </x:c>
      <x:c r="H788" s="14" t="str">
        <x:v>S03-04:B:select_report_v2</x:v>
      </x:c>
    </x:row>
    <x:row r="789" ht="72" customHeight="1">
      <x:c r="A789" s="14" t="str">
        <x:v>S03-04:B:report_v2_tail</x:v>
      </x:c>
      <x:c r="B789" s="14" t="str">
        <x:v>B</x:v>
      </x:c>
      <x:c r="C789" s="14" t="str">
        <x:v>report_v2_tail</x:v>
      </x:c>
      <x:c r="D789" s="14" t="n">
        <x:v>4.510333333</x:v>
      </x:c>
      <x:c r="E789" s="14" t="n">
        <x:v>6.455833333</x:v>
      </x:c>
      <x:c r="F789" s="14" t="n">
        <x:v>1.9455</x:v>
      </x:c>
      <x:c r="G789" s="17" t="n">
        <x:v>1</x:v>
      </x:c>
      <x:c r="H789" s="14" t="str">
        <x:v>S03-04:B:report_v2_first</x:v>
      </x:c>
    </x:row>
    <x:row r="790" ht="72" customHeight="1">
      <x:c r="A790" s="14" t="str">
        <x:v>S03-04:B:report_v2_device</x:v>
      </x:c>
      <x:c r="B790" s="14" t="str">
        <x:v>B</x:v>
      </x:c>
      <x:c r="C790" s="14" t="str">
        <x:v>report_v2_device</x:v>
      </x:c>
      <x:c r="D790" s="14" t="n">
        <x:v>4.510333333</x:v>
      </x:c>
      <x:c r="E790" s="14" t="n">
        <x:v>4.550333333</x:v>
      </x:c>
      <x:c r="F790" s="14" t="n">
        <x:v>0.04</x:v>
      </x:c>
      <x:c r="G790" s="17" t="n">
        <x:v>1</x:v>
      </x:c>
      <x:c r="H790" s="14" t="str">
        <x:v>S03-04:B:select_report_v2
S03-04:B:report_v2_first</x:v>
      </x:c>
    </x:row>
    <x:row r="791" ht="72" customHeight="1">
      <x:c r="A791" s="14" t="str">
        <x:v>S03-04:B:report_v2_played</x:v>
      </x:c>
      <x:c r="B791" s="14" t="str">
        <x:v>B</x:v>
      </x:c>
      <x:c r="C791" s="14" t="str">
        <x:v>report_v2_played</x:v>
      </x:c>
      <x:c r="D791" s="14" t="n">
        <x:v>4.550333333</x:v>
      </x:c>
      <x:c r="E791" s="14" t="n">
        <x:v>12.532333333</x:v>
      </x:c>
      <x:c r="F791" s="14" t="n">
        <x:v>7.982</x:v>
      </x:c>
      <x:c r="G791" s="17" t="n">
        <x:v>0</x:v>
      </x:c>
      <x:c r="H791" s="14" t="str">
        <x:v>S03-04:B:report_v2_device</x:v>
      </x:c>
    </x:row>
    <x:row r="792" ht="72" customHeight="1">
      <x:c r="A792" s="14" t="str">
        <x:v>S03-05:A:origin</x:v>
      </x:c>
      <x:c r="B792" s="14" t="str">
        <x:v>A</x:v>
      </x:c>
      <x:c r="C792" s="14" t="str">
        <x:v>origin</x:v>
      </x:c>
      <x:c r="D792" s="14" t="n">
        <x:v>-6</x:v>
      </x:c>
      <x:c r="E792" s="14" t="n">
        <x:v>-6</x:v>
      </x:c>
      <x:c r="F792" s="14" t="n">
        <x:v>0</x:v>
      </x:c>
      <x:c r="G792" s="17" t="n">
        <x:v>0</x:v>
      </x:c>
      <x:c r="H792" s="14" t="str"/>
    </x:row>
    <x:row r="793" ht="72" customHeight="1">
      <x:c r="A793" s="14" t="str">
        <x:v>S03-05:A:origin_interpretation</x:v>
      </x:c>
      <x:c r="B793" s="14" t="str">
        <x:v>A</x:v>
      </x:c>
      <x:c r="C793" s="14" t="str">
        <x:v>origin_interpretation</x:v>
      </x:c>
      <x:c r="D793" s="14" t="n">
        <x:v>-6</x:v>
      </x:c>
      <x:c r="E793" s="14" t="n">
        <x:v>-5.16</x:v>
      </x:c>
      <x:c r="F793" s="14" t="n">
        <x:v>0.84</x:v>
      </x:c>
      <x:c r="G793" s="17" t="n">
        <x:v>1</x:v>
      </x:c>
      <x:c r="H793" s="14" t="str">
        <x:v>S03-05:A:origin</x:v>
      </x:c>
    </x:row>
    <x:row r="794" ht="72" customHeight="1">
      <x:c r="A794" s="14" t="str">
        <x:v>S03-05:A:original_handoff</x:v>
      </x:c>
      <x:c r="B794" s="14" t="str">
        <x:v>A</x:v>
      </x:c>
      <x:c r="C794" s="14" t="str">
        <x:v>original_handoff</x:v>
      </x:c>
      <x:c r="D794" s="14" t="n">
        <x:v>-5.16</x:v>
      </x:c>
      <x:c r="E794" s="14" t="n">
        <x:v>-5.04</x:v>
      </x:c>
      <x:c r="F794" s="14" t="n">
        <x:v>0.12</x:v>
      </x:c>
      <x:c r="G794" s="17" t="n">
        <x:v>1</x:v>
      </x:c>
      <x:c r="H794" s="14" t="str">
        <x:v>S03-05:A:origin_interpretation</x:v>
      </x:c>
    </x:row>
    <x:row r="795" ht="72" customHeight="1">
      <x:c r="A795" s="14" t="str">
        <x:v>S03-05:A:evaluation_utterance_end</x:v>
      </x:c>
      <x:c r="B795" s="14" t="str">
        <x:v>A</x:v>
      </x:c>
      <x:c r="C795" s="14" t="str">
        <x:v>evaluation_utterance_end</x:v>
      </x:c>
      <x:c r="D795" s="14" t="n">
        <x:v>-6</x:v>
      </x:c>
      <x:c r="E795" s="14" t="n">
        <x:v>0</x:v>
      </x:c>
      <x:c r="F795" s="14" t="n">
        <x:v>6</x:v>
      </x:c>
      <x:c r="G795" s="17" t="n">
        <x:v>0</x:v>
      </x:c>
      <x:c r="H795" s="14" t="str">
        <x:v>S03-05:A:origin</x:v>
      </x:c>
    </x:row>
    <x:row r="796" ht="72" customHeight="1">
      <x:c r="A796" s="14" t="str">
        <x:v>S03-05:A:final_transcript</x:v>
      </x:c>
      <x:c r="B796" s="14" t="str">
        <x:v>A</x:v>
      </x:c>
      <x:c r="C796" s="14" t="str">
        <x:v>final_transcript</x:v>
      </x:c>
      <x:c r="D796" s="14" t="n">
        <x:v>0</x:v>
      </x:c>
      <x:c r="E796" s="14" t="n">
        <x:v>0.3</x:v>
      </x:c>
      <x:c r="F796" s="14" t="n">
        <x:v>0.3</x:v>
      </x:c>
      <x:c r="G796" s="17" t="n">
        <x:v>1</x:v>
      </x:c>
      <x:c r="H796" s="14" t="str">
        <x:v>S03-05:A:evaluation_utterance_end</x:v>
      </x:c>
    </x:row>
    <x:row r="797" ht="72" customHeight="1">
      <x:c r="A797" s="14" t="str">
        <x:v>S03-05:A:meaning_adoption</x:v>
      </x:c>
      <x:c r="B797" s="14" t="str">
        <x:v>A</x:v>
      </x:c>
      <x:c r="C797" s="14" t="str">
        <x:v>meaning_adoption</x:v>
      </x:c>
      <x:c r="D797" s="14" t="n">
        <x:v>0.3</x:v>
      </x:c>
      <x:c r="E797" s="14" t="n">
        <x:v>0.866666667</x:v>
      </x:c>
      <x:c r="F797" s="14" t="n">
        <x:v>0.566666667</x:v>
      </x:c>
      <x:c r="G797" s="17" t="n">
        <x:v>1</x:v>
      </x:c>
      <x:c r="H797" s="14" t="str">
        <x:v>S03-05:A:final_transcript
S03-05:A:origin_interpretation</x:v>
      </x:c>
    </x:row>
    <x:row r="798" ht="72" customHeight="1">
      <x:c r="A798" s="14" t="str">
        <x:v>S03-05:A:apply_relation</x:v>
      </x:c>
      <x:c r="B798" s="14" t="str">
        <x:v>A</x:v>
      </x:c>
      <x:c r="C798" s="14" t="str">
        <x:v>apply_relation</x:v>
      </x:c>
      <x:c r="D798" s="14" t="n">
        <x:v>0.866666667</x:v>
      </x:c>
      <x:c r="E798" s="14" t="n">
        <x:v>0.906666667</x:v>
      </x:c>
      <x:c r="F798" s="14" t="n">
        <x:v>0.04</x:v>
      </x:c>
      <x:c r="G798" s="17" t="n">
        <x:v>1</x:v>
      </x:c>
      <x:c r="H798" s="14" t="str">
        <x:v>S03-05:A:meaning_adoption</x:v>
      </x:c>
    </x:row>
    <x:row r="799" ht="72" customHeight="1">
      <x:c r="A799" s="14" t="str">
        <x:v>S03-05:A:evaluation_first_display</x:v>
      </x:c>
      <x:c r="B799" s="14" t="str">
        <x:v>A</x:v>
      </x:c>
      <x:c r="C799" s="14" t="str">
        <x:v>evaluation_first_display</x:v>
      </x:c>
      <x:c r="D799" s="14" t="n">
        <x:v>0.906666667</x:v>
      </x:c>
      <x:c r="E799" s="14" t="n">
        <x:v>0.946666667</x:v>
      </x:c>
      <x:c r="F799" s="14" t="n">
        <x:v>0.04</x:v>
      </x:c>
      <x:c r="G799" s="17" t="n">
        <x:v>1</x:v>
      </x:c>
      <x:c r="H799" s="14" t="str">
        <x:v>S03-05:A:apply_relation</x:v>
      </x:c>
    </x:row>
    <x:row r="800" ht="72" customHeight="1">
      <x:c r="A800" s="14" t="str">
        <x:v>S03-05:A:source_question</x:v>
      </x:c>
      <x:c r="B800" s="14" t="str">
        <x:v>A</x:v>
      </x:c>
      <x:c r="C800" s="14" t="str">
        <x:v>source_question</x:v>
      </x:c>
      <x:c r="D800" s="14" t="n">
        <x:v>-5.04</x:v>
      </x:c>
      <x:c r="E800" s="14" t="n">
        <x:v>-1.4</x:v>
      </x:c>
      <x:c r="F800" s="14" t="n">
        <x:v>3.64</x:v>
      </x:c>
      <x:c r="G800" s="17" t="n">
        <x:v>0</x:v>
      </x:c>
      <x:c r="H800" s="14" t="str">
        <x:v>S03-05:A:original_handoff</x:v>
      </x:c>
    </x:row>
    <x:row r="801" ht="72" customHeight="1">
      <x:c r="A801" s="14" t="str">
        <x:v>S03-05:A:display_question</x:v>
      </x:c>
      <x:c r="B801" s="14" t="str">
        <x:v>A</x:v>
      </x:c>
      <x:c r="C801" s="14" t="str">
        <x:v>display_question</x:v>
      </x:c>
      <x:c r="D801" s="14" t="n">
        <x:v>-1.4</x:v>
      </x:c>
      <x:c r="E801" s="14" t="n">
        <x:v>-1.36</x:v>
      </x:c>
      <x:c r="F801" s="14" t="n">
        <x:v>0.04</x:v>
      </x:c>
      <x:c r="G801" s="17" t="n">
        <x:v>1</x:v>
      </x:c>
      <x:c r="H801" s="14" t="str">
        <x:v>S03-05:A:source_question</x:v>
      </x:c>
    </x:row>
    <x:row r="802" ht="72" customHeight="1">
      <x:c r="A802" s="14" t="str">
        <x:v>S03-05:A:select_question</x:v>
      </x:c>
      <x:c r="B802" s="14" t="str">
        <x:v>A</x:v>
      </x:c>
      <x:c r="C802" s="14" t="str">
        <x:v>select_question</x:v>
      </x:c>
      <x:c r="D802" s="14" t="n">
        <x:v>0.906666667</x:v>
      </x:c>
      <x:c r="E802" s="14" t="n">
        <x:v>0.906666667</x:v>
      </x:c>
      <x:c r="F802" s="14" t="n">
        <x:v>0</x:v>
      </x:c>
      <x:c r="G802" s="17" t="n">
        <x:v>1</x:v>
      </x:c>
      <x:c r="H802" s="14" t="str">
        <x:v>S03-05:A:apply_relation
S03-05:A:source_question</x:v>
      </x:c>
    </x:row>
    <x:row r="803" ht="72" customHeight="1">
      <x:c r="A803" s="14" t="str">
        <x:v>S03-05:A:question_first</x:v>
      </x:c>
      <x:c r="B803" s="14" t="str">
        <x:v>A</x:v>
      </x:c>
      <x:c r="C803" s="14" t="str">
        <x:v>question_first</x:v>
      </x:c>
      <x:c r="D803" s="14" t="n">
        <x:v>-1.4</x:v>
      </x:c>
      <x:c r="E803" s="14" t="n">
        <x:v>-0.999</x:v>
      </x:c>
      <x:c r="F803" s="14" t="n">
        <x:v>0.401</x:v>
      </x:c>
      <x:c r="G803" s="17" t="n">
        <x:v>1</x:v>
      </x:c>
      <x:c r="H803" s="14" t="str">
        <x:v>S03-05:A:source_question</x:v>
      </x:c>
    </x:row>
    <x:row r="804" ht="72" customHeight="1">
      <x:c r="A804" s="14" t="str">
        <x:v>S03-05:A:question_tail</x:v>
      </x:c>
      <x:c r="B804" s="14" t="str">
        <x:v>A</x:v>
      </x:c>
      <x:c r="C804" s="14" t="str">
        <x:v>question_tail</x:v>
      </x:c>
      <x:c r="D804" s="14" t="n">
        <x:v>-0.999</x:v>
      </x:c>
      <x:c r="E804" s="14" t="n">
        <x:v>-0.3505</x:v>
      </x:c>
      <x:c r="F804" s="14" t="n">
        <x:v>0.6485</x:v>
      </x:c>
      <x:c r="G804" s="17" t="n">
        <x:v>1</x:v>
      </x:c>
      <x:c r="H804" s="14" t="str">
        <x:v>S03-05:A:question_first</x:v>
      </x:c>
    </x:row>
    <x:row r="805" ht="72" customHeight="1">
      <x:c r="A805" s="14" t="str">
        <x:v>S03-05:A:question_device</x:v>
      </x:c>
      <x:c r="B805" s="14" t="str">
        <x:v>A</x:v>
      </x:c>
      <x:c r="C805" s="14" t="str">
        <x:v>question_device</x:v>
      </x:c>
      <x:c r="D805" s="14" t="n">
        <x:v>0.906666667</x:v>
      </x:c>
      <x:c r="E805" s="14" t="n">
        <x:v>0.946666667</x:v>
      </x:c>
      <x:c r="F805" s="14" t="n">
        <x:v>0.04</x:v>
      </x:c>
      <x:c r="G805" s="17" t="n">
        <x:v>1</x:v>
      </x:c>
      <x:c r="H805" s="14" t="str">
        <x:v>S03-05:A:select_question
S03-05:A:question_first</x:v>
      </x:c>
    </x:row>
    <x:row r="806" ht="72" customHeight="1">
      <x:c r="A806" s="14" t="str">
        <x:v>S03-05:A:question_played</x:v>
      </x:c>
      <x:c r="B806" s="14" t="str">
        <x:v>A</x:v>
      </x:c>
      <x:c r="C806" s="14" t="str">
        <x:v>question_played</x:v>
      </x:c>
      <x:c r="D806" s="14" t="n">
        <x:v>0.946666667</x:v>
      </x:c>
      <x:c r="E806" s="14" t="n">
        <x:v>3.740666667</x:v>
      </x:c>
      <x:c r="F806" s="14" t="n">
        <x:v>2.794</x:v>
      </x:c>
      <x:c r="G806" s="17" t="n">
        <x:v>0</x:v>
      </x:c>
      <x:c r="H806" s="14" t="str">
        <x:v>S03-05:A:question_device</x:v>
      </x:c>
    </x:row>
    <x:row r="807" ht="72" customHeight="1">
      <x:c r="A807" s="14" t="str">
        <x:v>S03-05:A:source_report_v1</x:v>
      </x:c>
      <x:c r="B807" s="14" t="str">
        <x:v>A</x:v>
      </x:c>
      <x:c r="C807" s="14" t="str">
        <x:v>source_report_v1</x:v>
      </x:c>
      <x:c r="D807" s="14" t="n">
        <x:v>-5.04</x:v>
      </x:c>
      <x:c r="E807" s="14" t="n">
        <x:v>-1</x:v>
      </x:c>
      <x:c r="F807" s="14" t="n">
        <x:v>4.04</x:v>
      </x:c>
      <x:c r="G807" s="17" t="n">
        <x:v>0</x:v>
      </x:c>
      <x:c r="H807" s="14" t="str">
        <x:v>S03-05:A:original_handoff</x:v>
      </x:c>
    </x:row>
    <x:row r="808" ht="72" customHeight="1">
      <x:c r="A808" s="14" t="str">
        <x:v>S03-05:A:display_report_v1</x:v>
      </x:c>
      <x:c r="B808" s="14" t="str">
        <x:v>A</x:v>
      </x:c>
      <x:c r="C808" s="14" t="str">
        <x:v>display_report_v1</x:v>
      </x:c>
      <x:c r="D808" s="14" t="n">
        <x:v>-1</x:v>
      </x:c>
      <x:c r="E808" s="14" t="n">
        <x:v>-0.96</x:v>
      </x:c>
      <x:c r="F808" s="14" t="n">
        <x:v>0.04</x:v>
      </x:c>
      <x:c r="G808" s="17" t="n">
        <x:v>1</x:v>
      </x:c>
      <x:c r="H808" s="14" t="str">
        <x:v>S03-05:A:source_report_v1</x:v>
      </x:c>
    </x:row>
    <x:row r="809" ht="72" customHeight="1">
      <x:c r="A809" s="14" t="str">
        <x:v>S03-05:A:report_v1_first</x:v>
      </x:c>
      <x:c r="B809" s="14" t="str">
        <x:v>A</x:v>
      </x:c>
      <x:c r="C809" s="14" t="str">
        <x:v>report_v1_first</x:v>
      </x:c>
      <x:c r="D809" s="14" t="n">
        <x:v>-1</x:v>
      </x:c>
      <x:c r="E809" s="14" t="n">
        <x:v>-0.59</x:v>
      </x:c>
      <x:c r="F809" s="14" t="n">
        <x:v>0.41</x:v>
      </x:c>
      <x:c r="G809" s="17" t="n">
        <x:v>1</x:v>
      </x:c>
      <x:c r="H809" s="14" t="str">
        <x:v>S03-05:A:source_report_v1</x:v>
      </x:c>
    </x:row>
    <x:row r="810" ht="72" customHeight="1">
      <x:c r="A810" s="14" t="str">
        <x:v>S03-05:A:report_v1_tail</x:v>
      </x:c>
      <x:c r="B810" s="14" t="str">
        <x:v>A</x:v>
      </x:c>
      <x:c r="C810" s="14" t="str">
        <x:v>report_v1_tail</x:v>
      </x:c>
      <x:c r="D810" s="14" t="n">
        <x:v>-0.59</x:v>
      </x:c>
      <x:c r="E810" s="14" t="n">
        <x:v>1.006666667</x:v>
      </x:c>
      <x:c r="F810" s="14" t="n">
        <x:v>1.596666667</x:v>
      </x:c>
      <x:c r="G810" s="17" t="n">
        <x:v>1</x:v>
      </x:c>
      <x:c r="H810" s="14" t="str">
        <x:v>S03-05:A:report_v1_first</x:v>
      </x:c>
    </x:row>
    <x:row r="811" ht="72" customHeight="1">
      <x:c r="A811" s="14" t="str">
        <x:v>S03-05:A:revision_handoff</x:v>
      </x:c>
      <x:c r="B811" s="14" t="str">
        <x:v>A</x:v>
      </x:c>
      <x:c r="C811" s="14" t="str">
        <x:v>revision_handoff</x:v>
      </x:c>
      <x:c r="D811" s="14" t="n">
        <x:v>0.906666667</x:v>
      </x:c>
      <x:c r="E811" s="14" t="n">
        <x:v>1.026666667</x:v>
      </x:c>
      <x:c r="F811" s="14" t="n">
        <x:v>0.12</x:v>
      </x:c>
      <x:c r="G811" s="17" t="n">
        <x:v>1</x:v>
      </x:c>
      <x:c r="H811" s="14" t="str">
        <x:v>S03-05:A:apply_relation</x:v>
      </x:c>
    </x:row>
    <x:row r="812" ht="72" customHeight="1">
      <x:c r="A812" s="14" t="str">
        <x:v>S03-05:A:source_report_v2</x:v>
      </x:c>
      <x:c r="B812" s="14" t="str">
        <x:v>A</x:v>
      </x:c>
      <x:c r="C812" s="14" t="str">
        <x:v>source_report_v2</x:v>
      </x:c>
      <x:c r="D812" s="14" t="n">
        <x:v>1.026666667</x:v>
      </x:c>
      <x:c r="E812" s="14" t="n">
        <x:v>3.426666667</x:v>
      </x:c>
      <x:c r="F812" s="14" t="n">
        <x:v>2.4</x:v>
      </x:c>
      <x:c r="G812" s="17" t="n">
        <x:v>0</x:v>
      </x:c>
      <x:c r="H812" s="14" t="str">
        <x:v>S03-05:A:revision_handoff</x:v>
      </x:c>
    </x:row>
    <x:row r="813" ht="72" customHeight="1">
      <x:c r="A813" s="14" t="str">
        <x:v>S03-05:A:display_report_v2</x:v>
      </x:c>
      <x:c r="B813" s="14" t="str">
        <x:v>A</x:v>
      </x:c>
      <x:c r="C813" s="14" t="str">
        <x:v>display_report_v2</x:v>
      </x:c>
      <x:c r="D813" s="14" t="n">
        <x:v>3.426666667</x:v>
      </x:c>
      <x:c r="E813" s="14" t="n">
        <x:v>3.466666667</x:v>
      </x:c>
      <x:c r="F813" s="14" t="n">
        <x:v>0.04</x:v>
      </x:c>
      <x:c r="G813" s="17" t="n">
        <x:v>1</x:v>
      </x:c>
      <x:c r="H813" s="14" t="str">
        <x:v>S03-05:A:source_report_v2</x:v>
      </x:c>
    </x:row>
    <x:row r="814" ht="72" customHeight="1">
      <x:c r="A814" s="14" t="str">
        <x:v>S03-05:A:select_report_v2</x:v>
      </x:c>
      <x:c r="B814" s="14" t="str">
        <x:v>A</x:v>
      </x:c>
      <x:c r="C814" s="14" t="str">
        <x:v>select_report_v2</x:v>
      </x:c>
      <x:c r="D814" s="14" t="n">
        <x:v>3.740666667</x:v>
      </x:c>
      <x:c r="E814" s="14" t="n">
        <x:v>3.740666667</x:v>
      </x:c>
      <x:c r="F814" s="14" t="n">
        <x:v>0</x:v>
      </x:c>
      <x:c r="G814" s="17" t="n">
        <x:v>1</x:v>
      </x:c>
      <x:c r="H814" s="14" t="str">
        <x:v>S03-05:A:question_played
S03-05:A:source_report_v2</x:v>
      </x:c>
    </x:row>
    <x:row r="815" ht="72" customHeight="1">
      <x:c r="A815" s="14" t="str">
        <x:v>S03-05:A:report_v2_first</x:v>
      </x:c>
      <x:c r="B815" s="14" t="str">
        <x:v>A</x:v>
      </x:c>
      <x:c r="C815" s="14" t="str">
        <x:v>report_v2_first</x:v>
      </x:c>
      <x:c r="D815" s="14" t="n">
        <x:v>3.426666667</x:v>
      </x:c>
      <x:c r="E815" s="14" t="n">
        <x:v>3.835666667</x:v>
      </x:c>
      <x:c r="F815" s="14" t="n">
        <x:v>0.409</x:v>
      </x:c>
      <x:c r="G815" s="17" t="n">
        <x:v>1</x:v>
      </x:c>
      <x:c r="H815" s="14" t="str">
        <x:v>S03-05:A:source_report_v2</x:v>
      </x:c>
    </x:row>
    <x:row r="816" ht="72" customHeight="1">
      <x:c r="A816" s="14" t="str">
        <x:v>S03-05:A:report_v2_tail</x:v>
      </x:c>
      <x:c r="B816" s="14" t="str">
        <x:v>A</x:v>
      </x:c>
      <x:c r="C816" s="14" t="str">
        <x:v>report_v2_tail</x:v>
      </x:c>
      <x:c r="D816" s="14" t="n">
        <x:v>3.835666667</x:v>
      </x:c>
      <x:c r="E816" s="14" t="n">
        <x:v>5.784166667</x:v>
      </x:c>
      <x:c r="F816" s="14" t="n">
        <x:v>1.9485</x:v>
      </x:c>
      <x:c r="G816" s="17" t="n">
        <x:v>1</x:v>
      </x:c>
      <x:c r="H816" s="14" t="str">
        <x:v>S03-05:A:report_v2_first</x:v>
      </x:c>
    </x:row>
    <x:row r="817" ht="72" customHeight="1">
      <x:c r="A817" s="14" t="str">
        <x:v>S03-05:A:report_v2_device</x:v>
      </x:c>
      <x:c r="B817" s="14" t="str">
        <x:v>A</x:v>
      </x:c>
      <x:c r="C817" s="14" t="str">
        <x:v>report_v2_device</x:v>
      </x:c>
      <x:c r="D817" s="14" t="n">
        <x:v>3.835666667</x:v>
      </x:c>
      <x:c r="E817" s="14" t="n">
        <x:v>3.875666667</x:v>
      </x:c>
      <x:c r="F817" s="14" t="n">
        <x:v>0.04</x:v>
      </x:c>
      <x:c r="G817" s="17" t="n">
        <x:v>1</x:v>
      </x:c>
      <x:c r="H817" s="14" t="str">
        <x:v>S03-05:A:select_report_v2
S03-05:A:report_v2_first</x:v>
      </x:c>
    </x:row>
    <x:row r="818" ht="72" customHeight="1">
      <x:c r="A818" s="14" t="str">
        <x:v>S03-05:A:report_v2_played</x:v>
      </x:c>
      <x:c r="B818" s="14" t="str">
        <x:v>A</x:v>
      </x:c>
      <x:c r="C818" s="14" t="str">
        <x:v>report_v2_played</x:v>
      </x:c>
      <x:c r="D818" s="14" t="n">
        <x:v>3.875666667</x:v>
      </x:c>
      <x:c r="E818" s="14" t="n">
        <x:v>11.869666667</x:v>
      </x:c>
      <x:c r="F818" s="14" t="n">
        <x:v>7.994</x:v>
      </x:c>
      <x:c r="G818" s="17" t="n">
        <x:v>0</x:v>
      </x:c>
      <x:c r="H818" s="14" t="str">
        <x:v>S03-05:A:report_v2_device</x:v>
      </x:c>
    </x:row>
    <x:row r="819" ht="72" customHeight="1">
      <x:c r="A819" s="14" t="str">
        <x:v>S03-05:B:origin</x:v>
      </x:c>
      <x:c r="B819" s="14" t="str">
        <x:v>B</x:v>
      </x:c>
      <x:c r="C819" s="14" t="str">
        <x:v>origin</x:v>
      </x:c>
      <x:c r="D819" s="14" t="n">
        <x:v>-6</x:v>
      </x:c>
      <x:c r="E819" s="14" t="n">
        <x:v>-6</x:v>
      </x:c>
      <x:c r="F819" s="14" t="n">
        <x:v>0</x:v>
      </x:c>
      <x:c r="G819" s="17" t="n">
        <x:v>0</x:v>
      </x:c>
      <x:c r="H819" s="14" t="str"/>
    </x:row>
    <x:row r="820" ht="72" customHeight="1">
      <x:c r="A820" s="14" t="str">
        <x:v>S03-05:B:origin_interpretation</x:v>
      </x:c>
      <x:c r="B820" s="14" t="str">
        <x:v>B</x:v>
      </x:c>
      <x:c r="C820" s="14" t="str">
        <x:v>origin_interpretation</x:v>
      </x:c>
      <x:c r="D820" s="14" t="n">
        <x:v>-6</x:v>
      </x:c>
      <x:c r="E820" s="14" t="n">
        <x:v>-5.16</x:v>
      </x:c>
      <x:c r="F820" s="14" t="n">
        <x:v>0.84</x:v>
      </x:c>
      <x:c r="G820" s="17" t="n">
        <x:v>1</x:v>
      </x:c>
      <x:c r="H820" s="14" t="str">
        <x:v>S03-05:B:origin</x:v>
      </x:c>
    </x:row>
    <x:row r="821" ht="72" customHeight="1">
      <x:c r="A821" s="14" t="str">
        <x:v>S03-05:B:original_handoff</x:v>
      </x:c>
      <x:c r="B821" s="14" t="str">
        <x:v>B</x:v>
      </x:c>
      <x:c r="C821" s="14" t="str">
        <x:v>original_handoff</x:v>
      </x:c>
      <x:c r="D821" s="14" t="n">
        <x:v>-5.16</x:v>
      </x:c>
      <x:c r="E821" s="14" t="n">
        <x:v>-5.04</x:v>
      </x:c>
      <x:c r="F821" s="14" t="n">
        <x:v>0.12</x:v>
      </x:c>
      <x:c r="G821" s="17" t="n">
        <x:v>1</x:v>
      </x:c>
      <x:c r="H821" s="14" t="str">
        <x:v>S03-05:B:origin_interpretation</x:v>
      </x:c>
    </x:row>
    <x:row r="822" ht="72" customHeight="1">
      <x:c r="A822" s="14" t="str">
        <x:v>S03-05:B:evaluation_utterance_end</x:v>
      </x:c>
      <x:c r="B822" s="14" t="str">
        <x:v>B</x:v>
      </x:c>
      <x:c r="C822" s="14" t="str">
        <x:v>evaluation_utterance_end</x:v>
      </x:c>
      <x:c r="D822" s="14" t="n">
        <x:v>-6</x:v>
      </x:c>
      <x:c r="E822" s="14" t="n">
        <x:v>0</x:v>
      </x:c>
      <x:c r="F822" s="14" t="n">
        <x:v>6</x:v>
      </x:c>
      <x:c r="G822" s="17" t="n">
        <x:v>0</x:v>
      </x:c>
      <x:c r="H822" s="14" t="str">
        <x:v>S03-05:B:origin</x:v>
      </x:c>
    </x:row>
    <x:row r="823" ht="72" customHeight="1">
      <x:c r="A823" s="14" t="str">
        <x:v>S03-05:B:final_transcript</x:v>
      </x:c>
      <x:c r="B823" s="14" t="str">
        <x:v>B</x:v>
      </x:c>
      <x:c r="C823" s="14" t="str">
        <x:v>final_transcript</x:v>
      </x:c>
      <x:c r="D823" s="14" t="n">
        <x:v>0</x:v>
      </x:c>
      <x:c r="E823" s="14" t="n">
        <x:v>0.3</x:v>
      </x:c>
      <x:c r="F823" s="14" t="n">
        <x:v>0.3</x:v>
      </x:c>
      <x:c r="G823" s="17" t="n">
        <x:v>1</x:v>
      </x:c>
      <x:c r="H823" s="14" t="str">
        <x:v>S03-05:B:evaluation_utterance_end</x:v>
      </x:c>
    </x:row>
    <x:row r="824" ht="72" customHeight="1">
      <x:c r="A824" s="14" t="str">
        <x:v>S03-05:B:meaning_adoption</x:v>
      </x:c>
      <x:c r="B824" s="14" t="str">
        <x:v>B</x:v>
      </x:c>
      <x:c r="C824" s="14" t="str">
        <x:v>meaning_adoption</x:v>
      </x:c>
      <x:c r="D824" s="14" t="n">
        <x:v>0.3</x:v>
      </x:c>
      <x:c r="E824" s="14" t="n">
        <x:v>0.866666667</x:v>
      </x:c>
      <x:c r="F824" s="14" t="n">
        <x:v>0.566666667</x:v>
      </x:c>
      <x:c r="G824" s="17" t="n">
        <x:v>1</x:v>
      </x:c>
      <x:c r="H824" s="14" t="str">
        <x:v>S03-05:B:final_transcript
S03-05:B:origin_interpretation</x:v>
      </x:c>
    </x:row>
    <x:row r="825" ht="72" customHeight="1">
      <x:c r="A825" s="14" t="str">
        <x:v>S03-05:B:apply_relation</x:v>
      </x:c>
      <x:c r="B825" s="14" t="str">
        <x:v>B</x:v>
      </x:c>
      <x:c r="C825" s="14" t="str">
        <x:v>apply_relation</x:v>
      </x:c>
      <x:c r="D825" s="14" t="n">
        <x:v>0.866666667</x:v>
      </x:c>
      <x:c r="E825" s="14" t="n">
        <x:v>0.906666667</x:v>
      </x:c>
      <x:c r="F825" s="14" t="n">
        <x:v>0.04</x:v>
      </x:c>
      <x:c r="G825" s="17" t="n">
        <x:v>1</x:v>
      </x:c>
      <x:c r="H825" s="14" t="str">
        <x:v>S03-05:B:meaning_adoption</x:v>
      </x:c>
    </x:row>
    <x:row r="826" ht="72" customHeight="1">
      <x:c r="A826" s="14" t="str">
        <x:v>S03-05:B:evaluation_first_display</x:v>
      </x:c>
      <x:c r="B826" s="14" t="str">
        <x:v>B</x:v>
      </x:c>
      <x:c r="C826" s="14" t="str">
        <x:v>evaluation_first_display</x:v>
      </x:c>
      <x:c r="D826" s="14" t="n">
        <x:v>0.906666667</x:v>
      </x:c>
      <x:c r="E826" s="14" t="n">
        <x:v>0.946666667</x:v>
      </x:c>
      <x:c r="F826" s="14" t="n">
        <x:v>0.04</x:v>
      </x:c>
      <x:c r="G826" s="17" t="n">
        <x:v>1</x:v>
      </x:c>
      <x:c r="H826" s="14" t="str">
        <x:v>S03-05:B:apply_relation</x:v>
      </x:c>
    </x:row>
    <x:row r="827" ht="72" customHeight="1">
      <x:c r="A827" s="14" t="str">
        <x:v>S03-05:B:source_question</x:v>
      </x:c>
      <x:c r="B827" s="14" t="str">
        <x:v>B</x:v>
      </x:c>
      <x:c r="C827" s="14" t="str">
        <x:v>source_question</x:v>
      </x:c>
      <x:c r="D827" s="14" t="n">
        <x:v>-5.04</x:v>
      </x:c>
      <x:c r="E827" s="14" t="n">
        <x:v>-1.4</x:v>
      </x:c>
      <x:c r="F827" s="14" t="n">
        <x:v>3.64</x:v>
      </x:c>
      <x:c r="G827" s="17" t="n">
        <x:v>0</x:v>
      </x:c>
      <x:c r="H827" s="14" t="str">
        <x:v>S03-05:B:original_handoff</x:v>
      </x:c>
    </x:row>
    <x:row r="828" ht="72" customHeight="1">
      <x:c r="A828" s="14" t="str">
        <x:v>S03-05:B:display_question</x:v>
      </x:c>
      <x:c r="B828" s="14" t="str">
        <x:v>B</x:v>
      </x:c>
      <x:c r="C828" s="14" t="str">
        <x:v>display_question</x:v>
      </x:c>
      <x:c r="D828" s="14" t="n">
        <x:v>-1.4</x:v>
      </x:c>
      <x:c r="E828" s="14" t="n">
        <x:v>-1.36</x:v>
      </x:c>
      <x:c r="F828" s="14" t="n">
        <x:v>0.04</x:v>
      </x:c>
      <x:c r="G828" s="17" t="n">
        <x:v>1</x:v>
      </x:c>
      <x:c r="H828" s="14" t="str">
        <x:v>S03-05:B:source_question</x:v>
      </x:c>
    </x:row>
    <x:row r="829" ht="72" customHeight="1">
      <x:c r="A829" s="14" t="str">
        <x:v>S03-05:B:select_question</x:v>
      </x:c>
      <x:c r="B829" s="14" t="str">
        <x:v>B</x:v>
      </x:c>
      <x:c r="C829" s="14" t="str">
        <x:v>select_question</x:v>
      </x:c>
      <x:c r="D829" s="14" t="n">
        <x:v>0.906666667</x:v>
      </x:c>
      <x:c r="E829" s="14" t="n">
        <x:v>0.906666667</x:v>
      </x:c>
      <x:c r="F829" s="14" t="n">
        <x:v>0</x:v>
      </x:c>
      <x:c r="G829" s="17" t="n">
        <x:v>1</x:v>
      </x:c>
      <x:c r="H829" s="14" t="str">
        <x:v>S03-05:B:apply_relation
S03-05:B:source_question</x:v>
      </x:c>
    </x:row>
    <x:row r="830" ht="72" customHeight="1">
      <x:c r="A830" s="14" t="str">
        <x:v>S03-05:B:question_first</x:v>
      </x:c>
      <x:c r="B830" s="14" t="str">
        <x:v>B</x:v>
      </x:c>
      <x:c r="C830" s="14" t="str">
        <x:v>question_first</x:v>
      </x:c>
      <x:c r="D830" s="14" t="n">
        <x:v>0.906666667</x:v>
      </x:c>
      <x:c r="E830" s="14" t="n">
        <x:v>1.307666667</x:v>
      </x:c>
      <x:c r="F830" s="14" t="n">
        <x:v>0.401</x:v>
      </x:c>
      <x:c r="G830" s="17" t="n">
        <x:v>1</x:v>
      </x:c>
      <x:c r="H830" s="14" t="str">
        <x:v>S03-05:B:select_question</x:v>
      </x:c>
    </x:row>
    <x:row r="831" ht="72" customHeight="1">
      <x:c r="A831" s="14" t="str">
        <x:v>S03-05:B:question_tail</x:v>
      </x:c>
      <x:c r="B831" s="14" t="str">
        <x:v>B</x:v>
      </x:c>
      <x:c r="C831" s="14" t="str">
        <x:v>question_tail</x:v>
      </x:c>
      <x:c r="D831" s="14" t="n">
        <x:v>1.307666667</x:v>
      </x:c>
      <x:c r="E831" s="14" t="n">
        <x:v>1.956166667</x:v>
      </x:c>
      <x:c r="F831" s="14" t="n">
        <x:v>0.6485</x:v>
      </x:c>
      <x:c r="G831" s="17" t="n">
        <x:v>1</x:v>
      </x:c>
      <x:c r="H831" s="14" t="str">
        <x:v>S03-05:B:question_first</x:v>
      </x:c>
    </x:row>
    <x:row r="832" ht="72" customHeight="1">
      <x:c r="A832" s="14" t="str">
        <x:v>S03-05:B:question_device</x:v>
      </x:c>
      <x:c r="B832" s="14" t="str">
        <x:v>B</x:v>
      </x:c>
      <x:c r="C832" s="14" t="str">
        <x:v>question_device</x:v>
      </x:c>
      <x:c r="D832" s="14" t="n">
        <x:v>1.307666667</x:v>
      </x:c>
      <x:c r="E832" s="14" t="n">
        <x:v>1.347666667</x:v>
      </x:c>
      <x:c r="F832" s="14" t="n">
        <x:v>0.04</x:v>
      </x:c>
      <x:c r="G832" s="17" t="n">
        <x:v>1</x:v>
      </x:c>
      <x:c r="H832" s="14" t="str">
        <x:v>S03-05:B:select_question
S03-05:B:question_first</x:v>
      </x:c>
    </x:row>
    <x:row r="833" ht="72" customHeight="1">
      <x:c r="A833" s="14" t="str">
        <x:v>S03-05:B:question_played</x:v>
      </x:c>
      <x:c r="B833" s="14" t="str">
        <x:v>B</x:v>
      </x:c>
      <x:c r="C833" s="14" t="str">
        <x:v>question_played</x:v>
      </x:c>
      <x:c r="D833" s="14" t="n">
        <x:v>1.347666667</x:v>
      </x:c>
      <x:c r="E833" s="14" t="n">
        <x:v>4.141666667</x:v>
      </x:c>
      <x:c r="F833" s="14" t="n">
        <x:v>2.794</x:v>
      </x:c>
      <x:c r="G833" s="17" t="n">
        <x:v>0</x:v>
      </x:c>
      <x:c r="H833" s="14" t="str">
        <x:v>S03-05:B:question_device</x:v>
      </x:c>
    </x:row>
    <x:row r="834" ht="72" customHeight="1">
      <x:c r="A834" s="14" t="str">
        <x:v>S03-05:B:source_report_v1</x:v>
      </x:c>
      <x:c r="B834" s="14" t="str">
        <x:v>B</x:v>
      </x:c>
      <x:c r="C834" s="14" t="str">
        <x:v>source_report_v1</x:v>
      </x:c>
      <x:c r="D834" s="14" t="n">
        <x:v>-5.04</x:v>
      </x:c>
      <x:c r="E834" s="14" t="n">
        <x:v>-1</x:v>
      </x:c>
      <x:c r="F834" s="14" t="n">
        <x:v>4.04</x:v>
      </x:c>
      <x:c r="G834" s="17" t="n">
        <x:v>0</x:v>
      </x:c>
      <x:c r="H834" s="14" t="str">
        <x:v>S03-05:B:original_handoff</x:v>
      </x:c>
    </x:row>
    <x:row r="835" ht="72" customHeight="1">
      <x:c r="A835" s="14" t="str">
        <x:v>S03-05:B:display_report_v1</x:v>
      </x:c>
      <x:c r="B835" s="14" t="str">
        <x:v>B</x:v>
      </x:c>
      <x:c r="C835" s="14" t="str">
        <x:v>display_report_v1</x:v>
      </x:c>
      <x:c r="D835" s="14" t="n">
        <x:v>-1</x:v>
      </x:c>
      <x:c r="E835" s="14" t="n">
        <x:v>-0.96</x:v>
      </x:c>
      <x:c r="F835" s="14" t="n">
        <x:v>0.04</x:v>
      </x:c>
      <x:c r="G835" s="17" t="n">
        <x:v>1</x:v>
      </x:c>
      <x:c r="H835" s="14" t="str">
        <x:v>S03-05:B:source_report_v1</x:v>
      </x:c>
    </x:row>
    <x:row r="836" ht="72" customHeight="1">
      <x:c r="A836" s="14" t="str">
        <x:v>S03-05:B:revision_handoff</x:v>
      </x:c>
      <x:c r="B836" s="14" t="str">
        <x:v>B</x:v>
      </x:c>
      <x:c r="C836" s="14" t="str">
        <x:v>revision_handoff</x:v>
      </x:c>
      <x:c r="D836" s="14" t="n">
        <x:v>0.906666667</x:v>
      </x:c>
      <x:c r="E836" s="14" t="n">
        <x:v>1.026666667</x:v>
      </x:c>
      <x:c r="F836" s="14" t="n">
        <x:v>0.12</x:v>
      </x:c>
      <x:c r="G836" s="17" t="n">
        <x:v>1</x:v>
      </x:c>
      <x:c r="H836" s="14" t="str">
        <x:v>S03-05:B:apply_relation</x:v>
      </x:c>
    </x:row>
    <x:row r="837" ht="72" customHeight="1">
      <x:c r="A837" s="14" t="str">
        <x:v>S03-05:B:source_report_v2</x:v>
      </x:c>
      <x:c r="B837" s="14" t="str">
        <x:v>B</x:v>
      </x:c>
      <x:c r="C837" s="14" t="str">
        <x:v>source_report_v2</x:v>
      </x:c>
      <x:c r="D837" s="14" t="n">
        <x:v>1.026666667</x:v>
      </x:c>
      <x:c r="E837" s="14" t="n">
        <x:v>3.426666667</x:v>
      </x:c>
      <x:c r="F837" s="14" t="n">
        <x:v>2.4</x:v>
      </x:c>
      <x:c r="G837" s="17" t="n">
        <x:v>0</x:v>
      </x:c>
      <x:c r="H837" s="14" t="str">
        <x:v>S03-05:B:revision_handoff</x:v>
      </x:c>
    </x:row>
    <x:row r="838" ht="72" customHeight="1">
      <x:c r="A838" s="14" t="str">
        <x:v>S03-05:B:display_report_v2</x:v>
      </x:c>
      <x:c r="B838" s="14" t="str">
        <x:v>B</x:v>
      </x:c>
      <x:c r="C838" s="14" t="str">
        <x:v>display_report_v2</x:v>
      </x:c>
      <x:c r="D838" s="14" t="n">
        <x:v>3.426666667</x:v>
      </x:c>
      <x:c r="E838" s="14" t="n">
        <x:v>3.466666667</x:v>
      </x:c>
      <x:c r="F838" s="14" t="n">
        <x:v>0.04</x:v>
      </x:c>
      <x:c r="G838" s="17" t="n">
        <x:v>1</x:v>
      </x:c>
      <x:c r="H838" s="14" t="str">
        <x:v>S03-05:B:source_report_v2</x:v>
      </x:c>
    </x:row>
    <x:row r="839" ht="72" customHeight="1">
      <x:c r="A839" s="14" t="str">
        <x:v>S03-05:B:select_report_v2</x:v>
      </x:c>
      <x:c r="B839" s="14" t="str">
        <x:v>B</x:v>
      </x:c>
      <x:c r="C839" s="14" t="str">
        <x:v>select_report_v2</x:v>
      </x:c>
      <x:c r="D839" s="14" t="n">
        <x:v>4.141666667</x:v>
      </x:c>
      <x:c r="E839" s="14" t="n">
        <x:v>4.141666667</x:v>
      </x:c>
      <x:c r="F839" s="14" t="n">
        <x:v>0</x:v>
      </x:c>
      <x:c r="G839" s="17" t="n">
        <x:v>1</x:v>
      </x:c>
      <x:c r="H839" s="14" t="str">
        <x:v>S03-05:B:question_played
S03-05:B:source_report_v2</x:v>
      </x:c>
    </x:row>
    <x:row r="840" ht="72" customHeight="1">
      <x:c r="A840" s="14" t="str">
        <x:v>S03-05:B:report_v2_first</x:v>
      </x:c>
      <x:c r="B840" s="14" t="str">
        <x:v>B</x:v>
      </x:c>
      <x:c r="C840" s="14" t="str">
        <x:v>report_v2_first</x:v>
      </x:c>
      <x:c r="D840" s="14" t="n">
        <x:v>4.141666667</x:v>
      </x:c>
      <x:c r="E840" s="14" t="n">
        <x:v>4.550666667</x:v>
      </x:c>
      <x:c r="F840" s="14" t="n">
        <x:v>0.409</x:v>
      </x:c>
      <x:c r="G840" s="17" t="n">
        <x:v>1</x:v>
      </x:c>
      <x:c r="H840" s="14" t="str">
        <x:v>S03-05:B:select_report_v2</x:v>
      </x:c>
    </x:row>
    <x:row r="841" ht="72" customHeight="1">
      <x:c r="A841" s="14" t="str">
        <x:v>S03-05:B:report_v2_tail</x:v>
      </x:c>
      <x:c r="B841" s="14" t="str">
        <x:v>B</x:v>
      </x:c>
      <x:c r="C841" s="14" t="str">
        <x:v>report_v2_tail</x:v>
      </x:c>
      <x:c r="D841" s="14" t="n">
        <x:v>4.550666667</x:v>
      </x:c>
      <x:c r="E841" s="14" t="n">
        <x:v>6.499166667</x:v>
      </x:c>
      <x:c r="F841" s="14" t="n">
        <x:v>1.9485</x:v>
      </x:c>
      <x:c r="G841" s="17" t="n">
        <x:v>1</x:v>
      </x:c>
      <x:c r="H841" s="14" t="str">
        <x:v>S03-05:B:report_v2_first</x:v>
      </x:c>
    </x:row>
    <x:row r="842" ht="72" customHeight="1">
      <x:c r="A842" s="14" t="str">
        <x:v>S03-05:B:report_v2_device</x:v>
      </x:c>
      <x:c r="B842" s="14" t="str">
        <x:v>B</x:v>
      </x:c>
      <x:c r="C842" s="14" t="str">
        <x:v>report_v2_device</x:v>
      </x:c>
      <x:c r="D842" s="14" t="n">
        <x:v>4.550666667</x:v>
      </x:c>
      <x:c r="E842" s="14" t="n">
        <x:v>4.590666667</x:v>
      </x:c>
      <x:c r="F842" s="14" t="n">
        <x:v>0.04</x:v>
      </x:c>
      <x:c r="G842" s="17" t="n">
        <x:v>1</x:v>
      </x:c>
      <x:c r="H842" s="14" t="str">
        <x:v>S03-05:B:select_report_v2
S03-05:B:report_v2_first</x:v>
      </x:c>
    </x:row>
    <x:row r="843" ht="72" customHeight="1">
      <x:c r="A843" s="14" t="str">
        <x:v>S03-05:B:report_v2_played</x:v>
      </x:c>
      <x:c r="B843" s="14" t="str">
        <x:v>B</x:v>
      </x:c>
      <x:c r="C843" s="14" t="str">
        <x:v>report_v2_played</x:v>
      </x:c>
      <x:c r="D843" s="14" t="n">
        <x:v>4.590666667</x:v>
      </x:c>
      <x:c r="E843" s="14" t="n">
        <x:v>12.584666667</x:v>
      </x:c>
      <x:c r="F843" s="14" t="n">
        <x:v>7.994</x:v>
      </x:c>
      <x:c r="G843" s="17" t="n">
        <x:v>0</x:v>
      </x:c>
      <x:c r="H843" s="14" t="str">
        <x:v>S03-05:B:report_v2_device</x:v>
      </x:c>
    </x:row>
    <x:row r="844" ht="72" customHeight="1">
      <x:c r="A844" s="14" t="str">
        <x:v>S03-06:A:origin</x:v>
      </x:c>
      <x:c r="B844" s="14" t="str">
        <x:v>A</x:v>
      </x:c>
      <x:c r="C844" s="14" t="str">
        <x:v>origin</x:v>
      </x:c>
      <x:c r="D844" s="14" t="n">
        <x:v>-6</x:v>
      </x:c>
      <x:c r="E844" s="14" t="n">
        <x:v>-6</x:v>
      </x:c>
      <x:c r="F844" s="14" t="n">
        <x:v>0</x:v>
      </x:c>
      <x:c r="G844" s="17" t="n">
        <x:v>0</x:v>
      </x:c>
      <x:c r="H844" s="14" t="str"/>
    </x:row>
    <x:row r="845" ht="72" customHeight="1">
      <x:c r="A845" s="14" t="str">
        <x:v>S03-06:A:origin_interpretation</x:v>
      </x:c>
      <x:c r="B845" s="14" t="str">
        <x:v>A</x:v>
      </x:c>
      <x:c r="C845" s="14" t="str">
        <x:v>origin_interpretation</x:v>
      </x:c>
      <x:c r="D845" s="14" t="n">
        <x:v>-6</x:v>
      </x:c>
      <x:c r="E845" s="14" t="n">
        <x:v>-5.16</x:v>
      </x:c>
      <x:c r="F845" s="14" t="n">
        <x:v>0.84</x:v>
      </x:c>
      <x:c r="G845" s="17" t="n">
        <x:v>1</x:v>
      </x:c>
      <x:c r="H845" s="14" t="str">
        <x:v>S03-06:A:origin</x:v>
      </x:c>
    </x:row>
    <x:row r="846" ht="72" customHeight="1">
      <x:c r="A846" s="14" t="str">
        <x:v>S03-06:A:original_handoff</x:v>
      </x:c>
      <x:c r="B846" s="14" t="str">
        <x:v>A</x:v>
      </x:c>
      <x:c r="C846" s="14" t="str">
        <x:v>original_handoff</x:v>
      </x:c>
      <x:c r="D846" s="14" t="n">
        <x:v>-5.16</x:v>
      </x:c>
      <x:c r="E846" s="14" t="n">
        <x:v>-5.04</x:v>
      </x:c>
      <x:c r="F846" s="14" t="n">
        <x:v>0.12</x:v>
      </x:c>
      <x:c r="G846" s="17" t="n">
        <x:v>1</x:v>
      </x:c>
      <x:c r="H846" s="14" t="str">
        <x:v>S03-06:A:origin_interpretation</x:v>
      </x:c>
    </x:row>
    <x:row r="847" ht="72" customHeight="1">
      <x:c r="A847" s="14" t="str">
        <x:v>S03-06:A:evaluation_utterance_end</x:v>
      </x:c>
      <x:c r="B847" s="14" t="str">
        <x:v>A</x:v>
      </x:c>
      <x:c r="C847" s="14" t="str">
        <x:v>evaluation_utterance_end</x:v>
      </x:c>
      <x:c r="D847" s="14" t="n">
        <x:v>-6</x:v>
      </x:c>
      <x:c r="E847" s="14" t="n">
        <x:v>0</x:v>
      </x:c>
      <x:c r="F847" s="14" t="n">
        <x:v>6</x:v>
      </x:c>
      <x:c r="G847" s="17" t="n">
        <x:v>0</x:v>
      </x:c>
      <x:c r="H847" s="14" t="str">
        <x:v>S03-06:A:origin</x:v>
      </x:c>
    </x:row>
    <x:row r="848" ht="72" customHeight="1">
      <x:c r="A848" s="14" t="str">
        <x:v>S03-06:A:final_transcript</x:v>
      </x:c>
      <x:c r="B848" s="14" t="str">
        <x:v>A</x:v>
      </x:c>
      <x:c r="C848" s="14" t="str">
        <x:v>final_transcript</x:v>
      </x:c>
      <x:c r="D848" s="14" t="n">
        <x:v>0</x:v>
      </x:c>
      <x:c r="E848" s="14" t="n">
        <x:v>0.3</x:v>
      </x:c>
      <x:c r="F848" s="14" t="n">
        <x:v>0.3</x:v>
      </x:c>
      <x:c r="G848" s="17" t="n">
        <x:v>1</x:v>
      </x:c>
      <x:c r="H848" s="14" t="str">
        <x:v>S03-06:A:evaluation_utterance_end</x:v>
      </x:c>
    </x:row>
    <x:row r="849" ht="72" customHeight="1">
      <x:c r="A849" s="14" t="str">
        <x:v>S03-06:A:meaning_adoption</x:v>
      </x:c>
      <x:c r="B849" s="14" t="str">
        <x:v>A</x:v>
      </x:c>
      <x:c r="C849" s="14" t="str">
        <x:v>meaning_adoption</x:v>
      </x:c>
      <x:c r="D849" s="14" t="n">
        <x:v>0.3</x:v>
      </x:c>
      <x:c r="E849" s="14" t="n">
        <x:v>0.82</x:v>
      </x:c>
      <x:c r="F849" s="14" t="n">
        <x:v>0.52</x:v>
      </x:c>
      <x:c r="G849" s="17" t="n">
        <x:v>1</x:v>
      </x:c>
      <x:c r="H849" s="14" t="str">
        <x:v>S03-06:A:final_transcript
S03-06:A:origin_interpretation</x:v>
      </x:c>
    </x:row>
    <x:row r="850" ht="72" customHeight="1">
      <x:c r="A850" s="14" t="str">
        <x:v>S03-06:A:apply_relation</x:v>
      </x:c>
      <x:c r="B850" s="14" t="str">
        <x:v>A</x:v>
      </x:c>
      <x:c r="C850" s="14" t="str">
        <x:v>apply_relation</x:v>
      </x:c>
      <x:c r="D850" s="14" t="n">
        <x:v>0.82</x:v>
      </x:c>
      <x:c r="E850" s="14" t="n">
        <x:v>0.86</x:v>
      </x:c>
      <x:c r="F850" s="14" t="n">
        <x:v>0.04</x:v>
      </x:c>
      <x:c r="G850" s="17" t="n">
        <x:v>1</x:v>
      </x:c>
      <x:c r="H850" s="14" t="str">
        <x:v>S03-06:A:meaning_adoption</x:v>
      </x:c>
    </x:row>
    <x:row r="851" ht="72" customHeight="1">
      <x:c r="A851" s="14" t="str">
        <x:v>S03-06:A:evaluation_first_display</x:v>
      </x:c>
      <x:c r="B851" s="14" t="str">
        <x:v>A</x:v>
      </x:c>
      <x:c r="C851" s="14" t="str">
        <x:v>evaluation_first_display</x:v>
      </x:c>
      <x:c r="D851" s="14" t="n">
        <x:v>0.86</x:v>
      </x:c>
      <x:c r="E851" s="14" t="n">
        <x:v>0.9</x:v>
      </x:c>
      <x:c r="F851" s="14" t="n">
        <x:v>0.04</x:v>
      </x:c>
      <x:c r="G851" s="17" t="n">
        <x:v>1</x:v>
      </x:c>
      <x:c r="H851" s="14" t="str">
        <x:v>S03-06:A:apply_relation</x:v>
      </x:c>
    </x:row>
    <x:row r="852" ht="72" customHeight="1">
      <x:c r="A852" s="14" t="str">
        <x:v>S03-06:A:source_question</x:v>
      </x:c>
      <x:c r="B852" s="14" t="str">
        <x:v>A</x:v>
      </x:c>
      <x:c r="C852" s="14" t="str">
        <x:v>source_question</x:v>
      </x:c>
      <x:c r="D852" s="14" t="n">
        <x:v>-5.04</x:v>
      </x:c>
      <x:c r="E852" s="14" t="n">
        <x:v>-1.4</x:v>
      </x:c>
      <x:c r="F852" s="14" t="n">
        <x:v>3.64</x:v>
      </x:c>
      <x:c r="G852" s="17" t="n">
        <x:v>0</x:v>
      </x:c>
      <x:c r="H852" s="14" t="str">
        <x:v>S03-06:A:original_handoff</x:v>
      </x:c>
    </x:row>
    <x:row r="853" ht="72" customHeight="1">
      <x:c r="A853" s="14" t="str">
        <x:v>S03-06:A:display_question</x:v>
      </x:c>
      <x:c r="B853" s="14" t="str">
        <x:v>A</x:v>
      </x:c>
      <x:c r="C853" s="14" t="str">
        <x:v>display_question</x:v>
      </x:c>
      <x:c r="D853" s="14" t="n">
        <x:v>-1.4</x:v>
      </x:c>
      <x:c r="E853" s="14" t="n">
        <x:v>-1.36</x:v>
      </x:c>
      <x:c r="F853" s="14" t="n">
        <x:v>0.04</x:v>
      </x:c>
      <x:c r="G853" s="17" t="n">
        <x:v>1</x:v>
      </x:c>
      <x:c r="H853" s="14" t="str">
        <x:v>S03-06:A:source_question</x:v>
      </x:c>
    </x:row>
    <x:row r="854" ht="72" customHeight="1">
      <x:c r="A854" s="14" t="str">
        <x:v>S03-06:A:select_question</x:v>
      </x:c>
      <x:c r="B854" s="14" t="str">
        <x:v>A</x:v>
      </x:c>
      <x:c r="C854" s="14" t="str">
        <x:v>select_question</x:v>
      </x:c>
      <x:c r="D854" s="14" t="n">
        <x:v>0.86</x:v>
      </x:c>
      <x:c r="E854" s="14" t="n">
        <x:v>0.86</x:v>
      </x:c>
      <x:c r="F854" s="14" t="n">
        <x:v>0</x:v>
      </x:c>
      <x:c r="G854" s="17" t="n">
        <x:v>1</x:v>
      </x:c>
      <x:c r="H854" s="14" t="str">
        <x:v>S03-06:A:apply_relation
S03-06:A:source_question</x:v>
      </x:c>
    </x:row>
    <x:row r="855" ht="72" customHeight="1">
      <x:c r="A855" s="14" t="str">
        <x:v>S03-06:A:question_first</x:v>
      </x:c>
      <x:c r="B855" s="14" t="str">
        <x:v>A</x:v>
      </x:c>
      <x:c r="C855" s="14" t="str">
        <x:v>question_first</x:v>
      </x:c>
      <x:c r="D855" s="14" t="n">
        <x:v>-1.4</x:v>
      </x:c>
      <x:c r="E855" s="14" t="n">
        <x:v>-0.999</x:v>
      </x:c>
      <x:c r="F855" s="14" t="n">
        <x:v>0.401</x:v>
      </x:c>
      <x:c r="G855" s="17" t="n">
        <x:v>1</x:v>
      </x:c>
      <x:c r="H855" s="14" t="str">
        <x:v>S03-06:A:source_question</x:v>
      </x:c>
    </x:row>
    <x:row r="856" ht="72" customHeight="1">
      <x:c r="A856" s="14" t="str">
        <x:v>S03-06:A:question_tail</x:v>
      </x:c>
      <x:c r="B856" s="14" t="str">
        <x:v>A</x:v>
      </x:c>
      <x:c r="C856" s="14" t="str">
        <x:v>question_tail</x:v>
      </x:c>
      <x:c r="D856" s="14" t="n">
        <x:v>-0.999</x:v>
      </x:c>
      <x:c r="E856" s="14" t="n">
        <x:v>-0.3475</x:v>
      </x:c>
      <x:c r="F856" s="14" t="n">
        <x:v>0.6515</x:v>
      </x:c>
      <x:c r="G856" s="17" t="n">
        <x:v>1</x:v>
      </x:c>
      <x:c r="H856" s="14" t="str">
        <x:v>S03-06:A:question_first</x:v>
      </x:c>
    </x:row>
    <x:row r="857" ht="72" customHeight="1">
      <x:c r="A857" s="14" t="str">
        <x:v>S03-06:A:question_device</x:v>
      </x:c>
      <x:c r="B857" s="14" t="str">
        <x:v>A</x:v>
      </x:c>
      <x:c r="C857" s="14" t="str">
        <x:v>question_device</x:v>
      </x:c>
      <x:c r="D857" s="14" t="n">
        <x:v>0.86</x:v>
      </x:c>
      <x:c r="E857" s="14" t="n">
        <x:v>0.9</x:v>
      </x:c>
      <x:c r="F857" s="14" t="n">
        <x:v>0.04</x:v>
      </x:c>
      <x:c r="G857" s="17" t="n">
        <x:v>1</x:v>
      </x:c>
      <x:c r="H857" s="14" t="str">
        <x:v>S03-06:A:select_question
S03-06:A:question_first</x:v>
      </x:c>
    </x:row>
    <x:row r="858" ht="72" customHeight="1">
      <x:c r="A858" s="14" t="str">
        <x:v>S03-06:A:question_played</x:v>
      </x:c>
      <x:c r="B858" s="14" t="str">
        <x:v>A</x:v>
      </x:c>
      <x:c r="C858" s="14" t="str">
        <x:v>question_played</x:v>
      </x:c>
      <x:c r="D858" s="14" t="n">
        <x:v>0.9</x:v>
      </x:c>
      <x:c r="E858" s="14" t="n">
        <x:v>3.706</x:v>
      </x:c>
      <x:c r="F858" s="14" t="n">
        <x:v>2.806</x:v>
      </x:c>
      <x:c r="G858" s="17" t="n">
        <x:v>0</x:v>
      </x:c>
      <x:c r="H858" s="14" t="str">
        <x:v>S03-06:A:question_device</x:v>
      </x:c>
    </x:row>
    <x:row r="859" ht="72" customHeight="1">
      <x:c r="A859" s="14" t="str">
        <x:v>S03-06:A:source_report_v1</x:v>
      </x:c>
      <x:c r="B859" s="14" t="str">
        <x:v>A</x:v>
      </x:c>
      <x:c r="C859" s="14" t="str">
        <x:v>source_report_v1</x:v>
      </x:c>
      <x:c r="D859" s="14" t="n">
        <x:v>-5.04</x:v>
      </x:c>
      <x:c r="E859" s="14" t="n">
        <x:v>-1</x:v>
      </x:c>
      <x:c r="F859" s="14" t="n">
        <x:v>4.04</x:v>
      </x:c>
      <x:c r="G859" s="17" t="n">
        <x:v>0</x:v>
      </x:c>
      <x:c r="H859" s="14" t="str">
        <x:v>S03-06:A:original_handoff</x:v>
      </x:c>
    </x:row>
    <x:row r="860" ht="72" customHeight="1">
      <x:c r="A860" s="14" t="str">
        <x:v>S03-06:A:display_report_v1</x:v>
      </x:c>
      <x:c r="B860" s="14" t="str">
        <x:v>A</x:v>
      </x:c>
      <x:c r="C860" s="14" t="str">
        <x:v>display_report_v1</x:v>
      </x:c>
      <x:c r="D860" s="14" t="n">
        <x:v>-1</x:v>
      </x:c>
      <x:c r="E860" s="14" t="n">
        <x:v>-0.96</x:v>
      </x:c>
      <x:c r="F860" s="14" t="n">
        <x:v>0.04</x:v>
      </x:c>
      <x:c r="G860" s="17" t="n">
        <x:v>1</x:v>
      </x:c>
      <x:c r="H860" s="14" t="str">
        <x:v>S03-06:A:source_report_v1</x:v>
      </x:c>
    </x:row>
    <x:row r="861" ht="72" customHeight="1">
      <x:c r="A861" s="14" t="str">
        <x:v>S03-06:A:report_v1_first</x:v>
      </x:c>
      <x:c r="B861" s="14" t="str">
        <x:v>A</x:v>
      </x:c>
      <x:c r="C861" s="14" t="str">
        <x:v>report_v1_first</x:v>
      </x:c>
      <x:c r="D861" s="14" t="n">
        <x:v>-1</x:v>
      </x:c>
      <x:c r="E861" s="14" t="n">
        <x:v>-0.59</x:v>
      </x:c>
      <x:c r="F861" s="14" t="n">
        <x:v>0.41</x:v>
      </x:c>
      <x:c r="G861" s="17" t="n">
        <x:v>1</x:v>
      </x:c>
      <x:c r="H861" s="14" t="str">
        <x:v>S03-06:A:source_report_v1</x:v>
      </x:c>
    </x:row>
    <x:row r="862" ht="72" customHeight="1">
      <x:c r="A862" s="14" t="str">
        <x:v>S03-06:A:report_v1_tail</x:v>
      </x:c>
      <x:c r="B862" s="14" t="str">
        <x:v>A</x:v>
      </x:c>
      <x:c r="C862" s="14" t="str">
        <x:v>report_v1_tail</x:v>
      </x:c>
      <x:c r="D862" s="14" t="n">
        <x:v>-0.59</x:v>
      </x:c>
      <x:c r="E862" s="14" t="n">
        <x:v>0.96</x:v>
      </x:c>
      <x:c r="F862" s="14" t="n">
        <x:v>1.55</x:v>
      </x:c>
      <x:c r="G862" s="17" t="n">
        <x:v>1</x:v>
      </x:c>
      <x:c r="H862" s="14" t="str">
        <x:v>S03-06:A:report_v1_first</x:v>
      </x:c>
    </x:row>
    <x:row r="863" ht="72" customHeight="1">
      <x:c r="A863" s="14" t="str">
        <x:v>S03-06:A:revision_handoff</x:v>
      </x:c>
      <x:c r="B863" s="14" t="str">
        <x:v>A</x:v>
      </x:c>
      <x:c r="C863" s="14" t="str">
        <x:v>revision_handoff</x:v>
      </x:c>
      <x:c r="D863" s="14" t="n">
        <x:v>0.86</x:v>
      </x:c>
      <x:c r="E863" s="14" t="n">
        <x:v>0.98</x:v>
      </x:c>
      <x:c r="F863" s="14" t="n">
        <x:v>0.12</x:v>
      </x:c>
      <x:c r="G863" s="17" t="n">
        <x:v>1</x:v>
      </x:c>
      <x:c r="H863" s="14" t="str">
        <x:v>S03-06:A:apply_relation</x:v>
      </x:c>
    </x:row>
    <x:row r="864" ht="72" customHeight="1">
      <x:c r="A864" s="14" t="str">
        <x:v>S03-06:A:source_report_v2</x:v>
      </x:c>
      <x:c r="B864" s="14" t="str">
        <x:v>A</x:v>
      </x:c>
      <x:c r="C864" s="14" t="str">
        <x:v>source_report_v2</x:v>
      </x:c>
      <x:c r="D864" s="14" t="n">
        <x:v>0.98</x:v>
      </x:c>
      <x:c r="E864" s="14" t="n">
        <x:v>3.38</x:v>
      </x:c>
      <x:c r="F864" s="14" t="n">
        <x:v>2.4</x:v>
      </x:c>
      <x:c r="G864" s="17" t="n">
        <x:v>0</x:v>
      </x:c>
      <x:c r="H864" s="14" t="str">
        <x:v>S03-06:A:revision_handoff</x:v>
      </x:c>
    </x:row>
    <x:row r="865" ht="72" customHeight="1">
      <x:c r="A865" s="14" t="str">
        <x:v>S03-06:A:display_report_v2</x:v>
      </x:c>
      <x:c r="B865" s="14" t="str">
        <x:v>A</x:v>
      </x:c>
      <x:c r="C865" s="14" t="str">
        <x:v>display_report_v2</x:v>
      </x:c>
      <x:c r="D865" s="14" t="n">
        <x:v>3.38</x:v>
      </x:c>
      <x:c r="E865" s="14" t="n">
        <x:v>3.42</x:v>
      </x:c>
      <x:c r="F865" s="14" t="n">
        <x:v>0.04</x:v>
      </x:c>
      <x:c r="G865" s="17" t="n">
        <x:v>1</x:v>
      </x:c>
      <x:c r="H865" s="14" t="str">
        <x:v>S03-06:A:source_report_v2</x:v>
      </x:c>
    </x:row>
    <x:row r="866" ht="72" customHeight="1">
      <x:c r="A866" s="14" t="str">
        <x:v>S03-06:A:select_report_v2</x:v>
      </x:c>
      <x:c r="B866" s="14" t="str">
        <x:v>A</x:v>
      </x:c>
      <x:c r="C866" s="14" t="str">
        <x:v>select_report_v2</x:v>
      </x:c>
      <x:c r="D866" s="14" t="n">
        <x:v>3.706</x:v>
      </x:c>
      <x:c r="E866" s="14" t="n">
        <x:v>3.706</x:v>
      </x:c>
      <x:c r="F866" s="14" t="n">
        <x:v>0</x:v>
      </x:c>
      <x:c r="G866" s="17" t="n">
        <x:v>1</x:v>
      </x:c>
      <x:c r="H866" s="14" t="str">
        <x:v>S03-06:A:question_played
S03-06:A:source_report_v2</x:v>
      </x:c>
    </x:row>
    <x:row r="867" ht="72" customHeight="1">
      <x:c r="A867" s="14" t="str">
        <x:v>S03-06:A:report_v2_first</x:v>
      </x:c>
      <x:c r="B867" s="14" t="str">
        <x:v>A</x:v>
      </x:c>
      <x:c r="C867" s="14" t="str">
        <x:v>report_v2_first</x:v>
      </x:c>
      <x:c r="D867" s="14" t="n">
        <x:v>3.38</x:v>
      </x:c>
      <x:c r="E867" s="14" t="n">
        <x:v>3.789</x:v>
      </x:c>
      <x:c r="F867" s="14" t="n">
        <x:v>0.409</x:v>
      </x:c>
      <x:c r="G867" s="17" t="n">
        <x:v>1</x:v>
      </x:c>
      <x:c r="H867" s="14" t="str">
        <x:v>S03-06:A:source_report_v2</x:v>
      </x:c>
    </x:row>
    <x:row r="868" ht="72" customHeight="1">
      <x:c r="A868" s="14" t="str">
        <x:v>S03-06:A:report_v2_tail</x:v>
      </x:c>
      <x:c r="B868" s="14" t="str">
        <x:v>A</x:v>
      </x:c>
      <x:c r="C868" s="14" t="str">
        <x:v>report_v2_tail</x:v>
      </x:c>
      <x:c r="D868" s="14" t="n">
        <x:v>3.789</x:v>
      </x:c>
      <x:c r="E868" s="14" t="n">
        <x:v>5.7405</x:v>
      </x:c>
      <x:c r="F868" s="14" t="n">
        <x:v>1.9515</x:v>
      </x:c>
      <x:c r="G868" s="17" t="n">
        <x:v>1</x:v>
      </x:c>
      <x:c r="H868" s="14" t="str">
        <x:v>S03-06:A:report_v2_first</x:v>
      </x:c>
    </x:row>
    <x:row r="869" ht="72" customHeight="1">
      <x:c r="A869" s="14" t="str">
        <x:v>S03-06:A:report_v2_device</x:v>
      </x:c>
      <x:c r="B869" s="14" t="str">
        <x:v>A</x:v>
      </x:c>
      <x:c r="C869" s="14" t="str">
        <x:v>report_v2_device</x:v>
      </x:c>
      <x:c r="D869" s="14" t="n">
        <x:v>3.789</x:v>
      </x:c>
      <x:c r="E869" s="14" t="n">
        <x:v>3.829</x:v>
      </x:c>
      <x:c r="F869" s="14" t="n">
        <x:v>0.04</x:v>
      </x:c>
      <x:c r="G869" s="17" t="n">
        <x:v>1</x:v>
      </x:c>
      <x:c r="H869" s="14" t="str">
        <x:v>S03-06:A:select_report_v2
S03-06:A:report_v2_first</x:v>
      </x:c>
    </x:row>
    <x:row r="870" ht="72" customHeight="1">
      <x:c r="A870" s="14" t="str">
        <x:v>S03-06:A:report_v2_played</x:v>
      </x:c>
      <x:c r="B870" s="14" t="str">
        <x:v>A</x:v>
      </x:c>
      <x:c r="C870" s="14" t="str">
        <x:v>report_v2_played</x:v>
      </x:c>
      <x:c r="D870" s="14" t="n">
        <x:v>3.829</x:v>
      </x:c>
      <x:c r="E870" s="14" t="n">
        <x:v>11.835</x:v>
      </x:c>
      <x:c r="F870" s="14" t="n">
        <x:v>8.006</x:v>
      </x:c>
      <x:c r="G870" s="17" t="n">
        <x:v>0</x:v>
      </x:c>
      <x:c r="H870" s="14" t="str">
        <x:v>S03-06:A:report_v2_device</x:v>
      </x:c>
    </x:row>
    <x:row r="871" ht="72" customHeight="1">
      <x:c r="A871" s="14" t="str">
        <x:v>S03-06:B:origin</x:v>
      </x:c>
      <x:c r="B871" s="14" t="str">
        <x:v>B</x:v>
      </x:c>
      <x:c r="C871" s="14" t="str">
        <x:v>origin</x:v>
      </x:c>
      <x:c r="D871" s="14" t="n">
        <x:v>-6</x:v>
      </x:c>
      <x:c r="E871" s="14" t="n">
        <x:v>-6</x:v>
      </x:c>
      <x:c r="F871" s="14" t="n">
        <x:v>0</x:v>
      </x:c>
      <x:c r="G871" s="17" t="n">
        <x:v>0</x:v>
      </x:c>
      <x:c r="H871" s="14" t="str"/>
    </x:row>
    <x:row r="872" ht="72" customHeight="1">
      <x:c r="A872" s="14" t="str">
        <x:v>S03-06:B:origin_interpretation</x:v>
      </x:c>
      <x:c r="B872" s="14" t="str">
        <x:v>B</x:v>
      </x:c>
      <x:c r="C872" s="14" t="str">
        <x:v>origin_interpretation</x:v>
      </x:c>
      <x:c r="D872" s="14" t="n">
        <x:v>-6</x:v>
      </x:c>
      <x:c r="E872" s="14" t="n">
        <x:v>-5.16</x:v>
      </x:c>
      <x:c r="F872" s="14" t="n">
        <x:v>0.84</x:v>
      </x:c>
      <x:c r="G872" s="17" t="n">
        <x:v>1</x:v>
      </x:c>
      <x:c r="H872" s="14" t="str">
        <x:v>S03-06:B:origin</x:v>
      </x:c>
    </x:row>
    <x:row r="873" ht="72" customHeight="1">
      <x:c r="A873" s="14" t="str">
        <x:v>S03-06:B:original_handoff</x:v>
      </x:c>
      <x:c r="B873" s="14" t="str">
        <x:v>B</x:v>
      </x:c>
      <x:c r="C873" s="14" t="str">
        <x:v>original_handoff</x:v>
      </x:c>
      <x:c r="D873" s="14" t="n">
        <x:v>-5.16</x:v>
      </x:c>
      <x:c r="E873" s="14" t="n">
        <x:v>-5.04</x:v>
      </x:c>
      <x:c r="F873" s="14" t="n">
        <x:v>0.12</x:v>
      </x:c>
      <x:c r="G873" s="17" t="n">
        <x:v>1</x:v>
      </x:c>
      <x:c r="H873" s="14" t="str">
        <x:v>S03-06:B:origin_interpretation</x:v>
      </x:c>
    </x:row>
    <x:row r="874" ht="72" customHeight="1">
      <x:c r="A874" s="14" t="str">
        <x:v>S03-06:B:evaluation_utterance_end</x:v>
      </x:c>
      <x:c r="B874" s="14" t="str">
        <x:v>B</x:v>
      </x:c>
      <x:c r="C874" s="14" t="str">
        <x:v>evaluation_utterance_end</x:v>
      </x:c>
      <x:c r="D874" s="14" t="n">
        <x:v>-6</x:v>
      </x:c>
      <x:c r="E874" s="14" t="n">
        <x:v>0</x:v>
      </x:c>
      <x:c r="F874" s="14" t="n">
        <x:v>6</x:v>
      </x:c>
      <x:c r="G874" s="17" t="n">
        <x:v>0</x:v>
      </x:c>
      <x:c r="H874" s="14" t="str">
        <x:v>S03-06:B:origin</x:v>
      </x:c>
    </x:row>
    <x:row r="875" ht="72" customHeight="1">
      <x:c r="A875" s="14" t="str">
        <x:v>S03-06:B:final_transcript</x:v>
      </x:c>
      <x:c r="B875" s="14" t="str">
        <x:v>B</x:v>
      </x:c>
      <x:c r="C875" s="14" t="str">
        <x:v>final_transcript</x:v>
      </x:c>
      <x:c r="D875" s="14" t="n">
        <x:v>0</x:v>
      </x:c>
      <x:c r="E875" s="14" t="n">
        <x:v>0.3</x:v>
      </x:c>
      <x:c r="F875" s="14" t="n">
        <x:v>0.3</x:v>
      </x:c>
      <x:c r="G875" s="17" t="n">
        <x:v>1</x:v>
      </x:c>
      <x:c r="H875" s="14" t="str">
        <x:v>S03-06:B:evaluation_utterance_end</x:v>
      </x:c>
    </x:row>
    <x:row r="876" ht="72" customHeight="1">
      <x:c r="A876" s="14" t="str">
        <x:v>S03-06:B:meaning_adoption</x:v>
      </x:c>
      <x:c r="B876" s="14" t="str">
        <x:v>B</x:v>
      </x:c>
      <x:c r="C876" s="14" t="str">
        <x:v>meaning_adoption</x:v>
      </x:c>
      <x:c r="D876" s="14" t="n">
        <x:v>0.3</x:v>
      </x:c>
      <x:c r="E876" s="14" t="n">
        <x:v>0.82</x:v>
      </x:c>
      <x:c r="F876" s="14" t="n">
        <x:v>0.52</x:v>
      </x:c>
      <x:c r="G876" s="17" t="n">
        <x:v>1</x:v>
      </x:c>
      <x:c r="H876" s="14" t="str">
        <x:v>S03-06:B:final_transcript
S03-06:B:origin_interpretation</x:v>
      </x:c>
    </x:row>
    <x:row r="877" ht="72" customHeight="1">
      <x:c r="A877" s="14" t="str">
        <x:v>S03-06:B:apply_relation</x:v>
      </x:c>
      <x:c r="B877" s="14" t="str">
        <x:v>B</x:v>
      </x:c>
      <x:c r="C877" s="14" t="str">
        <x:v>apply_relation</x:v>
      </x:c>
      <x:c r="D877" s="14" t="n">
        <x:v>0.82</x:v>
      </x:c>
      <x:c r="E877" s="14" t="n">
        <x:v>0.86</x:v>
      </x:c>
      <x:c r="F877" s="14" t="n">
        <x:v>0.04</x:v>
      </x:c>
      <x:c r="G877" s="17" t="n">
        <x:v>1</x:v>
      </x:c>
      <x:c r="H877" s="14" t="str">
        <x:v>S03-06:B:meaning_adoption</x:v>
      </x:c>
    </x:row>
    <x:row r="878" ht="72" customHeight="1">
      <x:c r="A878" s="14" t="str">
        <x:v>S03-06:B:evaluation_first_display</x:v>
      </x:c>
      <x:c r="B878" s="14" t="str">
        <x:v>B</x:v>
      </x:c>
      <x:c r="C878" s="14" t="str">
        <x:v>evaluation_first_display</x:v>
      </x:c>
      <x:c r="D878" s="14" t="n">
        <x:v>0.86</x:v>
      </x:c>
      <x:c r="E878" s="14" t="n">
        <x:v>0.9</x:v>
      </x:c>
      <x:c r="F878" s="14" t="n">
        <x:v>0.04</x:v>
      </x:c>
      <x:c r="G878" s="17" t="n">
        <x:v>1</x:v>
      </x:c>
      <x:c r="H878" s="14" t="str">
        <x:v>S03-06:B:apply_relation</x:v>
      </x:c>
    </x:row>
    <x:row r="879" ht="72" customHeight="1">
      <x:c r="A879" s="14" t="str">
        <x:v>S03-06:B:source_question</x:v>
      </x:c>
      <x:c r="B879" s="14" t="str">
        <x:v>B</x:v>
      </x:c>
      <x:c r="C879" s="14" t="str">
        <x:v>source_question</x:v>
      </x:c>
      <x:c r="D879" s="14" t="n">
        <x:v>-5.04</x:v>
      </x:c>
      <x:c r="E879" s="14" t="n">
        <x:v>-1.4</x:v>
      </x:c>
      <x:c r="F879" s="14" t="n">
        <x:v>3.64</x:v>
      </x:c>
      <x:c r="G879" s="17" t="n">
        <x:v>0</x:v>
      </x:c>
      <x:c r="H879" s="14" t="str">
        <x:v>S03-06:B:original_handoff</x:v>
      </x:c>
    </x:row>
    <x:row r="880" ht="72" customHeight="1">
      <x:c r="A880" s="14" t="str">
        <x:v>S03-06:B:display_question</x:v>
      </x:c>
      <x:c r="B880" s="14" t="str">
        <x:v>B</x:v>
      </x:c>
      <x:c r="C880" s="14" t="str">
        <x:v>display_question</x:v>
      </x:c>
      <x:c r="D880" s="14" t="n">
        <x:v>-1.4</x:v>
      </x:c>
      <x:c r="E880" s="14" t="n">
        <x:v>-1.36</x:v>
      </x:c>
      <x:c r="F880" s="14" t="n">
        <x:v>0.04</x:v>
      </x:c>
      <x:c r="G880" s="17" t="n">
        <x:v>1</x:v>
      </x:c>
      <x:c r="H880" s="14" t="str">
        <x:v>S03-06:B:source_question</x:v>
      </x:c>
    </x:row>
    <x:row r="881" ht="72" customHeight="1">
      <x:c r="A881" s="14" t="str">
        <x:v>S03-06:B:select_question</x:v>
      </x:c>
      <x:c r="B881" s="14" t="str">
        <x:v>B</x:v>
      </x:c>
      <x:c r="C881" s="14" t="str">
        <x:v>select_question</x:v>
      </x:c>
      <x:c r="D881" s="14" t="n">
        <x:v>0.86</x:v>
      </x:c>
      <x:c r="E881" s="14" t="n">
        <x:v>0.86</x:v>
      </x:c>
      <x:c r="F881" s="14" t="n">
        <x:v>0</x:v>
      </x:c>
      <x:c r="G881" s="17" t="n">
        <x:v>1</x:v>
      </x:c>
      <x:c r="H881" s="14" t="str">
        <x:v>S03-06:B:apply_relation
S03-06:B:source_question</x:v>
      </x:c>
    </x:row>
    <x:row r="882" ht="72" customHeight="1">
      <x:c r="A882" s="14" t="str">
        <x:v>S03-06:B:question_first</x:v>
      </x:c>
      <x:c r="B882" s="14" t="str">
        <x:v>B</x:v>
      </x:c>
      <x:c r="C882" s="14" t="str">
        <x:v>question_first</x:v>
      </x:c>
      <x:c r="D882" s="14" t="n">
        <x:v>0.86</x:v>
      </x:c>
      <x:c r="E882" s="14" t="n">
        <x:v>1.261</x:v>
      </x:c>
      <x:c r="F882" s="14" t="n">
        <x:v>0.401</x:v>
      </x:c>
      <x:c r="G882" s="17" t="n">
        <x:v>1</x:v>
      </x:c>
      <x:c r="H882" s="14" t="str">
        <x:v>S03-06:B:select_question</x:v>
      </x:c>
    </x:row>
    <x:row r="883" ht="72" customHeight="1">
      <x:c r="A883" s="14" t="str">
        <x:v>S03-06:B:question_tail</x:v>
      </x:c>
      <x:c r="B883" s="14" t="str">
        <x:v>B</x:v>
      </x:c>
      <x:c r="C883" s="14" t="str">
        <x:v>question_tail</x:v>
      </x:c>
      <x:c r="D883" s="14" t="n">
        <x:v>1.261</x:v>
      </x:c>
      <x:c r="E883" s="14" t="n">
        <x:v>1.9125</x:v>
      </x:c>
      <x:c r="F883" s="14" t="n">
        <x:v>0.6515</x:v>
      </x:c>
      <x:c r="G883" s="17" t="n">
        <x:v>1</x:v>
      </x:c>
      <x:c r="H883" s="14" t="str">
        <x:v>S03-06:B:question_first</x:v>
      </x:c>
    </x:row>
    <x:row r="884" ht="72" customHeight="1">
      <x:c r="A884" s="14" t="str">
        <x:v>S03-06:B:question_device</x:v>
      </x:c>
      <x:c r="B884" s="14" t="str">
        <x:v>B</x:v>
      </x:c>
      <x:c r="C884" s="14" t="str">
        <x:v>question_device</x:v>
      </x:c>
      <x:c r="D884" s="14" t="n">
        <x:v>1.261</x:v>
      </x:c>
      <x:c r="E884" s="14" t="n">
        <x:v>1.301</x:v>
      </x:c>
      <x:c r="F884" s="14" t="n">
        <x:v>0.04</x:v>
      </x:c>
      <x:c r="G884" s="17" t="n">
        <x:v>1</x:v>
      </x:c>
      <x:c r="H884" s="14" t="str">
        <x:v>S03-06:B:select_question
S03-06:B:question_first</x:v>
      </x:c>
    </x:row>
    <x:row r="885" ht="72" customHeight="1">
      <x:c r="A885" s="14" t="str">
        <x:v>S03-06:B:question_played</x:v>
      </x:c>
      <x:c r="B885" s="14" t="str">
        <x:v>B</x:v>
      </x:c>
      <x:c r="C885" s="14" t="str">
        <x:v>question_played</x:v>
      </x:c>
      <x:c r="D885" s="14" t="n">
        <x:v>1.301</x:v>
      </x:c>
      <x:c r="E885" s="14" t="n">
        <x:v>4.107</x:v>
      </x:c>
      <x:c r="F885" s="14" t="n">
        <x:v>2.806</x:v>
      </x:c>
      <x:c r="G885" s="17" t="n">
        <x:v>0</x:v>
      </x:c>
      <x:c r="H885" s="14" t="str">
        <x:v>S03-06:B:question_device</x:v>
      </x:c>
    </x:row>
    <x:row r="886" ht="72" customHeight="1">
      <x:c r="A886" s="14" t="str">
        <x:v>S03-06:B:source_report_v1</x:v>
      </x:c>
      <x:c r="B886" s="14" t="str">
        <x:v>B</x:v>
      </x:c>
      <x:c r="C886" s="14" t="str">
        <x:v>source_report_v1</x:v>
      </x:c>
      <x:c r="D886" s="14" t="n">
        <x:v>-5.04</x:v>
      </x:c>
      <x:c r="E886" s="14" t="n">
        <x:v>-1</x:v>
      </x:c>
      <x:c r="F886" s="14" t="n">
        <x:v>4.04</x:v>
      </x:c>
      <x:c r="G886" s="17" t="n">
        <x:v>0</x:v>
      </x:c>
      <x:c r="H886" s="14" t="str">
        <x:v>S03-06:B:original_handoff</x:v>
      </x:c>
    </x:row>
    <x:row r="887" ht="72" customHeight="1">
      <x:c r="A887" s="14" t="str">
        <x:v>S03-06:B:display_report_v1</x:v>
      </x:c>
      <x:c r="B887" s="14" t="str">
        <x:v>B</x:v>
      </x:c>
      <x:c r="C887" s="14" t="str">
        <x:v>display_report_v1</x:v>
      </x:c>
      <x:c r="D887" s="14" t="n">
        <x:v>-1</x:v>
      </x:c>
      <x:c r="E887" s="14" t="n">
        <x:v>-0.96</x:v>
      </x:c>
      <x:c r="F887" s="14" t="n">
        <x:v>0.04</x:v>
      </x:c>
      <x:c r="G887" s="17" t="n">
        <x:v>1</x:v>
      </x:c>
      <x:c r="H887" s="14" t="str">
        <x:v>S03-06:B:source_report_v1</x:v>
      </x:c>
    </x:row>
    <x:row r="888" ht="72" customHeight="1">
      <x:c r="A888" s="14" t="str">
        <x:v>S03-06:B:revision_handoff</x:v>
      </x:c>
      <x:c r="B888" s="14" t="str">
        <x:v>B</x:v>
      </x:c>
      <x:c r="C888" s="14" t="str">
        <x:v>revision_handoff</x:v>
      </x:c>
      <x:c r="D888" s="14" t="n">
        <x:v>0.86</x:v>
      </x:c>
      <x:c r="E888" s="14" t="n">
        <x:v>0.98</x:v>
      </x:c>
      <x:c r="F888" s="14" t="n">
        <x:v>0.12</x:v>
      </x:c>
      <x:c r="G888" s="17" t="n">
        <x:v>1</x:v>
      </x:c>
      <x:c r="H888" s="14" t="str">
        <x:v>S03-06:B:apply_relation</x:v>
      </x:c>
    </x:row>
    <x:row r="889" ht="72" customHeight="1">
      <x:c r="A889" s="14" t="str">
        <x:v>S03-06:B:source_report_v2</x:v>
      </x:c>
      <x:c r="B889" s="14" t="str">
        <x:v>B</x:v>
      </x:c>
      <x:c r="C889" s="14" t="str">
        <x:v>source_report_v2</x:v>
      </x:c>
      <x:c r="D889" s="14" t="n">
        <x:v>0.98</x:v>
      </x:c>
      <x:c r="E889" s="14" t="n">
        <x:v>3.38</x:v>
      </x:c>
      <x:c r="F889" s="14" t="n">
        <x:v>2.4</x:v>
      </x:c>
      <x:c r="G889" s="17" t="n">
        <x:v>0</x:v>
      </x:c>
      <x:c r="H889" s="14" t="str">
        <x:v>S03-06:B:revision_handoff</x:v>
      </x:c>
    </x:row>
    <x:row r="890" ht="72" customHeight="1">
      <x:c r="A890" s="14" t="str">
        <x:v>S03-06:B:display_report_v2</x:v>
      </x:c>
      <x:c r="B890" s="14" t="str">
        <x:v>B</x:v>
      </x:c>
      <x:c r="C890" s="14" t="str">
        <x:v>display_report_v2</x:v>
      </x:c>
      <x:c r="D890" s="14" t="n">
        <x:v>3.38</x:v>
      </x:c>
      <x:c r="E890" s="14" t="n">
        <x:v>3.42</x:v>
      </x:c>
      <x:c r="F890" s="14" t="n">
        <x:v>0.04</x:v>
      </x:c>
      <x:c r="G890" s="17" t="n">
        <x:v>1</x:v>
      </x:c>
      <x:c r="H890" s="14" t="str">
        <x:v>S03-06:B:source_report_v2</x:v>
      </x:c>
    </x:row>
    <x:row r="891" ht="72" customHeight="1">
      <x:c r="A891" s="14" t="str">
        <x:v>S03-06:B:select_report_v2</x:v>
      </x:c>
      <x:c r="B891" s="14" t="str">
        <x:v>B</x:v>
      </x:c>
      <x:c r="C891" s="14" t="str">
        <x:v>select_report_v2</x:v>
      </x:c>
      <x:c r="D891" s="14" t="n">
        <x:v>4.107</x:v>
      </x:c>
      <x:c r="E891" s="14" t="n">
        <x:v>4.107</x:v>
      </x:c>
      <x:c r="F891" s="14" t="n">
        <x:v>0</x:v>
      </x:c>
      <x:c r="G891" s="17" t="n">
        <x:v>1</x:v>
      </x:c>
      <x:c r="H891" s="14" t="str">
        <x:v>S03-06:B:question_played
S03-06:B:source_report_v2</x:v>
      </x:c>
    </x:row>
    <x:row r="892" ht="72" customHeight="1">
      <x:c r="A892" s="14" t="str">
        <x:v>S03-06:B:report_v2_first</x:v>
      </x:c>
      <x:c r="B892" s="14" t="str">
        <x:v>B</x:v>
      </x:c>
      <x:c r="C892" s="14" t="str">
        <x:v>report_v2_first</x:v>
      </x:c>
      <x:c r="D892" s="14" t="n">
        <x:v>4.107</x:v>
      </x:c>
      <x:c r="E892" s="14" t="n">
        <x:v>4.516</x:v>
      </x:c>
      <x:c r="F892" s="14" t="n">
        <x:v>0.409</x:v>
      </x:c>
      <x:c r="G892" s="17" t="n">
        <x:v>1</x:v>
      </x:c>
      <x:c r="H892" s="14" t="str">
        <x:v>S03-06:B:select_report_v2</x:v>
      </x:c>
    </x:row>
    <x:row r="893" ht="72" customHeight="1">
      <x:c r="A893" s="14" t="str">
        <x:v>S03-06:B:report_v2_tail</x:v>
      </x:c>
      <x:c r="B893" s="14" t="str">
        <x:v>B</x:v>
      </x:c>
      <x:c r="C893" s="14" t="str">
        <x:v>report_v2_tail</x:v>
      </x:c>
      <x:c r="D893" s="14" t="n">
        <x:v>4.516</x:v>
      </x:c>
      <x:c r="E893" s="14" t="n">
        <x:v>6.4675</x:v>
      </x:c>
      <x:c r="F893" s="14" t="n">
        <x:v>1.9515</x:v>
      </x:c>
      <x:c r="G893" s="17" t="n">
        <x:v>1</x:v>
      </x:c>
      <x:c r="H893" s="14" t="str">
        <x:v>S03-06:B:report_v2_first</x:v>
      </x:c>
    </x:row>
    <x:row r="894" ht="72" customHeight="1">
      <x:c r="A894" s="14" t="str">
        <x:v>S03-06:B:report_v2_device</x:v>
      </x:c>
      <x:c r="B894" s="14" t="str">
        <x:v>B</x:v>
      </x:c>
      <x:c r="C894" s="14" t="str">
        <x:v>report_v2_device</x:v>
      </x:c>
      <x:c r="D894" s="14" t="n">
        <x:v>4.516</x:v>
      </x:c>
      <x:c r="E894" s="14" t="n">
        <x:v>4.556</x:v>
      </x:c>
      <x:c r="F894" s="14" t="n">
        <x:v>0.04</x:v>
      </x:c>
      <x:c r="G894" s="17" t="n">
        <x:v>1</x:v>
      </x:c>
      <x:c r="H894" s="14" t="str">
        <x:v>S03-06:B:select_report_v2
S03-06:B:report_v2_first</x:v>
      </x:c>
    </x:row>
    <x:row r="895" ht="72" customHeight="1">
      <x:c r="A895" s="14" t="str">
        <x:v>S03-06:B:report_v2_played</x:v>
      </x:c>
      <x:c r="B895" s="14" t="str">
        <x:v>B</x:v>
      </x:c>
      <x:c r="C895" s="14" t="str">
        <x:v>report_v2_played</x:v>
      </x:c>
      <x:c r="D895" s="14" t="n">
        <x:v>4.556</x:v>
      </x:c>
      <x:c r="E895" s="14" t="n">
        <x:v>12.562</x:v>
      </x:c>
      <x:c r="F895" s="14" t="n">
        <x:v>8.006</x:v>
      </x:c>
      <x:c r="G895" s="17" t="n">
        <x:v>0</x:v>
      </x:c>
      <x:c r="H895" s="14" t="str">
        <x:v>S03-06:B:report_v2_device</x:v>
      </x:c>
    </x:row>
    <x:row r="896" ht="72" customHeight="1">
      <x:c r="A896" s="14" t="str">
        <x:v>S03-07:A:origin</x:v>
      </x:c>
      <x:c r="B896" s="14" t="str">
        <x:v>A</x:v>
      </x:c>
      <x:c r="C896" s="14" t="str">
        <x:v>origin</x:v>
      </x:c>
      <x:c r="D896" s="14" t="n">
        <x:v>-6</x:v>
      </x:c>
      <x:c r="E896" s="14" t="n">
        <x:v>-6</x:v>
      </x:c>
      <x:c r="F896" s="14" t="n">
        <x:v>0</x:v>
      </x:c>
      <x:c r="G896" s="17" t="n">
        <x:v>0</x:v>
      </x:c>
      <x:c r="H896" s="14" t="str"/>
    </x:row>
    <x:row r="897" ht="72" customHeight="1">
      <x:c r="A897" s="14" t="str">
        <x:v>S03-07:A:origin_interpretation</x:v>
      </x:c>
      <x:c r="B897" s="14" t="str">
        <x:v>A</x:v>
      </x:c>
      <x:c r="C897" s="14" t="str">
        <x:v>origin_interpretation</x:v>
      </x:c>
      <x:c r="D897" s="14" t="n">
        <x:v>-6</x:v>
      </x:c>
      <x:c r="E897" s="14" t="n">
        <x:v>-5.16</x:v>
      </x:c>
      <x:c r="F897" s="14" t="n">
        <x:v>0.84</x:v>
      </x:c>
      <x:c r="G897" s="17" t="n">
        <x:v>1</x:v>
      </x:c>
      <x:c r="H897" s="14" t="str">
        <x:v>S03-07:A:origin</x:v>
      </x:c>
    </x:row>
    <x:row r="898" ht="72" customHeight="1">
      <x:c r="A898" s="14" t="str">
        <x:v>S03-07:A:original_handoff</x:v>
      </x:c>
      <x:c r="B898" s="14" t="str">
        <x:v>A</x:v>
      </x:c>
      <x:c r="C898" s="14" t="str">
        <x:v>original_handoff</x:v>
      </x:c>
      <x:c r="D898" s="14" t="n">
        <x:v>-5.16</x:v>
      </x:c>
      <x:c r="E898" s="14" t="n">
        <x:v>-5.04</x:v>
      </x:c>
      <x:c r="F898" s="14" t="n">
        <x:v>0.12</x:v>
      </x:c>
      <x:c r="G898" s="17" t="n">
        <x:v>1</x:v>
      </x:c>
      <x:c r="H898" s="14" t="str">
        <x:v>S03-07:A:origin_interpretation</x:v>
      </x:c>
    </x:row>
    <x:row r="899" ht="72" customHeight="1">
      <x:c r="A899" s="14" t="str">
        <x:v>S03-07:A:evaluation_utterance_end</x:v>
      </x:c>
      <x:c r="B899" s="14" t="str">
        <x:v>A</x:v>
      </x:c>
      <x:c r="C899" s="14" t="str">
        <x:v>evaluation_utterance_end</x:v>
      </x:c>
      <x:c r="D899" s="14" t="n">
        <x:v>-6</x:v>
      </x:c>
      <x:c r="E899" s="14" t="n">
        <x:v>0</x:v>
      </x:c>
      <x:c r="F899" s="14" t="n">
        <x:v>6</x:v>
      </x:c>
      <x:c r="G899" s="17" t="n">
        <x:v>0</x:v>
      </x:c>
      <x:c r="H899" s="14" t="str">
        <x:v>S03-07:A:origin</x:v>
      </x:c>
    </x:row>
    <x:row r="900" ht="72" customHeight="1">
      <x:c r="A900" s="14" t="str">
        <x:v>S03-07:A:final_transcript</x:v>
      </x:c>
      <x:c r="B900" s="14" t="str">
        <x:v>A</x:v>
      </x:c>
      <x:c r="C900" s="14" t="str">
        <x:v>final_transcript</x:v>
      </x:c>
      <x:c r="D900" s="14" t="n">
        <x:v>0</x:v>
      </x:c>
      <x:c r="E900" s="14" t="n">
        <x:v>0.3</x:v>
      </x:c>
      <x:c r="F900" s="14" t="n">
        <x:v>0.3</x:v>
      </x:c>
      <x:c r="G900" s="17" t="n">
        <x:v>1</x:v>
      </x:c>
      <x:c r="H900" s="14" t="str">
        <x:v>S03-07:A:evaluation_utterance_end</x:v>
      </x:c>
    </x:row>
    <x:row r="901" ht="72" customHeight="1">
      <x:c r="A901" s="14" t="str">
        <x:v>S03-07:A:meaning_adoption</x:v>
      </x:c>
      <x:c r="B901" s="14" t="str">
        <x:v>A</x:v>
      </x:c>
      <x:c r="C901" s="14" t="str">
        <x:v>meaning_adoption</x:v>
      </x:c>
      <x:c r="D901" s="14" t="n">
        <x:v>0.3</x:v>
      </x:c>
      <x:c r="E901" s="14" t="n">
        <x:v>0.848333333</x:v>
      </x:c>
      <x:c r="F901" s="14" t="n">
        <x:v>0.548333333</x:v>
      </x:c>
      <x:c r="G901" s="17" t="n">
        <x:v>1</x:v>
      </x:c>
      <x:c r="H901" s="14" t="str">
        <x:v>S03-07:A:final_transcript
S03-07:A:origin_interpretation</x:v>
      </x:c>
    </x:row>
    <x:row r="902" ht="72" customHeight="1">
      <x:c r="A902" s="14" t="str">
        <x:v>S03-07:A:apply_relation</x:v>
      </x:c>
      <x:c r="B902" s="14" t="str">
        <x:v>A</x:v>
      </x:c>
      <x:c r="C902" s="14" t="str">
        <x:v>apply_relation</x:v>
      </x:c>
      <x:c r="D902" s="14" t="n">
        <x:v>0.848333333</x:v>
      </x:c>
      <x:c r="E902" s="14" t="n">
        <x:v>0.888333333</x:v>
      </x:c>
      <x:c r="F902" s="14" t="n">
        <x:v>0.04</x:v>
      </x:c>
      <x:c r="G902" s="17" t="n">
        <x:v>1</x:v>
      </x:c>
      <x:c r="H902" s="14" t="str">
        <x:v>S03-07:A:meaning_adoption</x:v>
      </x:c>
    </x:row>
    <x:row r="903" ht="72" customHeight="1">
      <x:c r="A903" s="14" t="str">
        <x:v>S03-07:A:evaluation_first_display</x:v>
      </x:c>
      <x:c r="B903" s="14" t="str">
        <x:v>A</x:v>
      </x:c>
      <x:c r="C903" s="14" t="str">
        <x:v>evaluation_first_display</x:v>
      </x:c>
      <x:c r="D903" s="14" t="n">
        <x:v>0.888333333</x:v>
      </x:c>
      <x:c r="E903" s="14" t="n">
        <x:v>0.928333333</x:v>
      </x:c>
      <x:c r="F903" s="14" t="n">
        <x:v>0.04</x:v>
      </x:c>
      <x:c r="G903" s="17" t="n">
        <x:v>1</x:v>
      </x:c>
      <x:c r="H903" s="14" t="str">
        <x:v>S03-07:A:apply_relation</x:v>
      </x:c>
    </x:row>
    <x:row r="904" ht="72" customHeight="1">
      <x:c r="A904" s="14" t="str">
        <x:v>S03-07:A:source_question</x:v>
      </x:c>
      <x:c r="B904" s="14" t="str">
        <x:v>A</x:v>
      </x:c>
      <x:c r="C904" s="14" t="str">
        <x:v>source_question</x:v>
      </x:c>
      <x:c r="D904" s="14" t="n">
        <x:v>-5.04</x:v>
      </x:c>
      <x:c r="E904" s="14" t="n">
        <x:v>-1.4</x:v>
      </x:c>
      <x:c r="F904" s="14" t="n">
        <x:v>3.64</x:v>
      </x:c>
      <x:c r="G904" s="17" t="n">
        <x:v>0</x:v>
      </x:c>
      <x:c r="H904" s="14" t="str">
        <x:v>S03-07:A:original_handoff</x:v>
      </x:c>
    </x:row>
    <x:row r="905" ht="72" customHeight="1">
      <x:c r="A905" s="14" t="str">
        <x:v>S03-07:A:display_question</x:v>
      </x:c>
      <x:c r="B905" s="14" t="str">
        <x:v>A</x:v>
      </x:c>
      <x:c r="C905" s="14" t="str">
        <x:v>display_question</x:v>
      </x:c>
      <x:c r="D905" s="14" t="n">
        <x:v>-1.4</x:v>
      </x:c>
      <x:c r="E905" s="14" t="n">
        <x:v>-1.36</x:v>
      </x:c>
      <x:c r="F905" s="14" t="n">
        <x:v>0.04</x:v>
      </x:c>
      <x:c r="G905" s="17" t="n">
        <x:v>1</x:v>
      </x:c>
      <x:c r="H905" s="14" t="str">
        <x:v>S03-07:A:source_question</x:v>
      </x:c>
    </x:row>
    <x:row r="906" ht="72" customHeight="1">
      <x:c r="A906" s="14" t="str">
        <x:v>S03-07:A:select_question</x:v>
      </x:c>
      <x:c r="B906" s="14" t="str">
        <x:v>A</x:v>
      </x:c>
      <x:c r="C906" s="14" t="str">
        <x:v>select_question</x:v>
      </x:c>
      <x:c r="D906" s="14" t="n">
        <x:v>0.888333333</x:v>
      </x:c>
      <x:c r="E906" s="14" t="n">
        <x:v>0.888333333</x:v>
      </x:c>
      <x:c r="F906" s="14" t="n">
        <x:v>0</x:v>
      </x:c>
      <x:c r="G906" s="17" t="n">
        <x:v>1</x:v>
      </x:c>
      <x:c r="H906" s="14" t="str">
        <x:v>S03-07:A:apply_relation
S03-07:A:source_question</x:v>
      </x:c>
    </x:row>
    <x:row r="907" ht="72" customHeight="1">
      <x:c r="A907" s="14" t="str">
        <x:v>S03-07:A:question_first</x:v>
      </x:c>
      <x:c r="B907" s="14" t="str">
        <x:v>A</x:v>
      </x:c>
      <x:c r="C907" s="14" t="str">
        <x:v>question_first</x:v>
      </x:c>
      <x:c r="D907" s="14" t="n">
        <x:v>-1.4</x:v>
      </x:c>
      <x:c r="E907" s="14" t="n">
        <x:v>-0.999</x:v>
      </x:c>
      <x:c r="F907" s="14" t="n">
        <x:v>0.401</x:v>
      </x:c>
      <x:c r="G907" s="17" t="n">
        <x:v>1</x:v>
      </x:c>
      <x:c r="H907" s="14" t="str">
        <x:v>S03-07:A:source_question</x:v>
      </x:c>
    </x:row>
    <x:row r="908" ht="72" customHeight="1">
      <x:c r="A908" s="14" t="str">
        <x:v>S03-07:A:question_tail</x:v>
      </x:c>
      <x:c r="B908" s="14" t="str">
        <x:v>A</x:v>
      </x:c>
      <x:c r="C908" s="14" t="str">
        <x:v>question_tail</x:v>
      </x:c>
      <x:c r="D908" s="14" t="n">
        <x:v>-0.999</x:v>
      </x:c>
      <x:c r="E908" s="14" t="n">
        <x:v>-0.3445</x:v>
      </x:c>
      <x:c r="F908" s="14" t="n">
        <x:v>0.6545</x:v>
      </x:c>
      <x:c r="G908" s="17" t="n">
        <x:v>1</x:v>
      </x:c>
      <x:c r="H908" s="14" t="str">
        <x:v>S03-07:A:question_first</x:v>
      </x:c>
    </x:row>
    <x:row r="909" ht="72" customHeight="1">
      <x:c r="A909" s="14" t="str">
        <x:v>S03-07:A:question_device</x:v>
      </x:c>
      <x:c r="B909" s="14" t="str">
        <x:v>A</x:v>
      </x:c>
      <x:c r="C909" s="14" t="str">
        <x:v>question_device</x:v>
      </x:c>
      <x:c r="D909" s="14" t="n">
        <x:v>0.888333333</x:v>
      </x:c>
      <x:c r="E909" s="14" t="n">
        <x:v>0.928333333</x:v>
      </x:c>
      <x:c r="F909" s="14" t="n">
        <x:v>0.04</x:v>
      </x:c>
      <x:c r="G909" s="17" t="n">
        <x:v>1</x:v>
      </x:c>
      <x:c r="H909" s="14" t="str">
        <x:v>S03-07:A:select_question
S03-07:A:question_first</x:v>
      </x:c>
    </x:row>
    <x:row r="910" ht="72" customHeight="1">
      <x:c r="A910" s="14" t="str">
        <x:v>S03-07:A:question_played</x:v>
      </x:c>
      <x:c r="B910" s="14" t="str">
        <x:v>A</x:v>
      </x:c>
      <x:c r="C910" s="14" t="str">
        <x:v>question_played</x:v>
      </x:c>
      <x:c r="D910" s="14" t="n">
        <x:v>0.928333333</x:v>
      </x:c>
      <x:c r="E910" s="14" t="n">
        <x:v>3.746333333</x:v>
      </x:c>
      <x:c r="F910" s="14" t="n">
        <x:v>2.818</x:v>
      </x:c>
      <x:c r="G910" s="17" t="n">
        <x:v>0</x:v>
      </x:c>
      <x:c r="H910" s="14" t="str">
        <x:v>S03-07:A:question_device</x:v>
      </x:c>
    </x:row>
    <x:row r="911" ht="72" customHeight="1">
      <x:c r="A911" s="14" t="str">
        <x:v>S03-07:A:source_report_v1</x:v>
      </x:c>
      <x:c r="B911" s="14" t="str">
        <x:v>A</x:v>
      </x:c>
      <x:c r="C911" s="14" t="str">
        <x:v>source_report_v1</x:v>
      </x:c>
      <x:c r="D911" s="14" t="n">
        <x:v>-5.04</x:v>
      </x:c>
      <x:c r="E911" s="14" t="n">
        <x:v>-1</x:v>
      </x:c>
      <x:c r="F911" s="14" t="n">
        <x:v>4.04</x:v>
      </x:c>
      <x:c r="G911" s="17" t="n">
        <x:v>0</x:v>
      </x:c>
      <x:c r="H911" s="14" t="str">
        <x:v>S03-07:A:original_handoff</x:v>
      </x:c>
    </x:row>
    <x:row r="912" ht="72" customHeight="1">
      <x:c r="A912" s="14" t="str">
        <x:v>S03-07:A:display_report_v1</x:v>
      </x:c>
      <x:c r="B912" s="14" t="str">
        <x:v>A</x:v>
      </x:c>
      <x:c r="C912" s="14" t="str">
        <x:v>display_report_v1</x:v>
      </x:c>
      <x:c r="D912" s="14" t="n">
        <x:v>-1</x:v>
      </x:c>
      <x:c r="E912" s="14" t="n">
        <x:v>-0.96</x:v>
      </x:c>
      <x:c r="F912" s="14" t="n">
        <x:v>0.04</x:v>
      </x:c>
      <x:c r="G912" s="17" t="n">
        <x:v>1</x:v>
      </x:c>
      <x:c r="H912" s="14" t="str">
        <x:v>S03-07:A:source_report_v1</x:v>
      </x:c>
    </x:row>
    <x:row r="913" ht="72" customHeight="1">
      <x:c r="A913" s="14" t="str">
        <x:v>S03-07:A:report_v1_first</x:v>
      </x:c>
      <x:c r="B913" s="14" t="str">
        <x:v>A</x:v>
      </x:c>
      <x:c r="C913" s="14" t="str">
        <x:v>report_v1_first</x:v>
      </x:c>
      <x:c r="D913" s="14" t="n">
        <x:v>-1</x:v>
      </x:c>
      <x:c r="E913" s="14" t="n">
        <x:v>-0.59</x:v>
      </x:c>
      <x:c r="F913" s="14" t="n">
        <x:v>0.41</x:v>
      </x:c>
      <x:c r="G913" s="17" t="n">
        <x:v>1</x:v>
      </x:c>
      <x:c r="H913" s="14" t="str">
        <x:v>S03-07:A:source_report_v1</x:v>
      </x:c>
    </x:row>
    <x:row r="914" ht="72" customHeight="1">
      <x:c r="A914" s="14" t="str">
        <x:v>S03-07:A:report_v1_tail</x:v>
      </x:c>
      <x:c r="B914" s="14" t="str">
        <x:v>A</x:v>
      </x:c>
      <x:c r="C914" s="14" t="str">
        <x:v>report_v1_tail</x:v>
      </x:c>
      <x:c r="D914" s="14" t="n">
        <x:v>-0.59</x:v>
      </x:c>
      <x:c r="E914" s="14" t="n">
        <x:v>0.988333333</x:v>
      </x:c>
      <x:c r="F914" s="14" t="n">
        <x:v>1.578333333</x:v>
      </x:c>
      <x:c r="G914" s="17" t="n">
        <x:v>1</x:v>
      </x:c>
      <x:c r="H914" s="14" t="str">
        <x:v>S03-07:A:report_v1_first</x:v>
      </x:c>
    </x:row>
    <x:row r="915" ht="72" customHeight="1">
      <x:c r="A915" s="14" t="str">
        <x:v>S03-07:A:revision_handoff</x:v>
      </x:c>
      <x:c r="B915" s="14" t="str">
        <x:v>A</x:v>
      </x:c>
      <x:c r="C915" s="14" t="str">
        <x:v>revision_handoff</x:v>
      </x:c>
      <x:c r="D915" s="14" t="n">
        <x:v>0.888333333</x:v>
      </x:c>
      <x:c r="E915" s="14" t="n">
        <x:v>1.008333333</x:v>
      </x:c>
      <x:c r="F915" s="14" t="n">
        <x:v>0.12</x:v>
      </x:c>
      <x:c r="G915" s="17" t="n">
        <x:v>1</x:v>
      </x:c>
      <x:c r="H915" s="14" t="str">
        <x:v>S03-07:A:apply_relation</x:v>
      </x:c>
    </x:row>
    <x:row r="916" ht="72" customHeight="1">
      <x:c r="A916" s="14" t="str">
        <x:v>S03-07:A:source_report_v2</x:v>
      </x:c>
      <x:c r="B916" s="14" t="str">
        <x:v>A</x:v>
      </x:c>
      <x:c r="C916" s="14" t="str">
        <x:v>source_report_v2</x:v>
      </x:c>
      <x:c r="D916" s="14" t="n">
        <x:v>1.008333333</x:v>
      </x:c>
      <x:c r="E916" s="14" t="n">
        <x:v>3.408333333</x:v>
      </x:c>
      <x:c r="F916" s="14" t="n">
        <x:v>2.4</x:v>
      </x:c>
      <x:c r="G916" s="17" t="n">
        <x:v>0</x:v>
      </x:c>
      <x:c r="H916" s="14" t="str">
        <x:v>S03-07:A:revision_handoff</x:v>
      </x:c>
    </x:row>
    <x:row r="917" ht="72" customHeight="1">
      <x:c r="A917" s="14" t="str">
        <x:v>S03-07:A:display_report_v2</x:v>
      </x:c>
      <x:c r="B917" s="14" t="str">
        <x:v>A</x:v>
      </x:c>
      <x:c r="C917" s="14" t="str">
        <x:v>display_report_v2</x:v>
      </x:c>
      <x:c r="D917" s="14" t="n">
        <x:v>3.408333333</x:v>
      </x:c>
      <x:c r="E917" s="14" t="n">
        <x:v>3.448333333</x:v>
      </x:c>
      <x:c r="F917" s="14" t="n">
        <x:v>0.04</x:v>
      </x:c>
      <x:c r="G917" s="17" t="n">
        <x:v>1</x:v>
      </x:c>
      <x:c r="H917" s="14" t="str">
        <x:v>S03-07:A:source_report_v2</x:v>
      </x:c>
    </x:row>
    <x:row r="918" ht="72" customHeight="1">
      <x:c r="A918" s="14" t="str">
        <x:v>S03-07:A:select_report_v2</x:v>
      </x:c>
      <x:c r="B918" s="14" t="str">
        <x:v>A</x:v>
      </x:c>
      <x:c r="C918" s="14" t="str">
        <x:v>select_report_v2</x:v>
      </x:c>
      <x:c r="D918" s="14" t="n">
        <x:v>3.746333333</x:v>
      </x:c>
      <x:c r="E918" s="14" t="n">
        <x:v>3.746333333</x:v>
      </x:c>
      <x:c r="F918" s="14" t="n">
        <x:v>0</x:v>
      </x:c>
      <x:c r="G918" s="17" t="n">
        <x:v>1</x:v>
      </x:c>
      <x:c r="H918" s="14" t="str">
        <x:v>S03-07:A:question_played
S03-07:A:source_report_v2</x:v>
      </x:c>
    </x:row>
    <x:row r="919" ht="72" customHeight="1">
      <x:c r="A919" s="14" t="str">
        <x:v>S03-07:A:report_v2_first</x:v>
      </x:c>
      <x:c r="B919" s="14" t="str">
        <x:v>A</x:v>
      </x:c>
      <x:c r="C919" s="14" t="str">
        <x:v>report_v2_first</x:v>
      </x:c>
      <x:c r="D919" s="14" t="n">
        <x:v>3.408333333</x:v>
      </x:c>
      <x:c r="E919" s="14" t="n">
        <x:v>3.817333333</x:v>
      </x:c>
      <x:c r="F919" s="14" t="n">
        <x:v>0.409</x:v>
      </x:c>
      <x:c r="G919" s="17" t="n">
        <x:v>1</x:v>
      </x:c>
      <x:c r="H919" s="14" t="str">
        <x:v>S03-07:A:source_report_v2</x:v>
      </x:c>
    </x:row>
    <x:row r="920" ht="72" customHeight="1">
      <x:c r="A920" s="14" t="str">
        <x:v>S03-07:A:report_v2_tail</x:v>
      </x:c>
      <x:c r="B920" s="14" t="str">
        <x:v>A</x:v>
      </x:c>
      <x:c r="C920" s="14" t="str">
        <x:v>report_v2_tail</x:v>
      </x:c>
      <x:c r="D920" s="14" t="n">
        <x:v>3.817333333</x:v>
      </x:c>
      <x:c r="E920" s="14" t="n">
        <x:v>5.771833333</x:v>
      </x:c>
      <x:c r="F920" s="14" t="n">
        <x:v>1.9545</x:v>
      </x:c>
      <x:c r="G920" s="17" t="n">
        <x:v>1</x:v>
      </x:c>
      <x:c r="H920" s="14" t="str">
        <x:v>S03-07:A:report_v2_first</x:v>
      </x:c>
    </x:row>
    <x:row r="921" ht="72" customHeight="1">
      <x:c r="A921" s="14" t="str">
        <x:v>S03-07:A:report_v2_device</x:v>
      </x:c>
      <x:c r="B921" s="14" t="str">
        <x:v>A</x:v>
      </x:c>
      <x:c r="C921" s="14" t="str">
        <x:v>report_v2_device</x:v>
      </x:c>
      <x:c r="D921" s="14" t="n">
        <x:v>3.817333333</x:v>
      </x:c>
      <x:c r="E921" s="14" t="n">
        <x:v>3.857333333</x:v>
      </x:c>
      <x:c r="F921" s="14" t="n">
        <x:v>0.04</x:v>
      </x:c>
      <x:c r="G921" s="17" t="n">
        <x:v>1</x:v>
      </x:c>
      <x:c r="H921" s="14" t="str">
        <x:v>S03-07:A:select_report_v2
S03-07:A:report_v2_first</x:v>
      </x:c>
    </x:row>
    <x:row r="922" ht="72" customHeight="1">
      <x:c r="A922" s="14" t="str">
        <x:v>S03-07:A:report_v2_played</x:v>
      </x:c>
      <x:c r="B922" s="14" t="str">
        <x:v>A</x:v>
      </x:c>
      <x:c r="C922" s="14" t="str">
        <x:v>report_v2_played</x:v>
      </x:c>
      <x:c r="D922" s="14" t="n">
        <x:v>3.857333333</x:v>
      </x:c>
      <x:c r="E922" s="14" t="n">
        <x:v>11.875333333</x:v>
      </x:c>
      <x:c r="F922" s="14" t="n">
        <x:v>8.018</x:v>
      </x:c>
      <x:c r="G922" s="17" t="n">
        <x:v>0</x:v>
      </x:c>
      <x:c r="H922" s="14" t="str">
        <x:v>S03-07:A:report_v2_device</x:v>
      </x:c>
    </x:row>
    <x:row r="923" ht="72" customHeight="1">
      <x:c r="A923" s="14" t="str">
        <x:v>S03-07:B:origin</x:v>
      </x:c>
      <x:c r="B923" s="14" t="str">
        <x:v>B</x:v>
      </x:c>
      <x:c r="C923" s="14" t="str">
        <x:v>origin</x:v>
      </x:c>
      <x:c r="D923" s="14" t="n">
        <x:v>-6</x:v>
      </x:c>
      <x:c r="E923" s="14" t="n">
        <x:v>-6</x:v>
      </x:c>
      <x:c r="F923" s="14" t="n">
        <x:v>0</x:v>
      </x:c>
      <x:c r="G923" s="17" t="n">
        <x:v>0</x:v>
      </x:c>
      <x:c r="H923" s="14" t="str"/>
    </x:row>
    <x:row r="924" ht="72" customHeight="1">
      <x:c r="A924" s="14" t="str">
        <x:v>S03-07:B:origin_interpretation</x:v>
      </x:c>
      <x:c r="B924" s="14" t="str">
        <x:v>B</x:v>
      </x:c>
      <x:c r="C924" s="14" t="str">
        <x:v>origin_interpretation</x:v>
      </x:c>
      <x:c r="D924" s="14" t="n">
        <x:v>-6</x:v>
      </x:c>
      <x:c r="E924" s="14" t="n">
        <x:v>-5.16</x:v>
      </x:c>
      <x:c r="F924" s="14" t="n">
        <x:v>0.84</x:v>
      </x:c>
      <x:c r="G924" s="17" t="n">
        <x:v>1</x:v>
      </x:c>
      <x:c r="H924" s="14" t="str">
        <x:v>S03-07:B:origin</x:v>
      </x:c>
    </x:row>
    <x:row r="925" ht="72" customHeight="1">
      <x:c r="A925" s="14" t="str">
        <x:v>S03-07:B:original_handoff</x:v>
      </x:c>
      <x:c r="B925" s="14" t="str">
        <x:v>B</x:v>
      </x:c>
      <x:c r="C925" s="14" t="str">
        <x:v>original_handoff</x:v>
      </x:c>
      <x:c r="D925" s="14" t="n">
        <x:v>-5.16</x:v>
      </x:c>
      <x:c r="E925" s="14" t="n">
        <x:v>-5.04</x:v>
      </x:c>
      <x:c r="F925" s="14" t="n">
        <x:v>0.12</x:v>
      </x:c>
      <x:c r="G925" s="17" t="n">
        <x:v>1</x:v>
      </x:c>
      <x:c r="H925" s="14" t="str">
        <x:v>S03-07:B:origin_interpretation</x:v>
      </x:c>
    </x:row>
    <x:row r="926" ht="72" customHeight="1">
      <x:c r="A926" s="14" t="str">
        <x:v>S03-07:B:evaluation_utterance_end</x:v>
      </x:c>
      <x:c r="B926" s="14" t="str">
        <x:v>B</x:v>
      </x:c>
      <x:c r="C926" s="14" t="str">
        <x:v>evaluation_utterance_end</x:v>
      </x:c>
      <x:c r="D926" s="14" t="n">
        <x:v>-6</x:v>
      </x:c>
      <x:c r="E926" s="14" t="n">
        <x:v>0</x:v>
      </x:c>
      <x:c r="F926" s="14" t="n">
        <x:v>6</x:v>
      </x:c>
      <x:c r="G926" s="17" t="n">
        <x:v>0</x:v>
      </x:c>
      <x:c r="H926" s="14" t="str">
        <x:v>S03-07:B:origin</x:v>
      </x:c>
    </x:row>
    <x:row r="927" ht="72" customHeight="1">
      <x:c r="A927" s="14" t="str">
        <x:v>S03-07:B:final_transcript</x:v>
      </x:c>
      <x:c r="B927" s="14" t="str">
        <x:v>B</x:v>
      </x:c>
      <x:c r="C927" s="14" t="str">
        <x:v>final_transcript</x:v>
      </x:c>
      <x:c r="D927" s="14" t="n">
        <x:v>0</x:v>
      </x:c>
      <x:c r="E927" s="14" t="n">
        <x:v>0.3</x:v>
      </x:c>
      <x:c r="F927" s="14" t="n">
        <x:v>0.3</x:v>
      </x:c>
      <x:c r="G927" s="17" t="n">
        <x:v>1</x:v>
      </x:c>
      <x:c r="H927" s="14" t="str">
        <x:v>S03-07:B:evaluation_utterance_end</x:v>
      </x:c>
    </x:row>
    <x:row r="928" ht="72" customHeight="1">
      <x:c r="A928" s="14" t="str">
        <x:v>S03-07:B:meaning_adoption</x:v>
      </x:c>
      <x:c r="B928" s="14" t="str">
        <x:v>B</x:v>
      </x:c>
      <x:c r="C928" s="14" t="str">
        <x:v>meaning_adoption</x:v>
      </x:c>
      <x:c r="D928" s="14" t="n">
        <x:v>0.3</x:v>
      </x:c>
      <x:c r="E928" s="14" t="n">
        <x:v>0.848333333</x:v>
      </x:c>
      <x:c r="F928" s="14" t="n">
        <x:v>0.548333333</x:v>
      </x:c>
      <x:c r="G928" s="17" t="n">
        <x:v>1</x:v>
      </x:c>
      <x:c r="H928" s="14" t="str">
        <x:v>S03-07:B:final_transcript
S03-07:B:origin_interpretation</x:v>
      </x:c>
    </x:row>
    <x:row r="929" ht="72" customHeight="1">
      <x:c r="A929" s="14" t="str">
        <x:v>S03-07:B:apply_relation</x:v>
      </x:c>
      <x:c r="B929" s="14" t="str">
        <x:v>B</x:v>
      </x:c>
      <x:c r="C929" s="14" t="str">
        <x:v>apply_relation</x:v>
      </x:c>
      <x:c r="D929" s="14" t="n">
        <x:v>0.848333333</x:v>
      </x:c>
      <x:c r="E929" s="14" t="n">
        <x:v>0.888333333</x:v>
      </x:c>
      <x:c r="F929" s="14" t="n">
        <x:v>0.04</x:v>
      </x:c>
      <x:c r="G929" s="17" t="n">
        <x:v>1</x:v>
      </x:c>
      <x:c r="H929" s="14" t="str">
        <x:v>S03-07:B:meaning_adoption</x:v>
      </x:c>
    </x:row>
    <x:row r="930" ht="72" customHeight="1">
      <x:c r="A930" s="14" t="str">
        <x:v>S03-07:B:evaluation_first_display</x:v>
      </x:c>
      <x:c r="B930" s="14" t="str">
        <x:v>B</x:v>
      </x:c>
      <x:c r="C930" s="14" t="str">
        <x:v>evaluation_first_display</x:v>
      </x:c>
      <x:c r="D930" s="14" t="n">
        <x:v>0.888333333</x:v>
      </x:c>
      <x:c r="E930" s="14" t="n">
        <x:v>0.928333333</x:v>
      </x:c>
      <x:c r="F930" s="14" t="n">
        <x:v>0.04</x:v>
      </x:c>
      <x:c r="G930" s="17" t="n">
        <x:v>1</x:v>
      </x:c>
      <x:c r="H930" s="14" t="str">
        <x:v>S03-07:B:apply_relation</x:v>
      </x:c>
    </x:row>
    <x:row r="931" ht="72" customHeight="1">
      <x:c r="A931" s="14" t="str">
        <x:v>S03-07:B:source_question</x:v>
      </x:c>
      <x:c r="B931" s="14" t="str">
        <x:v>B</x:v>
      </x:c>
      <x:c r="C931" s="14" t="str">
        <x:v>source_question</x:v>
      </x:c>
      <x:c r="D931" s="14" t="n">
        <x:v>-5.04</x:v>
      </x:c>
      <x:c r="E931" s="14" t="n">
        <x:v>-1.4</x:v>
      </x:c>
      <x:c r="F931" s="14" t="n">
        <x:v>3.64</x:v>
      </x:c>
      <x:c r="G931" s="17" t="n">
        <x:v>0</x:v>
      </x:c>
      <x:c r="H931" s="14" t="str">
        <x:v>S03-07:B:original_handoff</x:v>
      </x:c>
    </x:row>
    <x:row r="932" ht="72" customHeight="1">
      <x:c r="A932" s="14" t="str">
        <x:v>S03-07:B:display_question</x:v>
      </x:c>
      <x:c r="B932" s="14" t="str">
        <x:v>B</x:v>
      </x:c>
      <x:c r="C932" s="14" t="str">
        <x:v>display_question</x:v>
      </x:c>
      <x:c r="D932" s="14" t="n">
        <x:v>-1.4</x:v>
      </x:c>
      <x:c r="E932" s="14" t="n">
        <x:v>-1.36</x:v>
      </x:c>
      <x:c r="F932" s="14" t="n">
        <x:v>0.04</x:v>
      </x:c>
      <x:c r="G932" s="17" t="n">
        <x:v>1</x:v>
      </x:c>
      <x:c r="H932" s="14" t="str">
        <x:v>S03-07:B:source_question</x:v>
      </x:c>
    </x:row>
    <x:row r="933" ht="72" customHeight="1">
      <x:c r="A933" s="14" t="str">
        <x:v>S03-07:B:select_question</x:v>
      </x:c>
      <x:c r="B933" s="14" t="str">
        <x:v>B</x:v>
      </x:c>
      <x:c r="C933" s="14" t="str">
        <x:v>select_question</x:v>
      </x:c>
      <x:c r="D933" s="14" t="n">
        <x:v>0.888333333</x:v>
      </x:c>
      <x:c r="E933" s="14" t="n">
        <x:v>0.888333333</x:v>
      </x:c>
      <x:c r="F933" s="14" t="n">
        <x:v>0</x:v>
      </x:c>
      <x:c r="G933" s="17" t="n">
        <x:v>1</x:v>
      </x:c>
      <x:c r="H933" s="14" t="str">
        <x:v>S03-07:B:apply_relation
S03-07:B:source_question</x:v>
      </x:c>
    </x:row>
    <x:row r="934" ht="72" customHeight="1">
      <x:c r="A934" s="14" t="str">
        <x:v>S03-07:B:question_first</x:v>
      </x:c>
      <x:c r="B934" s="14" t="str">
        <x:v>B</x:v>
      </x:c>
      <x:c r="C934" s="14" t="str">
        <x:v>question_first</x:v>
      </x:c>
      <x:c r="D934" s="14" t="n">
        <x:v>0.888333333</x:v>
      </x:c>
      <x:c r="E934" s="14" t="n">
        <x:v>1.289333333</x:v>
      </x:c>
      <x:c r="F934" s="14" t="n">
        <x:v>0.401</x:v>
      </x:c>
      <x:c r="G934" s="17" t="n">
        <x:v>1</x:v>
      </x:c>
      <x:c r="H934" s="14" t="str">
        <x:v>S03-07:B:select_question</x:v>
      </x:c>
    </x:row>
    <x:row r="935" ht="72" customHeight="1">
      <x:c r="A935" s="14" t="str">
        <x:v>S03-07:B:question_tail</x:v>
      </x:c>
      <x:c r="B935" s="14" t="str">
        <x:v>B</x:v>
      </x:c>
      <x:c r="C935" s="14" t="str">
        <x:v>question_tail</x:v>
      </x:c>
      <x:c r="D935" s="14" t="n">
        <x:v>1.289333333</x:v>
      </x:c>
      <x:c r="E935" s="14" t="n">
        <x:v>1.943833333</x:v>
      </x:c>
      <x:c r="F935" s="14" t="n">
        <x:v>0.6545</x:v>
      </x:c>
      <x:c r="G935" s="17" t="n">
        <x:v>1</x:v>
      </x:c>
      <x:c r="H935" s="14" t="str">
        <x:v>S03-07:B:question_first</x:v>
      </x:c>
    </x:row>
    <x:row r="936" ht="72" customHeight="1">
      <x:c r="A936" s="14" t="str">
        <x:v>S03-07:B:question_device</x:v>
      </x:c>
      <x:c r="B936" s="14" t="str">
        <x:v>B</x:v>
      </x:c>
      <x:c r="C936" s="14" t="str">
        <x:v>question_device</x:v>
      </x:c>
      <x:c r="D936" s="14" t="n">
        <x:v>1.289333333</x:v>
      </x:c>
      <x:c r="E936" s="14" t="n">
        <x:v>1.329333333</x:v>
      </x:c>
      <x:c r="F936" s="14" t="n">
        <x:v>0.04</x:v>
      </x:c>
      <x:c r="G936" s="17" t="n">
        <x:v>1</x:v>
      </x:c>
      <x:c r="H936" s="14" t="str">
        <x:v>S03-07:B:select_question
S03-07:B:question_first</x:v>
      </x:c>
    </x:row>
    <x:row r="937" ht="72" customHeight="1">
      <x:c r="A937" s="14" t="str">
        <x:v>S03-07:B:question_played</x:v>
      </x:c>
      <x:c r="B937" s="14" t="str">
        <x:v>B</x:v>
      </x:c>
      <x:c r="C937" s="14" t="str">
        <x:v>question_played</x:v>
      </x:c>
      <x:c r="D937" s="14" t="n">
        <x:v>1.329333333</x:v>
      </x:c>
      <x:c r="E937" s="14" t="n">
        <x:v>4.147333333</x:v>
      </x:c>
      <x:c r="F937" s="14" t="n">
        <x:v>2.818</x:v>
      </x:c>
      <x:c r="G937" s="17" t="n">
        <x:v>0</x:v>
      </x:c>
      <x:c r="H937" s="14" t="str">
        <x:v>S03-07:B:question_device</x:v>
      </x:c>
    </x:row>
    <x:row r="938" ht="72" customHeight="1">
      <x:c r="A938" s="14" t="str">
        <x:v>S03-07:B:source_report_v1</x:v>
      </x:c>
      <x:c r="B938" s="14" t="str">
        <x:v>B</x:v>
      </x:c>
      <x:c r="C938" s="14" t="str">
        <x:v>source_report_v1</x:v>
      </x:c>
      <x:c r="D938" s="14" t="n">
        <x:v>-5.04</x:v>
      </x:c>
      <x:c r="E938" s="14" t="n">
        <x:v>-1</x:v>
      </x:c>
      <x:c r="F938" s="14" t="n">
        <x:v>4.04</x:v>
      </x:c>
      <x:c r="G938" s="17" t="n">
        <x:v>0</x:v>
      </x:c>
      <x:c r="H938" s="14" t="str">
        <x:v>S03-07:B:original_handoff</x:v>
      </x:c>
    </x:row>
    <x:row r="939" ht="72" customHeight="1">
      <x:c r="A939" s="14" t="str">
        <x:v>S03-07:B:display_report_v1</x:v>
      </x:c>
      <x:c r="B939" s="14" t="str">
        <x:v>B</x:v>
      </x:c>
      <x:c r="C939" s="14" t="str">
        <x:v>display_report_v1</x:v>
      </x:c>
      <x:c r="D939" s="14" t="n">
        <x:v>-1</x:v>
      </x:c>
      <x:c r="E939" s="14" t="n">
        <x:v>-0.96</x:v>
      </x:c>
      <x:c r="F939" s="14" t="n">
        <x:v>0.04</x:v>
      </x:c>
      <x:c r="G939" s="17" t="n">
        <x:v>1</x:v>
      </x:c>
      <x:c r="H939" s="14" t="str">
        <x:v>S03-07:B:source_report_v1</x:v>
      </x:c>
    </x:row>
    <x:row r="940" ht="72" customHeight="1">
      <x:c r="A940" s="14" t="str">
        <x:v>S03-07:B:revision_handoff</x:v>
      </x:c>
      <x:c r="B940" s="14" t="str">
        <x:v>B</x:v>
      </x:c>
      <x:c r="C940" s="14" t="str">
        <x:v>revision_handoff</x:v>
      </x:c>
      <x:c r="D940" s="14" t="n">
        <x:v>0.888333333</x:v>
      </x:c>
      <x:c r="E940" s="14" t="n">
        <x:v>1.008333333</x:v>
      </x:c>
      <x:c r="F940" s="14" t="n">
        <x:v>0.12</x:v>
      </x:c>
      <x:c r="G940" s="17" t="n">
        <x:v>1</x:v>
      </x:c>
      <x:c r="H940" s="14" t="str">
        <x:v>S03-07:B:apply_relation</x:v>
      </x:c>
    </x:row>
    <x:row r="941" ht="72" customHeight="1">
      <x:c r="A941" s="14" t="str">
        <x:v>S03-07:B:source_report_v2</x:v>
      </x:c>
      <x:c r="B941" s="14" t="str">
        <x:v>B</x:v>
      </x:c>
      <x:c r="C941" s="14" t="str">
        <x:v>source_report_v2</x:v>
      </x:c>
      <x:c r="D941" s="14" t="n">
        <x:v>1.008333333</x:v>
      </x:c>
      <x:c r="E941" s="14" t="n">
        <x:v>3.408333333</x:v>
      </x:c>
      <x:c r="F941" s="14" t="n">
        <x:v>2.4</x:v>
      </x:c>
      <x:c r="G941" s="17" t="n">
        <x:v>0</x:v>
      </x:c>
      <x:c r="H941" s="14" t="str">
        <x:v>S03-07:B:revision_handoff</x:v>
      </x:c>
    </x:row>
    <x:row r="942" ht="72" customHeight="1">
      <x:c r="A942" s="14" t="str">
        <x:v>S03-07:B:display_report_v2</x:v>
      </x:c>
      <x:c r="B942" s="14" t="str">
        <x:v>B</x:v>
      </x:c>
      <x:c r="C942" s="14" t="str">
        <x:v>display_report_v2</x:v>
      </x:c>
      <x:c r="D942" s="14" t="n">
        <x:v>3.408333333</x:v>
      </x:c>
      <x:c r="E942" s="14" t="n">
        <x:v>3.448333333</x:v>
      </x:c>
      <x:c r="F942" s="14" t="n">
        <x:v>0.04</x:v>
      </x:c>
      <x:c r="G942" s="17" t="n">
        <x:v>1</x:v>
      </x:c>
      <x:c r="H942" s="14" t="str">
        <x:v>S03-07:B:source_report_v2</x:v>
      </x:c>
    </x:row>
    <x:row r="943" ht="72" customHeight="1">
      <x:c r="A943" s="14" t="str">
        <x:v>S03-07:B:select_report_v2</x:v>
      </x:c>
      <x:c r="B943" s="14" t="str">
        <x:v>B</x:v>
      </x:c>
      <x:c r="C943" s="14" t="str">
        <x:v>select_report_v2</x:v>
      </x:c>
      <x:c r="D943" s="14" t="n">
        <x:v>4.147333333</x:v>
      </x:c>
      <x:c r="E943" s="14" t="n">
        <x:v>4.147333333</x:v>
      </x:c>
      <x:c r="F943" s="14" t="n">
        <x:v>0</x:v>
      </x:c>
      <x:c r="G943" s="17" t="n">
        <x:v>1</x:v>
      </x:c>
      <x:c r="H943" s="14" t="str">
        <x:v>S03-07:B:question_played
S03-07:B:source_report_v2</x:v>
      </x:c>
    </x:row>
    <x:row r="944" ht="72" customHeight="1">
      <x:c r="A944" s="14" t="str">
        <x:v>S03-07:B:report_v2_first</x:v>
      </x:c>
      <x:c r="B944" s="14" t="str">
        <x:v>B</x:v>
      </x:c>
      <x:c r="C944" s="14" t="str">
        <x:v>report_v2_first</x:v>
      </x:c>
      <x:c r="D944" s="14" t="n">
        <x:v>4.147333333</x:v>
      </x:c>
      <x:c r="E944" s="14" t="n">
        <x:v>4.556333333</x:v>
      </x:c>
      <x:c r="F944" s="14" t="n">
        <x:v>0.409</x:v>
      </x:c>
      <x:c r="G944" s="17" t="n">
        <x:v>1</x:v>
      </x:c>
      <x:c r="H944" s="14" t="str">
        <x:v>S03-07:B:select_report_v2</x:v>
      </x:c>
    </x:row>
    <x:row r="945" ht="72" customHeight="1">
      <x:c r="A945" s="14" t="str">
        <x:v>S03-07:B:report_v2_tail</x:v>
      </x:c>
      <x:c r="B945" s="14" t="str">
        <x:v>B</x:v>
      </x:c>
      <x:c r="C945" s="14" t="str">
        <x:v>report_v2_tail</x:v>
      </x:c>
      <x:c r="D945" s="14" t="n">
        <x:v>4.556333333</x:v>
      </x:c>
      <x:c r="E945" s="14" t="n">
        <x:v>6.510833333</x:v>
      </x:c>
      <x:c r="F945" s="14" t="n">
        <x:v>1.9545</x:v>
      </x:c>
      <x:c r="G945" s="17" t="n">
        <x:v>1</x:v>
      </x:c>
      <x:c r="H945" s="14" t="str">
        <x:v>S03-07:B:report_v2_first</x:v>
      </x:c>
    </x:row>
    <x:row r="946" ht="72" customHeight="1">
      <x:c r="A946" s="14" t="str">
        <x:v>S03-07:B:report_v2_device</x:v>
      </x:c>
      <x:c r="B946" s="14" t="str">
        <x:v>B</x:v>
      </x:c>
      <x:c r="C946" s="14" t="str">
        <x:v>report_v2_device</x:v>
      </x:c>
      <x:c r="D946" s="14" t="n">
        <x:v>4.556333333</x:v>
      </x:c>
      <x:c r="E946" s="14" t="n">
        <x:v>4.596333333</x:v>
      </x:c>
      <x:c r="F946" s="14" t="n">
        <x:v>0.04</x:v>
      </x:c>
      <x:c r="G946" s="17" t="n">
        <x:v>1</x:v>
      </x:c>
      <x:c r="H946" s="14" t="str">
        <x:v>S03-07:B:select_report_v2
S03-07:B:report_v2_first</x:v>
      </x:c>
    </x:row>
    <x:row r="947" ht="72" customHeight="1">
      <x:c r="A947" s="14" t="str">
        <x:v>S03-07:B:report_v2_played</x:v>
      </x:c>
      <x:c r="B947" s="14" t="str">
        <x:v>B</x:v>
      </x:c>
      <x:c r="C947" s="14" t="str">
        <x:v>report_v2_played</x:v>
      </x:c>
      <x:c r="D947" s="14" t="n">
        <x:v>4.596333333</x:v>
      </x:c>
      <x:c r="E947" s="14" t="n">
        <x:v>12.614333333</x:v>
      </x:c>
      <x:c r="F947" s="14" t="n">
        <x:v>8.018</x:v>
      </x:c>
      <x:c r="G947" s="17" t="n">
        <x:v>0</x:v>
      </x:c>
      <x:c r="H947" s="14" t="str">
        <x:v>S03-07:B:report_v2_device</x:v>
      </x:c>
    </x:row>
    <x:row r="948" ht="72" customHeight="1">
      <x:c r="A948" s="14" t="str">
        <x:v>S03-08:A:origin</x:v>
      </x:c>
      <x:c r="B948" s="14" t="str">
        <x:v>A</x:v>
      </x:c>
      <x:c r="C948" s="14" t="str">
        <x:v>origin</x:v>
      </x:c>
      <x:c r="D948" s="14" t="n">
        <x:v>-6</x:v>
      </x:c>
      <x:c r="E948" s="14" t="n">
        <x:v>-6</x:v>
      </x:c>
      <x:c r="F948" s="14" t="n">
        <x:v>0</x:v>
      </x:c>
      <x:c r="G948" s="17" t="n">
        <x:v>0</x:v>
      </x:c>
      <x:c r="H948" s="14" t="str"/>
    </x:row>
    <x:row r="949" ht="72" customHeight="1">
      <x:c r="A949" s="14" t="str">
        <x:v>S03-08:A:origin_interpretation</x:v>
      </x:c>
      <x:c r="B949" s="14" t="str">
        <x:v>A</x:v>
      </x:c>
      <x:c r="C949" s="14" t="str">
        <x:v>origin_interpretation</x:v>
      </x:c>
      <x:c r="D949" s="14" t="n">
        <x:v>-6</x:v>
      </x:c>
      <x:c r="E949" s="14" t="n">
        <x:v>-5.16</x:v>
      </x:c>
      <x:c r="F949" s="14" t="n">
        <x:v>0.84</x:v>
      </x:c>
      <x:c r="G949" s="17" t="n">
        <x:v>1</x:v>
      </x:c>
      <x:c r="H949" s="14" t="str">
        <x:v>S03-08:A:origin</x:v>
      </x:c>
    </x:row>
    <x:row r="950" ht="72" customHeight="1">
      <x:c r="A950" s="14" t="str">
        <x:v>S03-08:A:original_handoff</x:v>
      </x:c>
      <x:c r="B950" s="14" t="str">
        <x:v>A</x:v>
      </x:c>
      <x:c r="C950" s="14" t="str">
        <x:v>original_handoff</x:v>
      </x:c>
      <x:c r="D950" s="14" t="n">
        <x:v>-5.16</x:v>
      </x:c>
      <x:c r="E950" s="14" t="n">
        <x:v>-5.04</x:v>
      </x:c>
      <x:c r="F950" s="14" t="n">
        <x:v>0.12</x:v>
      </x:c>
      <x:c r="G950" s="17" t="n">
        <x:v>1</x:v>
      </x:c>
      <x:c r="H950" s="14" t="str">
        <x:v>S03-08:A:origin_interpretation</x:v>
      </x:c>
    </x:row>
    <x:row r="951" ht="72" customHeight="1">
      <x:c r="A951" s="14" t="str">
        <x:v>S03-08:A:evaluation_utterance_end</x:v>
      </x:c>
      <x:c r="B951" s="14" t="str">
        <x:v>A</x:v>
      </x:c>
      <x:c r="C951" s="14" t="str">
        <x:v>evaluation_utterance_end</x:v>
      </x:c>
      <x:c r="D951" s="14" t="n">
        <x:v>-6</x:v>
      </x:c>
      <x:c r="E951" s="14" t="n">
        <x:v>0</x:v>
      </x:c>
      <x:c r="F951" s="14" t="n">
        <x:v>6</x:v>
      </x:c>
      <x:c r="G951" s="17" t="n">
        <x:v>0</x:v>
      </x:c>
      <x:c r="H951" s="14" t="str">
        <x:v>S03-08:A:origin</x:v>
      </x:c>
    </x:row>
    <x:row r="952" ht="72" customHeight="1">
      <x:c r="A952" s="14" t="str">
        <x:v>S03-08:A:final_transcript</x:v>
      </x:c>
      <x:c r="B952" s="14" t="str">
        <x:v>A</x:v>
      </x:c>
      <x:c r="C952" s="14" t="str">
        <x:v>final_transcript</x:v>
      </x:c>
      <x:c r="D952" s="14" t="n">
        <x:v>0</x:v>
      </x:c>
      <x:c r="E952" s="14" t="n">
        <x:v>0.3</x:v>
      </x:c>
      <x:c r="F952" s="14" t="n">
        <x:v>0.3</x:v>
      </x:c>
      <x:c r="G952" s="17" t="n">
        <x:v>1</x:v>
      </x:c>
      <x:c r="H952" s="14" t="str">
        <x:v>S03-08:A:evaluation_utterance_end</x:v>
      </x:c>
    </x:row>
    <x:row r="953" ht="72" customHeight="1">
      <x:c r="A953" s="14" t="str">
        <x:v>S03-08:A:meaning_adoption</x:v>
      </x:c>
      <x:c r="B953" s="14" t="str">
        <x:v>A</x:v>
      </x:c>
      <x:c r="C953" s="14" t="str">
        <x:v>meaning_adoption</x:v>
      </x:c>
      <x:c r="D953" s="14" t="n">
        <x:v>0.3</x:v>
      </x:c>
      <x:c r="E953" s="14" t="n">
        <x:v>0.876666667</x:v>
      </x:c>
      <x:c r="F953" s="14" t="n">
        <x:v>0.576666667</x:v>
      </x:c>
      <x:c r="G953" s="17" t="n">
        <x:v>1</x:v>
      </x:c>
      <x:c r="H953" s="14" t="str">
        <x:v>S03-08:A:final_transcript
S03-08:A:origin_interpretation</x:v>
      </x:c>
    </x:row>
    <x:row r="954" ht="72" customHeight="1">
      <x:c r="A954" s="14" t="str">
        <x:v>S03-08:A:apply_relation</x:v>
      </x:c>
      <x:c r="B954" s="14" t="str">
        <x:v>A</x:v>
      </x:c>
      <x:c r="C954" s="14" t="str">
        <x:v>apply_relation</x:v>
      </x:c>
      <x:c r="D954" s="14" t="n">
        <x:v>0.876666667</x:v>
      </x:c>
      <x:c r="E954" s="14" t="n">
        <x:v>0.916666667</x:v>
      </x:c>
      <x:c r="F954" s="14" t="n">
        <x:v>0.04</x:v>
      </x:c>
      <x:c r="G954" s="17" t="n">
        <x:v>1</x:v>
      </x:c>
      <x:c r="H954" s="14" t="str">
        <x:v>S03-08:A:meaning_adoption</x:v>
      </x:c>
    </x:row>
    <x:row r="955" ht="72" customHeight="1">
      <x:c r="A955" s="14" t="str">
        <x:v>S03-08:A:evaluation_first_display</x:v>
      </x:c>
      <x:c r="B955" s="14" t="str">
        <x:v>A</x:v>
      </x:c>
      <x:c r="C955" s="14" t="str">
        <x:v>evaluation_first_display</x:v>
      </x:c>
      <x:c r="D955" s="14" t="n">
        <x:v>0.916666667</x:v>
      </x:c>
      <x:c r="E955" s="14" t="n">
        <x:v>0.956666667</x:v>
      </x:c>
      <x:c r="F955" s="14" t="n">
        <x:v>0.04</x:v>
      </x:c>
      <x:c r="G955" s="17" t="n">
        <x:v>1</x:v>
      </x:c>
      <x:c r="H955" s="14" t="str">
        <x:v>S03-08:A:apply_relation</x:v>
      </x:c>
    </x:row>
    <x:row r="956" ht="72" customHeight="1">
      <x:c r="A956" s="14" t="str">
        <x:v>S03-08:A:source_question</x:v>
      </x:c>
      <x:c r="B956" s="14" t="str">
        <x:v>A</x:v>
      </x:c>
      <x:c r="C956" s="14" t="str">
        <x:v>source_question</x:v>
      </x:c>
      <x:c r="D956" s="14" t="n">
        <x:v>-5.04</x:v>
      </x:c>
      <x:c r="E956" s="14" t="n">
        <x:v>-1.4</x:v>
      </x:c>
      <x:c r="F956" s="14" t="n">
        <x:v>3.64</x:v>
      </x:c>
      <x:c r="G956" s="17" t="n">
        <x:v>0</x:v>
      </x:c>
      <x:c r="H956" s="14" t="str">
        <x:v>S03-08:A:original_handoff</x:v>
      </x:c>
    </x:row>
    <x:row r="957" ht="72" customHeight="1">
      <x:c r="A957" s="14" t="str">
        <x:v>S03-08:A:display_question</x:v>
      </x:c>
      <x:c r="B957" s="14" t="str">
        <x:v>A</x:v>
      </x:c>
      <x:c r="C957" s="14" t="str">
        <x:v>display_question</x:v>
      </x:c>
      <x:c r="D957" s="14" t="n">
        <x:v>-1.4</x:v>
      </x:c>
      <x:c r="E957" s="14" t="n">
        <x:v>-1.36</x:v>
      </x:c>
      <x:c r="F957" s="14" t="n">
        <x:v>0.04</x:v>
      </x:c>
      <x:c r="G957" s="17" t="n">
        <x:v>1</x:v>
      </x:c>
      <x:c r="H957" s="14" t="str">
        <x:v>S03-08:A:source_question</x:v>
      </x:c>
    </x:row>
    <x:row r="958" ht="72" customHeight="1">
      <x:c r="A958" s="14" t="str">
        <x:v>S03-08:A:select_question</x:v>
      </x:c>
      <x:c r="B958" s="14" t="str">
        <x:v>A</x:v>
      </x:c>
      <x:c r="C958" s="14" t="str">
        <x:v>select_question</x:v>
      </x:c>
      <x:c r="D958" s="14" t="n">
        <x:v>0.916666667</x:v>
      </x:c>
      <x:c r="E958" s="14" t="n">
        <x:v>0.916666667</x:v>
      </x:c>
      <x:c r="F958" s="14" t="n">
        <x:v>0</x:v>
      </x:c>
      <x:c r="G958" s="17" t="n">
        <x:v>1</x:v>
      </x:c>
      <x:c r="H958" s="14" t="str">
        <x:v>S03-08:A:apply_relation
S03-08:A:source_question</x:v>
      </x:c>
    </x:row>
    <x:row r="959" ht="72" customHeight="1">
      <x:c r="A959" s="14" t="str">
        <x:v>S03-08:A:question_first</x:v>
      </x:c>
      <x:c r="B959" s="14" t="str">
        <x:v>A</x:v>
      </x:c>
      <x:c r="C959" s="14" t="str">
        <x:v>question_first</x:v>
      </x:c>
      <x:c r="D959" s="14" t="n">
        <x:v>-1.4</x:v>
      </x:c>
      <x:c r="E959" s="14" t="n">
        <x:v>-0.999</x:v>
      </x:c>
      <x:c r="F959" s="14" t="n">
        <x:v>0.401</x:v>
      </x:c>
      <x:c r="G959" s="17" t="n">
        <x:v>1</x:v>
      </x:c>
      <x:c r="H959" s="14" t="str">
        <x:v>S03-08:A:source_question</x:v>
      </x:c>
    </x:row>
    <x:row r="960" ht="72" customHeight="1">
      <x:c r="A960" s="14" t="str">
        <x:v>S03-08:A:question_tail</x:v>
      </x:c>
      <x:c r="B960" s="14" t="str">
        <x:v>A</x:v>
      </x:c>
      <x:c r="C960" s="14" t="str">
        <x:v>question_tail</x:v>
      </x:c>
      <x:c r="D960" s="14" t="n">
        <x:v>-0.999</x:v>
      </x:c>
      <x:c r="E960" s="14" t="n">
        <x:v>-0.3415</x:v>
      </x:c>
      <x:c r="F960" s="14" t="n">
        <x:v>0.6575</x:v>
      </x:c>
      <x:c r="G960" s="17" t="n">
        <x:v>1</x:v>
      </x:c>
      <x:c r="H960" s="14" t="str">
        <x:v>S03-08:A:question_first</x:v>
      </x:c>
    </x:row>
    <x:row r="961" ht="72" customHeight="1">
      <x:c r="A961" s="14" t="str">
        <x:v>S03-08:A:question_device</x:v>
      </x:c>
      <x:c r="B961" s="14" t="str">
        <x:v>A</x:v>
      </x:c>
      <x:c r="C961" s="14" t="str">
        <x:v>question_device</x:v>
      </x:c>
      <x:c r="D961" s="14" t="n">
        <x:v>0.916666667</x:v>
      </x:c>
      <x:c r="E961" s="14" t="n">
        <x:v>0.956666667</x:v>
      </x:c>
      <x:c r="F961" s="14" t="n">
        <x:v>0.04</x:v>
      </x:c>
      <x:c r="G961" s="17" t="n">
        <x:v>1</x:v>
      </x:c>
      <x:c r="H961" s="14" t="str">
        <x:v>S03-08:A:select_question
S03-08:A:question_first</x:v>
      </x:c>
    </x:row>
    <x:row r="962" ht="72" customHeight="1">
      <x:c r="A962" s="14" t="str">
        <x:v>S03-08:A:question_played</x:v>
      </x:c>
      <x:c r="B962" s="14" t="str">
        <x:v>A</x:v>
      </x:c>
      <x:c r="C962" s="14" t="str">
        <x:v>question_played</x:v>
      </x:c>
      <x:c r="D962" s="14" t="n">
        <x:v>0.956666667</x:v>
      </x:c>
      <x:c r="E962" s="14" t="n">
        <x:v>3.786666667</x:v>
      </x:c>
      <x:c r="F962" s="14" t="n">
        <x:v>2.83</x:v>
      </x:c>
      <x:c r="G962" s="17" t="n">
        <x:v>0</x:v>
      </x:c>
      <x:c r="H962" s="14" t="str">
        <x:v>S03-08:A:question_device</x:v>
      </x:c>
    </x:row>
    <x:row r="963" ht="72" customHeight="1">
      <x:c r="A963" s="14" t="str">
        <x:v>S03-08:A:source_report_v1</x:v>
      </x:c>
      <x:c r="B963" s="14" t="str">
        <x:v>A</x:v>
      </x:c>
      <x:c r="C963" s="14" t="str">
        <x:v>source_report_v1</x:v>
      </x:c>
      <x:c r="D963" s="14" t="n">
        <x:v>-5.04</x:v>
      </x:c>
      <x:c r="E963" s="14" t="n">
        <x:v>-1</x:v>
      </x:c>
      <x:c r="F963" s="14" t="n">
        <x:v>4.04</x:v>
      </x:c>
      <x:c r="G963" s="17" t="n">
        <x:v>0</x:v>
      </x:c>
      <x:c r="H963" s="14" t="str">
        <x:v>S03-08:A:original_handoff</x:v>
      </x:c>
    </x:row>
    <x:row r="964" ht="72" customHeight="1">
      <x:c r="A964" s="14" t="str">
        <x:v>S03-08:A:display_report_v1</x:v>
      </x:c>
      <x:c r="B964" s="14" t="str">
        <x:v>A</x:v>
      </x:c>
      <x:c r="C964" s="14" t="str">
        <x:v>display_report_v1</x:v>
      </x:c>
      <x:c r="D964" s="14" t="n">
        <x:v>-1</x:v>
      </x:c>
      <x:c r="E964" s="14" t="n">
        <x:v>-0.96</x:v>
      </x:c>
      <x:c r="F964" s="14" t="n">
        <x:v>0.04</x:v>
      </x:c>
      <x:c r="G964" s="17" t="n">
        <x:v>1</x:v>
      </x:c>
      <x:c r="H964" s="14" t="str">
        <x:v>S03-08:A:source_report_v1</x:v>
      </x:c>
    </x:row>
    <x:row r="965" ht="72" customHeight="1">
      <x:c r="A965" s="14" t="str">
        <x:v>S03-08:A:report_v1_first</x:v>
      </x:c>
      <x:c r="B965" s="14" t="str">
        <x:v>A</x:v>
      </x:c>
      <x:c r="C965" s="14" t="str">
        <x:v>report_v1_first</x:v>
      </x:c>
      <x:c r="D965" s="14" t="n">
        <x:v>-1</x:v>
      </x:c>
      <x:c r="E965" s="14" t="n">
        <x:v>-0.59</x:v>
      </x:c>
      <x:c r="F965" s="14" t="n">
        <x:v>0.41</x:v>
      </x:c>
      <x:c r="G965" s="17" t="n">
        <x:v>1</x:v>
      </x:c>
      <x:c r="H965" s="14" t="str">
        <x:v>S03-08:A:source_report_v1</x:v>
      </x:c>
    </x:row>
    <x:row r="966" ht="72" customHeight="1">
      <x:c r="A966" s="14" t="str">
        <x:v>S03-08:A:report_v1_tail</x:v>
      </x:c>
      <x:c r="B966" s="14" t="str">
        <x:v>A</x:v>
      </x:c>
      <x:c r="C966" s="14" t="str">
        <x:v>report_v1_tail</x:v>
      </x:c>
      <x:c r="D966" s="14" t="n">
        <x:v>-0.59</x:v>
      </x:c>
      <x:c r="E966" s="14" t="n">
        <x:v>1.016666667</x:v>
      </x:c>
      <x:c r="F966" s="14" t="n">
        <x:v>1.606666667</x:v>
      </x:c>
      <x:c r="G966" s="17" t="n">
        <x:v>1</x:v>
      </x:c>
      <x:c r="H966" s="14" t="str">
        <x:v>S03-08:A:report_v1_first</x:v>
      </x:c>
    </x:row>
    <x:row r="967" ht="72" customHeight="1">
      <x:c r="A967" s="14" t="str">
        <x:v>S03-08:A:revision_handoff</x:v>
      </x:c>
      <x:c r="B967" s="14" t="str">
        <x:v>A</x:v>
      </x:c>
      <x:c r="C967" s="14" t="str">
        <x:v>revision_handoff</x:v>
      </x:c>
      <x:c r="D967" s="14" t="n">
        <x:v>0.916666667</x:v>
      </x:c>
      <x:c r="E967" s="14" t="n">
        <x:v>1.036666667</x:v>
      </x:c>
      <x:c r="F967" s="14" t="n">
        <x:v>0.12</x:v>
      </x:c>
      <x:c r="G967" s="17" t="n">
        <x:v>1</x:v>
      </x:c>
      <x:c r="H967" s="14" t="str">
        <x:v>S03-08:A:apply_relation</x:v>
      </x:c>
    </x:row>
    <x:row r="968" ht="72" customHeight="1">
      <x:c r="A968" s="14" t="str">
        <x:v>S03-08:A:source_report_v2</x:v>
      </x:c>
      <x:c r="B968" s="14" t="str">
        <x:v>A</x:v>
      </x:c>
      <x:c r="C968" s="14" t="str">
        <x:v>source_report_v2</x:v>
      </x:c>
      <x:c r="D968" s="14" t="n">
        <x:v>1.036666667</x:v>
      </x:c>
      <x:c r="E968" s="14" t="n">
        <x:v>3.436666667</x:v>
      </x:c>
      <x:c r="F968" s="14" t="n">
        <x:v>2.4</x:v>
      </x:c>
      <x:c r="G968" s="17" t="n">
        <x:v>0</x:v>
      </x:c>
      <x:c r="H968" s="14" t="str">
        <x:v>S03-08:A:revision_handoff</x:v>
      </x:c>
    </x:row>
    <x:row r="969" ht="72" customHeight="1">
      <x:c r="A969" s="14" t="str">
        <x:v>S03-08:A:display_report_v2</x:v>
      </x:c>
      <x:c r="B969" s="14" t="str">
        <x:v>A</x:v>
      </x:c>
      <x:c r="C969" s="14" t="str">
        <x:v>display_report_v2</x:v>
      </x:c>
      <x:c r="D969" s="14" t="n">
        <x:v>3.436666667</x:v>
      </x:c>
      <x:c r="E969" s="14" t="n">
        <x:v>3.476666667</x:v>
      </x:c>
      <x:c r="F969" s="14" t="n">
        <x:v>0.04</x:v>
      </x:c>
      <x:c r="G969" s="17" t="n">
        <x:v>1</x:v>
      </x:c>
      <x:c r="H969" s="14" t="str">
        <x:v>S03-08:A:source_report_v2</x:v>
      </x:c>
    </x:row>
    <x:row r="970" ht="72" customHeight="1">
      <x:c r="A970" s="14" t="str">
        <x:v>S03-08:A:select_report_v2</x:v>
      </x:c>
      <x:c r="B970" s="14" t="str">
        <x:v>A</x:v>
      </x:c>
      <x:c r="C970" s="14" t="str">
        <x:v>select_report_v2</x:v>
      </x:c>
      <x:c r="D970" s="14" t="n">
        <x:v>3.786666667</x:v>
      </x:c>
      <x:c r="E970" s="14" t="n">
        <x:v>3.786666667</x:v>
      </x:c>
      <x:c r="F970" s="14" t="n">
        <x:v>0</x:v>
      </x:c>
      <x:c r="G970" s="17" t="n">
        <x:v>1</x:v>
      </x:c>
      <x:c r="H970" s="14" t="str">
        <x:v>S03-08:A:question_played
S03-08:A:source_report_v2</x:v>
      </x:c>
    </x:row>
    <x:row r="971" ht="72" customHeight="1">
      <x:c r="A971" s="14" t="str">
        <x:v>S03-08:A:report_v2_first</x:v>
      </x:c>
      <x:c r="B971" s="14" t="str">
        <x:v>A</x:v>
      </x:c>
      <x:c r="C971" s="14" t="str">
        <x:v>report_v2_first</x:v>
      </x:c>
      <x:c r="D971" s="14" t="n">
        <x:v>3.436666667</x:v>
      </x:c>
      <x:c r="E971" s="14" t="n">
        <x:v>3.845666667</x:v>
      </x:c>
      <x:c r="F971" s="14" t="n">
        <x:v>0.409</x:v>
      </x:c>
      <x:c r="G971" s="17" t="n">
        <x:v>1</x:v>
      </x:c>
      <x:c r="H971" s="14" t="str">
        <x:v>S03-08:A:source_report_v2</x:v>
      </x:c>
    </x:row>
    <x:row r="972" ht="72" customHeight="1">
      <x:c r="A972" s="14" t="str">
        <x:v>S03-08:A:report_v2_tail</x:v>
      </x:c>
      <x:c r="B972" s="14" t="str">
        <x:v>A</x:v>
      </x:c>
      <x:c r="C972" s="14" t="str">
        <x:v>report_v2_tail</x:v>
      </x:c>
      <x:c r="D972" s="14" t="n">
        <x:v>3.845666667</x:v>
      </x:c>
      <x:c r="E972" s="14" t="n">
        <x:v>5.803166667</x:v>
      </x:c>
      <x:c r="F972" s="14" t="n">
        <x:v>1.9575</x:v>
      </x:c>
      <x:c r="G972" s="17" t="n">
        <x:v>1</x:v>
      </x:c>
      <x:c r="H972" s="14" t="str">
        <x:v>S03-08:A:report_v2_first</x:v>
      </x:c>
    </x:row>
    <x:row r="973" ht="72" customHeight="1">
      <x:c r="A973" s="14" t="str">
        <x:v>S03-08:A:report_v2_device</x:v>
      </x:c>
      <x:c r="B973" s="14" t="str">
        <x:v>A</x:v>
      </x:c>
      <x:c r="C973" s="14" t="str">
        <x:v>report_v2_device</x:v>
      </x:c>
      <x:c r="D973" s="14" t="n">
        <x:v>3.845666667</x:v>
      </x:c>
      <x:c r="E973" s="14" t="n">
        <x:v>3.885666667</x:v>
      </x:c>
      <x:c r="F973" s="14" t="n">
        <x:v>0.04</x:v>
      </x:c>
      <x:c r="G973" s="17" t="n">
        <x:v>1</x:v>
      </x:c>
      <x:c r="H973" s="14" t="str">
        <x:v>S03-08:A:select_report_v2
S03-08:A:report_v2_first</x:v>
      </x:c>
    </x:row>
    <x:row r="974" ht="72" customHeight="1">
      <x:c r="A974" s="14" t="str">
        <x:v>S03-08:A:report_v2_played</x:v>
      </x:c>
      <x:c r="B974" s="14" t="str">
        <x:v>A</x:v>
      </x:c>
      <x:c r="C974" s="14" t="str">
        <x:v>report_v2_played</x:v>
      </x:c>
      <x:c r="D974" s="14" t="n">
        <x:v>3.885666667</x:v>
      </x:c>
      <x:c r="E974" s="14" t="n">
        <x:v>11.915666667</x:v>
      </x:c>
      <x:c r="F974" s="14" t="n">
        <x:v>8.03</x:v>
      </x:c>
      <x:c r="G974" s="17" t="n">
        <x:v>0</x:v>
      </x:c>
      <x:c r="H974" s="14" t="str">
        <x:v>S03-08:A:report_v2_device</x:v>
      </x:c>
    </x:row>
    <x:row r="975" ht="72" customHeight="1">
      <x:c r="A975" s="14" t="str">
        <x:v>S03-08:B:origin</x:v>
      </x:c>
      <x:c r="B975" s="14" t="str">
        <x:v>B</x:v>
      </x:c>
      <x:c r="C975" s="14" t="str">
        <x:v>origin</x:v>
      </x:c>
      <x:c r="D975" s="14" t="n">
        <x:v>-6</x:v>
      </x:c>
      <x:c r="E975" s="14" t="n">
        <x:v>-6</x:v>
      </x:c>
      <x:c r="F975" s="14" t="n">
        <x:v>0</x:v>
      </x:c>
      <x:c r="G975" s="17" t="n">
        <x:v>0</x:v>
      </x:c>
      <x:c r="H975" s="14" t="str"/>
    </x:row>
    <x:row r="976" ht="72" customHeight="1">
      <x:c r="A976" s="14" t="str">
        <x:v>S03-08:B:origin_interpretation</x:v>
      </x:c>
      <x:c r="B976" s="14" t="str">
        <x:v>B</x:v>
      </x:c>
      <x:c r="C976" s="14" t="str">
        <x:v>origin_interpretation</x:v>
      </x:c>
      <x:c r="D976" s="14" t="n">
        <x:v>-6</x:v>
      </x:c>
      <x:c r="E976" s="14" t="n">
        <x:v>-5.16</x:v>
      </x:c>
      <x:c r="F976" s="14" t="n">
        <x:v>0.84</x:v>
      </x:c>
      <x:c r="G976" s="17" t="n">
        <x:v>1</x:v>
      </x:c>
      <x:c r="H976" s="14" t="str">
        <x:v>S03-08:B:origin</x:v>
      </x:c>
    </x:row>
    <x:row r="977" ht="72" customHeight="1">
      <x:c r="A977" s="14" t="str">
        <x:v>S03-08:B:original_handoff</x:v>
      </x:c>
      <x:c r="B977" s="14" t="str">
        <x:v>B</x:v>
      </x:c>
      <x:c r="C977" s="14" t="str">
        <x:v>original_handoff</x:v>
      </x:c>
      <x:c r="D977" s="14" t="n">
        <x:v>-5.16</x:v>
      </x:c>
      <x:c r="E977" s="14" t="n">
        <x:v>-5.04</x:v>
      </x:c>
      <x:c r="F977" s="14" t="n">
        <x:v>0.12</x:v>
      </x:c>
      <x:c r="G977" s="17" t="n">
        <x:v>1</x:v>
      </x:c>
      <x:c r="H977" s="14" t="str">
        <x:v>S03-08:B:origin_interpretation</x:v>
      </x:c>
    </x:row>
    <x:row r="978" ht="72" customHeight="1">
      <x:c r="A978" s="14" t="str">
        <x:v>S03-08:B:evaluation_utterance_end</x:v>
      </x:c>
      <x:c r="B978" s="14" t="str">
        <x:v>B</x:v>
      </x:c>
      <x:c r="C978" s="14" t="str">
        <x:v>evaluation_utterance_end</x:v>
      </x:c>
      <x:c r="D978" s="14" t="n">
        <x:v>-6</x:v>
      </x:c>
      <x:c r="E978" s="14" t="n">
        <x:v>0</x:v>
      </x:c>
      <x:c r="F978" s="14" t="n">
        <x:v>6</x:v>
      </x:c>
      <x:c r="G978" s="17" t="n">
        <x:v>0</x:v>
      </x:c>
      <x:c r="H978" s="14" t="str">
        <x:v>S03-08:B:origin</x:v>
      </x:c>
    </x:row>
    <x:row r="979" ht="72" customHeight="1">
      <x:c r="A979" s="14" t="str">
        <x:v>S03-08:B:final_transcript</x:v>
      </x:c>
      <x:c r="B979" s="14" t="str">
        <x:v>B</x:v>
      </x:c>
      <x:c r="C979" s="14" t="str">
        <x:v>final_transcript</x:v>
      </x:c>
      <x:c r="D979" s="14" t="n">
        <x:v>0</x:v>
      </x:c>
      <x:c r="E979" s="14" t="n">
        <x:v>0.3</x:v>
      </x:c>
      <x:c r="F979" s="14" t="n">
        <x:v>0.3</x:v>
      </x:c>
      <x:c r="G979" s="17" t="n">
        <x:v>1</x:v>
      </x:c>
      <x:c r="H979" s="14" t="str">
        <x:v>S03-08:B:evaluation_utterance_end</x:v>
      </x:c>
    </x:row>
    <x:row r="980" ht="72" customHeight="1">
      <x:c r="A980" s="14" t="str">
        <x:v>S03-08:B:meaning_adoption</x:v>
      </x:c>
      <x:c r="B980" s="14" t="str">
        <x:v>B</x:v>
      </x:c>
      <x:c r="C980" s="14" t="str">
        <x:v>meaning_adoption</x:v>
      </x:c>
      <x:c r="D980" s="14" t="n">
        <x:v>0.3</x:v>
      </x:c>
      <x:c r="E980" s="14" t="n">
        <x:v>0.876666667</x:v>
      </x:c>
      <x:c r="F980" s="14" t="n">
        <x:v>0.576666667</x:v>
      </x:c>
      <x:c r="G980" s="17" t="n">
        <x:v>1</x:v>
      </x:c>
      <x:c r="H980" s="14" t="str">
        <x:v>S03-08:B:final_transcript
S03-08:B:origin_interpretation</x:v>
      </x:c>
    </x:row>
    <x:row r="981" ht="72" customHeight="1">
      <x:c r="A981" s="14" t="str">
        <x:v>S03-08:B:apply_relation</x:v>
      </x:c>
      <x:c r="B981" s="14" t="str">
        <x:v>B</x:v>
      </x:c>
      <x:c r="C981" s="14" t="str">
        <x:v>apply_relation</x:v>
      </x:c>
      <x:c r="D981" s="14" t="n">
        <x:v>0.876666667</x:v>
      </x:c>
      <x:c r="E981" s="14" t="n">
        <x:v>0.916666667</x:v>
      </x:c>
      <x:c r="F981" s="14" t="n">
        <x:v>0.04</x:v>
      </x:c>
      <x:c r="G981" s="17" t="n">
        <x:v>1</x:v>
      </x:c>
      <x:c r="H981" s="14" t="str">
        <x:v>S03-08:B:meaning_adoption</x:v>
      </x:c>
    </x:row>
    <x:row r="982" ht="72" customHeight="1">
      <x:c r="A982" s="14" t="str">
        <x:v>S03-08:B:evaluation_first_display</x:v>
      </x:c>
      <x:c r="B982" s="14" t="str">
        <x:v>B</x:v>
      </x:c>
      <x:c r="C982" s="14" t="str">
        <x:v>evaluation_first_display</x:v>
      </x:c>
      <x:c r="D982" s="14" t="n">
        <x:v>0.916666667</x:v>
      </x:c>
      <x:c r="E982" s="14" t="n">
        <x:v>0.956666667</x:v>
      </x:c>
      <x:c r="F982" s="14" t="n">
        <x:v>0.04</x:v>
      </x:c>
      <x:c r="G982" s="17" t="n">
        <x:v>1</x:v>
      </x:c>
      <x:c r="H982" s="14" t="str">
        <x:v>S03-08:B:apply_relation</x:v>
      </x:c>
    </x:row>
    <x:row r="983" ht="72" customHeight="1">
      <x:c r="A983" s="14" t="str">
        <x:v>S03-08:B:source_question</x:v>
      </x:c>
      <x:c r="B983" s="14" t="str">
        <x:v>B</x:v>
      </x:c>
      <x:c r="C983" s="14" t="str">
        <x:v>source_question</x:v>
      </x:c>
      <x:c r="D983" s="14" t="n">
        <x:v>-5.04</x:v>
      </x:c>
      <x:c r="E983" s="14" t="n">
        <x:v>-1.4</x:v>
      </x:c>
      <x:c r="F983" s="14" t="n">
        <x:v>3.64</x:v>
      </x:c>
      <x:c r="G983" s="17" t="n">
        <x:v>0</x:v>
      </x:c>
      <x:c r="H983" s="14" t="str">
        <x:v>S03-08:B:original_handoff</x:v>
      </x:c>
    </x:row>
    <x:row r="984" ht="72" customHeight="1">
      <x:c r="A984" s="14" t="str">
        <x:v>S03-08:B:display_question</x:v>
      </x:c>
      <x:c r="B984" s="14" t="str">
        <x:v>B</x:v>
      </x:c>
      <x:c r="C984" s="14" t="str">
        <x:v>display_question</x:v>
      </x:c>
      <x:c r="D984" s="14" t="n">
        <x:v>-1.4</x:v>
      </x:c>
      <x:c r="E984" s="14" t="n">
        <x:v>-1.36</x:v>
      </x:c>
      <x:c r="F984" s="14" t="n">
        <x:v>0.04</x:v>
      </x:c>
      <x:c r="G984" s="17" t="n">
        <x:v>1</x:v>
      </x:c>
      <x:c r="H984" s="14" t="str">
        <x:v>S03-08:B:source_question</x:v>
      </x:c>
    </x:row>
    <x:row r="985" ht="72" customHeight="1">
      <x:c r="A985" s="14" t="str">
        <x:v>S03-08:B:select_question</x:v>
      </x:c>
      <x:c r="B985" s="14" t="str">
        <x:v>B</x:v>
      </x:c>
      <x:c r="C985" s="14" t="str">
        <x:v>select_question</x:v>
      </x:c>
      <x:c r="D985" s="14" t="n">
        <x:v>0.916666667</x:v>
      </x:c>
      <x:c r="E985" s="14" t="n">
        <x:v>0.916666667</x:v>
      </x:c>
      <x:c r="F985" s="14" t="n">
        <x:v>0</x:v>
      </x:c>
      <x:c r="G985" s="17" t="n">
        <x:v>1</x:v>
      </x:c>
      <x:c r="H985" s="14" t="str">
        <x:v>S03-08:B:apply_relation
S03-08:B:source_question</x:v>
      </x:c>
    </x:row>
    <x:row r="986" ht="72" customHeight="1">
      <x:c r="A986" s="14" t="str">
        <x:v>S03-08:B:question_first</x:v>
      </x:c>
      <x:c r="B986" s="14" t="str">
        <x:v>B</x:v>
      </x:c>
      <x:c r="C986" s="14" t="str">
        <x:v>question_first</x:v>
      </x:c>
      <x:c r="D986" s="14" t="n">
        <x:v>0.916666667</x:v>
      </x:c>
      <x:c r="E986" s="14" t="n">
        <x:v>1.317666667</x:v>
      </x:c>
      <x:c r="F986" s="14" t="n">
        <x:v>0.401</x:v>
      </x:c>
      <x:c r="G986" s="17" t="n">
        <x:v>1</x:v>
      </x:c>
      <x:c r="H986" s="14" t="str">
        <x:v>S03-08:B:select_question</x:v>
      </x:c>
    </x:row>
    <x:row r="987" ht="72" customHeight="1">
      <x:c r="A987" s="14" t="str">
        <x:v>S03-08:B:question_tail</x:v>
      </x:c>
      <x:c r="B987" s="14" t="str">
        <x:v>B</x:v>
      </x:c>
      <x:c r="C987" s="14" t="str">
        <x:v>question_tail</x:v>
      </x:c>
      <x:c r="D987" s="14" t="n">
        <x:v>1.317666667</x:v>
      </x:c>
      <x:c r="E987" s="14" t="n">
        <x:v>1.975166667</x:v>
      </x:c>
      <x:c r="F987" s="14" t="n">
        <x:v>0.6575</x:v>
      </x:c>
      <x:c r="G987" s="17" t="n">
        <x:v>1</x:v>
      </x:c>
      <x:c r="H987" s="14" t="str">
        <x:v>S03-08:B:question_first</x:v>
      </x:c>
    </x:row>
    <x:row r="988" ht="72" customHeight="1">
      <x:c r="A988" s="14" t="str">
        <x:v>S03-08:B:question_device</x:v>
      </x:c>
      <x:c r="B988" s="14" t="str">
        <x:v>B</x:v>
      </x:c>
      <x:c r="C988" s="14" t="str">
        <x:v>question_device</x:v>
      </x:c>
      <x:c r="D988" s="14" t="n">
        <x:v>1.317666667</x:v>
      </x:c>
      <x:c r="E988" s="14" t="n">
        <x:v>1.357666667</x:v>
      </x:c>
      <x:c r="F988" s="14" t="n">
        <x:v>0.04</x:v>
      </x:c>
      <x:c r="G988" s="17" t="n">
        <x:v>1</x:v>
      </x:c>
      <x:c r="H988" s="14" t="str">
        <x:v>S03-08:B:select_question
S03-08:B:question_first</x:v>
      </x:c>
    </x:row>
    <x:row r="989" ht="72" customHeight="1">
      <x:c r="A989" s="14" t="str">
        <x:v>S03-08:B:question_played</x:v>
      </x:c>
      <x:c r="B989" s="14" t="str">
        <x:v>B</x:v>
      </x:c>
      <x:c r="C989" s="14" t="str">
        <x:v>question_played</x:v>
      </x:c>
      <x:c r="D989" s="14" t="n">
        <x:v>1.357666667</x:v>
      </x:c>
      <x:c r="E989" s="14" t="n">
        <x:v>4.187666667</x:v>
      </x:c>
      <x:c r="F989" s="14" t="n">
        <x:v>2.83</x:v>
      </x:c>
      <x:c r="G989" s="17" t="n">
        <x:v>0</x:v>
      </x:c>
      <x:c r="H989" s="14" t="str">
        <x:v>S03-08:B:question_device</x:v>
      </x:c>
    </x:row>
    <x:row r="990" ht="72" customHeight="1">
      <x:c r="A990" s="14" t="str">
        <x:v>S03-08:B:source_report_v1</x:v>
      </x:c>
      <x:c r="B990" s="14" t="str">
        <x:v>B</x:v>
      </x:c>
      <x:c r="C990" s="14" t="str">
        <x:v>source_report_v1</x:v>
      </x:c>
      <x:c r="D990" s="14" t="n">
        <x:v>-5.04</x:v>
      </x:c>
      <x:c r="E990" s="14" t="n">
        <x:v>-1</x:v>
      </x:c>
      <x:c r="F990" s="14" t="n">
        <x:v>4.04</x:v>
      </x:c>
      <x:c r="G990" s="17" t="n">
        <x:v>0</x:v>
      </x:c>
      <x:c r="H990" s="14" t="str">
        <x:v>S03-08:B:original_handoff</x:v>
      </x:c>
    </x:row>
    <x:row r="991" ht="72" customHeight="1">
      <x:c r="A991" s="14" t="str">
        <x:v>S03-08:B:display_report_v1</x:v>
      </x:c>
      <x:c r="B991" s="14" t="str">
        <x:v>B</x:v>
      </x:c>
      <x:c r="C991" s="14" t="str">
        <x:v>display_report_v1</x:v>
      </x:c>
      <x:c r="D991" s="14" t="n">
        <x:v>-1</x:v>
      </x:c>
      <x:c r="E991" s="14" t="n">
        <x:v>-0.96</x:v>
      </x:c>
      <x:c r="F991" s="14" t="n">
        <x:v>0.04</x:v>
      </x:c>
      <x:c r="G991" s="17" t="n">
        <x:v>1</x:v>
      </x:c>
      <x:c r="H991" s="14" t="str">
        <x:v>S03-08:B:source_report_v1</x:v>
      </x:c>
    </x:row>
    <x:row r="992" ht="72" customHeight="1">
      <x:c r="A992" s="14" t="str">
        <x:v>S03-08:B:revision_handoff</x:v>
      </x:c>
      <x:c r="B992" s="14" t="str">
        <x:v>B</x:v>
      </x:c>
      <x:c r="C992" s="14" t="str">
        <x:v>revision_handoff</x:v>
      </x:c>
      <x:c r="D992" s="14" t="n">
        <x:v>0.916666667</x:v>
      </x:c>
      <x:c r="E992" s="14" t="n">
        <x:v>1.036666667</x:v>
      </x:c>
      <x:c r="F992" s="14" t="n">
        <x:v>0.12</x:v>
      </x:c>
      <x:c r="G992" s="17" t="n">
        <x:v>1</x:v>
      </x:c>
      <x:c r="H992" s="14" t="str">
        <x:v>S03-08:B:apply_relation</x:v>
      </x:c>
    </x:row>
    <x:row r="993" ht="72" customHeight="1">
      <x:c r="A993" s="14" t="str">
        <x:v>S03-08:B:source_report_v2</x:v>
      </x:c>
      <x:c r="B993" s="14" t="str">
        <x:v>B</x:v>
      </x:c>
      <x:c r="C993" s="14" t="str">
        <x:v>source_report_v2</x:v>
      </x:c>
      <x:c r="D993" s="14" t="n">
        <x:v>1.036666667</x:v>
      </x:c>
      <x:c r="E993" s="14" t="n">
        <x:v>3.436666667</x:v>
      </x:c>
      <x:c r="F993" s="14" t="n">
        <x:v>2.4</x:v>
      </x:c>
      <x:c r="G993" s="17" t="n">
        <x:v>0</x:v>
      </x:c>
      <x:c r="H993" s="14" t="str">
        <x:v>S03-08:B:revision_handoff</x:v>
      </x:c>
    </x:row>
    <x:row r="994" ht="72" customHeight="1">
      <x:c r="A994" s="14" t="str">
        <x:v>S03-08:B:display_report_v2</x:v>
      </x:c>
      <x:c r="B994" s="14" t="str">
        <x:v>B</x:v>
      </x:c>
      <x:c r="C994" s="14" t="str">
        <x:v>display_report_v2</x:v>
      </x:c>
      <x:c r="D994" s="14" t="n">
        <x:v>3.436666667</x:v>
      </x:c>
      <x:c r="E994" s="14" t="n">
        <x:v>3.476666667</x:v>
      </x:c>
      <x:c r="F994" s="14" t="n">
        <x:v>0.04</x:v>
      </x:c>
      <x:c r="G994" s="17" t="n">
        <x:v>1</x:v>
      </x:c>
      <x:c r="H994" s="14" t="str">
        <x:v>S03-08:B:source_report_v2</x:v>
      </x:c>
    </x:row>
    <x:row r="995" ht="72" customHeight="1">
      <x:c r="A995" s="14" t="str">
        <x:v>S03-08:B:select_report_v2</x:v>
      </x:c>
      <x:c r="B995" s="14" t="str">
        <x:v>B</x:v>
      </x:c>
      <x:c r="C995" s="14" t="str">
        <x:v>select_report_v2</x:v>
      </x:c>
      <x:c r="D995" s="14" t="n">
        <x:v>4.187666667</x:v>
      </x:c>
      <x:c r="E995" s="14" t="n">
        <x:v>4.187666667</x:v>
      </x:c>
      <x:c r="F995" s="14" t="n">
        <x:v>0</x:v>
      </x:c>
      <x:c r="G995" s="17" t="n">
        <x:v>1</x:v>
      </x:c>
      <x:c r="H995" s="14" t="str">
        <x:v>S03-08:B:question_played
S03-08:B:source_report_v2</x:v>
      </x:c>
    </x:row>
    <x:row r="996" ht="72" customHeight="1">
      <x:c r="A996" s="14" t="str">
        <x:v>S03-08:B:report_v2_first</x:v>
      </x:c>
      <x:c r="B996" s="14" t="str">
        <x:v>B</x:v>
      </x:c>
      <x:c r="C996" s="14" t="str">
        <x:v>report_v2_first</x:v>
      </x:c>
      <x:c r="D996" s="14" t="n">
        <x:v>4.187666667</x:v>
      </x:c>
      <x:c r="E996" s="14" t="n">
        <x:v>4.596666667</x:v>
      </x:c>
      <x:c r="F996" s="14" t="n">
        <x:v>0.409</x:v>
      </x:c>
      <x:c r="G996" s="17" t="n">
        <x:v>1</x:v>
      </x:c>
      <x:c r="H996" s="14" t="str">
        <x:v>S03-08:B:select_report_v2</x:v>
      </x:c>
    </x:row>
    <x:row r="997" ht="72" customHeight="1">
      <x:c r="A997" s="14" t="str">
        <x:v>S03-08:B:report_v2_tail</x:v>
      </x:c>
      <x:c r="B997" s="14" t="str">
        <x:v>B</x:v>
      </x:c>
      <x:c r="C997" s="14" t="str">
        <x:v>report_v2_tail</x:v>
      </x:c>
      <x:c r="D997" s="14" t="n">
        <x:v>4.596666667</x:v>
      </x:c>
      <x:c r="E997" s="14" t="n">
        <x:v>6.554166667</x:v>
      </x:c>
      <x:c r="F997" s="14" t="n">
        <x:v>1.9575</x:v>
      </x:c>
      <x:c r="G997" s="17" t="n">
        <x:v>1</x:v>
      </x:c>
      <x:c r="H997" s="14" t="str">
        <x:v>S03-08:B:report_v2_first</x:v>
      </x:c>
    </x:row>
    <x:row r="998" ht="72" customHeight="1">
      <x:c r="A998" s="14" t="str">
        <x:v>S03-08:B:report_v2_device</x:v>
      </x:c>
      <x:c r="B998" s="14" t="str">
        <x:v>B</x:v>
      </x:c>
      <x:c r="C998" s="14" t="str">
        <x:v>report_v2_device</x:v>
      </x:c>
      <x:c r="D998" s="14" t="n">
        <x:v>4.596666667</x:v>
      </x:c>
      <x:c r="E998" s="14" t="n">
        <x:v>4.636666667</x:v>
      </x:c>
      <x:c r="F998" s="14" t="n">
        <x:v>0.04</x:v>
      </x:c>
      <x:c r="G998" s="17" t="n">
        <x:v>1</x:v>
      </x:c>
      <x:c r="H998" s="14" t="str">
        <x:v>S03-08:B:select_report_v2
S03-08:B:report_v2_first</x:v>
      </x:c>
    </x:row>
    <x:row r="999" ht="72" customHeight="1">
      <x:c r="A999" s="14" t="str">
        <x:v>S03-08:B:report_v2_played</x:v>
      </x:c>
      <x:c r="B999" s="14" t="str">
        <x:v>B</x:v>
      </x:c>
      <x:c r="C999" s="14" t="str">
        <x:v>report_v2_played</x:v>
      </x:c>
      <x:c r="D999" s="14" t="n">
        <x:v>4.636666667</x:v>
      </x:c>
      <x:c r="E999" s="14" t="n">
        <x:v>12.666666667</x:v>
      </x:c>
      <x:c r="F999" s="14" t="n">
        <x:v>8.03</x:v>
      </x:c>
      <x:c r="G999" s="17" t="n">
        <x:v>0</x:v>
      </x:c>
      <x:c r="H999" s="14" t="str">
        <x:v>S03-08:B:report_v2_device</x:v>
      </x:c>
    </x:row>
    <x:row r="1000" ht="72" customHeight="1">
      <x:c r="A1000" s="14" t="str">
        <x:v>S03-09:A:origin</x:v>
      </x:c>
      <x:c r="B1000" s="14" t="str">
        <x:v>A</x:v>
      </x:c>
      <x:c r="C1000" s="14" t="str">
        <x:v>origin</x:v>
      </x:c>
      <x:c r="D1000" s="14" t="n">
        <x:v>-6</x:v>
      </x:c>
      <x:c r="E1000" s="14" t="n">
        <x:v>-6</x:v>
      </x:c>
      <x:c r="F1000" s="14" t="n">
        <x:v>0</x:v>
      </x:c>
      <x:c r="G1000" s="17" t="n">
        <x:v>0</x:v>
      </x:c>
      <x:c r="H1000" s="14" t="str"/>
    </x:row>
    <x:row r="1001" ht="72" customHeight="1">
      <x:c r="A1001" s="14" t="str">
        <x:v>S03-09:A:origin_interpretation</x:v>
      </x:c>
      <x:c r="B1001" s="14" t="str">
        <x:v>A</x:v>
      </x:c>
      <x:c r="C1001" s="14" t="str">
        <x:v>origin_interpretation</x:v>
      </x:c>
      <x:c r="D1001" s="14" t="n">
        <x:v>-6</x:v>
      </x:c>
      <x:c r="E1001" s="14" t="n">
        <x:v>-5.16</x:v>
      </x:c>
      <x:c r="F1001" s="14" t="n">
        <x:v>0.84</x:v>
      </x:c>
      <x:c r="G1001" s="17" t="n">
        <x:v>1</x:v>
      </x:c>
      <x:c r="H1001" s="14" t="str">
        <x:v>S03-09:A:origin</x:v>
      </x:c>
    </x:row>
    <x:row r="1002" ht="72" customHeight="1">
      <x:c r="A1002" s="14" t="str">
        <x:v>S03-09:A:original_handoff</x:v>
      </x:c>
      <x:c r="B1002" s="14" t="str">
        <x:v>A</x:v>
      </x:c>
      <x:c r="C1002" s="14" t="str">
        <x:v>original_handoff</x:v>
      </x:c>
      <x:c r="D1002" s="14" t="n">
        <x:v>-5.16</x:v>
      </x:c>
      <x:c r="E1002" s="14" t="n">
        <x:v>-5.04</x:v>
      </x:c>
      <x:c r="F1002" s="14" t="n">
        <x:v>0.12</x:v>
      </x:c>
      <x:c r="G1002" s="17" t="n">
        <x:v>1</x:v>
      </x:c>
      <x:c r="H1002" s="14" t="str">
        <x:v>S03-09:A:origin_interpretation</x:v>
      </x:c>
    </x:row>
    <x:row r="1003" ht="72" customHeight="1">
      <x:c r="A1003" s="14" t="str">
        <x:v>S03-09:A:evaluation_utterance_end</x:v>
      </x:c>
      <x:c r="B1003" s="14" t="str">
        <x:v>A</x:v>
      </x:c>
      <x:c r="C1003" s="14" t="str">
        <x:v>evaluation_utterance_end</x:v>
      </x:c>
      <x:c r="D1003" s="14" t="n">
        <x:v>-6</x:v>
      </x:c>
      <x:c r="E1003" s="14" t="n">
        <x:v>0</x:v>
      </x:c>
      <x:c r="F1003" s="14" t="n">
        <x:v>6</x:v>
      </x:c>
      <x:c r="G1003" s="17" t="n">
        <x:v>0</x:v>
      </x:c>
      <x:c r="H1003" s="14" t="str">
        <x:v>S03-09:A:origin</x:v>
      </x:c>
    </x:row>
    <x:row r="1004" ht="72" customHeight="1">
      <x:c r="A1004" s="14" t="str">
        <x:v>S03-09:A:final_transcript</x:v>
      </x:c>
      <x:c r="B1004" s="14" t="str">
        <x:v>A</x:v>
      </x:c>
      <x:c r="C1004" s="14" t="str">
        <x:v>final_transcript</x:v>
      </x:c>
      <x:c r="D1004" s="14" t="n">
        <x:v>0</x:v>
      </x:c>
      <x:c r="E1004" s="14" t="n">
        <x:v>0.3</x:v>
      </x:c>
      <x:c r="F1004" s="14" t="n">
        <x:v>0.3</x:v>
      </x:c>
      <x:c r="G1004" s="17" t="n">
        <x:v>1</x:v>
      </x:c>
      <x:c r="H1004" s="14" t="str">
        <x:v>S03-09:A:evaluation_utterance_end</x:v>
      </x:c>
    </x:row>
    <x:row r="1005" ht="72" customHeight="1">
      <x:c r="A1005" s="14" t="str">
        <x:v>S03-09:A:meaning_adoption</x:v>
      </x:c>
      <x:c r="B1005" s="14" t="str">
        <x:v>A</x:v>
      </x:c>
      <x:c r="C1005" s="14" t="str">
        <x:v>meaning_adoption</x:v>
      </x:c>
      <x:c r="D1005" s="14" t="n">
        <x:v>0.3</x:v>
      </x:c>
      <x:c r="E1005" s="14" t="n">
        <x:v>0.83</x:v>
      </x:c>
      <x:c r="F1005" s="14" t="n">
        <x:v>0.53</x:v>
      </x:c>
      <x:c r="G1005" s="17" t="n">
        <x:v>1</x:v>
      </x:c>
      <x:c r="H1005" s="14" t="str">
        <x:v>S03-09:A:final_transcript
S03-09:A:origin_interpretation</x:v>
      </x:c>
    </x:row>
    <x:row r="1006" ht="72" customHeight="1">
      <x:c r="A1006" s="14" t="str">
        <x:v>S03-09:A:apply_relation</x:v>
      </x:c>
      <x:c r="B1006" s="14" t="str">
        <x:v>A</x:v>
      </x:c>
      <x:c r="C1006" s="14" t="str">
        <x:v>apply_relation</x:v>
      </x:c>
      <x:c r="D1006" s="14" t="n">
        <x:v>0.83</x:v>
      </x:c>
      <x:c r="E1006" s="14" t="n">
        <x:v>0.87</x:v>
      </x:c>
      <x:c r="F1006" s="14" t="n">
        <x:v>0.04</x:v>
      </x:c>
      <x:c r="G1006" s="17" t="n">
        <x:v>1</x:v>
      </x:c>
      <x:c r="H1006" s="14" t="str">
        <x:v>S03-09:A:meaning_adoption</x:v>
      </x:c>
    </x:row>
    <x:row r="1007" ht="72" customHeight="1">
      <x:c r="A1007" s="14" t="str">
        <x:v>S03-09:A:evaluation_first_display</x:v>
      </x:c>
      <x:c r="B1007" s="14" t="str">
        <x:v>A</x:v>
      </x:c>
      <x:c r="C1007" s="14" t="str">
        <x:v>evaluation_first_display</x:v>
      </x:c>
      <x:c r="D1007" s="14" t="n">
        <x:v>0.87</x:v>
      </x:c>
      <x:c r="E1007" s="14" t="n">
        <x:v>0.91</x:v>
      </x:c>
      <x:c r="F1007" s="14" t="n">
        <x:v>0.04</x:v>
      </x:c>
      <x:c r="G1007" s="17" t="n">
        <x:v>1</x:v>
      </x:c>
      <x:c r="H1007" s="14" t="str">
        <x:v>S03-09:A:apply_relation</x:v>
      </x:c>
    </x:row>
    <x:row r="1008" ht="72" customHeight="1">
      <x:c r="A1008" s="14" t="str">
        <x:v>S03-09:A:source_question</x:v>
      </x:c>
      <x:c r="B1008" s="14" t="str">
        <x:v>A</x:v>
      </x:c>
      <x:c r="C1008" s="14" t="str">
        <x:v>source_question</x:v>
      </x:c>
      <x:c r="D1008" s="14" t="n">
        <x:v>-5.04</x:v>
      </x:c>
      <x:c r="E1008" s="14" t="n">
        <x:v>-1.4</x:v>
      </x:c>
      <x:c r="F1008" s="14" t="n">
        <x:v>3.64</x:v>
      </x:c>
      <x:c r="G1008" s="17" t="n">
        <x:v>0</x:v>
      </x:c>
      <x:c r="H1008" s="14" t="str">
        <x:v>S03-09:A:original_handoff</x:v>
      </x:c>
    </x:row>
    <x:row r="1009" ht="72" customHeight="1">
      <x:c r="A1009" s="14" t="str">
        <x:v>S03-09:A:display_question</x:v>
      </x:c>
      <x:c r="B1009" s="14" t="str">
        <x:v>A</x:v>
      </x:c>
      <x:c r="C1009" s="14" t="str">
        <x:v>display_question</x:v>
      </x:c>
      <x:c r="D1009" s="14" t="n">
        <x:v>-1.4</x:v>
      </x:c>
      <x:c r="E1009" s="14" t="n">
        <x:v>-1.36</x:v>
      </x:c>
      <x:c r="F1009" s="14" t="n">
        <x:v>0.04</x:v>
      </x:c>
      <x:c r="G1009" s="17" t="n">
        <x:v>1</x:v>
      </x:c>
      <x:c r="H1009" s="14" t="str">
        <x:v>S03-09:A:source_question</x:v>
      </x:c>
    </x:row>
    <x:row r="1010" ht="72" customHeight="1">
      <x:c r="A1010" s="14" t="str">
        <x:v>S03-09:A:select_question</x:v>
      </x:c>
      <x:c r="B1010" s="14" t="str">
        <x:v>A</x:v>
      </x:c>
      <x:c r="C1010" s="14" t="str">
        <x:v>select_question</x:v>
      </x:c>
      <x:c r="D1010" s="14" t="n">
        <x:v>0.87</x:v>
      </x:c>
      <x:c r="E1010" s="14" t="n">
        <x:v>0.87</x:v>
      </x:c>
      <x:c r="F1010" s="14" t="n">
        <x:v>0</x:v>
      </x:c>
      <x:c r="G1010" s="17" t="n">
        <x:v>1</x:v>
      </x:c>
      <x:c r="H1010" s="14" t="str">
        <x:v>S03-09:A:apply_relation
S03-09:A:source_question</x:v>
      </x:c>
    </x:row>
    <x:row r="1011" ht="72" customHeight="1">
      <x:c r="A1011" s="14" t="str">
        <x:v>S03-09:A:question_first</x:v>
      </x:c>
      <x:c r="B1011" s="14" t="str">
        <x:v>A</x:v>
      </x:c>
      <x:c r="C1011" s="14" t="str">
        <x:v>question_first</x:v>
      </x:c>
      <x:c r="D1011" s="14" t="n">
        <x:v>-1.4</x:v>
      </x:c>
      <x:c r="E1011" s="14" t="n">
        <x:v>-0.999</x:v>
      </x:c>
      <x:c r="F1011" s="14" t="n">
        <x:v>0.401</x:v>
      </x:c>
      <x:c r="G1011" s="17" t="n">
        <x:v>1</x:v>
      </x:c>
      <x:c r="H1011" s="14" t="str">
        <x:v>S03-09:A:source_question</x:v>
      </x:c>
    </x:row>
    <x:row r="1012" ht="72" customHeight="1">
      <x:c r="A1012" s="14" t="str">
        <x:v>S03-09:A:question_tail</x:v>
      </x:c>
      <x:c r="B1012" s="14" t="str">
        <x:v>A</x:v>
      </x:c>
      <x:c r="C1012" s="14" t="str">
        <x:v>question_tail</x:v>
      </x:c>
      <x:c r="D1012" s="14" t="n">
        <x:v>-0.999</x:v>
      </x:c>
      <x:c r="E1012" s="14" t="n">
        <x:v>-0.3385</x:v>
      </x:c>
      <x:c r="F1012" s="14" t="n">
        <x:v>0.6605</x:v>
      </x:c>
      <x:c r="G1012" s="17" t="n">
        <x:v>1</x:v>
      </x:c>
      <x:c r="H1012" s="14" t="str">
        <x:v>S03-09:A:question_first</x:v>
      </x:c>
    </x:row>
    <x:row r="1013" ht="72" customHeight="1">
      <x:c r="A1013" s="14" t="str">
        <x:v>S03-09:A:question_device</x:v>
      </x:c>
      <x:c r="B1013" s="14" t="str">
        <x:v>A</x:v>
      </x:c>
      <x:c r="C1013" s="14" t="str">
        <x:v>question_device</x:v>
      </x:c>
      <x:c r="D1013" s="14" t="n">
        <x:v>0.87</x:v>
      </x:c>
      <x:c r="E1013" s="14" t="n">
        <x:v>0.91</x:v>
      </x:c>
      <x:c r="F1013" s="14" t="n">
        <x:v>0.04</x:v>
      </x:c>
      <x:c r="G1013" s="17" t="n">
        <x:v>1</x:v>
      </x:c>
      <x:c r="H1013" s="14" t="str">
        <x:v>S03-09:A:select_question
S03-09:A:question_first</x:v>
      </x:c>
    </x:row>
    <x:row r="1014" ht="72" customHeight="1">
      <x:c r="A1014" s="14" t="str">
        <x:v>S03-09:A:question_played</x:v>
      </x:c>
      <x:c r="B1014" s="14" t="str">
        <x:v>A</x:v>
      </x:c>
      <x:c r="C1014" s="14" t="str">
        <x:v>question_played</x:v>
      </x:c>
      <x:c r="D1014" s="14" t="n">
        <x:v>0.91</x:v>
      </x:c>
      <x:c r="E1014" s="14" t="n">
        <x:v>3.752</x:v>
      </x:c>
      <x:c r="F1014" s="14" t="n">
        <x:v>2.842</x:v>
      </x:c>
      <x:c r="G1014" s="17" t="n">
        <x:v>0</x:v>
      </x:c>
      <x:c r="H1014" s="14" t="str">
        <x:v>S03-09:A:question_device</x:v>
      </x:c>
    </x:row>
    <x:row r="1015" ht="72" customHeight="1">
      <x:c r="A1015" s="14" t="str">
        <x:v>S03-09:A:source_report_v1</x:v>
      </x:c>
      <x:c r="B1015" s="14" t="str">
        <x:v>A</x:v>
      </x:c>
      <x:c r="C1015" s="14" t="str">
        <x:v>source_report_v1</x:v>
      </x:c>
      <x:c r="D1015" s="14" t="n">
        <x:v>-5.04</x:v>
      </x:c>
      <x:c r="E1015" s="14" t="n">
        <x:v>-1</x:v>
      </x:c>
      <x:c r="F1015" s="14" t="n">
        <x:v>4.04</x:v>
      </x:c>
      <x:c r="G1015" s="17" t="n">
        <x:v>0</x:v>
      </x:c>
      <x:c r="H1015" s="14" t="str">
        <x:v>S03-09:A:original_handoff</x:v>
      </x:c>
    </x:row>
    <x:row r="1016" ht="72" customHeight="1">
      <x:c r="A1016" s="14" t="str">
        <x:v>S03-09:A:display_report_v1</x:v>
      </x:c>
      <x:c r="B1016" s="14" t="str">
        <x:v>A</x:v>
      </x:c>
      <x:c r="C1016" s="14" t="str">
        <x:v>display_report_v1</x:v>
      </x:c>
      <x:c r="D1016" s="14" t="n">
        <x:v>-1</x:v>
      </x:c>
      <x:c r="E1016" s="14" t="n">
        <x:v>-0.96</x:v>
      </x:c>
      <x:c r="F1016" s="14" t="n">
        <x:v>0.04</x:v>
      </x:c>
      <x:c r="G1016" s="17" t="n">
        <x:v>1</x:v>
      </x:c>
      <x:c r="H1016" s="14" t="str">
        <x:v>S03-09:A:source_report_v1</x:v>
      </x:c>
    </x:row>
    <x:row r="1017" ht="72" customHeight="1">
      <x:c r="A1017" s="14" t="str">
        <x:v>S03-09:A:report_v1_first</x:v>
      </x:c>
      <x:c r="B1017" s="14" t="str">
        <x:v>A</x:v>
      </x:c>
      <x:c r="C1017" s="14" t="str">
        <x:v>report_v1_first</x:v>
      </x:c>
      <x:c r="D1017" s="14" t="n">
        <x:v>-1</x:v>
      </x:c>
      <x:c r="E1017" s="14" t="n">
        <x:v>-0.59</x:v>
      </x:c>
      <x:c r="F1017" s="14" t="n">
        <x:v>0.41</x:v>
      </x:c>
      <x:c r="G1017" s="17" t="n">
        <x:v>1</x:v>
      </x:c>
      <x:c r="H1017" s="14" t="str">
        <x:v>S03-09:A:source_report_v1</x:v>
      </x:c>
    </x:row>
    <x:row r="1018" ht="72" customHeight="1">
      <x:c r="A1018" s="14" t="str">
        <x:v>S03-09:A:report_v1_tail</x:v>
      </x:c>
      <x:c r="B1018" s="14" t="str">
        <x:v>A</x:v>
      </x:c>
      <x:c r="C1018" s="14" t="str">
        <x:v>report_v1_tail</x:v>
      </x:c>
      <x:c r="D1018" s="14" t="n">
        <x:v>-0.59</x:v>
      </x:c>
      <x:c r="E1018" s="14" t="n">
        <x:v>0.97</x:v>
      </x:c>
      <x:c r="F1018" s="14" t="n">
        <x:v>1.56</x:v>
      </x:c>
      <x:c r="G1018" s="17" t="n">
        <x:v>1</x:v>
      </x:c>
      <x:c r="H1018" s="14" t="str">
        <x:v>S03-09:A:report_v1_first</x:v>
      </x:c>
    </x:row>
    <x:row r="1019" ht="72" customHeight="1">
      <x:c r="A1019" s="14" t="str">
        <x:v>S03-09:A:revision_handoff</x:v>
      </x:c>
      <x:c r="B1019" s="14" t="str">
        <x:v>A</x:v>
      </x:c>
      <x:c r="C1019" s="14" t="str">
        <x:v>revision_handoff</x:v>
      </x:c>
      <x:c r="D1019" s="14" t="n">
        <x:v>0.87</x:v>
      </x:c>
      <x:c r="E1019" s="14" t="n">
        <x:v>0.99</x:v>
      </x:c>
      <x:c r="F1019" s="14" t="n">
        <x:v>0.12</x:v>
      </x:c>
      <x:c r="G1019" s="17" t="n">
        <x:v>1</x:v>
      </x:c>
      <x:c r="H1019" s="14" t="str">
        <x:v>S03-09:A:apply_relation</x:v>
      </x:c>
    </x:row>
    <x:row r="1020" ht="72" customHeight="1">
      <x:c r="A1020" s="14" t="str">
        <x:v>S03-09:A:source_report_v2</x:v>
      </x:c>
      <x:c r="B1020" s="14" t="str">
        <x:v>A</x:v>
      </x:c>
      <x:c r="C1020" s="14" t="str">
        <x:v>source_report_v2</x:v>
      </x:c>
      <x:c r="D1020" s="14" t="n">
        <x:v>0.99</x:v>
      </x:c>
      <x:c r="E1020" s="14" t="n">
        <x:v>3.39</x:v>
      </x:c>
      <x:c r="F1020" s="14" t="n">
        <x:v>2.4</x:v>
      </x:c>
      <x:c r="G1020" s="17" t="n">
        <x:v>0</x:v>
      </x:c>
      <x:c r="H1020" s="14" t="str">
        <x:v>S03-09:A:revision_handoff</x:v>
      </x:c>
    </x:row>
    <x:row r="1021" ht="72" customHeight="1">
      <x:c r="A1021" s="14" t="str">
        <x:v>S03-09:A:display_report_v2</x:v>
      </x:c>
      <x:c r="B1021" s="14" t="str">
        <x:v>A</x:v>
      </x:c>
      <x:c r="C1021" s="14" t="str">
        <x:v>display_report_v2</x:v>
      </x:c>
      <x:c r="D1021" s="14" t="n">
        <x:v>3.39</x:v>
      </x:c>
      <x:c r="E1021" s="14" t="n">
        <x:v>3.43</x:v>
      </x:c>
      <x:c r="F1021" s="14" t="n">
        <x:v>0.04</x:v>
      </x:c>
      <x:c r="G1021" s="17" t="n">
        <x:v>1</x:v>
      </x:c>
      <x:c r="H1021" s="14" t="str">
        <x:v>S03-09:A:source_report_v2</x:v>
      </x:c>
    </x:row>
    <x:row r="1022" ht="72" customHeight="1">
      <x:c r="A1022" s="14" t="str">
        <x:v>S03-09:A:select_report_v2</x:v>
      </x:c>
      <x:c r="B1022" s="14" t="str">
        <x:v>A</x:v>
      </x:c>
      <x:c r="C1022" s="14" t="str">
        <x:v>select_report_v2</x:v>
      </x:c>
      <x:c r="D1022" s="14" t="n">
        <x:v>3.752</x:v>
      </x:c>
      <x:c r="E1022" s="14" t="n">
        <x:v>3.752</x:v>
      </x:c>
      <x:c r="F1022" s="14" t="n">
        <x:v>0</x:v>
      </x:c>
      <x:c r="G1022" s="17" t="n">
        <x:v>1</x:v>
      </x:c>
      <x:c r="H1022" s="14" t="str">
        <x:v>S03-09:A:question_played
S03-09:A:source_report_v2</x:v>
      </x:c>
    </x:row>
    <x:row r="1023" ht="72" customHeight="1">
      <x:c r="A1023" s="14" t="str">
        <x:v>S03-09:A:report_v2_first</x:v>
      </x:c>
      <x:c r="B1023" s="14" t="str">
        <x:v>A</x:v>
      </x:c>
      <x:c r="C1023" s="14" t="str">
        <x:v>report_v2_first</x:v>
      </x:c>
      <x:c r="D1023" s="14" t="n">
        <x:v>3.39</x:v>
      </x:c>
      <x:c r="E1023" s="14" t="n">
        <x:v>3.799</x:v>
      </x:c>
      <x:c r="F1023" s="14" t="n">
        <x:v>0.409</x:v>
      </x:c>
      <x:c r="G1023" s="17" t="n">
        <x:v>1</x:v>
      </x:c>
      <x:c r="H1023" s="14" t="str">
        <x:v>S03-09:A:source_report_v2</x:v>
      </x:c>
    </x:row>
    <x:row r="1024" ht="72" customHeight="1">
      <x:c r="A1024" s="14" t="str">
        <x:v>S03-09:A:report_v2_tail</x:v>
      </x:c>
      <x:c r="B1024" s="14" t="str">
        <x:v>A</x:v>
      </x:c>
      <x:c r="C1024" s="14" t="str">
        <x:v>report_v2_tail</x:v>
      </x:c>
      <x:c r="D1024" s="14" t="n">
        <x:v>3.799</x:v>
      </x:c>
      <x:c r="E1024" s="14" t="n">
        <x:v>5.7595</x:v>
      </x:c>
      <x:c r="F1024" s="14" t="n">
        <x:v>1.9605</x:v>
      </x:c>
      <x:c r="G1024" s="17" t="n">
        <x:v>1</x:v>
      </x:c>
      <x:c r="H1024" s="14" t="str">
        <x:v>S03-09:A:report_v2_first</x:v>
      </x:c>
    </x:row>
    <x:row r="1025" ht="72" customHeight="1">
      <x:c r="A1025" s="14" t="str">
        <x:v>S03-09:A:report_v2_device</x:v>
      </x:c>
      <x:c r="B1025" s="14" t="str">
        <x:v>A</x:v>
      </x:c>
      <x:c r="C1025" s="14" t="str">
        <x:v>report_v2_device</x:v>
      </x:c>
      <x:c r="D1025" s="14" t="n">
        <x:v>3.799</x:v>
      </x:c>
      <x:c r="E1025" s="14" t="n">
        <x:v>3.839</x:v>
      </x:c>
      <x:c r="F1025" s="14" t="n">
        <x:v>0.04</x:v>
      </x:c>
      <x:c r="G1025" s="17" t="n">
        <x:v>1</x:v>
      </x:c>
      <x:c r="H1025" s="14" t="str">
        <x:v>S03-09:A:select_report_v2
S03-09:A:report_v2_first</x:v>
      </x:c>
    </x:row>
    <x:row r="1026" ht="72" customHeight="1">
      <x:c r="A1026" s="14" t="str">
        <x:v>S03-09:A:report_v2_played</x:v>
      </x:c>
      <x:c r="B1026" s="14" t="str">
        <x:v>A</x:v>
      </x:c>
      <x:c r="C1026" s="14" t="str">
        <x:v>report_v2_played</x:v>
      </x:c>
      <x:c r="D1026" s="14" t="n">
        <x:v>3.839</x:v>
      </x:c>
      <x:c r="E1026" s="14" t="n">
        <x:v>11.881</x:v>
      </x:c>
      <x:c r="F1026" s="14" t="n">
        <x:v>8.042</x:v>
      </x:c>
      <x:c r="G1026" s="17" t="n">
        <x:v>0</x:v>
      </x:c>
      <x:c r="H1026" s="14" t="str">
        <x:v>S03-09:A:report_v2_device</x:v>
      </x:c>
    </x:row>
    <x:row r="1027" ht="72" customHeight="1">
      <x:c r="A1027" s="14" t="str">
        <x:v>S03-09:B:origin</x:v>
      </x:c>
      <x:c r="B1027" s="14" t="str">
        <x:v>B</x:v>
      </x:c>
      <x:c r="C1027" s="14" t="str">
        <x:v>origin</x:v>
      </x:c>
      <x:c r="D1027" s="14" t="n">
        <x:v>-6</x:v>
      </x:c>
      <x:c r="E1027" s="14" t="n">
        <x:v>-6</x:v>
      </x:c>
      <x:c r="F1027" s="14" t="n">
        <x:v>0</x:v>
      </x:c>
      <x:c r="G1027" s="17" t="n">
        <x:v>0</x:v>
      </x:c>
      <x:c r="H1027" s="14" t="str"/>
    </x:row>
    <x:row r="1028" ht="72" customHeight="1">
      <x:c r="A1028" s="14" t="str">
        <x:v>S03-09:B:origin_interpretation</x:v>
      </x:c>
      <x:c r="B1028" s="14" t="str">
        <x:v>B</x:v>
      </x:c>
      <x:c r="C1028" s="14" t="str">
        <x:v>origin_interpretation</x:v>
      </x:c>
      <x:c r="D1028" s="14" t="n">
        <x:v>-6</x:v>
      </x:c>
      <x:c r="E1028" s="14" t="n">
        <x:v>-5.16</x:v>
      </x:c>
      <x:c r="F1028" s="14" t="n">
        <x:v>0.84</x:v>
      </x:c>
      <x:c r="G1028" s="17" t="n">
        <x:v>1</x:v>
      </x:c>
      <x:c r="H1028" s="14" t="str">
        <x:v>S03-09:B:origin</x:v>
      </x:c>
    </x:row>
    <x:row r="1029" ht="72" customHeight="1">
      <x:c r="A1029" s="14" t="str">
        <x:v>S03-09:B:original_handoff</x:v>
      </x:c>
      <x:c r="B1029" s="14" t="str">
        <x:v>B</x:v>
      </x:c>
      <x:c r="C1029" s="14" t="str">
        <x:v>original_handoff</x:v>
      </x:c>
      <x:c r="D1029" s="14" t="n">
        <x:v>-5.16</x:v>
      </x:c>
      <x:c r="E1029" s="14" t="n">
        <x:v>-5.04</x:v>
      </x:c>
      <x:c r="F1029" s="14" t="n">
        <x:v>0.12</x:v>
      </x:c>
      <x:c r="G1029" s="17" t="n">
        <x:v>1</x:v>
      </x:c>
      <x:c r="H1029" s="14" t="str">
        <x:v>S03-09:B:origin_interpretation</x:v>
      </x:c>
    </x:row>
    <x:row r="1030" ht="72" customHeight="1">
      <x:c r="A1030" s="14" t="str">
        <x:v>S03-09:B:evaluation_utterance_end</x:v>
      </x:c>
      <x:c r="B1030" s="14" t="str">
        <x:v>B</x:v>
      </x:c>
      <x:c r="C1030" s="14" t="str">
        <x:v>evaluation_utterance_end</x:v>
      </x:c>
      <x:c r="D1030" s="14" t="n">
        <x:v>-6</x:v>
      </x:c>
      <x:c r="E1030" s="14" t="n">
        <x:v>0</x:v>
      </x:c>
      <x:c r="F1030" s="14" t="n">
        <x:v>6</x:v>
      </x:c>
      <x:c r="G1030" s="17" t="n">
        <x:v>0</x:v>
      </x:c>
      <x:c r="H1030" s="14" t="str">
        <x:v>S03-09:B:origin</x:v>
      </x:c>
    </x:row>
    <x:row r="1031" ht="72" customHeight="1">
      <x:c r="A1031" s="14" t="str">
        <x:v>S03-09:B:final_transcript</x:v>
      </x:c>
      <x:c r="B1031" s="14" t="str">
        <x:v>B</x:v>
      </x:c>
      <x:c r="C1031" s="14" t="str">
        <x:v>final_transcript</x:v>
      </x:c>
      <x:c r="D1031" s="14" t="n">
        <x:v>0</x:v>
      </x:c>
      <x:c r="E1031" s="14" t="n">
        <x:v>0.3</x:v>
      </x:c>
      <x:c r="F1031" s="14" t="n">
        <x:v>0.3</x:v>
      </x:c>
      <x:c r="G1031" s="17" t="n">
        <x:v>1</x:v>
      </x:c>
      <x:c r="H1031" s="14" t="str">
        <x:v>S03-09:B:evaluation_utterance_end</x:v>
      </x:c>
    </x:row>
    <x:row r="1032" ht="72" customHeight="1">
      <x:c r="A1032" s="14" t="str">
        <x:v>S03-09:B:meaning_adoption</x:v>
      </x:c>
      <x:c r="B1032" s="14" t="str">
        <x:v>B</x:v>
      </x:c>
      <x:c r="C1032" s="14" t="str">
        <x:v>meaning_adoption</x:v>
      </x:c>
      <x:c r="D1032" s="14" t="n">
        <x:v>0.3</x:v>
      </x:c>
      <x:c r="E1032" s="14" t="n">
        <x:v>0.83</x:v>
      </x:c>
      <x:c r="F1032" s="14" t="n">
        <x:v>0.53</x:v>
      </x:c>
      <x:c r="G1032" s="17" t="n">
        <x:v>1</x:v>
      </x:c>
      <x:c r="H1032" s="14" t="str">
        <x:v>S03-09:B:final_transcript
S03-09:B:origin_interpretation</x:v>
      </x:c>
    </x:row>
    <x:row r="1033" ht="72" customHeight="1">
      <x:c r="A1033" s="14" t="str">
        <x:v>S03-09:B:apply_relation</x:v>
      </x:c>
      <x:c r="B1033" s="14" t="str">
        <x:v>B</x:v>
      </x:c>
      <x:c r="C1033" s="14" t="str">
        <x:v>apply_relation</x:v>
      </x:c>
      <x:c r="D1033" s="14" t="n">
        <x:v>0.83</x:v>
      </x:c>
      <x:c r="E1033" s="14" t="n">
        <x:v>0.87</x:v>
      </x:c>
      <x:c r="F1033" s="14" t="n">
        <x:v>0.04</x:v>
      </x:c>
      <x:c r="G1033" s="17" t="n">
        <x:v>1</x:v>
      </x:c>
      <x:c r="H1033" s="14" t="str">
        <x:v>S03-09:B:meaning_adoption</x:v>
      </x:c>
    </x:row>
    <x:row r="1034" ht="72" customHeight="1">
      <x:c r="A1034" s="14" t="str">
        <x:v>S03-09:B:evaluation_first_display</x:v>
      </x:c>
      <x:c r="B1034" s="14" t="str">
        <x:v>B</x:v>
      </x:c>
      <x:c r="C1034" s="14" t="str">
        <x:v>evaluation_first_display</x:v>
      </x:c>
      <x:c r="D1034" s="14" t="n">
        <x:v>0.87</x:v>
      </x:c>
      <x:c r="E1034" s="14" t="n">
        <x:v>0.91</x:v>
      </x:c>
      <x:c r="F1034" s="14" t="n">
        <x:v>0.04</x:v>
      </x:c>
      <x:c r="G1034" s="17" t="n">
        <x:v>1</x:v>
      </x:c>
      <x:c r="H1034" s="14" t="str">
        <x:v>S03-09:B:apply_relation</x:v>
      </x:c>
    </x:row>
    <x:row r="1035" ht="72" customHeight="1">
      <x:c r="A1035" s="14" t="str">
        <x:v>S03-09:B:source_question</x:v>
      </x:c>
      <x:c r="B1035" s="14" t="str">
        <x:v>B</x:v>
      </x:c>
      <x:c r="C1035" s="14" t="str">
        <x:v>source_question</x:v>
      </x:c>
      <x:c r="D1035" s="14" t="n">
        <x:v>-5.04</x:v>
      </x:c>
      <x:c r="E1035" s="14" t="n">
        <x:v>-1.4</x:v>
      </x:c>
      <x:c r="F1035" s="14" t="n">
        <x:v>3.64</x:v>
      </x:c>
      <x:c r="G1035" s="17" t="n">
        <x:v>0</x:v>
      </x:c>
      <x:c r="H1035" s="14" t="str">
        <x:v>S03-09:B:original_handoff</x:v>
      </x:c>
    </x:row>
    <x:row r="1036" ht="72" customHeight="1">
      <x:c r="A1036" s="14" t="str">
        <x:v>S03-09:B:display_question</x:v>
      </x:c>
      <x:c r="B1036" s="14" t="str">
        <x:v>B</x:v>
      </x:c>
      <x:c r="C1036" s="14" t="str">
        <x:v>display_question</x:v>
      </x:c>
      <x:c r="D1036" s="14" t="n">
        <x:v>-1.4</x:v>
      </x:c>
      <x:c r="E1036" s="14" t="n">
        <x:v>-1.36</x:v>
      </x:c>
      <x:c r="F1036" s="14" t="n">
        <x:v>0.04</x:v>
      </x:c>
      <x:c r="G1036" s="17" t="n">
        <x:v>1</x:v>
      </x:c>
      <x:c r="H1036" s="14" t="str">
        <x:v>S03-09:B:source_question</x:v>
      </x:c>
    </x:row>
    <x:row r="1037" ht="72" customHeight="1">
      <x:c r="A1037" s="14" t="str">
        <x:v>S03-09:B:select_question</x:v>
      </x:c>
      <x:c r="B1037" s="14" t="str">
        <x:v>B</x:v>
      </x:c>
      <x:c r="C1037" s="14" t="str">
        <x:v>select_question</x:v>
      </x:c>
      <x:c r="D1037" s="14" t="n">
        <x:v>0.87</x:v>
      </x:c>
      <x:c r="E1037" s="14" t="n">
        <x:v>0.87</x:v>
      </x:c>
      <x:c r="F1037" s="14" t="n">
        <x:v>0</x:v>
      </x:c>
      <x:c r="G1037" s="17" t="n">
        <x:v>1</x:v>
      </x:c>
      <x:c r="H1037" s="14" t="str">
        <x:v>S03-09:B:apply_relation
S03-09:B:source_question</x:v>
      </x:c>
    </x:row>
    <x:row r="1038" ht="72" customHeight="1">
      <x:c r="A1038" s="14" t="str">
        <x:v>S03-09:B:question_first</x:v>
      </x:c>
      <x:c r="B1038" s="14" t="str">
        <x:v>B</x:v>
      </x:c>
      <x:c r="C1038" s="14" t="str">
        <x:v>question_first</x:v>
      </x:c>
      <x:c r="D1038" s="14" t="n">
        <x:v>0.87</x:v>
      </x:c>
      <x:c r="E1038" s="14" t="n">
        <x:v>1.271</x:v>
      </x:c>
      <x:c r="F1038" s="14" t="n">
        <x:v>0.401</x:v>
      </x:c>
      <x:c r="G1038" s="17" t="n">
        <x:v>1</x:v>
      </x:c>
      <x:c r="H1038" s="14" t="str">
        <x:v>S03-09:B:select_question</x:v>
      </x:c>
    </x:row>
    <x:row r="1039" ht="72" customHeight="1">
      <x:c r="A1039" s="14" t="str">
        <x:v>S03-09:B:question_tail</x:v>
      </x:c>
      <x:c r="B1039" s="14" t="str">
        <x:v>B</x:v>
      </x:c>
      <x:c r="C1039" s="14" t="str">
        <x:v>question_tail</x:v>
      </x:c>
      <x:c r="D1039" s="14" t="n">
        <x:v>1.271</x:v>
      </x:c>
      <x:c r="E1039" s="14" t="n">
        <x:v>1.9315</x:v>
      </x:c>
      <x:c r="F1039" s="14" t="n">
        <x:v>0.6605</x:v>
      </x:c>
      <x:c r="G1039" s="17" t="n">
        <x:v>1</x:v>
      </x:c>
      <x:c r="H1039" s="14" t="str">
        <x:v>S03-09:B:question_first</x:v>
      </x:c>
    </x:row>
    <x:row r="1040" ht="72" customHeight="1">
      <x:c r="A1040" s="14" t="str">
        <x:v>S03-09:B:question_device</x:v>
      </x:c>
      <x:c r="B1040" s="14" t="str">
        <x:v>B</x:v>
      </x:c>
      <x:c r="C1040" s="14" t="str">
        <x:v>question_device</x:v>
      </x:c>
      <x:c r="D1040" s="14" t="n">
        <x:v>1.271</x:v>
      </x:c>
      <x:c r="E1040" s="14" t="n">
        <x:v>1.311</x:v>
      </x:c>
      <x:c r="F1040" s="14" t="n">
        <x:v>0.04</x:v>
      </x:c>
      <x:c r="G1040" s="17" t="n">
        <x:v>1</x:v>
      </x:c>
      <x:c r="H1040" s="14" t="str">
        <x:v>S03-09:B:select_question
S03-09:B:question_first</x:v>
      </x:c>
    </x:row>
    <x:row r="1041" ht="72" customHeight="1">
      <x:c r="A1041" s="14" t="str">
        <x:v>S03-09:B:question_played</x:v>
      </x:c>
      <x:c r="B1041" s="14" t="str">
        <x:v>B</x:v>
      </x:c>
      <x:c r="C1041" s="14" t="str">
        <x:v>question_played</x:v>
      </x:c>
      <x:c r="D1041" s="14" t="n">
        <x:v>1.311</x:v>
      </x:c>
      <x:c r="E1041" s="14" t="n">
        <x:v>4.153</x:v>
      </x:c>
      <x:c r="F1041" s="14" t="n">
        <x:v>2.842</x:v>
      </x:c>
      <x:c r="G1041" s="17" t="n">
        <x:v>0</x:v>
      </x:c>
      <x:c r="H1041" s="14" t="str">
        <x:v>S03-09:B:question_device</x:v>
      </x:c>
    </x:row>
    <x:row r="1042" ht="72" customHeight="1">
      <x:c r="A1042" s="14" t="str">
        <x:v>S03-09:B:source_report_v1</x:v>
      </x:c>
      <x:c r="B1042" s="14" t="str">
        <x:v>B</x:v>
      </x:c>
      <x:c r="C1042" s="14" t="str">
        <x:v>source_report_v1</x:v>
      </x:c>
      <x:c r="D1042" s="14" t="n">
        <x:v>-5.04</x:v>
      </x:c>
      <x:c r="E1042" s="14" t="n">
        <x:v>-1</x:v>
      </x:c>
      <x:c r="F1042" s="14" t="n">
        <x:v>4.04</x:v>
      </x:c>
      <x:c r="G1042" s="17" t="n">
        <x:v>0</x:v>
      </x:c>
      <x:c r="H1042" s="14" t="str">
        <x:v>S03-09:B:original_handoff</x:v>
      </x:c>
    </x:row>
    <x:row r="1043" ht="72" customHeight="1">
      <x:c r="A1043" s="14" t="str">
        <x:v>S03-09:B:display_report_v1</x:v>
      </x:c>
      <x:c r="B1043" s="14" t="str">
        <x:v>B</x:v>
      </x:c>
      <x:c r="C1043" s="14" t="str">
        <x:v>display_report_v1</x:v>
      </x:c>
      <x:c r="D1043" s="14" t="n">
        <x:v>-1</x:v>
      </x:c>
      <x:c r="E1043" s="14" t="n">
        <x:v>-0.96</x:v>
      </x:c>
      <x:c r="F1043" s="14" t="n">
        <x:v>0.04</x:v>
      </x:c>
      <x:c r="G1043" s="17" t="n">
        <x:v>1</x:v>
      </x:c>
      <x:c r="H1043" s="14" t="str">
        <x:v>S03-09:B:source_report_v1</x:v>
      </x:c>
    </x:row>
    <x:row r="1044" ht="72" customHeight="1">
      <x:c r="A1044" s="14" t="str">
        <x:v>S03-09:B:revision_handoff</x:v>
      </x:c>
      <x:c r="B1044" s="14" t="str">
        <x:v>B</x:v>
      </x:c>
      <x:c r="C1044" s="14" t="str">
        <x:v>revision_handoff</x:v>
      </x:c>
      <x:c r="D1044" s="14" t="n">
        <x:v>0.87</x:v>
      </x:c>
      <x:c r="E1044" s="14" t="n">
        <x:v>0.99</x:v>
      </x:c>
      <x:c r="F1044" s="14" t="n">
        <x:v>0.12</x:v>
      </x:c>
      <x:c r="G1044" s="17" t="n">
        <x:v>1</x:v>
      </x:c>
      <x:c r="H1044" s="14" t="str">
        <x:v>S03-09:B:apply_relation</x:v>
      </x:c>
    </x:row>
    <x:row r="1045" ht="72" customHeight="1">
      <x:c r="A1045" s="14" t="str">
        <x:v>S03-09:B:source_report_v2</x:v>
      </x:c>
      <x:c r="B1045" s="14" t="str">
        <x:v>B</x:v>
      </x:c>
      <x:c r="C1045" s="14" t="str">
        <x:v>source_report_v2</x:v>
      </x:c>
      <x:c r="D1045" s="14" t="n">
        <x:v>0.99</x:v>
      </x:c>
      <x:c r="E1045" s="14" t="n">
        <x:v>3.39</x:v>
      </x:c>
      <x:c r="F1045" s="14" t="n">
        <x:v>2.4</x:v>
      </x:c>
      <x:c r="G1045" s="17" t="n">
        <x:v>0</x:v>
      </x:c>
      <x:c r="H1045" s="14" t="str">
        <x:v>S03-09:B:revision_handoff</x:v>
      </x:c>
    </x:row>
    <x:row r="1046" ht="72" customHeight="1">
      <x:c r="A1046" s="14" t="str">
        <x:v>S03-09:B:display_report_v2</x:v>
      </x:c>
      <x:c r="B1046" s="14" t="str">
        <x:v>B</x:v>
      </x:c>
      <x:c r="C1046" s="14" t="str">
        <x:v>display_report_v2</x:v>
      </x:c>
      <x:c r="D1046" s="14" t="n">
        <x:v>3.39</x:v>
      </x:c>
      <x:c r="E1046" s="14" t="n">
        <x:v>3.43</x:v>
      </x:c>
      <x:c r="F1046" s="14" t="n">
        <x:v>0.04</x:v>
      </x:c>
      <x:c r="G1046" s="17" t="n">
        <x:v>1</x:v>
      </x:c>
      <x:c r="H1046" s="14" t="str">
        <x:v>S03-09:B:source_report_v2</x:v>
      </x:c>
    </x:row>
    <x:row r="1047" ht="72" customHeight="1">
      <x:c r="A1047" s="14" t="str">
        <x:v>S03-09:B:select_report_v2</x:v>
      </x:c>
      <x:c r="B1047" s="14" t="str">
        <x:v>B</x:v>
      </x:c>
      <x:c r="C1047" s="14" t="str">
        <x:v>select_report_v2</x:v>
      </x:c>
      <x:c r="D1047" s="14" t="n">
        <x:v>4.153</x:v>
      </x:c>
      <x:c r="E1047" s="14" t="n">
        <x:v>4.153</x:v>
      </x:c>
      <x:c r="F1047" s="14" t="n">
        <x:v>0</x:v>
      </x:c>
      <x:c r="G1047" s="17" t="n">
        <x:v>1</x:v>
      </x:c>
      <x:c r="H1047" s="14" t="str">
        <x:v>S03-09:B:question_played
S03-09:B:source_report_v2</x:v>
      </x:c>
    </x:row>
    <x:row r="1048" ht="72" customHeight="1">
      <x:c r="A1048" s="14" t="str">
        <x:v>S03-09:B:report_v2_first</x:v>
      </x:c>
      <x:c r="B1048" s="14" t="str">
        <x:v>B</x:v>
      </x:c>
      <x:c r="C1048" s="14" t="str">
        <x:v>report_v2_first</x:v>
      </x:c>
      <x:c r="D1048" s="14" t="n">
        <x:v>4.153</x:v>
      </x:c>
      <x:c r="E1048" s="14" t="n">
        <x:v>4.562</x:v>
      </x:c>
      <x:c r="F1048" s="14" t="n">
        <x:v>0.409</x:v>
      </x:c>
      <x:c r="G1048" s="17" t="n">
        <x:v>1</x:v>
      </x:c>
      <x:c r="H1048" s="14" t="str">
        <x:v>S03-09:B:select_report_v2</x:v>
      </x:c>
    </x:row>
    <x:row r="1049" ht="72" customHeight="1">
      <x:c r="A1049" s="14" t="str">
        <x:v>S03-09:B:report_v2_tail</x:v>
      </x:c>
      <x:c r="B1049" s="14" t="str">
        <x:v>B</x:v>
      </x:c>
      <x:c r="C1049" s="14" t="str">
        <x:v>report_v2_tail</x:v>
      </x:c>
      <x:c r="D1049" s="14" t="n">
        <x:v>4.562</x:v>
      </x:c>
      <x:c r="E1049" s="14" t="n">
        <x:v>6.5225</x:v>
      </x:c>
      <x:c r="F1049" s="14" t="n">
        <x:v>1.9605</x:v>
      </x:c>
      <x:c r="G1049" s="17" t="n">
        <x:v>1</x:v>
      </x:c>
      <x:c r="H1049" s="14" t="str">
        <x:v>S03-09:B:report_v2_first</x:v>
      </x:c>
    </x:row>
    <x:row r="1050" ht="72" customHeight="1">
      <x:c r="A1050" s="14" t="str">
        <x:v>S03-09:B:report_v2_device</x:v>
      </x:c>
      <x:c r="B1050" s="14" t="str">
        <x:v>B</x:v>
      </x:c>
      <x:c r="C1050" s="14" t="str">
        <x:v>report_v2_device</x:v>
      </x:c>
      <x:c r="D1050" s="14" t="n">
        <x:v>4.562</x:v>
      </x:c>
      <x:c r="E1050" s="14" t="n">
        <x:v>4.602</x:v>
      </x:c>
      <x:c r="F1050" s="14" t="n">
        <x:v>0.04</x:v>
      </x:c>
      <x:c r="G1050" s="17" t="n">
        <x:v>1</x:v>
      </x:c>
      <x:c r="H1050" s="14" t="str">
        <x:v>S03-09:B:select_report_v2
S03-09:B:report_v2_first</x:v>
      </x:c>
    </x:row>
    <x:row r="1051" ht="72" customHeight="1">
      <x:c r="A1051" s="14" t="str">
        <x:v>S03-09:B:report_v2_played</x:v>
      </x:c>
      <x:c r="B1051" s="14" t="str">
        <x:v>B</x:v>
      </x:c>
      <x:c r="C1051" s="14" t="str">
        <x:v>report_v2_played</x:v>
      </x:c>
      <x:c r="D1051" s="14" t="n">
        <x:v>4.602</x:v>
      </x:c>
      <x:c r="E1051" s="14" t="n">
        <x:v>12.644</x:v>
      </x:c>
      <x:c r="F1051" s="14" t="n">
        <x:v>8.042</x:v>
      </x:c>
      <x:c r="G1051" s="17" t="n">
        <x:v>0</x:v>
      </x:c>
      <x:c r="H1051" s="14" t="str">
        <x:v>S03-09:B:report_v2_device</x:v>
      </x:c>
    </x:row>
    <x:row r="1052" ht="72" customHeight="1">
      <x:c r="A1052" s="14" t="str">
        <x:v>S03-10:A:origin</x:v>
      </x:c>
      <x:c r="B1052" s="14" t="str">
        <x:v>A</x:v>
      </x:c>
      <x:c r="C1052" s="14" t="str">
        <x:v>origin</x:v>
      </x:c>
      <x:c r="D1052" s="14" t="n">
        <x:v>-6</x:v>
      </x:c>
      <x:c r="E1052" s="14" t="n">
        <x:v>-6</x:v>
      </x:c>
      <x:c r="F1052" s="14" t="n">
        <x:v>0</x:v>
      </x:c>
      <x:c r="G1052" s="17" t="n">
        <x:v>0</x:v>
      </x:c>
      <x:c r="H1052" s="14" t="str"/>
    </x:row>
    <x:row r="1053" ht="72" customHeight="1">
      <x:c r="A1053" s="14" t="str">
        <x:v>S03-10:A:origin_interpretation</x:v>
      </x:c>
      <x:c r="B1053" s="14" t="str">
        <x:v>A</x:v>
      </x:c>
      <x:c r="C1053" s="14" t="str">
        <x:v>origin_interpretation</x:v>
      </x:c>
      <x:c r="D1053" s="14" t="n">
        <x:v>-6</x:v>
      </x:c>
      <x:c r="E1053" s="14" t="n">
        <x:v>-5.16</x:v>
      </x:c>
      <x:c r="F1053" s="14" t="n">
        <x:v>0.84</x:v>
      </x:c>
      <x:c r="G1053" s="17" t="n">
        <x:v>1</x:v>
      </x:c>
      <x:c r="H1053" s="14" t="str">
        <x:v>S03-10:A:origin</x:v>
      </x:c>
    </x:row>
    <x:row r="1054" ht="72" customHeight="1">
      <x:c r="A1054" s="14" t="str">
        <x:v>S03-10:A:original_handoff</x:v>
      </x:c>
      <x:c r="B1054" s="14" t="str">
        <x:v>A</x:v>
      </x:c>
      <x:c r="C1054" s="14" t="str">
        <x:v>original_handoff</x:v>
      </x:c>
      <x:c r="D1054" s="14" t="n">
        <x:v>-5.16</x:v>
      </x:c>
      <x:c r="E1054" s="14" t="n">
        <x:v>-5.04</x:v>
      </x:c>
      <x:c r="F1054" s="14" t="n">
        <x:v>0.12</x:v>
      </x:c>
      <x:c r="G1054" s="17" t="n">
        <x:v>1</x:v>
      </x:c>
      <x:c r="H1054" s="14" t="str">
        <x:v>S03-10:A:origin_interpretation</x:v>
      </x:c>
    </x:row>
    <x:row r="1055" ht="72" customHeight="1">
      <x:c r="A1055" s="14" t="str">
        <x:v>S03-10:A:evaluation_utterance_end</x:v>
      </x:c>
      <x:c r="B1055" s="14" t="str">
        <x:v>A</x:v>
      </x:c>
      <x:c r="C1055" s="14" t="str">
        <x:v>evaluation_utterance_end</x:v>
      </x:c>
      <x:c r="D1055" s="14" t="n">
        <x:v>-6</x:v>
      </x:c>
      <x:c r="E1055" s="14" t="n">
        <x:v>0</x:v>
      </x:c>
      <x:c r="F1055" s="14" t="n">
        <x:v>6</x:v>
      </x:c>
      <x:c r="G1055" s="17" t="n">
        <x:v>0</x:v>
      </x:c>
      <x:c r="H1055" s="14" t="str">
        <x:v>S03-10:A:origin</x:v>
      </x:c>
    </x:row>
    <x:row r="1056" ht="72" customHeight="1">
      <x:c r="A1056" s="14" t="str">
        <x:v>S03-10:A:final_transcript</x:v>
      </x:c>
      <x:c r="B1056" s="14" t="str">
        <x:v>A</x:v>
      </x:c>
      <x:c r="C1056" s="14" t="str">
        <x:v>final_transcript</x:v>
      </x:c>
      <x:c r="D1056" s="14" t="n">
        <x:v>0</x:v>
      </x:c>
      <x:c r="E1056" s="14" t="n">
        <x:v>0.3</x:v>
      </x:c>
      <x:c r="F1056" s="14" t="n">
        <x:v>0.3</x:v>
      </x:c>
      <x:c r="G1056" s="17" t="n">
        <x:v>1</x:v>
      </x:c>
      <x:c r="H1056" s="14" t="str">
        <x:v>S03-10:A:evaluation_utterance_end</x:v>
      </x:c>
    </x:row>
    <x:row r="1057" ht="72" customHeight="1">
      <x:c r="A1057" s="14" t="str">
        <x:v>S03-10:A:meaning_adoption</x:v>
      </x:c>
      <x:c r="B1057" s="14" t="str">
        <x:v>A</x:v>
      </x:c>
      <x:c r="C1057" s="14" t="str">
        <x:v>meaning_adoption</x:v>
      </x:c>
      <x:c r="D1057" s="14" t="n">
        <x:v>0.3</x:v>
      </x:c>
      <x:c r="E1057" s="14" t="n">
        <x:v>0.858333333</x:v>
      </x:c>
      <x:c r="F1057" s="14" t="n">
        <x:v>0.558333333</x:v>
      </x:c>
      <x:c r="G1057" s="17" t="n">
        <x:v>1</x:v>
      </x:c>
      <x:c r="H1057" s="14" t="str">
        <x:v>S03-10:A:final_transcript
S03-10:A:origin_interpretation</x:v>
      </x:c>
    </x:row>
    <x:row r="1058" ht="72" customHeight="1">
      <x:c r="A1058" s="14" t="str">
        <x:v>S03-10:A:apply_relation</x:v>
      </x:c>
      <x:c r="B1058" s="14" t="str">
        <x:v>A</x:v>
      </x:c>
      <x:c r="C1058" s="14" t="str">
        <x:v>apply_relation</x:v>
      </x:c>
      <x:c r="D1058" s="14" t="n">
        <x:v>0.858333333</x:v>
      </x:c>
      <x:c r="E1058" s="14" t="n">
        <x:v>0.898333333</x:v>
      </x:c>
      <x:c r="F1058" s="14" t="n">
        <x:v>0.04</x:v>
      </x:c>
      <x:c r="G1058" s="17" t="n">
        <x:v>1</x:v>
      </x:c>
      <x:c r="H1058" s="14" t="str">
        <x:v>S03-10:A:meaning_adoption</x:v>
      </x:c>
    </x:row>
    <x:row r="1059" ht="72" customHeight="1">
      <x:c r="A1059" s="14" t="str">
        <x:v>S03-10:A:evaluation_first_display</x:v>
      </x:c>
      <x:c r="B1059" s="14" t="str">
        <x:v>A</x:v>
      </x:c>
      <x:c r="C1059" s="14" t="str">
        <x:v>evaluation_first_display</x:v>
      </x:c>
      <x:c r="D1059" s="14" t="n">
        <x:v>0.898333333</x:v>
      </x:c>
      <x:c r="E1059" s="14" t="n">
        <x:v>0.938333333</x:v>
      </x:c>
      <x:c r="F1059" s="14" t="n">
        <x:v>0.04</x:v>
      </x:c>
      <x:c r="G1059" s="17" t="n">
        <x:v>1</x:v>
      </x:c>
      <x:c r="H1059" s="14" t="str">
        <x:v>S03-10:A:apply_relation</x:v>
      </x:c>
    </x:row>
    <x:row r="1060" ht="72" customHeight="1">
      <x:c r="A1060" s="14" t="str">
        <x:v>S03-10:A:source_question</x:v>
      </x:c>
      <x:c r="B1060" s="14" t="str">
        <x:v>A</x:v>
      </x:c>
      <x:c r="C1060" s="14" t="str">
        <x:v>source_question</x:v>
      </x:c>
      <x:c r="D1060" s="14" t="n">
        <x:v>-5.04</x:v>
      </x:c>
      <x:c r="E1060" s="14" t="n">
        <x:v>-1.4</x:v>
      </x:c>
      <x:c r="F1060" s="14" t="n">
        <x:v>3.64</x:v>
      </x:c>
      <x:c r="G1060" s="17" t="n">
        <x:v>0</x:v>
      </x:c>
      <x:c r="H1060" s="14" t="str">
        <x:v>S03-10:A:original_handoff</x:v>
      </x:c>
    </x:row>
    <x:row r="1061" ht="72" customHeight="1">
      <x:c r="A1061" s="14" t="str">
        <x:v>S03-10:A:display_question</x:v>
      </x:c>
      <x:c r="B1061" s="14" t="str">
        <x:v>A</x:v>
      </x:c>
      <x:c r="C1061" s="14" t="str">
        <x:v>display_question</x:v>
      </x:c>
      <x:c r="D1061" s="14" t="n">
        <x:v>-1.4</x:v>
      </x:c>
      <x:c r="E1061" s="14" t="n">
        <x:v>-1.36</x:v>
      </x:c>
      <x:c r="F1061" s="14" t="n">
        <x:v>0.04</x:v>
      </x:c>
      <x:c r="G1061" s="17" t="n">
        <x:v>1</x:v>
      </x:c>
      <x:c r="H1061" s="14" t="str">
        <x:v>S03-10:A:source_question</x:v>
      </x:c>
    </x:row>
    <x:row r="1062" ht="72" customHeight="1">
      <x:c r="A1062" s="14" t="str">
        <x:v>S03-10:A:select_question</x:v>
      </x:c>
      <x:c r="B1062" s="14" t="str">
        <x:v>A</x:v>
      </x:c>
      <x:c r="C1062" s="14" t="str">
        <x:v>select_question</x:v>
      </x:c>
      <x:c r="D1062" s="14" t="n">
        <x:v>0.898333333</x:v>
      </x:c>
      <x:c r="E1062" s="14" t="n">
        <x:v>0.898333333</x:v>
      </x:c>
      <x:c r="F1062" s="14" t="n">
        <x:v>0</x:v>
      </x:c>
      <x:c r="G1062" s="17" t="n">
        <x:v>1</x:v>
      </x:c>
      <x:c r="H1062" s="14" t="str">
        <x:v>S03-10:A:apply_relation
S03-10:A:source_question</x:v>
      </x:c>
    </x:row>
    <x:row r="1063" ht="72" customHeight="1">
      <x:c r="A1063" s="14" t="str">
        <x:v>S03-10:A:question_first</x:v>
      </x:c>
      <x:c r="B1063" s="14" t="str">
        <x:v>A</x:v>
      </x:c>
      <x:c r="C1063" s="14" t="str">
        <x:v>question_first</x:v>
      </x:c>
      <x:c r="D1063" s="14" t="n">
        <x:v>-1.4</x:v>
      </x:c>
      <x:c r="E1063" s="14" t="n">
        <x:v>-0.999</x:v>
      </x:c>
      <x:c r="F1063" s="14" t="n">
        <x:v>0.401</x:v>
      </x:c>
      <x:c r="G1063" s="17" t="n">
        <x:v>1</x:v>
      </x:c>
      <x:c r="H1063" s="14" t="str">
        <x:v>S03-10:A:source_question</x:v>
      </x:c>
    </x:row>
    <x:row r="1064" ht="72" customHeight="1">
      <x:c r="A1064" s="14" t="str">
        <x:v>S03-10:A:question_tail</x:v>
      </x:c>
      <x:c r="B1064" s="14" t="str">
        <x:v>A</x:v>
      </x:c>
      <x:c r="C1064" s="14" t="str">
        <x:v>question_tail</x:v>
      </x:c>
      <x:c r="D1064" s="14" t="n">
        <x:v>-0.999</x:v>
      </x:c>
      <x:c r="E1064" s="14" t="n">
        <x:v>-0.3355</x:v>
      </x:c>
      <x:c r="F1064" s="14" t="n">
        <x:v>0.6635</x:v>
      </x:c>
      <x:c r="G1064" s="17" t="n">
        <x:v>1</x:v>
      </x:c>
      <x:c r="H1064" s="14" t="str">
        <x:v>S03-10:A:question_first</x:v>
      </x:c>
    </x:row>
    <x:row r="1065" ht="72" customHeight="1">
      <x:c r="A1065" s="14" t="str">
        <x:v>S03-10:A:question_device</x:v>
      </x:c>
      <x:c r="B1065" s="14" t="str">
        <x:v>A</x:v>
      </x:c>
      <x:c r="C1065" s="14" t="str">
        <x:v>question_device</x:v>
      </x:c>
      <x:c r="D1065" s="14" t="n">
        <x:v>0.898333333</x:v>
      </x:c>
      <x:c r="E1065" s="14" t="n">
        <x:v>0.938333333</x:v>
      </x:c>
      <x:c r="F1065" s="14" t="n">
        <x:v>0.04</x:v>
      </x:c>
      <x:c r="G1065" s="17" t="n">
        <x:v>1</x:v>
      </x:c>
      <x:c r="H1065" s="14" t="str">
        <x:v>S03-10:A:select_question
S03-10:A:question_first</x:v>
      </x:c>
    </x:row>
    <x:row r="1066" ht="72" customHeight="1">
      <x:c r="A1066" s="14" t="str">
        <x:v>S03-10:A:question_played</x:v>
      </x:c>
      <x:c r="B1066" s="14" t="str">
        <x:v>A</x:v>
      </x:c>
      <x:c r="C1066" s="14" t="str">
        <x:v>question_played</x:v>
      </x:c>
      <x:c r="D1066" s="14" t="n">
        <x:v>0.938333333</x:v>
      </x:c>
      <x:c r="E1066" s="14" t="n">
        <x:v>3.792333333</x:v>
      </x:c>
      <x:c r="F1066" s="14" t="n">
        <x:v>2.854</x:v>
      </x:c>
      <x:c r="G1066" s="17" t="n">
        <x:v>0</x:v>
      </x:c>
      <x:c r="H1066" s="14" t="str">
        <x:v>S03-10:A:question_device</x:v>
      </x:c>
    </x:row>
    <x:row r="1067" ht="72" customHeight="1">
      <x:c r="A1067" s="14" t="str">
        <x:v>S03-10:A:source_report_v1</x:v>
      </x:c>
      <x:c r="B1067" s="14" t="str">
        <x:v>A</x:v>
      </x:c>
      <x:c r="C1067" s="14" t="str">
        <x:v>source_report_v1</x:v>
      </x:c>
      <x:c r="D1067" s="14" t="n">
        <x:v>-5.04</x:v>
      </x:c>
      <x:c r="E1067" s="14" t="n">
        <x:v>-1</x:v>
      </x:c>
      <x:c r="F1067" s="14" t="n">
        <x:v>4.04</x:v>
      </x:c>
      <x:c r="G1067" s="17" t="n">
        <x:v>0</x:v>
      </x:c>
      <x:c r="H1067" s="14" t="str">
        <x:v>S03-10:A:original_handoff</x:v>
      </x:c>
    </x:row>
    <x:row r="1068" ht="72" customHeight="1">
      <x:c r="A1068" s="14" t="str">
        <x:v>S03-10:A:display_report_v1</x:v>
      </x:c>
      <x:c r="B1068" s="14" t="str">
        <x:v>A</x:v>
      </x:c>
      <x:c r="C1068" s="14" t="str">
        <x:v>display_report_v1</x:v>
      </x:c>
      <x:c r="D1068" s="14" t="n">
        <x:v>-1</x:v>
      </x:c>
      <x:c r="E1068" s="14" t="n">
        <x:v>-0.96</x:v>
      </x:c>
      <x:c r="F1068" s="14" t="n">
        <x:v>0.04</x:v>
      </x:c>
      <x:c r="G1068" s="17" t="n">
        <x:v>1</x:v>
      </x:c>
      <x:c r="H1068" s="14" t="str">
        <x:v>S03-10:A:source_report_v1</x:v>
      </x:c>
    </x:row>
    <x:row r="1069" ht="72" customHeight="1">
      <x:c r="A1069" s="14" t="str">
        <x:v>S03-10:A:report_v1_first</x:v>
      </x:c>
      <x:c r="B1069" s="14" t="str">
        <x:v>A</x:v>
      </x:c>
      <x:c r="C1069" s="14" t="str">
        <x:v>report_v1_first</x:v>
      </x:c>
      <x:c r="D1069" s="14" t="n">
        <x:v>-1</x:v>
      </x:c>
      <x:c r="E1069" s="14" t="n">
        <x:v>-0.59</x:v>
      </x:c>
      <x:c r="F1069" s="14" t="n">
        <x:v>0.41</x:v>
      </x:c>
      <x:c r="G1069" s="17" t="n">
        <x:v>1</x:v>
      </x:c>
      <x:c r="H1069" s="14" t="str">
        <x:v>S03-10:A:source_report_v1</x:v>
      </x:c>
    </x:row>
    <x:row r="1070" ht="72" customHeight="1">
      <x:c r="A1070" s="14" t="str">
        <x:v>S03-10:A:report_v1_tail</x:v>
      </x:c>
      <x:c r="B1070" s="14" t="str">
        <x:v>A</x:v>
      </x:c>
      <x:c r="C1070" s="14" t="str">
        <x:v>report_v1_tail</x:v>
      </x:c>
      <x:c r="D1070" s="14" t="n">
        <x:v>-0.59</x:v>
      </x:c>
      <x:c r="E1070" s="14" t="n">
        <x:v>0.998333333</x:v>
      </x:c>
      <x:c r="F1070" s="14" t="n">
        <x:v>1.588333333</x:v>
      </x:c>
      <x:c r="G1070" s="17" t="n">
        <x:v>1</x:v>
      </x:c>
      <x:c r="H1070" s="14" t="str">
        <x:v>S03-10:A:report_v1_first</x:v>
      </x:c>
    </x:row>
    <x:row r="1071" ht="72" customHeight="1">
      <x:c r="A1071" s="14" t="str">
        <x:v>S03-10:A:revision_handoff</x:v>
      </x:c>
      <x:c r="B1071" s="14" t="str">
        <x:v>A</x:v>
      </x:c>
      <x:c r="C1071" s="14" t="str">
        <x:v>revision_handoff</x:v>
      </x:c>
      <x:c r="D1071" s="14" t="n">
        <x:v>0.898333333</x:v>
      </x:c>
      <x:c r="E1071" s="14" t="n">
        <x:v>1.018333333</x:v>
      </x:c>
      <x:c r="F1071" s="14" t="n">
        <x:v>0.12</x:v>
      </x:c>
      <x:c r="G1071" s="17" t="n">
        <x:v>1</x:v>
      </x:c>
      <x:c r="H1071" s="14" t="str">
        <x:v>S03-10:A:apply_relation</x:v>
      </x:c>
    </x:row>
    <x:row r="1072" ht="72" customHeight="1">
      <x:c r="A1072" s="14" t="str">
        <x:v>S03-10:A:source_report_v2</x:v>
      </x:c>
      <x:c r="B1072" s="14" t="str">
        <x:v>A</x:v>
      </x:c>
      <x:c r="C1072" s="14" t="str">
        <x:v>source_report_v2</x:v>
      </x:c>
      <x:c r="D1072" s="14" t="n">
        <x:v>1.018333333</x:v>
      </x:c>
      <x:c r="E1072" s="14" t="n">
        <x:v>3.418333333</x:v>
      </x:c>
      <x:c r="F1072" s="14" t="n">
        <x:v>2.4</x:v>
      </x:c>
      <x:c r="G1072" s="17" t="n">
        <x:v>0</x:v>
      </x:c>
      <x:c r="H1072" s="14" t="str">
        <x:v>S03-10:A:revision_handoff</x:v>
      </x:c>
    </x:row>
    <x:row r="1073" ht="72" customHeight="1">
      <x:c r="A1073" s="14" t="str">
        <x:v>S03-10:A:display_report_v2</x:v>
      </x:c>
      <x:c r="B1073" s="14" t="str">
        <x:v>A</x:v>
      </x:c>
      <x:c r="C1073" s="14" t="str">
        <x:v>display_report_v2</x:v>
      </x:c>
      <x:c r="D1073" s="14" t="n">
        <x:v>3.418333333</x:v>
      </x:c>
      <x:c r="E1073" s="14" t="n">
        <x:v>3.458333333</x:v>
      </x:c>
      <x:c r="F1073" s="14" t="n">
        <x:v>0.04</x:v>
      </x:c>
      <x:c r="G1073" s="17" t="n">
        <x:v>1</x:v>
      </x:c>
      <x:c r="H1073" s="14" t="str">
        <x:v>S03-10:A:source_report_v2</x:v>
      </x:c>
    </x:row>
    <x:row r="1074" ht="72" customHeight="1">
      <x:c r="A1074" s="14" t="str">
        <x:v>S03-10:A:select_report_v2</x:v>
      </x:c>
      <x:c r="B1074" s="14" t="str">
        <x:v>A</x:v>
      </x:c>
      <x:c r="C1074" s="14" t="str">
        <x:v>select_report_v2</x:v>
      </x:c>
      <x:c r="D1074" s="14" t="n">
        <x:v>3.792333333</x:v>
      </x:c>
      <x:c r="E1074" s="14" t="n">
        <x:v>3.792333333</x:v>
      </x:c>
      <x:c r="F1074" s="14" t="n">
        <x:v>0</x:v>
      </x:c>
      <x:c r="G1074" s="17" t="n">
        <x:v>1</x:v>
      </x:c>
      <x:c r="H1074" s="14" t="str">
        <x:v>S03-10:A:question_played
S03-10:A:source_report_v2</x:v>
      </x:c>
    </x:row>
    <x:row r="1075" ht="72" customHeight="1">
      <x:c r="A1075" s="14" t="str">
        <x:v>S03-10:A:report_v2_first</x:v>
      </x:c>
      <x:c r="B1075" s="14" t="str">
        <x:v>A</x:v>
      </x:c>
      <x:c r="C1075" s="14" t="str">
        <x:v>report_v2_first</x:v>
      </x:c>
      <x:c r="D1075" s="14" t="n">
        <x:v>3.418333333</x:v>
      </x:c>
      <x:c r="E1075" s="14" t="n">
        <x:v>3.827333333</x:v>
      </x:c>
      <x:c r="F1075" s="14" t="n">
        <x:v>0.409</x:v>
      </x:c>
      <x:c r="G1075" s="17" t="n">
        <x:v>1</x:v>
      </x:c>
      <x:c r="H1075" s="14" t="str">
        <x:v>S03-10:A:source_report_v2</x:v>
      </x:c>
    </x:row>
    <x:row r="1076" ht="72" customHeight="1">
      <x:c r="A1076" s="14" t="str">
        <x:v>S03-10:A:report_v2_tail</x:v>
      </x:c>
      <x:c r="B1076" s="14" t="str">
        <x:v>A</x:v>
      </x:c>
      <x:c r="C1076" s="14" t="str">
        <x:v>report_v2_tail</x:v>
      </x:c>
      <x:c r="D1076" s="14" t="n">
        <x:v>3.827333333</x:v>
      </x:c>
      <x:c r="E1076" s="14" t="n">
        <x:v>5.790833333</x:v>
      </x:c>
      <x:c r="F1076" s="14" t="n">
        <x:v>1.9635</x:v>
      </x:c>
      <x:c r="G1076" s="17" t="n">
        <x:v>1</x:v>
      </x:c>
      <x:c r="H1076" s="14" t="str">
        <x:v>S03-10:A:report_v2_first</x:v>
      </x:c>
    </x:row>
    <x:row r="1077" ht="72" customHeight="1">
      <x:c r="A1077" s="14" t="str">
        <x:v>S03-10:A:report_v2_device</x:v>
      </x:c>
      <x:c r="B1077" s="14" t="str">
        <x:v>A</x:v>
      </x:c>
      <x:c r="C1077" s="14" t="str">
        <x:v>report_v2_device</x:v>
      </x:c>
      <x:c r="D1077" s="14" t="n">
        <x:v>3.827333333</x:v>
      </x:c>
      <x:c r="E1077" s="14" t="n">
        <x:v>3.867333333</x:v>
      </x:c>
      <x:c r="F1077" s="14" t="n">
        <x:v>0.04</x:v>
      </x:c>
      <x:c r="G1077" s="17" t="n">
        <x:v>1</x:v>
      </x:c>
      <x:c r="H1077" s="14" t="str">
        <x:v>S03-10:A:select_report_v2
S03-10:A:report_v2_first</x:v>
      </x:c>
    </x:row>
    <x:row r="1078" ht="72" customHeight="1">
      <x:c r="A1078" s="14" t="str">
        <x:v>S03-10:A:report_v2_played</x:v>
      </x:c>
      <x:c r="B1078" s="14" t="str">
        <x:v>A</x:v>
      </x:c>
      <x:c r="C1078" s="14" t="str">
        <x:v>report_v2_played</x:v>
      </x:c>
      <x:c r="D1078" s="14" t="n">
        <x:v>3.867333333</x:v>
      </x:c>
      <x:c r="E1078" s="14" t="n">
        <x:v>11.921333333</x:v>
      </x:c>
      <x:c r="F1078" s="14" t="n">
        <x:v>8.054</x:v>
      </x:c>
      <x:c r="G1078" s="17" t="n">
        <x:v>0</x:v>
      </x:c>
      <x:c r="H1078" s="14" t="str">
        <x:v>S03-10:A:report_v2_device</x:v>
      </x:c>
    </x:row>
    <x:row r="1079" ht="72" customHeight="1">
      <x:c r="A1079" s="14" t="str">
        <x:v>S03-10:B:origin</x:v>
      </x:c>
      <x:c r="B1079" s="14" t="str">
        <x:v>B</x:v>
      </x:c>
      <x:c r="C1079" s="14" t="str">
        <x:v>origin</x:v>
      </x:c>
      <x:c r="D1079" s="14" t="n">
        <x:v>-6</x:v>
      </x:c>
      <x:c r="E1079" s="14" t="n">
        <x:v>-6</x:v>
      </x:c>
      <x:c r="F1079" s="14" t="n">
        <x:v>0</x:v>
      </x:c>
      <x:c r="G1079" s="17" t="n">
        <x:v>0</x:v>
      </x:c>
      <x:c r="H1079" s="14" t="str"/>
    </x:row>
    <x:row r="1080" ht="72" customHeight="1">
      <x:c r="A1080" s="14" t="str">
        <x:v>S03-10:B:origin_interpretation</x:v>
      </x:c>
      <x:c r="B1080" s="14" t="str">
        <x:v>B</x:v>
      </x:c>
      <x:c r="C1080" s="14" t="str">
        <x:v>origin_interpretation</x:v>
      </x:c>
      <x:c r="D1080" s="14" t="n">
        <x:v>-6</x:v>
      </x:c>
      <x:c r="E1080" s="14" t="n">
        <x:v>-5.16</x:v>
      </x:c>
      <x:c r="F1080" s="14" t="n">
        <x:v>0.84</x:v>
      </x:c>
      <x:c r="G1080" s="17" t="n">
        <x:v>1</x:v>
      </x:c>
      <x:c r="H1080" s="14" t="str">
        <x:v>S03-10:B:origin</x:v>
      </x:c>
    </x:row>
    <x:row r="1081" ht="72" customHeight="1">
      <x:c r="A1081" s="14" t="str">
        <x:v>S03-10:B:original_handoff</x:v>
      </x:c>
      <x:c r="B1081" s="14" t="str">
        <x:v>B</x:v>
      </x:c>
      <x:c r="C1081" s="14" t="str">
        <x:v>original_handoff</x:v>
      </x:c>
      <x:c r="D1081" s="14" t="n">
        <x:v>-5.16</x:v>
      </x:c>
      <x:c r="E1081" s="14" t="n">
        <x:v>-5.04</x:v>
      </x:c>
      <x:c r="F1081" s="14" t="n">
        <x:v>0.12</x:v>
      </x:c>
      <x:c r="G1081" s="17" t="n">
        <x:v>1</x:v>
      </x:c>
      <x:c r="H1081" s="14" t="str">
        <x:v>S03-10:B:origin_interpretation</x:v>
      </x:c>
    </x:row>
    <x:row r="1082" ht="72" customHeight="1">
      <x:c r="A1082" s="14" t="str">
        <x:v>S03-10:B:evaluation_utterance_end</x:v>
      </x:c>
      <x:c r="B1082" s="14" t="str">
        <x:v>B</x:v>
      </x:c>
      <x:c r="C1082" s="14" t="str">
        <x:v>evaluation_utterance_end</x:v>
      </x:c>
      <x:c r="D1082" s="14" t="n">
        <x:v>-6</x:v>
      </x:c>
      <x:c r="E1082" s="14" t="n">
        <x:v>0</x:v>
      </x:c>
      <x:c r="F1082" s="14" t="n">
        <x:v>6</x:v>
      </x:c>
      <x:c r="G1082" s="17" t="n">
        <x:v>0</x:v>
      </x:c>
      <x:c r="H1082" s="14" t="str">
        <x:v>S03-10:B:origin</x:v>
      </x:c>
    </x:row>
    <x:row r="1083" ht="72" customHeight="1">
      <x:c r="A1083" s="14" t="str">
        <x:v>S03-10:B:final_transcript</x:v>
      </x:c>
      <x:c r="B1083" s="14" t="str">
        <x:v>B</x:v>
      </x:c>
      <x:c r="C1083" s="14" t="str">
        <x:v>final_transcript</x:v>
      </x:c>
      <x:c r="D1083" s="14" t="n">
        <x:v>0</x:v>
      </x:c>
      <x:c r="E1083" s="14" t="n">
        <x:v>0.3</x:v>
      </x:c>
      <x:c r="F1083" s="14" t="n">
        <x:v>0.3</x:v>
      </x:c>
      <x:c r="G1083" s="17" t="n">
        <x:v>1</x:v>
      </x:c>
      <x:c r="H1083" s="14" t="str">
        <x:v>S03-10:B:evaluation_utterance_end</x:v>
      </x:c>
    </x:row>
    <x:row r="1084" ht="72" customHeight="1">
      <x:c r="A1084" s="14" t="str">
        <x:v>S03-10:B:meaning_adoption</x:v>
      </x:c>
      <x:c r="B1084" s="14" t="str">
        <x:v>B</x:v>
      </x:c>
      <x:c r="C1084" s="14" t="str">
        <x:v>meaning_adoption</x:v>
      </x:c>
      <x:c r="D1084" s="14" t="n">
        <x:v>0.3</x:v>
      </x:c>
      <x:c r="E1084" s="14" t="n">
        <x:v>0.858333333</x:v>
      </x:c>
      <x:c r="F1084" s="14" t="n">
        <x:v>0.558333333</x:v>
      </x:c>
      <x:c r="G1084" s="17" t="n">
        <x:v>1</x:v>
      </x:c>
      <x:c r="H1084" s="14" t="str">
        <x:v>S03-10:B:final_transcript
S03-10:B:origin_interpretation</x:v>
      </x:c>
    </x:row>
    <x:row r="1085" ht="72" customHeight="1">
      <x:c r="A1085" s="14" t="str">
        <x:v>S03-10:B:apply_relation</x:v>
      </x:c>
      <x:c r="B1085" s="14" t="str">
        <x:v>B</x:v>
      </x:c>
      <x:c r="C1085" s="14" t="str">
        <x:v>apply_relation</x:v>
      </x:c>
      <x:c r="D1085" s="14" t="n">
        <x:v>0.858333333</x:v>
      </x:c>
      <x:c r="E1085" s="14" t="n">
        <x:v>0.898333333</x:v>
      </x:c>
      <x:c r="F1085" s="14" t="n">
        <x:v>0.04</x:v>
      </x:c>
      <x:c r="G1085" s="17" t="n">
        <x:v>1</x:v>
      </x:c>
      <x:c r="H1085" s="14" t="str">
        <x:v>S03-10:B:meaning_adoption</x:v>
      </x:c>
    </x:row>
    <x:row r="1086" ht="72" customHeight="1">
      <x:c r="A1086" s="14" t="str">
        <x:v>S03-10:B:evaluation_first_display</x:v>
      </x:c>
      <x:c r="B1086" s="14" t="str">
        <x:v>B</x:v>
      </x:c>
      <x:c r="C1086" s="14" t="str">
        <x:v>evaluation_first_display</x:v>
      </x:c>
      <x:c r="D1086" s="14" t="n">
        <x:v>0.898333333</x:v>
      </x:c>
      <x:c r="E1086" s="14" t="n">
        <x:v>0.938333333</x:v>
      </x:c>
      <x:c r="F1086" s="14" t="n">
        <x:v>0.04</x:v>
      </x:c>
      <x:c r="G1086" s="17" t="n">
        <x:v>1</x:v>
      </x:c>
      <x:c r="H1086" s="14" t="str">
        <x:v>S03-10:B:apply_relation</x:v>
      </x:c>
    </x:row>
    <x:row r="1087" ht="72" customHeight="1">
      <x:c r="A1087" s="14" t="str">
        <x:v>S03-10:B:source_question</x:v>
      </x:c>
      <x:c r="B1087" s="14" t="str">
        <x:v>B</x:v>
      </x:c>
      <x:c r="C1087" s="14" t="str">
        <x:v>source_question</x:v>
      </x:c>
      <x:c r="D1087" s="14" t="n">
        <x:v>-5.04</x:v>
      </x:c>
      <x:c r="E1087" s="14" t="n">
        <x:v>-1.4</x:v>
      </x:c>
      <x:c r="F1087" s="14" t="n">
        <x:v>3.64</x:v>
      </x:c>
      <x:c r="G1087" s="17" t="n">
        <x:v>0</x:v>
      </x:c>
      <x:c r="H1087" s="14" t="str">
        <x:v>S03-10:B:original_handoff</x:v>
      </x:c>
    </x:row>
    <x:row r="1088" ht="72" customHeight="1">
      <x:c r="A1088" s="14" t="str">
        <x:v>S03-10:B:display_question</x:v>
      </x:c>
      <x:c r="B1088" s="14" t="str">
        <x:v>B</x:v>
      </x:c>
      <x:c r="C1088" s="14" t="str">
        <x:v>display_question</x:v>
      </x:c>
      <x:c r="D1088" s="14" t="n">
        <x:v>-1.4</x:v>
      </x:c>
      <x:c r="E1088" s="14" t="n">
        <x:v>-1.36</x:v>
      </x:c>
      <x:c r="F1088" s="14" t="n">
        <x:v>0.04</x:v>
      </x:c>
      <x:c r="G1088" s="17" t="n">
        <x:v>1</x:v>
      </x:c>
      <x:c r="H1088" s="14" t="str">
        <x:v>S03-10:B:source_question</x:v>
      </x:c>
    </x:row>
    <x:row r="1089" ht="72" customHeight="1">
      <x:c r="A1089" s="14" t="str">
        <x:v>S03-10:B:select_question</x:v>
      </x:c>
      <x:c r="B1089" s="14" t="str">
        <x:v>B</x:v>
      </x:c>
      <x:c r="C1089" s="14" t="str">
        <x:v>select_question</x:v>
      </x:c>
      <x:c r="D1089" s="14" t="n">
        <x:v>0.898333333</x:v>
      </x:c>
      <x:c r="E1089" s="14" t="n">
        <x:v>0.898333333</x:v>
      </x:c>
      <x:c r="F1089" s="14" t="n">
        <x:v>0</x:v>
      </x:c>
      <x:c r="G1089" s="17" t="n">
        <x:v>1</x:v>
      </x:c>
      <x:c r="H1089" s="14" t="str">
        <x:v>S03-10:B:apply_relation
S03-10:B:source_question</x:v>
      </x:c>
    </x:row>
    <x:row r="1090" ht="72" customHeight="1">
      <x:c r="A1090" s="14" t="str">
        <x:v>S03-10:B:question_first</x:v>
      </x:c>
      <x:c r="B1090" s="14" t="str">
        <x:v>B</x:v>
      </x:c>
      <x:c r="C1090" s="14" t="str">
        <x:v>question_first</x:v>
      </x:c>
      <x:c r="D1090" s="14" t="n">
        <x:v>0.898333333</x:v>
      </x:c>
      <x:c r="E1090" s="14" t="n">
        <x:v>1.299333333</x:v>
      </x:c>
      <x:c r="F1090" s="14" t="n">
        <x:v>0.401</x:v>
      </x:c>
      <x:c r="G1090" s="17" t="n">
        <x:v>1</x:v>
      </x:c>
      <x:c r="H1090" s="14" t="str">
        <x:v>S03-10:B:select_question</x:v>
      </x:c>
    </x:row>
    <x:row r="1091" ht="72" customHeight="1">
      <x:c r="A1091" s="14" t="str">
        <x:v>S03-10:B:question_tail</x:v>
      </x:c>
      <x:c r="B1091" s="14" t="str">
        <x:v>B</x:v>
      </x:c>
      <x:c r="C1091" s="14" t="str">
        <x:v>question_tail</x:v>
      </x:c>
      <x:c r="D1091" s="14" t="n">
        <x:v>1.299333333</x:v>
      </x:c>
      <x:c r="E1091" s="14" t="n">
        <x:v>1.962833333</x:v>
      </x:c>
      <x:c r="F1091" s="14" t="n">
        <x:v>0.6635</x:v>
      </x:c>
      <x:c r="G1091" s="17" t="n">
        <x:v>1</x:v>
      </x:c>
      <x:c r="H1091" s="14" t="str">
        <x:v>S03-10:B:question_first</x:v>
      </x:c>
    </x:row>
    <x:row r="1092" ht="72" customHeight="1">
      <x:c r="A1092" s="14" t="str">
        <x:v>S03-10:B:question_device</x:v>
      </x:c>
      <x:c r="B1092" s="14" t="str">
        <x:v>B</x:v>
      </x:c>
      <x:c r="C1092" s="14" t="str">
        <x:v>question_device</x:v>
      </x:c>
      <x:c r="D1092" s="14" t="n">
        <x:v>1.299333333</x:v>
      </x:c>
      <x:c r="E1092" s="14" t="n">
        <x:v>1.339333333</x:v>
      </x:c>
      <x:c r="F1092" s="14" t="n">
        <x:v>0.04</x:v>
      </x:c>
      <x:c r="G1092" s="17" t="n">
        <x:v>1</x:v>
      </x:c>
      <x:c r="H1092" s="14" t="str">
        <x:v>S03-10:B:select_question
S03-10:B:question_first</x:v>
      </x:c>
    </x:row>
    <x:row r="1093" ht="72" customHeight="1">
      <x:c r="A1093" s="14" t="str">
        <x:v>S03-10:B:question_played</x:v>
      </x:c>
      <x:c r="B1093" s="14" t="str">
        <x:v>B</x:v>
      </x:c>
      <x:c r="C1093" s="14" t="str">
        <x:v>question_played</x:v>
      </x:c>
      <x:c r="D1093" s="14" t="n">
        <x:v>1.339333333</x:v>
      </x:c>
      <x:c r="E1093" s="14" t="n">
        <x:v>4.193333333</x:v>
      </x:c>
      <x:c r="F1093" s="14" t="n">
        <x:v>2.854</x:v>
      </x:c>
      <x:c r="G1093" s="17" t="n">
        <x:v>0</x:v>
      </x:c>
      <x:c r="H1093" s="14" t="str">
        <x:v>S03-10:B:question_device</x:v>
      </x:c>
    </x:row>
    <x:row r="1094" ht="72" customHeight="1">
      <x:c r="A1094" s="14" t="str">
        <x:v>S03-10:B:source_report_v1</x:v>
      </x:c>
      <x:c r="B1094" s="14" t="str">
        <x:v>B</x:v>
      </x:c>
      <x:c r="C1094" s="14" t="str">
        <x:v>source_report_v1</x:v>
      </x:c>
      <x:c r="D1094" s="14" t="n">
        <x:v>-5.04</x:v>
      </x:c>
      <x:c r="E1094" s="14" t="n">
        <x:v>-1</x:v>
      </x:c>
      <x:c r="F1094" s="14" t="n">
        <x:v>4.04</x:v>
      </x:c>
      <x:c r="G1094" s="17" t="n">
        <x:v>0</x:v>
      </x:c>
      <x:c r="H1094" s="14" t="str">
        <x:v>S03-10:B:original_handoff</x:v>
      </x:c>
    </x:row>
    <x:row r="1095" ht="72" customHeight="1">
      <x:c r="A1095" s="14" t="str">
        <x:v>S03-10:B:display_report_v1</x:v>
      </x:c>
      <x:c r="B1095" s="14" t="str">
        <x:v>B</x:v>
      </x:c>
      <x:c r="C1095" s="14" t="str">
        <x:v>display_report_v1</x:v>
      </x:c>
      <x:c r="D1095" s="14" t="n">
        <x:v>-1</x:v>
      </x:c>
      <x:c r="E1095" s="14" t="n">
        <x:v>-0.96</x:v>
      </x:c>
      <x:c r="F1095" s="14" t="n">
        <x:v>0.04</x:v>
      </x:c>
      <x:c r="G1095" s="17" t="n">
        <x:v>1</x:v>
      </x:c>
      <x:c r="H1095" s="14" t="str">
        <x:v>S03-10:B:source_report_v1</x:v>
      </x:c>
    </x:row>
    <x:row r="1096" ht="72" customHeight="1">
      <x:c r="A1096" s="14" t="str">
        <x:v>S03-10:B:revision_handoff</x:v>
      </x:c>
      <x:c r="B1096" s="14" t="str">
        <x:v>B</x:v>
      </x:c>
      <x:c r="C1096" s="14" t="str">
        <x:v>revision_handoff</x:v>
      </x:c>
      <x:c r="D1096" s="14" t="n">
        <x:v>0.898333333</x:v>
      </x:c>
      <x:c r="E1096" s="14" t="n">
        <x:v>1.018333333</x:v>
      </x:c>
      <x:c r="F1096" s="14" t="n">
        <x:v>0.12</x:v>
      </x:c>
      <x:c r="G1096" s="17" t="n">
        <x:v>1</x:v>
      </x:c>
      <x:c r="H1096" s="14" t="str">
        <x:v>S03-10:B:apply_relation</x:v>
      </x:c>
    </x:row>
    <x:row r="1097" ht="72" customHeight="1">
      <x:c r="A1097" s="14" t="str">
        <x:v>S03-10:B:source_report_v2</x:v>
      </x:c>
      <x:c r="B1097" s="14" t="str">
        <x:v>B</x:v>
      </x:c>
      <x:c r="C1097" s="14" t="str">
        <x:v>source_report_v2</x:v>
      </x:c>
      <x:c r="D1097" s="14" t="n">
        <x:v>1.018333333</x:v>
      </x:c>
      <x:c r="E1097" s="14" t="n">
        <x:v>3.418333333</x:v>
      </x:c>
      <x:c r="F1097" s="14" t="n">
        <x:v>2.4</x:v>
      </x:c>
      <x:c r="G1097" s="17" t="n">
        <x:v>0</x:v>
      </x:c>
      <x:c r="H1097" s="14" t="str">
        <x:v>S03-10:B:revision_handoff</x:v>
      </x:c>
    </x:row>
    <x:row r="1098" ht="72" customHeight="1">
      <x:c r="A1098" s="14" t="str">
        <x:v>S03-10:B:display_report_v2</x:v>
      </x:c>
      <x:c r="B1098" s="14" t="str">
        <x:v>B</x:v>
      </x:c>
      <x:c r="C1098" s="14" t="str">
        <x:v>display_report_v2</x:v>
      </x:c>
      <x:c r="D1098" s="14" t="n">
        <x:v>3.418333333</x:v>
      </x:c>
      <x:c r="E1098" s="14" t="n">
        <x:v>3.458333333</x:v>
      </x:c>
      <x:c r="F1098" s="14" t="n">
        <x:v>0.04</x:v>
      </x:c>
      <x:c r="G1098" s="17" t="n">
        <x:v>1</x:v>
      </x:c>
      <x:c r="H1098" s="14" t="str">
        <x:v>S03-10:B:source_report_v2</x:v>
      </x:c>
    </x:row>
    <x:row r="1099" ht="72" customHeight="1">
      <x:c r="A1099" s="14" t="str">
        <x:v>S03-10:B:select_report_v2</x:v>
      </x:c>
      <x:c r="B1099" s="14" t="str">
        <x:v>B</x:v>
      </x:c>
      <x:c r="C1099" s="14" t="str">
        <x:v>select_report_v2</x:v>
      </x:c>
      <x:c r="D1099" s="14" t="n">
        <x:v>4.193333333</x:v>
      </x:c>
      <x:c r="E1099" s="14" t="n">
        <x:v>4.193333333</x:v>
      </x:c>
      <x:c r="F1099" s="14" t="n">
        <x:v>0</x:v>
      </x:c>
      <x:c r="G1099" s="17" t="n">
        <x:v>1</x:v>
      </x:c>
      <x:c r="H1099" s="14" t="str">
        <x:v>S03-10:B:question_played
S03-10:B:source_report_v2</x:v>
      </x:c>
    </x:row>
    <x:row r="1100" ht="72" customHeight="1">
      <x:c r="A1100" s="14" t="str">
        <x:v>S03-10:B:report_v2_first</x:v>
      </x:c>
      <x:c r="B1100" s="14" t="str">
        <x:v>B</x:v>
      </x:c>
      <x:c r="C1100" s="14" t="str">
        <x:v>report_v2_first</x:v>
      </x:c>
      <x:c r="D1100" s="14" t="n">
        <x:v>4.193333333</x:v>
      </x:c>
      <x:c r="E1100" s="14" t="n">
        <x:v>4.602333333</x:v>
      </x:c>
      <x:c r="F1100" s="14" t="n">
        <x:v>0.409</x:v>
      </x:c>
      <x:c r="G1100" s="17" t="n">
        <x:v>1</x:v>
      </x:c>
      <x:c r="H1100" s="14" t="str">
        <x:v>S03-10:B:select_report_v2</x:v>
      </x:c>
    </x:row>
    <x:row r="1101" ht="72" customHeight="1">
      <x:c r="A1101" s="14" t="str">
        <x:v>S03-10:B:report_v2_tail</x:v>
      </x:c>
      <x:c r="B1101" s="14" t="str">
        <x:v>B</x:v>
      </x:c>
      <x:c r="C1101" s="14" t="str">
        <x:v>report_v2_tail</x:v>
      </x:c>
      <x:c r="D1101" s="14" t="n">
        <x:v>4.602333333</x:v>
      </x:c>
      <x:c r="E1101" s="14" t="n">
        <x:v>6.565833333</x:v>
      </x:c>
      <x:c r="F1101" s="14" t="n">
        <x:v>1.9635</x:v>
      </x:c>
      <x:c r="G1101" s="17" t="n">
        <x:v>1</x:v>
      </x:c>
      <x:c r="H1101" s="14" t="str">
        <x:v>S03-10:B:report_v2_first</x:v>
      </x:c>
    </x:row>
    <x:row r="1102" ht="72" customHeight="1">
      <x:c r="A1102" s="14" t="str">
        <x:v>S03-10:B:report_v2_device</x:v>
      </x:c>
      <x:c r="B1102" s="14" t="str">
        <x:v>B</x:v>
      </x:c>
      <x:c r="C1102" s="14" t="str">
        <x:v>report_v2_device</x:v>
      </x:c>
      <x:c r="D1102" s="14" t="n">
        <x:v>4.602333333</x:v>
      </x:c>
      <x:c r="E1102" s="14" t="n">
        <x:v>4.642333333</x:v>
      </x:c>
      <x:c r="F1102" s="14" t="n">
        <x:v>0.04</x:v>
      </x:c>
      <x:c r="G1102" s="17" t="n">
        <x:v>1</x:v>
      </x:c>
      <x:c r="H1102" s="14" t="str">
        <x:v>S03-10:B:select_report_v2
S03-10:B:report_v2_first</x:v>
      </x:c>
    </x:row>
    <x:row r="1103" ht="72" customHeight="1">
      <x:c r="A1103" s="14" t="str">
        <x:v>S03-10:B:report_v2_played</x:v>
      </x:c>
      <x:c r="B1103" s="14" t="str">
        <x:v>B</x:v>
      </x:c>
      <x:c r="C1103" s="14" t="str">
        <x:v>report_v2_played</x:v>
      </x:c>
      <x:c r="D1103" s="14" t="n">
        <x:v>4.642333333</x:v>
      </x:c>
      <x:c r="E1103" s="14" t="n">
        <x:v>12.696333333</x:v>
      </x:c>
      <x:c r="F1103" s="14" t="n">
        <x:v>8.054</x:v>
      </x:c>
      <x:c r="G1103" s="17" t="n">
        <x:v>0</x:v>
      </x:c>
      <x:c r="H1103" s="14" t="str">
        <x:v>S03-10:B:report_v2_device</x:v>
      </x:c>
    </x:row>
    <x:row r="1104" ht="72" customHeight="1">
      <x:c r="A1104" s="14" t="str">
        <x:v>S04-01:A:origin</x:v>
      </x:c>
      <x:c r="B1104" s="14" t="str">
        <x:v>A</x:v>
      </x:c>
      <x:c r="C1104" s="14" t="str">
        <x:v>origin</x:v>
      </x:c>
      <x:c r="D1104" s="14" t="n">
        <x:v>-6</x:v>
      </x:c>
      <x:c r="E1104" s="14" t="n">
        <x:v>-6</x:v>
      </x:c>
      <x:c r="F1104" s="14" t="n">
        <x:v>0</x:v>
      </x:c>
      <x:c r="G1104" s="17" t="n">
        <x:v>0</x:v>
      </x:c>
      <x:c r="H1104" s="14" t="str"/>
    </x:row>
    <x:row r="1105" ht="72" customHeight="1">
      <x:c r="A1105" s="14" t="str">
        <x:v>S04-01:A:origin_interpretation</x:v>
      </x:c>
      <x:c r="B1105" s="14" t="str">
        <x:v>A</x:v>
      </x:c>
      <x:c r="C1105" s="14" t="str">
        <x:v>origin_interpretation</x:v>
      </x:c>
      <x:c r="D1105" s="14" t="n">
        <x:v>-6</x:v>
      </x:c>
      <x:c r="E1105" s="14" t="n">
        <x:v>-5.16</x:v>
      </x:c>
      <x:c r="F1105" s="14" t="n">
        <x:v>0.84</x:v>
      </x:c>
      <x:c r="G1105" s="17" t="n">
        <x:v>1</x:v>
      </x:c>
      <x:c r="H1105" s="14" t="str">
        <x:v>S04-01:A:origin</x:v>
      </x:c>
    </x:row>
    <x:row r="1106" ht="72" customHeight="1">
      <x:c r="A1106" s="14" t="str">
        <x:v>S04-01:A:original_handoff</x:v>
      </x:c>
      <x:c r="B1106" s="14" t="str">
        <x:v>A</x:v>
      </x:c>
      <x:c r="C1106" s="14" t="str">
        <x:v>original_handoff</x:v>
      </x:c>
      <x:c r="D1106" s="14" t="n">
        <x:v>-5.16</x:v>
      </x:c>
      <x:c r="E1106" s="14" t="n">
        <x:v>-5.04</x:v>
      </x:c>
      <x:c r="F1106" s="14" t="n">
        <x:v>0.12</x:v>
      </x:c>
      <x:c r="G1106" s="17" t="n">
        <x:v>1</x:v>
      </x:c>
      <x:c r="H1106" s="14" t="str">
        <x:v>S04-01:A:origin_interpretation</x:v>
      </x:c>
    </x:row>
    <x:row r="1107" ht="72" customHeight="1">
      <x:c r="A1107" s="14" t="str">
        <x:v>S04-01:A:evaluation_utterance_end</x:v>
      </x:c>
      <x:c r="B1107" s="14" t="str">
        <x:v>A</x:v>
      </x:c>
      <x:c r="C1107" s="14" t="str">
        <x:v>evaluation_utterance_end</x:v>
      </x:c>
      <x:c r="D1107" s="14" t="n">
        <x:v>-6</x:v>
      </x:c>
      <x:c r="E1107" s="14" t="n">
        <x:v>0</x:v>
      </x:c>
      <x:c r="F1107" s="14" t="n">
        <x:v>6</x:v>
      </x:c>
      <x:c r="G1107" s="17" t="n">
        <x:v>0</x:v>
      </x:c>
      <x:c r="H1107" s="14" t="str">
        <x:v>S04-01:A:origin</x:v>
      </x:c>
    </x:row>
    <x:row r="1108" ht="72" customHeight="1">
      <x:c r="A1108" s="14" t="str">
        <x:v>S04-01:A:final_transcript</x:v>
      </x:c>
      <x:c r="B1108" s="14" t="str">
        <x:v>A</x:v>
      </x:c>
      <x:c r="C1108" s="14" t="str">
        <x:v>final_transcript</x:v>
      </x:c>
      <x:c r="D1108" s="14" t="n">
        <x:v>0</x:v>
      </x:c>
      <x:c r="E1108" s="14" t="n">
        <x:v>0.3</x:v>
      </x:c>
      <x:c r="F1108" s="14" t="n">
        <x:v>0.3</x:v>
      </x:c>
      <x:c r="G1108" s="17" t="n">
        <x:v>1</x:v>
      </x:c>
      <x:c r="H1108" s="14" t="str">
        <x:v>S04-01:A:evaluation_utterance_end</x:v>
      </x:c>
    </x:row>
    <x:row r="1109" ht="72" customHeight="1">
      <x:c r="A1109" s="14" t="str">
        <x:v>S04-01:A:meaning_adoption</x:v>
      </x:c>
      <x:c r="B1109" s="14" t="str">
        <x:v>A</x:v>
      </x:c>
      <x:c r="C1109" s="14" t="str">
        <x:v>meaning_adoption</x:v>
      </x:c>
      <x:c r="D1109" s="14" t="n">
        <x:v>0.3</x:v>
      </x:c>
      <x:c r="E1109" s="14" t="n">
        <x:v>0.828333333</x:v>
      </x:c>
      <x:c r="F1109" s="14" t="n">
        <x:v>0.528333333</x:v>
      </x:c>
      <x:c r="G1109" s="17" t="n">
        <x:v>1</x:v>
      </x:c>
      <x:c r="H1109" s="14" t="str">
        <x:v>S04-01:A:final_transcript
S04-01:A:origin_interpretation</x:v>
      </x:c>
    </x:row>
    <x:row r="1110" ht="72" customHeight="1">
      <x:c r="A1110" s="14" t="str">
        <x:v>S04-01:A:apply_relation</x:v>
      </x:c>
      <x:c r="B1110" s="14" t="str">
        <x:v>A</x:v>
      </x:c>
      <x:c r="C1110" s="14" t="str">
        <x:v>apply_relation</x:v>
      </x:c>
      <x:c r="D1110" s="14" t="n">
        <x:v>0.828333333</x:v>
      </x:c>
      <x:c r="E1110" s="14" t="n">
        <x:v>0.868333333</x:v>
      </x:c>
      <x:c r="F1110" s="14" t="n">
        <x:v>0.04</x:v>
      </x:c>
      <x:c r="G1110" s="17" t="n">
        <x:v>1</x:v>
      </x:c>
      <x:c r="H1110" s="14" t="str">
        <x:v>S04-01:A:meaning_adoption</x:v>
      </x:c>
    </x:row>
    <x:row r="1111" ht="72" customHeight="1">
      <x:c r="A1111" s="14" t="str">
        <x:v>S04-01:A:evaluation_first_display</x:v>
      </x:c>
      <x:c r="B1111" s="14" t="str">
        <x:v>A</x:v>
      </x:c>
      <x:c r="C1111" s="14" t="str">
        <x:v>evaluation_first_display</x:v>
      </x:c>
      <x:c r="D1111" s="14" t="n">
        <x:v>0.868333333</x:v>
      </x:c>
      <x:c r="E1111" s="14" t="n">
        <x:v>0.908333333</x:v>
      </x:c>
      <x:c r="F1111" s="14" t="n">
        <x:v>0.04</x:v>
      </x:c>
      <x:c r="G1111" s="17" t="n">
        <x:v>1</x:v>
      </x:c>
      <x:c r="H1111" s="14" t="str">
        <x:v>S04-01:A:apply_relation</x:v>
      </x:c>
    </x:row>
    <x:row r="1112" ht="72" customHeight="1">
      <x:c r="A1112" s="14" t="str">
        <x:v>S04-01:A:source_report_v1</x:v>
      </x:c>
      <x:c r="B1112" s="14" t="str">
        <x:v>A</x:v>
      </x:c>
      <x:c r="C1112" s="14" t="str">
        <x:v>source_report_v1</x:v>
      </x:c>
      <x:c r="D1112" s="14" t="n">
        <x:v>-5.04</x:v>
      </x:c>
      <x:c r="E1112" s="14" t="n">
        <x:v>-1</x:v>
      </x:c>
      <x:c r="F1112" s="14" t="n">
        <x:v>4.04</x:v>
      </x:c>
      <x:c r="G1112" s="17" t="n">
        <x:v>0</x:v>
      </x:c>
      <x:c r="H1112" s="14" t="str">
        <x:v>S04-01:A:original_handoff</x:v>
      </x:c>
    </x:row>
    <x:row r="1113" ht="72" customHeight="1">
      <x:c r="A1113" s="14" t="str">
        <x:v>S04-01:A:display_report_v1</x:v>
      </x:c>
      <x:c r="B1113" s="14" t="str">
        <x:v>A</x:v>
      </x:c>
      <x:c r="C1113" s="14" t="str">
        <x:v>display_report_v1</x:v>
      </x:c>
      <x:c r="D1113" s="14" t="n">
        <x:v>-1</x:v>
      </x:c>
      <x:c r="E1113" s="14" t="n">
        <x:v>-0.96</x:v>
      </x:c>
      <x:c r="F1113" s="14" t="n">
        <x:v>0.04</x:v>
      </x:c>
      <x:c r="G1113" s="17" t="n">
        <x:v>1</x:v>
      </x:c>
      <x:c r="H1113" s="14" t="str">
        <x:v>S04-01:A:source_report_v1</x:v>
      </x:c>
    </x:row>
    <x:row r="1114" ht="72" customHeight="1">
      <x:c r="A1114" s="14" t="str">
        <x:v>S04-01:A:report_v1_first</x:v>
      </x:c>
      <x:c r="B1114" s="14" t="str">
        <x:v>A</x:v>
      </x:c>
      <x:c r="C1114" s="14" t="str">
        <x:v>report_v1_first</x:v>
      </x:c>
      <x:c r="D1114" s="14" t="n">
        <x:v>-1</x:v>
      </x:c>
      <x:c r="E1114" s="14" t="n">
        <x:v>-0.59</x:v>
      </x:c>
      <x:c r="F1114" s="14" t="n">
        <x:v>0.41</x:v>
      </x:c>
      <x:c r="G1114" s="17" t="n">
        <x:v>1</x:v>
      </x:c>
      <x:c r="H1114" s="14" t="str">
        <x:v>S04-01:A:source_report_v1</x:v>
      </x:c>
    </x:row>
    <x:row r="1115" ht="72" customHeight="1">
      <x:c r="A1115" s="14" t="str">
        <x:v>S04-01:A:report_v1_tail</x:v>
      </x:c>
      <x:c r="B1115" s="14" t="str">
        <x:v>A</x:v>
      </x:c>
      <x:c r="C1115" s="14" t="str">
        <x:v>report_v1_tail</x:v>
      </x:c>
      <x:c r="D1115" s="14" t="n">
        <x:v>-0.59</x:v>
      </x:c>
      <x:c r="E1115" s="14" t="n">
        <x:v>0.968333333</x:v>
      </x:c>
      <x:c r="F1115" s="14" t="n">
        <x:v>1.558333333</x:v>
      </x:c>
      <x:c r="G1115" s="17" t="n">
        <x:v>1</x:v>
      </x:c>
      <x:c r="H1115" s="14" t="str">
        <x:v>S04-01:A:report_v1_first</x:v>
      </x:c>
    </x:row>
    <x:row r="1116" ht="72" customHeight="1">
      <x:c r="A1116" s="14" t="str">
        <x:v>S04-01:A:source_withdraw_ack</x:v>
      </x:c>
      <x:c r="B1116" s="14" t="str">
        <x:v>A</x:v>
      </x:c>
      <x:c r="C1116" s="14" t="str">
        <x:v>source_withdraw_ack</x:v>
      </x:c>
      <x:c r="D1116" s="14" t="n">
        <x:v>0.868333333</x:v>
      </x:c>
      <x:c r="E1116" s="14" t="n">
        <x:v>0.868333333</x:v>
      </x:c>
      <x:c r="F1116" s="14" t="n">
        <x:v>0</x:v>
      </x:c>
      <x:c r="G1116" s="17" t="n">
        <x:v>0</x:v>
      </x:c>
      <x:c r="H1116" s="14" t="str">
        <x:v>S04-01:A:apply_relation</x:v>
      </x:c>
    </x:row>
    <x:row r="1117" ht="72" customHeight="1">
      <x:c r="A1117" s="14" t="str">
        <x:v>S04-01:A:display_withdraw_ack</x:v>
      </x:c>
      <x:c r="B1117" s="14" t="str">
        <x:v>A</x:v>
      </x:c>
      <x:c r="C1117" s="14" t="str">
        <x:v>display_withdraw_ack</x:v>
      </x:c>
      <x:c r="D1117" s="14" t="n">
        <x:v>0.868333333</x:v>
      </x:c>
      <x:c r="E1117" s="14" t="n">
        <x:v>0.908333333</x:v>
      </x:c>
      <x:c r="F1117" s="14" t="n">
        <x:v>0.04</x:v>
      </x:c>
      <x:c r="G1117" s="17" t="n">
        <x:v>1</x:v>
      </x:c>
      <x:c r="H1117" s="14" t="str">
        <x:v>S04-01:A:source_withdraw_ack</x:v>
      </x:c>
    </x:row>
    <x:row r="1118" ht="72" customHeight="1">
      <x:c r="A1118" s="14" t="str">
        <x:v>S04-01:A:withdraw_ack_first</x:v>
      </x:c>
      <x:c r="B1118" s="14" t="str">
        <x:v>A</x:v>
      </x:c>
      <x:c r="C1118" s="14" t="str">
        <x:v>withdraw_ack_first</x:v>
      </x:c>
      <x:c r="D1118" s="14" t="n">
        <x:v>0.868333333</x:v>
      </x:c>
      <x:c r="E1118" s="14" t="n">
        <x:v>1.275666666</x:v>
      </x:c>
      <x:c r="F1118" s="14" t="n">
        <x:v>0.407333333</x:v>
      </x:c>
      <x:c r="G1118" s="17" t="n">
        <x:v>1</x:v>
      </x:c>
      <x:c r="H1118" s="14" t="str">
        <x:v>S04-01:A:source_withdraw_ack</x:v>
      </x:c>
    </x:row>
    <x:row r="1119" ht="72" customHeight="1">
      <x:c r="A1119" s="14" t="str">
        <x:v>S04-01:A:withdraw_ack_tail</x:v>
      </x:c>
      <x:c r="B1119" s="14" t="str">
        <x:v>A</x:v>
      </x:c>
      <x:c r="C1119" s="14" t="str">
        <x:v>withdraw_ack_tail</x:v>
      </x:c>
      <x:c r="D1119" s="14" t="n">
        <x:v>1.275666666</x:v>
      </x:c>
      <x:c r="E1119" s="14" t="n">
        <x:v>2.112166666</x:v>
      </x:c>
      <x:c r="F1119" s="14" t="n">
        <x:v>0.8365</x:v>
      </x:c>
      <x:c r="G1119" s="17" t="n">
        <x:v>1</x:v>
      </x:c>
      <x:c r="H1119" s="14" t="str">
        <x:v>S04-01:A:withdraw_ack_first</x:v>
      </x:c>
    </x:row>
    <x:row r="1120" ht="72" customHeight="1">
      <x:c r="A1120" s="14" t="str">
        <x:v>S04-01:A:withdraw_ack_device</x:v>
      </x:c>
      <x:c r="B1120" s="14" t="str">
        <x:v>A</x:v>
      </x:c>
      <x:c r="C1120" s="14" t="str">
        <x:v>withdraw_ack_device</x:v>
      </x:c>
      <x:c r="D1120" s="14" t="n">
        <x:v>1.275666666</x:v>
      </x:c>
      <x:c r="E1120" s="14" t="n">
        <x:v>1.315666666</x:v>
      </x:c>
      <x:c r="F1120" s="14" t="n">
        <x:v>0.04</x:v>
      </x:c>
      <x:c r="G1120" s="17" t="n">
        <x:v>1</x:v>
      </x:c>
      <x:c r="H1120" s="14" t="str">
        <x:v>S04-01:A:apply_relation
S04-01:A:withdraw_ack_first</x:v>
      </x:c>
    </x:row>
    <x:row r="1121" ht="72" customHeight="1">
      <x:c r="A1121" s="14" t="str">
        <x:v>S04-01:A:withdraw_ack_played</x:v>
      </x:c>
      <x:c r="B1121" s="14" t="str">
        <x:v>A</x:v>
      </x:c>
      <x:c r="C1121" s="14" t="str">
        <x:v>withdraw_ack_played</x:v>
      </x:c>
      <x:c r="D1121" s="14" t="n">
        <x:v>1.315666666</x:v>
      </x:c>
      <x:c r="E1121" s="14" t="n">
        <x:v>4.861666666</x:v>
      </x:c>
      <x:c r="F1121" s="14" t="n">
        <x:v>3.546</x:v>
      </x:c>
      <x:c r="G1121" s="17" t="n">
        <x:v>0</x:v>
      </x:c>
      <x:c r="H1121" s="14" t="str">
        <x:v>S04-01:A:withdraw_ack_device</x:v>
      </x:c>
    </x:row>
    <x:row r="1122" ht="72" customHeight="1">
      <x:c r="A1122" s="14" t="str">
        <x:v>S04-01:B:origin</x:v>
      </x:c>
      <x:c r="B1122" s="14" t="str">
        <x:v>B</x:v>
      </x:c>
      <x:c r="C1122" s="14" t="str">
        <x:v>origin</x:v>
      </x:c>
      <x:c r="D1122" s="14" t="n">
        <x:v>-6</x:v>
      </x:c>
      <x:c r="E1122" s="14" t="n">
        <x:v>-6</x:v>
      </x:c>
      <x:c r="F1122" s="14" t="n">
        <x:v>0</x:v>
      </x:c>
      <x:c r="G1122" s="17" t="n">
        <x:v>0</x:v>
      </x:c>
      <x:c r="H1122" s="14" t="str"/>
    </x:row>
    <x:row r="1123" ht="72" customHeight="1">
      <x:c r="A1123" s="14" t="str">
        <x:v>S04-01:B:origin_interpretation</x:v>
      </x:c>
      <x:c r="B1123" s="14" t="str">
        <x:v>B</x:v>
      </x:c>
      <x:c r="C1123" s="14" t="str">
        <x:v>origin_interpretation</x:v>
      </x:c>
      <x:c r="D1123" s="14" t="n">
        <x:v>-6</x:v>
      </x:c>
      <x:c r="E1123" s="14" t="n">
        <x:v>-5.16</x:v>
      </x:c>
      <x:c r="F1123" s="14" t="n">
        <x:v>0.84</x:v>
      </x:c>
      <x:c r="G1123" s="17" t="n">
        <x:v>1</x:v>
      </x:c>
      <x:c r="H1123" s="14" t="str">
        <x:v>S04-01:B:origin</x:v>
      </x:c>
    </x:row>
    <x:row r="1124" ht="72" customHeight="1">
      <x:c r="A1124" s="14" t="str">
        <x:v>S04-01:B:original_handoff</x:v>
      </x:c>
      <x:c r="B1124" s="14" t="str">
        <x:v>B</x:v>
      </x:c>
      <x:c r="C1124" s="14" t="str">
        <x:v>original_handoff</x:v>
      </x:c>
      <x:c r="D1124" s="14" t="n">
        <x:v>-5.16</x:v>
      </x:c>
      <x:c r="E1124" s="14" t="n">
        <x:v>-5.04</x:v>
      </x:c>
      <x:c r="F1124" s="14" t="n">
        <x:v>0.12</x:v>
      </x:c>
      <x:c r="G1124" s="17" t="n">
        <x:v>1</x:v>
      </x:c>
      <x:c r="H1124" s="14" t="str">
        <x:v>S04-01:B:origin_interpretation</x:v>
      </x:c>
    </x:row>
    <x:row r="1125" ht="72" customHeight="1">
      <x:c r="A1125" s="14" t="str">
        <x:v>S04-01:B:evaluation_utterance_end</x:v>
      </x:c>
      <x:c r="B1125" s="14" t="str">
        <x:v>B</x:v>
      </x:c>
      <x:c r="C1125" s="14" t="str">
        <x:v>evaluation_utterance_end</x:v>
      </x:c>
      <x:c r="D1125" s="14" t="n">
        <x:v>-6</x:v>
      </x:c>
      <x:c r="E1125" s="14" t="n">
        <x:v>0</x:v>
      </x:c>
      <x:c r="F1125" s="14" t="n">
        <x:v>6</x:v>
      </x:c>
      <x:c r="G1125" s="17" t="n">
        <x:v>0</x:v>
      </x:c>
      <x:c r="H1125" s="14" t="str">
        <x:v>S04-01:B:origin</x:v>
      </x:c>
    </x:row>
    <x:row r="1126" ht="72" customHeight="1">
      <x:c r="A1126" s="14" t="str">
        <x:v>S04-01:B:final_transcript</x:v>
      </x:c>
      <x:c r="B1126" s="14" t="str">
        <x:v>B</x:v>
      </x:c>
      <x:c r="C1126" s="14" t="str">
        <x:v>final_transcript</x:v>
      </x:c>
      <x:c r="D1126" s="14" t="n">
        <x:v>0</x:v>
      </x:c>
      <x:c r="E1126" s="14" t="n">
        <x:v>0.3</x:v>
      </x:c>
      <x:c r="F1126" s="14" t="n">
        <x:v>0.3</x:v>
      </x:c>
      <x:c r="G1126" s="17" t="n">
        <x:v>1</x:v>
      </x:c>
      <x:c r="H1126" s="14" t="str">
        <x:v>S04-01:B:evaluation_utterance_end</x:v>
      </x:c>
    </x:row>
    <x:row r="1127" ht="72" customHeight="1">
      <x:c r="A1127" s="14" t="str">
        <x:v>S04-01:B:meaning_adoption</x:v>
      </x:c>
      <x:c r="B1127" s="14" t="str">
        <x:v>B</x:v>
      </x:c>
      <x:c r="C1127" s="14" t="str">
        <x:v>meaning_adoption</x:v>
      </x:c>
      <x:c r="D1127" s="14" t="n">
        <x:v>0.3</x:v>
      </x:c>
      <x:c r="E1127" s="14" t="n">
        <x:v>0.828333333</x:v>
      </x:c>
      <x:c r="F1127" s="14" t="n">
        <x:v>0.528333333</x:v>
      </x:c>
      <x:c r="G1127" s="17" t="n">
        <x:v>1</x:v>
      </x:c>
      <x:c r="H1127" s="14" t="str">
        <x:v>S04-01:B:final_transcript
S04-01:B:origin_interpretation</x:v>
      </x:c>
    </x:row>
    <x:row r="1128" ht="72" customHeight="1">
      <x:c r="A1128" s="14" t="str">
        <x:v>S04-01:B:apply_relation</x:v>
      </x:c>
      <x:c r="B1128" s="14" t="str">
        <x:v>B</x:v>
      </x:c>
      <x:c r="C1128" s="14" t="str">
        <x:v>apply_relation</x:v>
      </x:c>
      <x:c r="D1128" s="14" t="n">
        <x:v>0.828333333</x:v>
      </x:c>
      <x:c r="E1128" s="14" t="n">
        <x:v>0.868333333</x:v>
      </x:c>
      <x:c r="F1128" s="14" t="n">
        <x:v>0.04</x:v>
      </x:c>
      <x:c r="G1128" s="17" t="n">
        <x:v>1</x:v>
      </x:c>
      <x:c r="H1128" s="14" t="str">
        <x:v>S04-01:B:meaning_adoption</x:v>
      </x:c>
    </x:row>
    <x:row r="1129" ht="72" customHeight="1">
      <x:c r="A1129" s="14" t="str">
        <x:v>S04-01:B:evaluation_first_display</x:v>
      </x:c>
      <x:c r="B1129" s="14" t="str">
        <x:v>B</x:v>
      </x:c>
      <x:c r="C1129" s="14" t="str">
        <x:v>evaluation_first_display</x:v>
      </x:c>
      <x:c r="D1129" s="14" t="n">
        <x:v>0.868333333</x:v>
      </x:c>
      <x:c r="E1129" s="14" t="n">
        <x:v>0.908333333</x:v>
      </x:c>
      <x:c r="F1129" s="14" t="n">
        <x:v>0.04</x:v>
      </x:c>
      <x:c r="G1129" s="17" t="n">
        <x:v>1</x:v>
      </x:c>
      <x:c r="H1129" s="14" t="str">
        <x:v>S04-01:B:apply_relation</x:v>
      </x:c>
    </x:row>
    <x:row r="1130" ht="72" customHeight="1">
      <x:c r="A1130" s="14" t="str">
        <x:v>S04-01:B:source_report_v1</x:v>
      </x:c>
      <x:c r="B1130" s="14" t="str">
        <x:v>B</x:v>
      </x:c>
      <x:c r="C1130" s="14" t="str">
        <x:v>source_report_v1</x:v>
      </x:c>
      <x:c r="D1130" s="14" t="n">
        <x:v>-5.04</x:v>
      </x:c>
      <x:c r="E1130" s="14" t="n">
        <x:v>-1</x:v>
      </x:c>
      <x:c r="F1130" s="14" t="n">
        <x:v>4.04</x:v>
      </x:c>
      <x:c r="G1130" s="17" t="n">
        <x:v>0</x:v>
      </x:c>
      <x:c r="H1130" s="14" t="str">
        <x:v>S04-01:B:original_handoff</x:v>
      </x:c>
    </x:row>
    <x:row r="1131" ht="72" customHeight="1">
      <x:c r="A1131" s="14" t="str">
        <x:v>S04-01:B:display_report_v1</x:v>
      </x:c>
      <x:c r="B1131" s="14" t="str">
        <x:v>B</x:v>
      </x:c>
      <x:c r="C1131" s="14" t="str">
        <x:v>display_report_v1</x:v>
      </x:c>
      <x:c r="D1131" s="14" t="n">
        <x:v>-1</x:v>
      </x:c>
      <x:c r="E1131" s="14" t="n">
        <x:v>-0.96</x:v>
      </x:c>
      <x:c r="F1131" s="14" t="n">
        <x:v>0.04</x:v>
      </x:c>
      <x:c r="G1131" s="17" t="n">
        <x:v>1</x:v>
      </x:c>
      <x:c r="H1131" s="14" t="str">
        <x:v>S04-01:B:source_report_v1</x:v>
      </x:c>
    </x:row>
    <x:row r="1132" ht="72" customHeight="1">
      <x:c r="A1132" s="14" t="str">
        <x:v>S04-01:B:source_withdraw_ack</x:v>
      </x:c>
      <x:c r="B1132" s="14" t="str">
        <x:v>B</x:v>
      </x:c>
      <x:c r="C1132" s="14" t="str">
        <x:v>source_withdraw_ack</x:v>
      </x:c>
      <x:c r="D1132" s="14" t="n">
        <x:v>0.868333333</x:v>
      </x:c>
      <x:c r="E1132" s="14" t="n">
        <x:v>0.868333333</x:v>
      </x:c>
      <x:c r="F1132" s="14" t="n">
        <x:v>0</x:v>
      </x:c>
      <x:c r="G1132" s="17" t="n">
        <x:v>0</x:v>
      </x:c>
      <x:c r="H1132" s="14" t="str">
        <x:v>S04-01:B:apply_relation</x:v>
      </x:c>
    </x:row>
    <x:row r="1133" ht="72" customHeight="1">
      <x:c r="A1133" s="14" t="str">
        <x:v>S04-01:B:display_withdraw_ack</x:v>
      </x:c>
      <x:c r="B1133" s="14" t="str">
        <x:v>B</x:v>
      </x:c>
      <x:c r="C1133" s="14" t="str">
        <x:v>display_withdraw_ack</x:v>
      </x:c>
      <x:c r="D1133" s="14" t="n">
        <x:v>0.868333333</x:v>
      </x:c>
      <x:c r="E1133" s="14" t="n">
        <x:v>0.908333333</x:v>
      </x:c>
      <x:c r="F1133" s="14" t="n">
        <x:v>0.04</x:v>
      </x:c>
      <x:c r="G1133" s="17" t="n">
        <x:v>1</x:v>
      </x:c>
      <x:c r="H1133" s="14" t="str">
        <x:v>S04-01:B:source_withdraw_ack</x:v>
      </x:c>
    </x:row>
    <x:row r="1134" ht="72" customHeight="1">
      <x:c r="A1134" s="14" t="str">
        <x:v>S04-01:B:withdraw_ack_first</x:v>
      </x:c>
      <x:c r="B1134" s="14" t="str">
        <x:v>B</x:v>
      </x:c>
      <x:c r="C1134" s="14" t="str">
        <x:v>withdraw_ack_first</x:v>
      </x:c>
      <x:c r="D1134" s="14" t="n">
        <x:v>0.868333333</x:v>
      </x:c>
      <x:c r="E1134" s="14" t="n">
        <x:v>1.275666666</x:v>
      </x:c>
      <x:c r="F1134" s="14" t="n">
        <x:v>0.407333333</x:v>
      </x:c>
      <x:c r="G1134" s="17" t="n">
        <x:v>1</x:v>
      </x:c>
      <x:c r="H1134" s="14" t="str">
        <x:v>S04-01:B:apply_relation</x:v>
      </x:c>
    </x:row>
    <x:row r="1135" ht="72" customHeight="1">
      <x:c r="A1135" s="14" t="str">
        <x:v>S04-01:B:withdraw_ack_tail</x:v>
      </x:c>
      <x:c r="B1135" s="14" t="str">
        <x:v>B</x:v>
      </x:c>
      <x:c r="C1135" s="14" t="str">
        <x:v>withdraw_ack_tail</x:v>
      </x:c>
      <x:c r="D1135" s="14" t="n">
        <x:v>1.275666666</x:v>
      </x:c>
      <x:c r="E1135" s="14" t="n">
        <x:v>2.112166666</x:v>
      </x:c>
      <x:c r="F1135" s="14" t="n">
        <x:v>0.8365</x:v>
      </x:c>
      <x:c r="G1135" s="17" t="n">
        <x:v>1</x:v>
      </x:c>
      <x:c r="H1135" s="14" t="str">
        <x:v>S04-01:B:withdraw_ack_first</x:v>
      </x:c>
    </x:row>
    <x:row r="1136" ht="72" customHeight="1">
      <x:c r="A1136" s="14" t="str">
        <x:v>S04-01:B:withdraw_ack_device</x:v>
      </x:c>
      <x:c r="B1136" s="14" t="str">
        <x:v>B</x:v>
      </x:c>
      <x:c r="C1136" s="14" t="str">
        <x:v>withdraw_ack_device</x:v>
      </x:c>
      <x:c r="D1136" s="14" t="n">
        <x:v>1.275666666</x:v>
      </x:c>
      <x:c r="E1136" s="14" t="n">
        <x:v>1.315666666</x:v>
      </x:c>
      <x:c r="F1136" s="14" t="n">
        <x:v>0.04</x:v>
      </x:c>
      <x:c r="G1136" s="17" t="n">
        <x:v>1</x:v>
      </x:c>
      <x:c r="H1136" s="14" t="str">
        <x:v>S04-01:B:apply_relation
S04-01:B:withdraw_ack_first</x:v>
      </x:c>
    </x:row>
    <x:row r="1137" ht="72" customHeight="1">
      <x:c r="A1137" s="14" t="str">
        <x:v>S04-01:B:withdraw_ack_played</x:v>
      </x:c>
      <x:c r="B1137" s="14" t="str">
        <x:v>B</x:v>
      </x:c>
      <x:c r="C1137" s="14" t="str">
        <x:v>withdraw_ack_played</x:v>
      </x:c>
      <x:c r="D1137" s="14" t="n">
        <x:v>1.315666666</x:v>
      </x:c>
      <x:c r="E1137" s="14" t="n">
        <x:v>4.861666666</x:v>
      </x:c>
      <x:c r="F1137" s="14" t="n">
        <x:v>3.546</x:v>
      </x:c>
      <x:c r="G1137" s="17" t="n">
        <x:v>0</x:v>
      </x:c>
      <x:c r="H1137" s="14" t="str">
        <x:v>S04-01:B:withdraw_ack_device</x:v>
      </x:c>
    </x:row>
    <x:row r="1138" ht="72" customHeight="1">
      <x:c r="A1138" s="14" t="str">
        <x:v>S04-02:A:origin</x:v>
      </x:c>
      <x:c r="B1138" s="14" t="str">
        <x:v>A</x:v>
      </x:c>
      <x:c r="C1138" s="14" t="str">
        <x:v>origin</x:v>
      </x:c>
      <x:c r="D1138" s="14" t="n">
        <x:v>-6</x:v>
      </x:c>
      <x:c r="E1138" s="14" t="n">
        <x:v>-6</x:v>
      </x:c>
      <x:c r="F1138" s="14" t="n">
        <x:v>0</x:v>
      </x:c>
      <x:c r="G1138" s="17" t="n">
        <x:v>0</x:v>
      </x:c>
      <x:c r="H1138" s="14" t="str"/>
    </x:row>
    <x:row r="1139" ht="72" customHeight="1">
      <x:c r="A1139" s="14" t="str">
        <x:v>S04-02:A:origin_interpretation</x:v>
      </x:c>
      <x:c r="B1139" s="14" t="str">
        <x:v>A</x:v>
      </x:c>
      <x:c r="C1139" s="14" t="str">
        <x:v>origin_interpretation</x:v>
      </x:c>
      <x:c r="D1139" s="14" t="n">
        <x:v>-6</x:v>
      </x:c>
      <x:c r="E1139" s="14" t="n">
        <x:v>-5.16</x:v>
      </x:c>
      <x:c r="F1139" s="14" t="n">
        <x:v>0.84</x:v>
      </x:c>
      <x:c r="G1139" s="17" t="n">
        <x:v>1</x:v>
      </x:c>
      <x:c r="H1139" s="14" t="str">
        <x:v>S04-02:A:origin</x:v>
      </x:c>
    </x:row>
    <x:row r="1140" ht="72" customHeight="1">
      <x:c r="A1140" s="14" t="str">
        <x:v>S04-02:A:original_handoff</x:v>
      </x:c>
      <x:c r="B1140" s="14" t="str">
        <x:v>A</x:v>
      </x:c>
      <x:c r="C1140" s="14" t="str">
        <x:v>original_handoff</x:v>
      </x:c>
      <x:c r="D1140" s="14" t="n">
        <x:v>-5.16</x:v>
      </x:c>
      <x:c r="E1140" s="14" t="n">
        <x:v>-5.04</x:v>
      </x:c>
      <x:c r="F1140" s="14" t="n">
        <x:v>0.12</x:v>
      </x:c>
      <x:c r="G1140" s="17" t="n">
        <x:v>1</x:v>
      </x:c>
      <x:c r="H1140" s="14" t="str">
        <x:v>S04-02:A:origin_interpretation</x:v>
      </x:c>
    </x:row>
    <x:row r="1141" ht="72" customHeight="1">
      <x:c r="A1141" s="14" t="str">
        <x:v>S04-02:A:evaluation_utterance_end</x:v>
      </x:c>
      <x:c r="B1141" s="14" t="str">
        <x:v>A</x:v>
      </x:c>
      <x:c r="C1141" s="14" t="str">
        <x:v>evaluation_utterance_end</x:v>
      </x:c>
      <x:c r="D1141" s="14" t="n">
        <x:v>-6</x:v>
      </x:c>
      <x:c r="E1141" s="14" t="n">
        <x:v>0</x:v>
      </x:c>
      <x:c r="F1141" s="14" t="n">
        <x:v>6</x:v>
      </x:c>
      <x:c r="G1141" s="17" t="n">
        <x:v>0</x:v>
      </x:c>
      <x:c r="H1141" s="14" t="str">
        <x:v>S04-02:A:origin</x:v>
      </x:c>
    </x:row>
    <x:row r="1142" ht="72" customHeight="1">
      <x:c r="A1142" s="14" t="str">
        <x:v>S04-02:A:final_transcript</x:v>
      </x:c>
      <x:c r="B1142" s="14" t="str">
        <x:v>A</x:v>
      </x:c>
      <x:c r="C1142" s="14" t="str">
        <x:v>final_transcript</x:v>
      </x:c>
      <x:c r="D1142" s="14" t="n">
        <x:v>0</x:v>
      </x:c>
      <x:c r="E1142" s="14" t="n">
        <x:v>0.3</x:v>
      </x:c>
      <x:c r="F1142" s="14" t="n">
        <x:v>0.3</x:v>
      </x:c>
      <x:c r="G1142" s="17" t="n">
        <x:v>1</x:v>
      </x:c>
      <x:c r="H1142" s="14" t="str">
        <x:v>S04-02:A:evaluation_utterance_end</x:v>
      </x:c>
    </x:row>
    <x:row r="1143" ht="72" customHeight="1">
      <x:c r="A1143" s="14" t="str">
        <x:v>S04-02:A:meaning_adoption</x:v>
      </x:c>
      <x:c r="B1143" s="14" t="str">
        <x:v>A</x:v>
      </x:c>
      <x:c r="C1143" s="14" t="str">
        <x:v>meaning_adoption</x:v>
      </x:c>
      <x:c r="D1143" s="14" t="n">
        <x:v>0.3</x:v>
      </x:c>
      <x:c r="E1143" s="14" t="n">
        <x:v>0.856666667</x:v>
      </x:c>
      <x:c r="F1143" s="14" t="n">
        <x:v>0.556666667</x:v>
      </x:c>
      <x:c r="G1143" s="17" t="n">
        <x:v>1</x:v>
      </x:c>
      <x:c r="H1143" s="14" t="str">
        <x:v>S04-02:A:final_transcript
S04-02:A:origin_interpretation</x:v>
      </x:c>
    </x:row>
    <x:row r="1144" ht="72" customHeight="1">
      <x:c r="A1144" s="14" t="str">
        <x:v>S04-02:A:apply_relation</x:v>
      </x:c>
      <x:c r="B1144" s="14" t="str">
        <x:v>A</x:v>
      </x:c>
      <x:c r="C1144" s="14" t="str">
        <x:v>apply_relation</x:v>
      </x:c>
      <x:c r="D1144" s="14" t="n">
        <x:v>0.856666667</x:v>
      </x:c>
      <x:c r="E1144" s="14" t="n">
        <x:v>0.896666667</x:v>
      </x:c>
      <x:c r="F1144" s="14" t="n">
        <x:v>0.04</x:v>
      </x:c>
      <x:c r="G1144" s="17" t="n">
        <x:v>1</x:v>
      </x:c>
      <x:c r="H1144" s="14" t="str">
        <x:v>S04-02:A:meaning_adoption</x:v>
      </x:c>
    </x:row>
    <x:row r="1145" ht="72" customHeight="1">
      <x:c r="A1145" s="14" t="str">
        <x:v>S04-02:A:evaluation_first_display</x:v>
      </x:c>
      <x:c r="B1145" s="14" t="str">
        <x:v>A</x:v>
      </x:c>
      <x:c r="C1145" s="14" t="str">
        <x:v>evaluation_first_display</x:v>
      </x:c>
      <x:c r="D1145" s="14" t="n">
        <x:v>0.896666667</x:v>
      </x:c>
      <x:c r="E1145" s="14" t="n">
        <x:v>0.936666667</x:v>
      </x:c>
      <x:c r="F1145" s="14" t="n">
        <x:v>0.04</x:v>
      </x:c>
      <x:c r="G1145" s="17" t="n">
        <x:v>1</x:v>
      </x:c>
      <x:c r="H1145" s="14" t="str">
        <x:v>S04-02:A:apply_relation</x:v>
      </x:c>
    </x:row>
    <x:row r="1146" ht="72" customHeight="1">
      <x:c r="A1146" s="14" t="str">
        <x:v>S04-02:A:source_report_v1</x:v>
      </x:c>
      <x:c r="B1146" s="14" t="str">
        <x:v>A</x:v>
      </x:c>
      <x:c r="C1146" s="14" t="str">
        <x:v>source_report_v1</x:v>
      </x:c>
      <x:c r="D1146" s="14" t="n">
        <x:v>-5.04</x:v>
      </x:c>
      <x:c r="E1146" s="14" t="n">
        <x:v>-1</x:v>
      </x:c>
      <x:c r="F1146" s="14" t="n">
        <x:v>4.04</x:v>
      </x:c>
      <x:c r="G1146" s="17" t="n">
        <x:v>0</x:v>
      </x:c>
      <x:c r="H1146" s="14" t="str">
        <x:v>S04-02:A:original_handoff</x:v>
      </x:c>
    </x:row>
    <x:row r="1147" ht="72" customHeight="1">
      <x:c r="A1147" s="14" t="str">
        <x:v>S04-02:A:display_report_v1</x:v>
      </x:c>
      <x:c r="B1147" s="14" t="str">
        <x:v>A</x:v>
      </x:c>
      <x:c r="C1147" s="14" t="str">
        <x:v>display_report_v1</x:v>
      </x:c>
      <x:c r="D1147" s="14" t="n">
        <x:v>-1</x:v>
      </x:c>
      <x:c r="E1147" s="14" t="n">
        <x:v>-0.96</x:v>
      </x:c>
      <x:c r="F1147" s="14" t="n">
        <x:v>0.04</x:v>
      </x:c>
      <x:c r="G1147" s="17" t="n">
        <x:v>1</x:v>
      </x:c>
      <x:c r="H1147" s="14" t="str">
        <x:v>S04-02:A:source_report_v1</x:v>
      </x:c>
    </x:row>
    <x:row r="1148" ht="72" customHeight="1">
      <x:c r="A1148" s="14" t="str">
        <x:v>S04-02:A:report_v1_first</x:v>
      </x:c>
      <x:c r="B1148" s="14" t="str">
        <x:v>A</x:v>
      </x:c>
      <x:c r="C1148" s="14" t="str">
        <x:v>report_v1_first</x:v>
      </x:c>
      <x:c r="D1148" s="14" t="n">
        <x:v>-1</x:v>
      </x:c>
      <x:c r="E1148" s="14" t="n">
        <x:v>-0.59</x:v>
      </x:c>
      <x:c r="F1148" s="14" t="n">
        <x:v>0.41</x:v>
      </x:c>
      <x:c r="G1148" s="17" t="n">
        <x:v>1</x:v>
      </x:c>
      <x:c r="H1148" s="14" t="str">
        <x:v>S04-02:A:source_report_v1</x:v>
      </x:c>
    </x:row>
    <x:row r="1149" ht="72" customHeight="1">
      <x:c r="A1149" s="14" t="str">
        <x:v>S04-02:A:report_v1_tail</x:v>
      </x:c>
      <x:c r="B1149" s="14" t="str">
        <x:v>A</x:v>
      </x:c>
      <x:c r="C1149" s="14" t="str">
        <x:v>report_v1_tail</x:v>
      </x:c>
      <x:c r="D1149" s="14" t="n">
        <x:v>-0.59</x:v>
      </x:c>
      <x:c r="E1149" s="14" t="n">
        <x:v>0.996666667</x:v>
      </x:c>
      <x:c r="F1149" s="14" t="n">
        <x:v>1.586666667</x:v>
      </x:c>
      <x:c r="G1149" s="17" t="n">
        <x:v>1</x:v>
      </x:c>
      <x:c r="H1149" s="14" t="str">
        <x:v>S04-02:A:report_v1_first</x:v>
      </x:c>
    </x:row>
    <x:row r="1150" ht="72" customHeight="1">
      <x:c r="A1150" s="14" t="str">
        <x:v>S04-02:A:source_withdraw_ack</x:v>
      </x:c>
      <x:c r="B1150" s="14" t="str">
        <x:v>A</x:v>
      </x:c>
      <x:c r="C1150" s="14" t="str">
        <x:v>source_withdraw_ack</x:v>
      </x:c>
      <x:c r="D1150" s="14" t="n">
        <x:v>0.896666667</x:v>
      </x:c>
      <x:c r="E1150" s="14" t="n">
        <x:v>0.896666667</x:v>
      </x:c>
      <x:c r="F1150" s="14" t="n">
        <x:v>0</x:v>
      </x:c>
      <x:c r="G1150" s="17" t="n">
        <x:v>0</x:v>
      </x:c>
      <x:c r="H1150" s="14" t="str">
        <x:v>S04-02:A:apply_relation</x:v>
      </x:c>
    </x:row>
    <x:row r="1151" ht="72" customHeight="1">
      <x:c r="A1151" s="14" t="str">
        <x:v>S04-02:A:display_withdraw_ack</x:v>
      </x:c>
      <x:c r="B1151" s="14" t="str">
        <x:v>A</x:v>
      </x:c>
      <x:c r="C1151" s="14" t="str">
        <x:v>display_withdraw_ack</x:v>
      </x:c>
      <x:c r="D1151" s="14" t="n">
        <x:v>0.896666667</x:v>
      </x:c>
      <x:c r="E1151" s="14" t="n">
        <x:v>0.936666667</x:v>
      </x:c>
      <x:c r="F1151" s="14" t="n">
        <x:v>0.04</x:v>
      </x:c>
      <x:c r="G1151" s="17" t="n">
        <x:v>1</x:v>
      </x:c>
      <x:c r="H1151" s="14" t="str">
        <x:v>S04-02:A:source_withdraw_ack</x:v>
      </x:c>
    </x:row>
    <x:row r="1152" ht="72" customHeight="1">
      <x:c r="A1152" s="14" t="str">
        <x:v>S04-02:A:withdraw_ack_first</x:v>
      </x:c>
      <x:c r="B1152" s="14" t="str">
        <x:v>A</x:v>
      </x:c>
      <x:c r="C1152" s="14" t="str">
        <x:v>withdraw_ack_first</x:v>
      </x:c>
      <x:c r="D1152" s="14" t="n">
        <x:v>0.896666667</x:v>
      </x:c>
      <x:c r="E1152" s="14" t="n">
        <x:v>1.304</x:v>
      </x:c>
      <x:c r="F1152" s="14" t="n">
        <x:v>0.407333333</x:v>
      </x:c>
      <x:c r="G1152" s="17" t="n">
        <x:v>1</x:v>
      </x:c>
      <x:c r="H1152" s="14" t="str">
        <x:v>S04-02:A:source_withdraw_ack</x:v>
      </x:c>
    </x:row>
    <x:row r="1153" ht="72" customHeight="1">
      <x:c r="A1153" s="14" t="str">
        <x:v>S04-02:A:withdraw_ack_tail</x:v>
      </x:c>
      <x:c r="B1153" s="14" t="str">
        <x:v>A</x:v>
      </x:c>
      <x:c r="C1153" s="14" t="str">
        <x:v>withdraw_ack_tail</x:v>
      </x:c>
      <x:c r="D1153" s="14" t="n">
        <x:v>1.304</x:v>
      </x:c>
      <x:c r="E1153" s="14" t="n">
        <x:v>2.1435</x:v>
      </x:c>
      <x:c r="F1153" s="14" t="n">
        <x:v>0.8395</x:v>
      </x:c>
      <x:c r="G1153" s="17" t="n">
        <x:v>1</x:v>
      </x:c>
      <x:c r="H1153" s="14" t="str">
        <x:v>S04-02:A:withdraw_ack_first</x:v>
      </x:c>
    </x:row>
    <x:row r="1154" ht="72" customHeight="1">
      <x:c r="A1154" s="14" t="str">
        <x:v>S04-02:A:withdraw_ack_device</x:v>
      </x:c>
      <x:c r="B1154" s="14" t="str">
        <x:v>A</x:v>
      </x:c>
      <x:c r="C1154" s="14" t="str">
        <x:v>withdraw_ack_device</x:v>
      </x:c>
      <x:c r="D1154" s="14" t="n">
        <x:v>1.304</x:v>
      </x:c>
      <x:c r="E1154" s="14" t="n">
        <x:v>1.344</x:v>
      </x:c>
      <x:c r="F1154" s="14" t="n">
        <x:v>0.04</x:v>
      </x:c>
      <x:c r="G1154" s="17" t="n">
        <x:v>1</x:v>
      </x:c>
      <x:c r="H1154" s="14" t="str">
        <x:v>S04-02:A:apply_relation
S04-02:A:withdraw_ack_first</x:v>
      </x:c>
    </x:row>
    <x:row r="1155" ht="72" customHeight="1">
      <x:c r="A1155" s="14" t="str">
        <x:v>S04-02:A:withdraw_ack_played</x:v>
      </x:c>
      <x:c r="B1155" s="14" t="str">
        <x:v>A</x:v>
      </x:c>
      <x:c r="C1155" s="14" t="str">
        <x:v>withdraw_ack_played</x:v>
      </x:c>
      <x:c r="D1155" s="14" t="n">
        <x:v>1.344</x:v>
      </x:c>
      <x:c r="E1155" s="14" t="n">
        <x:v>4.902</x:v>
      </x:c>
      <x:c r="F1155" s="14" t="n">
        <x:v>3.558</x:v>
      </x:c>
      <x:c r="G1155" s="17" t="n">
        <x:v>0</x:v>
      </x:c>
      <x:c r="H1155" s="14" t="str">
        <x:v>S04-02:A:withdraw_ack_device</x:v>
      </x:c>
    </x:row>
    <x:row r="1156" ht="72" customHeight="1">
      <x:c r="A1156" s="14" t="str">
        <x:v>S04-02:B:origin</x:v>
      </x:c>
      <x:c r="B1156" s="14" t="str">
        <x:v>B</x:v>
      </x:c>
      <x:c r="C1156" s="14" t="str">
        <x:v>origin</x:v>
      </x:c>
      <x:c r="D1156" s="14" t="n">
        <x:v>-6</x:v>
      </x:c>
      <x:c r="E1156" s="14" t="n">
        <x:v>-6</x:v>
      </x:c>
      <x:c r="F1156" s="14" t="n">
        <x:v>0</x:v>
      </x:c>
      <x:c r="G1156" s="17" t="n">
        <x:v>0</x:v>
      </x:c>
      <x:c r="H1156" s="14" t="str"/>
    </x:row>
    <x:row r="1157" ht="72" customHeight="1">
      <x:c r="A1157" s="14" t="str">
        <x:v>S04-02:B:origin_interpretation</x:v>
      </x:c>
      <x:c r="B1157" s="14" t="str">
        <x:v>B</x:v>
      </x:c>
      <x:c r="C1157" s="14" t="str">
        <x:v>origin_interpretation</x:v>
      </x:c>
      <x:c r="D1157" s="14" t="n">
        <x:v>-6</x:v>
      </x:c>
      <x:c r="E1157" s="14" t="n">
        <x:v>-5.16</x:v>
      </x:c>
      <x:c r="F1157" s="14" t="n">
        <x:v>0.84</x:v>
      </x:c>
      <x:c r="G1157" s="17" t="n">
        <x:v>1</x:v>
      </x:c>
      <x:c r="H1157" s="14" t="str">
        <x:v>S04-02:B:origin</x:v>
      </x:c>
    </x:row>
    <x:row r="1158" ht="72" customHeight="1">
      <x:c r="A1158" s="14" t="str">
        <x:v>S04-02:B:original_handoff</x:v>
      </x:c>
      <x:c r="B1158" s="14" t="str">
        <x:v>B</x:v>
      </x:c>
      <x:c r="C1158" s="14" t="str">
        <x:v>original_handoff</x:v>
      </x:c>
      <x:c r="D1158" s="14" t="n">
        <x:v>-5.16</x:v>
      </x:c>
      <x:c r="E1158" s="14" t="n">
        <x:v>-5.04</x:v>
      </x:c>
      <x:c r="F1158" s="14" t="n">
        <x:v>0.12</x:v>
      </x:c>
      <x:c r="G1158" s="17" t="n">
        <x:v>1</x:v>
      </x:c>
      <x:c r="H1158" s="14" t="str">
        <x:v>S04-02:B:origin_interpretation</x:v>
      </x:c>
    </x:row>
    <x:row r="1159" ht="72" customHeight="1">
      <x:c r="A1159" s="14" t="str">
        <x:v>S04-02:B:evaluation_utterance_end</x:v>
      </x:c>
      <x:c r="B1159" s="14" t="str">
        <x:v>B</x:v>
      </x:c>
      <x:c r="C1159" s="14" t="str">
        <x:v>evaluation_utterance_end</x:v>
      </x:c>
      <x:c r="D1159" s="14" t="n">
        <x:v>-6</x:v>
      </x:c>
      <x:c r="E1159" s="14" t="n">
        <x:v>0</x:v>
      </x:c>
      <x:c r="F1159" s="14" t="n">
        <x:v>6</x:v>
      </x:c>
      <x:c r="G1159" s="17" t="n">
        <x:v>0</x:v>
      </x:c>
      <x:c r="H1159" s="14" t="str">
        <x:v>S04-02:B:origin</x:v>
      </x:c>
    </x:row>
    <x:row r="1160" ht="72" customHeight="1">
      <x:c r="A1160" s="14" t="str">
        <x:v>S04-02:B:final_transcript</x:v>
      </x:c>
      <x:c r="B1160" s="14" t="str">
        <x:v>B</x:v>
      </x:c>
      <x:c r="C1160" s="14" t="str">
        <x:v>final_transcript</x:v>
      </x:c>
      <x:c r="D1160" s="14" t="n">
        <x:v>0</x:v>
      </x:c>
      <x:c r="E1160" s="14" t="n">
        <x:v>0.3</x:v>
      </x:c>
      <x:c r="F1160" s="14" t="n">
        <x:v>0.3</x:v>
      </x:c>
      <x:c r="G1160" s="17" t="n">
        <x:v>1</x:v>
      </x:c>
      <x:c r="H1160" s="14" t="str">
        <x:v>S04-02:B:evaluation_utterance_end</x:v>
      </x:c>
    </x:row>
    <x:row r="1161" ht="72" customHeight="1">
      <x:c r="A1161" s="14" t="str">
        <x:v>S04-02:B:meaning_adoption</x:v>
      </x:c>
      <x:c r="B1161" s="14" t="str">
        <x:v>B</x:v>
      </x:c>
      <x:c r="C1161" s="14" t="str">
        <x:v>meaning_adoption</x:v>
      </x:c>
      <x:c r="D1161" s="14" t="n">
        <x:v>0.3</x:v>
      </x:c>
      <x:c r="E1161" s="14" t="n">
        <x:v>0.856666667</x:v>
      </x:c>
      <x:c r="F1161" s="14" t="n">
        <x:v>0.556666667</x:v>
      </x:c>
      <x:c r="G1161" s="17" t="n">
        <x:v>1</x:v>
      </x:c>
      <x:c r="H1161" s="14" t="str">
        <x:v>S04-02:B:final_transcript
S04-02:B:origin_interpretation</x:v>
      </x:c>
    </x:row>
    <x:row r="1162" ht="72" customHeight="1">
      <x:c r="A1162" s="14" t="str">
        <x:v>S04-02:B:apply_relation</x:v>
      </x:c>
      <x:c r="B1162" s="14" t="str">
        <x:v>B</x:v>
      </x:c>
      <x:c r="C1162" s="14" t="str">
        <x:v>apply_relation</x:v>
      </x:c>
      <x:c r="D1162" s="14" t="n">
        <x:v>0.856666667</x:v>
      </x:c>
      <x:c r="E1162" s="14" t="n">
        <x:v>0.896666667</x:v>
      </x:c>
      <x:c r="F1162" s="14" t="n">
        <x:v>0.04</x:v>
      </x:c>
      <x:c r="G1162" s="17" t="n">
        <x:v>1</x:v>
      </x:c>
      <x:c r="H1162" s="14" t="str">
        <x:v>S04-02:B:meaning_adoption</x:v>
      </x:c>
    </x:row>
    <x:row r="1163" ht="72" customHeight="1">
      <x:c r="A1163" s="14" t="str">
        <x:v>S04-02:B:evaluation_first_display</x:v>
      </x:c>
      <x:c r="B1163" s="14" t="str">
        <x:v>B</x:v>
      </x:c>
      <x:c r="C1163" s="14" t="str">
        <x:v>evaluation_first_display</x:v>
      </x:c>
      <x:c r="D1163" s="14" t="n">
        <x:v>0.896666667</x:v>
      </x:c>
      <x:c r="E1163" s="14" t="n">
        <x:v>0.936666667</x:v>
      </x:c>
      <x:c r="F1163" s="14" t="n">
        <x:v>0.04</x:v>
      </x:c>
      <x:c r="G1163" s="17" t="n">
        <x:v>1</x:v>
      </x:c>
      <x:c r="H1163" s="14" t="str">
        <x:v>S04-02:B:apply_relation</x:v>
      </x:c>
    </x:row>
    <x:row r="1164" ht="72" customHeight="1">
      <x:c r="A1164" s="14" t="str">
        <x:v>S04-02:B:source_report_v1</x:v>
      </x:c>
      <x:c r="B1164" s="14" t="str">
        <x:v>B</x:v>
      </x:c>
      <x:c r="C1164" s="14" t="str">
        <x:v>source_report_v1</x:v>
      </x:c>
      <x:c r="D1164" s="14" t="n">
        <x:v>-5.04</x:v>
      </x:c>
      <x:c r="E1164" s="14" t="n">
        <x:v>-1</x:v>
      </x:c>
      <x:c r="F1164" s="14" t="n">
        <x:v>4.04</x:v>
      </x:c>
      <x:c r="G1164" s="17" t="n">
        <x:v>0</x:v>
      </x:c>
      <x:c r="H1164" s="14" t="str">
        <x:v>S04-02:B:original_handoff</x:v>
      </x:c>
    </x:row>
    <x:row r="1165" ht="72" customHeight="1">
      <x:c r="A1165" s="14" t="str">
        <x:v>S04-02:B:display_report_v1</x:v>
      </x:c>
      <x:c r="B1165" s="14" t="str">
        <x:v>B</x:v>
      </x:c>
      <x:c r="C1165" s="14" t="str">
        <x:v>display_report_v1</x:v>
      </x:c>
      <x:c r="D1165" s="14" t="n">
        <x:v>-1</x:v>
      </x:c>
      <x:c r="E1165" s="14" t="n">
        <x:v>-0.96</x:v>
      </x:c>
      <x:c r="F1165" s="14" t="n">
        <x:v>0.04</x:v>
      </x:c>
      <x:c r="G1165" s="17" t="n">
        <x:v>1</x:v>
      </x:c>
      <x:c r="H1165" s="14" t="str">
        <x:v>S04-02:B:source_report_v1</x:v>
      </x:c>
    </x:row>
    <x:row r="1166" ht="72" customHeight="1">
      <x:c r="A1166" s="14" t="str">
        <x:v>S04-02:B:source_withdraw_ack</x:v>
      </x:c>
      <x:c r="B1166" s="14" t="str">
        <x:v>B</x:v>
      </x:c>
      <x:c r="C1166" s="14" t="str">
        <x:v>source_withdraw_ack</x:v>
      </x:c>
      <x:c r="D1166" s="14" t="n">
        <x:v>0.896666667</x:v>
      </x:c>
      <x:c r="E1166" s="14" t="n">
        <x:v>0.896666667</x:v>
      </x:c>
      <x:c r="F1166" s="14" t="n">
        <x:v>0</x:v>
      </x:c>
      <x:c r="G1166" s="17" t="n">
        <x:v>0</x:v>
      </x:c>
      <x:c r="H1166" s="14" t="str">
        <x:v>S04-02:B:apply_relation</x:v>
      </x:c>
    </x:row>
    <x:row r="1167" ht="72" customHeight="1">
      <x:c r="A1167" s="14" t="str">
        <x:v>S04-02:B:display_withdraw_ack</x:v>
      </x:c>
      <x:c r="B1167" s="14" t="str">
        <x:v>B</x:v>
      </x:c>
      <x:c r="C1167" s="14" t="str">
        <x:v>display_withdraw_ack</x:v>
      </x:c>
      <x:c r="D1167" s="14" t="n">
        <x:v>0.896666667</x:v>
      </x:c>
      <x:c r="E1167" s="14" t="n">
        <x:v>0.936666667</x:v>
      </x:c>
      <x:c r="F1167" s="14" t="n">
        <x:v>0.04</x:v>
      </x:c>
      <x:c r="G1167" s="17" t="n">
        <x:v>1</x:v>
      </x:c>
      <x:c r="H1167" s="14" t="str">
        <x:v>S04-02:B:source_withdraw_ack</x:v>
      </x:c>
    </x:row>
    <x:row r="1168" ht="72" customHeight="1">
      <x:c r="A1168" s="14" t="str">
        <x:v>S04-02:B:withdraw_ack_first</x:v>
      </x:c>
      <x:c r="B1168" s="14" t="str">
        <x:v>B</x:v>
      </x:c>
      <x:c r="C1168" s="14" t="str">
        <x:v>withdraw_ack_first</x:v>
      </x:c>
      <x:c r="D1168" s="14" t="n">
        <x:v>0.896666667</x:v>
      </x:c>
      <x:c r="E1168" s="14" t="n">
        <x:v>1.304</x:v>
      </x:c>
      <x:c r="F1168" s="14" t="n">
        <x:v>0.407333333</x:v>
      </x:c>
      <x:c r="G1168" s="17" t="n">
        <x:v>1</x:v>
      </x:c>
      <x:c r="H1168" s="14" t="str">
        <x:v>S04-02:B:apply_relation</x:v>
      </x:c>
    </x:row>
    <x:row r="1169" ht="72" customHeight="1">
      <x:c r="A1169" s="14" t="str">
        <x:v>S04-02:B:withdraw_ack_tail</x:v>
      </x:c>
      <x:c r="B1169" s="14" t="str">
        <x:v>B</x:v>
      </x:c>
      <x:c r="C1169" s="14" t="str">
        <x:v>withdraw_ack_tail</x:v>
      </x:c>
      <x:c r="D1169" s="14" t="n">
        <x:v>1.304</x:v>
      </x:c>
      <x:c r="E1169" s="14" t="n">
        <x:v>2.1435</x:v>
      </x:c>
      <x:c r="F1169" s="14" t="n">
        <x:v>0.8395</x:v>
      </x:c>
      <x:c r="G1169" s="17" t="n">
        <x:v>1</x:v>
      </x:c>
      <x:c r="H1169" s="14" t="str">
        <x:v>S04-02:B:withdraw_ack_first</x:v>
      </x:c>
    </x:row>
    <x:row r="1170" ht="72" customHeight="1">
      <x:c r="A1170" s="14" t="str">
        <x:v>S04-02:B:withdraw_ack_device</x:v>
      </x:c>
      <x:c r="B1170" s="14" t="str">
        <x:v>B</x:v>
      </x:c>
      <x:c r="C1170" s="14" t="str">
        <x:v>withdraw_ack_device</x:v>
      </x:c>
      <x:c r="D1170" s="14" t="n">
        <x:v>1.304</x:v>
      </x:c>
      <x:c r="E1170" s="14" t="n">
        <x:v>1.344</x:v>
      </x:c>
      <x:c r="F1170" s="14" t="n">
        <x:v>0.04</x:v>
      </x:c>
      <x:c r="G1170" s="17" t="n">
        <x:v>1</x:v>
      </x:c>
      <x:c r="H1170" s="14" t="str">
        <x:v>S04-02:B:apply_relation
S04-02:B:withdraw_ack_first</x:v>
      </x:c>
    </x:row>
    <x:row r="1171" ht="72" customHeight="1">
      <x:c r="A1171" s="14" t="str">
        <x:v>S04-02:B:withdraw_ack_played</x:v>
      </x:c>
      <x:c r="B1171" s="14" t="str">
        <x:v>B</x:v>
      </x:c>
      <x:c r="C1171" s="14" t="str">
        <x:v>withdraw_ack_played</x:v>
      </x:c>
      <x:c r="D1171" s="14" t="n">
        <x:v>1.344</x:v>
      </x:c>
      <x:c r="E1171" s="14" t="n">
        <x:v>4.902</x:v>
      </x:c>
      <x:c r="F1171" s="14" t="n">
        <x:v>3.558</x:v>
      </x:c>
      <x:c r="G1171" s="17" t="n">
        <x:v>0</x:v>
      </x:c>
      <x:c r="H1171" s="14" t="str">
        <x:v>S04-02:B:withdraw_ack_device</x:v>
      </x:c>
    </x:row>
    <x:row r="1172" ht="72" customHeight="1">
      <x:c r="A1172" s="14" t="str">
        <x:v>S04-03:A:origin</x:v>
      </x:c>
      <x:c r="B1172" s="14" t="str">
        <x:v>A</x:v>
      </x:c>
      <x:c r="C1172" s="14" t="str">
        <x:v>origin</x:v>
      </x:c>
      <x:c r="D1172" s="14" t="n">
        <x:v>-6</x:v>
      </x:c>
      <x:c r="E1172" s="14" t="n">
        <x:v>-6</x:v>
      </x:c>
      <x:c r="F1172" s="14" t="n">
        <x:v>0</x:v>
      </x:c>
      <x:c r="G1172" s="17" t="n">
        <x:v>0</x:v>
      </x:c>
      <x:c r="H1172" s="14" t="str"/>
    </x:row>
    <x:row r="1173" ht="72" customHeight="1">
      <x:c r="A1173" s="14" t="str">
        <x:v>S04-03:A:origin_interpretation</x:v>
      </x:c>
      <x:c r="B1173" s="14" t="str">
        <x:v>A</x:v>
      </x:c>
      <x:c r="C1173" s="14" t="str">
        <x:v>origin_interpretation</x:v>
      </x:c>
      <x:c r="D1173" s="14" t="n">
        <x:v>-6</x:v>
      </x:c>
      <x:c r="E1173" s="14" t="n">
        <x:v>-5.16</x:v>
      </x:c>
      <x:c r="F1173" s="14" t="n">
        <x:v>0.84</x:v>
      </x:c>
      <x:c r="G1173" s="17" t="n">
        <x:v>1</x:v>
      </x:c>
      <x:c r="H1173" s="14" t="str">
        <x:v>S04-03:A:origin</x:v>
      </x:c>
    </x:row>
    <x:row r="1174" ht="72" customHeight="1">
      <x:c r="A1174" s="14" t="str">
        <x:v>S04-03:A:original_handoff</x:v>
      </x:c>
      <x:c r="B1174" s="14" t="str">
        <x:v>A</x:v>
      </x:c>
      <x:c r="C1174" s="14" t="str">
        <x:v>original_handoff</x:v>
      </x:c>
      <x:c r="D1174" s="14" t="n">
        <x:v>-5.16</x:v>
      </x:c>
      <x:c r="E1174" s="14" t="n">
        <x:v>-5.04</x:v>
      </x:c>
      <x:c r="F1174" s="14" t="n">
        <x:v>0.12</x:v>
      </x:c>
      <x:c r="G1174" s="17" t="n">
        <x:v>1</x:v>
      </x:c>
      <x:c r="H1174" s="14" t="str">
        <x:v>S04-03:A:origin_interpretation</x:v>
      </x:c>
    </x:row>
    <x:row r="1175" ht="72" customHeight="1">
      <x:c r="A1175" s="14" t="str">
        <x:v>S04-03:A:evaluation_utterance_end</x:v>
      </x:c>
      <x:c r="B1175" s="14" t="str">
        <x:v>A</x:v>
      </x:c>
      <x:c r="C1175" s="14" t="str">
        <x:v>evaluation_utterance_end</x:v>
      </x:c>
      <x:c r="D1175" s="14" t="n">
        <x:v>-6</x:v>
      </x:c>
      <x:c r="E1175" s="14" t="n">
        <x:v>0</x:v>
      </x:c>
      <x:c r="F1175" s="14" t="n">
        <x:v>6</x:v>
      </x:c>
      <x:c r="G1175" s="17" t="n">
        <x:v>0</x:v>
      </x:c>
      <x:c r="H1175" s="14" t="str">
        <x:v>S04-03:A:origin</x:v>
      </x:c>
    </x:row>
    <x:row r="1176" ht="72" customHeight="1">
      <x:c r="A1176" s="14" t="str">
        <x:v>S04-03:A:final_transcript</x:v>
      </x:c>
      <x:c r="B1176" s="14" t="str">
        <x:v>A</x:v>
      </x:c>
      <x:c r="C1176" s="14" t="str">
        <x:v>final_transcript</x:v>
      </x:c>
      <x:c r="D1176" s="14" t="n">
        <x:v>0</x:v>
      </x:c>
      <x:c r="E1176" s="14" t="n">
        <x:v>0.3</x:v>
      </x:c>
      <x:c r="F1176" s="14" t="n">
        <x:v>0.3</x:v>
      </x:c>
      <x:c r="G1176" s="17" t="n">
        <x:v>1</x:v>
      </x:c>
      <x:c r="H1176" s="14" t="str">
        <x:v>S04-03:A:evaluation_utterance_end</x:v>
      </x:c>
    </x:row>
    <x:row r="1177" ht="72" customHeight="1">
      <x:c r="A1177" s="14" t="str">
        <x:v>S04-03:A:meaning_adoption</x:v>
      </x:c>
      <x:c r="B1177" s="14" t="str">
        <x:v>A</x:v>
      </x:c>
      <x:c r="C1177" s="14" t="str">
        <x:v>meaning_adoption</x:v>
      </x:c>
      <x:c r="D1177" s="14" t="n">
        <x:v>0.3</x:v>
      </x:c>
      <x:c r="E1177" s="14" t="n">
        <x:v>0.81</x:v>
      </x:c>
      <x:c r="F1177" s="14" t="n">
        <x:v>0.51</x:v>
      </x:c>
      <x:c r="G1177" s="17" t="n">
        <x:v>1</x:v>
      </x:c>
      <x:c r="H1177" s="14" t="str">
        <x:v>S04-03:A:final_transcript
S04-03:A:origin_interpretation</x:v>
      </x:c>
    </x:row>
    <x:row r="1178" ht="72" customHeight="1">
      <x:c r="A1178" s="14" t="str">
        <x:v>S04-03:A:apply_relation</x:v>
      </x:c>
      <x:c r="B1178" s="14" t="str">
        <x:v>A</x:v>
      </x:c>
      <x:c r="C1178" s="14" t="str">
        <x:v>apply_relation</x:v>
      </x:c>
      <x:c r="D1178" s="14" t="n">
        <x:v>0.81</x:v>
      </x:c>
      <x:c r="E1178" s="14" t="n">
        <x:v>0.85</x:v>
      </x:c>
      <x:c r="F1178" s="14" t="n">
        <x:v>0.04</x:v>
      </x:c>
      <x:c r="G1178" s="17" t="n">
        <x:v>1</x:v>
      </x:c>
      <x:c r="H1178" s="14" t="str">
        <x:v>S04-03:A:meaning_adoption</x:v>
      </x:c>
    </x:row>
    <x:row r="1179" ht="72" customHeight="1">
      <x:c r="A1179" s="14" t="str">
        <x:v>S04-03:A:evaluation_first_display</x:v>
      </x:c>
      <x:c r="B1179" s="14" t="str">
        <x:v>A</x:v>
      </x:c>
      <x:c r="C1179" s="14" t="str">
        <x:v>evaluation_first_display</x:v>
      </x:c>
      <x:c r="D1179" s="14" t="n">
        <x:v>0.85</x:v>
      </x:c>
      <x:c r="E1179" s="14" t="n">
        <x:v>0.89</x:v>
      </x:c>
      <x:c r="F1179" s="14" t="n">
        <x:v>0.04</x:v>
      </x:c>
      <x:c r="G1179" s="17" t="n">
        <x:v>1</x:v>
      </x:c>
      <x:c r="H1179" s="14" t="str">
        <x:v>S04-03:A:apply_relation</x:v>
      </x:c>
    </x:row>
    <x:row r="1180" ht="72" customHeight="1">
      <x:c r="A1180" s="14" t="str">
        <x:v>S04-03:A:source_report_v1</x:v>
      </x:c>
      <x:c r="B1180" s="14" t="str">
        <x:v>A</x:v>
      </x:c>
      <x:c r="C1180" s="14" t="str">
        <x:v>source_report_v1</x:v>
      </x:c>
      <x:c r="D1180" s="14" t="n">
        <x:v>-5.04</x:v>
      </x:c>
      <x:c r="E1180" s="14" t="n">
        <x:v>-1</x:v>
      </x:c>
      <x:c r="F1180" s="14" t="n">
        <x:v>4.04</x:v>
      </x:c>
      <x:c r="G1180" s="17" t="n">
        <x:v>0</x:v>
      </x:c>
      <x:c r="H1180" s="14" t="str">
        <x:v>S04-03:A:original_handoff</x:v>
      </x:c>
    </x:row>
    <x:row r="1181" ht="72" customHeight="1">
      <x:c r="A1181" s="14" t="str">
        <x:v>S04-03:A:display_report_v1</x:v>
      </x:c>
      <x:c r="B1181" s="14" t="str">
        <x:v>A</x:v>
      </x:c>
      <x:c r="C1181" s="14" t="str">
        <x:v>display_report_v1</x:v>
      </x:c>
      <x:c r="D1181" s="14" t="n">
        <x:v>-1</x:v>
      </x:c>
      <x:c r="E1181" s="14" t="n">
        <x:v>-0.96</x:v>
      </x:c>
      <x:c r="F1181" s="14" t="n">
        <x:v>0.04</x:v>
      </x:c>
      <x:c r="G1181" s="17" t="n">
        <x:v>1</x:v>
      </x:c>
      <x:c r="H1181" s="14" t="str">
        <x:v>S04-03:A:source_report_v1</x:v>
      </x:c>
    </x:row>
    <x:row r="1182" ht="72" customHeight="1">
      <x:c r="A1182" s="14" t="str">
        <x:v>S04-03:A:report_v1_first</x:v>
      </x:c>
      <x:c r="B1182" s="14" t="str">
        <x:v>A</x:v>
      </x:c>
      <x:c r="C1182" s="14" t="str">
        <x:v>report_v1_first</x:v>
      </x:c>
      <x:c r="D1182" s="14" t="n">
        <x:v>-1</x:v>
      </x:c>
      <x:c r="E1182" s="14" t="n">
        <x:v>-0.59</x:v>
      </x:c>
      <x:c r="F1182" s="14" t="n">
        <x:v>0.41</x:v>
      </x:c>
      <x:c r="G1182" s="17" t="n">
        <x:v>1</x:v>
      </x:c>
      <x:c r="H1182" s="14" t="str">
        <x:v>S04-03:A:source_report_v1</x:v>
      </x:c>
    </x:row>
    <x:row r="1183" ht="72" customHeight="1">
      <x:c r="A1183" s="14" t="str">
        <x:v>S04-03:A:report_v1_tail</x:v>
      </x:c>
      <x:c r="B1183" s="14" t="str">
        <x:v>A</x:v>
      </x:c>
      <x:c r="C1183" s="14" t="str">
        <x:v>report_v1_tail</x:v>
      </x:c>
      <x:c r="D1183" s="14" t="n">
        <x:v>-0.59</x:v>
      </x:c>
      <x:c r="E1183" s="14" t="n">
        <x:v>0.95</x:v>
      </x:c>
      <x:c r="F1183" s="14" t="n">
        <x:v>1.54</x:v>
      </x:c>
      <x:c r="G1183" s="17" t="n">
        <x:v>1</x:v>
      </x:c>
      <x:c r="H1183" s="14" t="str">
        <x:v>S04-03:A:report_v1_first</x:v>
      </x:c>
    </x:row>
    <x:row r="1184" ht="72" customHeight="1">
      <x:c r="A1184" s="14" t="str">
        <x:v>S04-03:A:source_withdraw_ack</x:v>
      </x:c>
      <x:c r="B1184" s="14" t="str">
        <x:v>A</x:v>
      </x:c>
      <x:c r="C1184" s="14" t="str">
        <x:v>source_withdraw_ack</x:v>
      </x:c>
      <x:c r="D1184" s="14" t="n">
        <x:v>0.85</x:v>
      </x:c>
      <x:c r="E1184" s="14" t="n">
        <x:v>0.85</x:v>
      </x:c>
      <x:c r="F1184" s="14" t="n">
        <x:v>0</x:v>
      </x:c>
      <x:c r="G1184" s="17" t="n">
        <x:v>0</x:v>
      </x:c>
      <x:c r="H1184" s="14" t="str">
        <x:v>S04-03:A:apply_relation</x:v>
      </x:c>
    </x:row>
    <x:row r="1185" ht="72" customHeight="1">
      <x:c r="A1185" s="14" t="str">
        <x:v>S04-03:A:display_withdraw_ack</x:v>
      </x:c>
      <x:c r="B1185" s="14" t="str">
        <x:v>A</x:v>
      </x:c>
      <x:c r="C1185" s="14" t="str">
        <x:v>display_withdraw_ack</x:v>
      </x:c>
      <x:c r="D1185" s="14" t="n">
        <x:v>0.85</x:v>
      </x:c>
      <x:c r="E1185" s="14" t="n">
        <x:v>0.89</x:v>
      </x:c>
      <x:c r="F1185" s="14" t="n">
        <x:v>0.04</x:v>
      </x:c>
      <x:c r="G1185" s="17" t="n">
        <x:v>1</x:v>
      </x:c>
      <x:c r="H1185" s="14" t="str">
        <x:v>S04-03:A:source_withdraw_ack</x:v>
      </x:c>
    </x:row>
    <x:row r="1186" ht="72" customHeight="1">
      <x:c r="A1186" s="14" t="str">
        <x:v>S04-03:A:withdraw_ack_first</x:v>
      </x:c>
      <x:c r="B1186" s="14" t="str">
        <x:v>A</x:v>
      </x:c>
      <x:c r="C1186" s="14" t="str">
        <x:v>withdraw_ack_first</x:v>
      </x:c>
      <x:c r="D1186" s="14" t="n">
        <x:v>0.85</x:v>
      </x:c>
      <x:c r="E1186" s="14" t="n">
        <x:v>1.257333333</x:v>
      </x:c>
      <x:c r="F1186" s="14" t="n">
        <x:v>0.407333333</x:v>
      </x:c>
      <x:c r="G1186" s="17" t="n">
        <x:v>1</x:v>
      </x:c>
      <x:c r="H1186" s="14" t="str">
        <x:v>S04-03:A:source_withdraw_ack</x:v>
      </x:c>
    </x:row>
    <x:row r="1187" ht="72" customHeight="1">
      <x:c r="A1187" s="14" t="str">
        <x:v>S04-03:A:withdraw_ack_tail</x:v>
      </x:c>
      <x:c r="B1187" s="14" t="str">
        <x:v>A</x:v>
      </x:c>
      <x:c r="C1187" s="14" t="str">
        <x:v>withdraw_ack_tail</x:v>
      </x:c>
      <x:c r="D1187" s="14" t="n">
        <x:v>1.257333333</x:v>
      </x:c>
      <x:c r="E1187" s="14" t="n">
        <x:v>2.099833333</x:v>
      </x:c>
      <x:c r="F1187" s="14" t="n">
        <x:v>0.8425</x:v>
      </x:c>
      <x:c r="G1187" s="17" t="n">
        <x:v>1</x:v>
      </x:c>
      <x:c r="H1187" s="14" t="str">
        <x:v>S04-03:A:withdraw_ack_first</x:v>
      </x:c>
    </x:row>
    <x:row r="1188" ht="72" customHeight="1">
      <x:c r="A1188" s="14" t="str">
        <x:v>S04-03:A:withdraw_ack_device</x:v>
      </x:c>
      <x:c r="B1188" s="14" t="str">
        <x:v>A</x:v>
      </x:c>
      <x:c r="C1188" s="14" t="str">
        <x:v>withdraw_ack_device</x:v>
      </x:c>
      <x:c r="D1188" s="14" t="n">
        <x:v>1.257333333</x:v>
      </x:c>
      <x:c r="E1188" s="14" t="n">
        <x:v>1.297333333</x:v>
      </x:c>
      <x:c r="F1188" s="14" t="n">
        <x:v>0.04</x:v>
      </x:c>
      <x:c r="G1188" s="17" t="n">
        <x:v>1</x:v>
      </x:c>
      <x:c r="H1188" s="14" t="str">
        <x:v>S04-03:A:apply_relation
S04-03:A:withdraw_ack_first</x:v>
      </x:c>
    </x:row>
    <x:row r="1189" ht="72" customHeight="1">
      <x:c r="A1189" s="14" t="str">
        <x:v>S04-03:A:withdraw_ack_played</x:v>
      </x:c>
      <x:c r="B1189" s="14" t="str">
        <x:v>A</x:v>
      </x:c>
      <x:c r="C1189" s="14" t="str">
        <x:v>withdraw_ack_played</x:v>
      </x:c>
      <x:c r="D1189" s="14" t="n">
        <x:v>1.297333333</x:v>
      </x:c>
      <x:c r="E1189" s="14" t="n">
        <x:v>4.867333333</x:v>
      </x:c>
      <x:c r="F1189" s="14" t="n">
        <x:v>3.57</x:v>
      </x:c>
      <x:c r="G1189" s="17" t="n">
        <x:v>0</x:v>
      </x:c>
      <x:c r="H1189" s="14" t="str">
        <x:v>S04-03:A:withdraw_ack_device</x:v>
      </x:c>
    </x:row>
    <x:row r="1190" ht="72" customHeight="1">
      <x:c r="A1190" s="14" t="str">
        <x:v>S04-03:B:origin</x:v>
      </x:c>
      <x:c r="B1190" s="14" t="str">
        <x:v>B</x:v>
      </x:c>
      <x:c r="C1190" s="14" t="str">
        <x:v>origin</x:v>
      </x:c>
      <x:c r="D1190" s="14" t="n">
        <x:v>-6</x:v>
      </x:c>
      <x:c r="E1190" s="14" t="n">
        <x:v>-6</x:v>
      </x:c>
      <x:c r="F1190" s="14" t="n">
        <x:v>0</x:v>
      </x:c>
      <x:c r="G1190" s="17" t="n">
        <x:v>0</x:v>
      </x:c>
      <x:c r="H1190" s="14" t="str"/>
    </x:row>
    <x:row r="1191" ht="72" customHeight="1">
      <x:c r="A1191" s="14" t="str">
        <x:v>S04-03:B:origin_interpretation</x:v>
      </x:c>
      <x:c r="B1191" s="14" t="str">
        <x:v>B</x:v>
      </x:c>
      <x:c r="C1191" s="14" t="str">
        <x:v>origin_interpretation</x:v>
      </x:c>
      <x:c r="D1191" s="14" t="n">
        <x:v>-6</x:v>
      </x:c>
      <x:c r="E1191" s="14" t="n">
        <x:v>-5.16</x:v>
      </x:c>
      <x:c r="F1191" s="14" t="n">
        <x:v>0.84</x:v>
      </x:c>
      <x:c r="G1191" s="17" t="n">
        <x:v>1</x:v>
      </x:c>
      <x:c r="H1191" s="14" t="str">
        <x:v>S04-03:B:origin</x:v>
      </x:c>
    </x:row>
    <x:row r="1192" ht="72" customHeight="1">
      <x:c r="A1192" s="14" t="str">
        <x:v>S04-03:B:original_handoff</x:v>
      </x:c>
      <x:c r="B1192" s="14" t="str">
        <x:v>B</x:v>
      </x:c>
      <x:c r="C1192" s="14" t="str">
        <x:v>original_handoff</x:v>
      </x:c>
      <x:c r="D1192" s="14" t="n">
        <x:v>-5.16</x:v>
      </x:c>
      <x:c r="E1192" s="14" t="n">
        <x:v>-5.04</x:v>
      </x:c>
      <x:c r="F1192" s="14" t="n">
        <x:v>0.12</x:v>
      </x:c>
      <x:c r="G1192" s="17" t="n">
        <x:v>1</x:v>
      </x:c>
      <x:c r="H1192" s="14" t="str">
        <x:v>S04-03:B:origin_interpretation</x:v>
      </x:c>
    </x:row>
    <x:row r="1193" ht="72" customHeight="1">
      <x:c r="A1193" s="14" t="str">
        <x:v>S04-03:B:evaluation_utterance_end</x:v>
      </x:c>
      <x:c r="B1193" s="14" t="str">
        <x:v>B</x:v>
      </x:c>
      <x:c r="C1193" s="14" t="str">
        <x:v>evaluation_utterance_end</x:v>
      </x:c>
      <x:c r="D1193" s="14" t="n">
        <x:v>-6</x:v>
      </x:c>
      <x:c r="E1193" s="14" t="n">
        <x:v>0</x:v>
      </x:c>
      <x:c r="F1193" s="14" t="n">
        <x:v>6</x:v>
      </x:c>
      <x:c r="G1193" s="17" t="n">
        <x:v>0</x:v>
      </x:c>
      <x:c r="H1193" s="14" t="str">
        <x:v>S04-03:B:origin</x:v>
      </x:c>
    </x:row>
    <x:row r="1194" ht="72" customHeight="1">
      <x:c r="A1194" s="14" t="str">
        <x:v>S04-03:B:final_transcript</x:v>
      </x:c>
      <x:c r="B1194" s="14" t="str">
        <x:v>B</x:v>
      </x:c>
      <x:c r="C1194" s="14" t="str">
        <x:v>final_transcript</x:v>
      </x:c>
      <x:c r="D1194" s="14" t="n">
        <x:v>0</x:v>
      </x:c>
      <x:c r="E1194" s="14" t="n">
        <x:v>0.3</x:v>
      </x:c>
      <x:c r="F1194" s="14" t="n">
        <x:v>0.3</x:v>
      </x:c>
      <x:c r="G1194" s="17" t="n">
        <x:v>1</x:v>
      </x:c>
      <x:c r="H1194" s="14" t="str">
        <x:v>S04-03:B:evaluation_utterance_end</x:v>
      </x:c>
    </x:row>
    <x:row r="1195" ht="72" customHeight="1">
      <x:c r="A1195" s="14" t="str">
        <x:v>S04-03:B:meaning_adoption</x:v>
      </x:c>
      <x:c r="B1195" s="14" t="str">
        <x:v>B</x:v>
      </x:c>
      <x:c r="C1195" s="14" t="str">
        <x:v>meaning_adoption</x:v>
      </x:c>
      <x:c r="D1195" s="14" t="n">
        <x:v>0.3</x:v>
      </x:c>
      <x:c r="E1195" s="14" t="n">
        <x:v>0.81</x:v>
      </x:c>
      <x:c r="F1195" s="14" t="n">
        <x:v>0.51</x:v>
      </x:c>
      <x:c r="G1195" s="17" t="n">
        <x:v>1</x:v>
      </x:c>
      <x:c r="H1195" s="14" t="str">
        <x:v>S04-03:B:final_transcript
S04-03:B:origin_interpretation</x:v>
      </x:c>
    </x:row>
    <x:row r="1196" ht="72" customHeight="1">
      <x:c r="A1196" s="14" t="str">
        <x:v>S04-03:B:apply_relation</x:v>
      </x:c>
      <x:c r="B1196" s="14" t="str">
        <x:v>B</x:v>
      </x:c>
      <x:c r="C1196" s="14" t="str">
        <x:v>apply_relation</x:v>
      </x:c>
      <x:c r="D1196" s="14" t="n">
        <x:v>0.81</x:v>
      </x:c>
      <x:c r="E1196" s="14" t="n">
        <x:v>0.85</x:v>
      </x:c>
      <x:c r="F1196" s="14" t="n">
        <x:v>0.04</x:v>
      </x:c>
      <x:c r="G1196" s="17" t="n">
        <x:v>1</x:v>
      </x:c>
      <x:c r="H1196" s="14" t="str">
        <x:v>S04-03:B:meaning_adoption</x:v>
      </x:c>
    </x:row>
    <x:row r="1197" ht="72" customHeight="1">
      <x:c r="A1197" s="14" t="str">
        <x:v>S04-03:B:evaluation_first_display</x:v>
      </x:c>
      <x:c r="B1197" s="14" t="str">
        <x:v>B</x:v>
      </x:c>
      <x:c r="C1197" s="14" t="str">
        <x:v>evaluation_first_display</x:v>
      </x:c>
      <x:c r="D1197" s="14" t="n">
        <x:v>0.85</x:v>
      </x:c>
      <x:c r="E1197" s="14" t="n">
        <x:v>0.89</x:v>
      </x:c>
      <x:c r="F1197" s="14" t="n">
        <x:v>0.04</x:v>
      </x:c>
      <x:c r="G1197" s="17" t="n">
        <x:v>1</x:v>
      </x:c>
      <x:c r="H1197" s="14" t="str">
        <x:v>S04-03:B:apply_relation</x:v>
      </x:c>
    </x:row>
    <x:row r="1198" ht="72" customHeight="1">
      <x:c r="A1198" s="14" t="str">
        <x:v>S04-03:B:source_report_v1</x:v>
      </x:c>
      <x:c r="B1198" s="14" t="str">
        <x:v>B</x:v>
      </x:c>
      <x:c r="C1198" s="14" t="str">
        <x:v>source_report_v1</x:v>
      </x:c>
      <x:c r="D1198" s="14" t="n">
        <x:v>-5.04</x:v>
      </x:c>
      <x:c r="E1198" s="14" t="n">
        <x:v>-1</x:v>
      </x:c>
      <x:c r="F1198" s="14" t="n">
        <x:v>4.04</x:v>
      </x:c>
      <x:c r="G1198" s="17" t="n">
        <x:v>0</x:v>
      </x:c>
      <x:c r="H1198" s="14" t="str">
        <x:v>S04-03:B:original_handoff</x:v>
      </x:c>
    </x:row>
    <x:row r="1199" ht="72" customHeight="1">
      <x:c r="A1199" s="14" t="str">
        <x:v>S04-03:B:display_report_v1</x:v>
      </x:c>
      <x:c r="B1199" s="14" t="str">
        <x:v>B</x:v>
      </x:c>
      <x:c r="C1199" s="14" t="str">
        <x:v>display_report_v1</x:v>
      </x:c>
      <x:c r="D1199" s="14" t="n">
        <x:v>-1</x:v>
      </x:c>
      <x:c r="E1199" s="14" t="n">
        <x:v>-0.96</x:v>
      </x:c>
      <x:c r="F1199" s="14" t="n">
        <x:v>0.04</x:v>
      </x:c>
      <x:c r="G1199" s="17" t="n">
        <x:v>1</x:v>
      </x:c>
      <x:c r="H1199" s="14" t="str">
        <x:v>S04-03:B:source_report_v1</x:v>
      </x:c>
    </x:row>
    <x:row r="1200" ht="72" customHeight="1">
      <x:c r="A1200" s="14" t="str">
        <x:v>S04-03:B:source_withdraw_ack</x:v>
      </x:c>
      <x:c r="B1200" s="14" t="str">
        <x:v>B</x:v>
      </x:c>
      <x:c r="C1200" s="14" t="str">
        <x:v>source_withdraw_ack</x:v>
      </x:c>
      <x:c r="D1200" s="14" t="n">
        <x:v>0.85</x:v>
      </x:c>
      <x:c r="E1200" s="14" t="n">
        <x:v>0.85</x:v>
      </x:c>
      <x:c r="F1200" s="14" t="n">
        <x:v>0</x:v>
      </x:c>
      <x:c r="G1200" s="17" t="n">
        <x:v>0</x:v>
      </x:c>
      <x:c r="H1200" s="14" t="str">
        <x:v>S04-03:B:apply_relation</x:v>
      </x:c>
    </x:row>
    <x:row r="1201" ht="72" customHeight="1">
      <x:c r="A1201" s="14" t="str">
        <x:v>S04-03:B:display_withdraw_ack</x:v>
      </x:c>
      <x:c r="B1201" s="14" t="str">
        <x:v>B</x:v>
      </x:c>
      <x:c r="C1201" s="14" t="str">
        <x:v>display_withdraw_ack</x:v>
      </x:c>
      <x:c r="D1201" s="14" t="n">
        <x:v>0.85</x:v>
      </x:c>
      <x:c r="E1201" s="14" t="n">
        <x:v>0.89</x:v>
      </x:c>
      <x:c r="F1201" s="14" t="n">
        <x:v>0.04</x:v>
      </x:c>
      <x:c r="G1201" s="17" t="n">
        <x:v>1</x:v>
      </x:c>
      <x:c r="H1201" s="14" t="str">
        <x:v>S04-03:B:source_withdraw_ack</x:v>
      </x:c>
    </x:row>
    <x:row r="1202" ht="72" customHeight="1">
      <x:c r="A1202" s="14" t="str">
        <x:v>S04-03:B:withdraw_ack_first</x:v>
      </x:c>
      <x:c r="B1202" s="14" t="str">
        <x:v>B</x:v>
      </x:c>
      <x:c r="C1202" s="14" t="str">
        <x:v>withdraw_ack_first</x:v>
      </x:c>
      <x:c r="D1202" s="14" t="n">
        <x:v>0.85</x:v>
      </x:c>
      <x:c r="E1202" s="14" t="n">
        <x:v>1.257333333</x:v>
      </x:c>
      <x:c r="F1202" s="14" t="n">
        <x:v>0.407333333</x:v>
      </x:c>
      <x:c r="G1202" s="17" t="n">
        <x:v>1</x:v>
      </x:c>
      <x:c r="H1202" s="14" t="str">
        <x:v>S04-03:B:apply_relation</x:v>
      </x:c>
    </x:row>
    <x:row r="1203" ht="72" customHeight="1">
      <x:c r="A1203" s="14" t="str">
        <x:v>S04-03:B:withdraw_ack_tail</x:v>
      </x:c>
      <x:c r="B1203" s="14" t="str">
        <x:v>B</x:v>
      </x:c>
      <x:c r="C1203" s="14" t="str">
        <x:v>withdraw_ack_tail</x:v>
      </x:c>
      <x:c r="D1203" s="14" t="n">
        <x:v>1.257333333</x:v>
      </x:c>
      <x:c r="E1203" s="14" t="n">
        <x:v>2.099833333</x:v>
      </x:c>
      <x:c r="F1203" s="14" t="n">
        <x:v>0.8425</x:v>
      </x:c>
      <x:c r="G1203" s="17" t="n">
        <x:v>1</x:v>
      </x:c>
      <x:c r="H1203" s="14" t="str">
        <x:v>S04-03:B:withdraw_ack_first</x:v>
      </x:c>
    </x:row>
    <x:row r="1204" ht="72" customHeight="1">
      <x:c r="A1204" s="14" t="str">
        <x:v>S04-03:B:withdraw_ack_device</x:v>
      </x:c>
      <x:c r="B1204" s="14" t="str">
        <x:v>B</x:v>
      </x:c>
      <x:c r="C1204" s="14" t="str">
        <x:v>withdraw_ack_device</x:v>
      </x:c>
      <x:c r="D1204" s="14" t="n">
        <x:v>1.257333333</x:v>
      </x:c>
      <x:c r="E1204" s="14" t="n">
        <x:v>1.297333333</x:v>
      </x:c>
      <x:c r="F1204" s="14" t="n">
        <x:v>0.04</x:v>
      </x:c>
      <x:c r="G1204" s="17" t="n">
        <x:v>1</x:v>
      </x:c>
      <x:c r="H1204" s="14" t="str">
        <x:v>S04-03:B:apply_relation
S04-03:B:withdraw_ack_first</x:v>
      </x:c>
    </x:row>
    <x:row r="1205" ht="72" customHeight="1">
      <x:c r="A1205" s="14" t="str">
        <x:v>S04-03:B:withdraw_ack_played</x:v>
      </x:c>
      <x:c r="B1205" s="14" t="str">
        <x:v>B</x:v>
      </x:c>
      <x:c r="C1205" s="14" t="str">
        <x:v>withdraw_ack_played</x:v>
      </x:c>
      <x:c r="D1205" s="14" t="n">
        <x:v>1.297333333</x:v>
      </x:c>
      <x:c r="E1205" s="14" t="n">
        <x:v>4.867333333</x:v>
      </x:c>
      <x:c r="F1205" s="14" t="n">
        <x:v>3.57</x:v>
      </x:c>
      <x:c r="G1205" s="17" t="n">
        <x:v>0</x:v>
      </x:c>
      <x:c r="H1205" s="14" t="str">
        <x:v>S04-03:B:withdraw_ack_device</x:v>
      </x:c>
    </x:row>
    <x:row r="1206" ht="72" customHeight="1">
      <x:c r="A1206" s="14" t="str">
        <x:v>S04-04:A:origin</x:v>
      </x:c>
      <x:c r="B1206" s="14" t="str">
        <x:v>A</x:v>
      </x:c>
      <x:c r="C1206" s="14" t="str">
        <x:v>origin</x:v>
      </x:c>
      <x:c r="D1206" s="14" t="n">
        <x:v>-6</x:v>
      </x:c>
      <x:c r="E1206" s="14" t="n">
        <x:v>-6</x:v>
      </x:c>
      <x:c r="F1206" s="14" t="n">
        <x:v>0</x:v>
      </x:c>
      <x:c r="G1206" s="17" t="n">
        <x:v>0</x:v>
      </x:c>
      <x:c r="H1206" s="14" t="str"/>
    </x:row>
    <x:row r="1207" ht="72" customHeight="1">
      <x:c r="A1207" s="14" t="str">
        <x:v>S04-04:A:origin_interpretation</x:v>
      </x:c>
      <x:c r="B1207" s="14" t="str">
        <x:v>A</x:v>
      </x:c>
      <x:c r="C1207" s="14" t="str">
        <x:v>origin_interpretation</x:v>
      </x:c>
      <x:c r="D1207" s="14" t="n">
        <x:v>-6</x:v>
      </x:c>
      <x:c r="E1207" s="14" t="n">
        <x:v>-5.16</x:v>
      </x:c>
      <x:c r="F1207" s="14" t="n">
        <x:v>0.84</x:v>
      </x:c>
      <x:c r="G1207" s="17" t="n">
        <x:v>1</x:v>
      </x:c>
      <x:c r="H1207" s="14" t="str">
        <x:v>S04-04:A:origin</x:v>
      </x:c>
    </x:row>
    <x:row r="1208" ht="72" customHeight="1">
      <x:c r="A1208" s="14" t="str">
        <x:v>S04-04:A:original_handoff</x:v>
      </x:c>
      <x:c r="B1208" s="14" t="str">
        <x:v>A</x:v>
      </x:c>
      <x:c r="C1208" s="14" t="str">
        <x:v>original_handoff</x:v>
      </x:c>
      <x:c r="D1208" s="14" t="n">
        <x:v>-5.16</x:v>
      </x:c>
      <x:c r="E1208" s="14" t="n">
        <x:v>-5.04</x:v>
      </x:c>
      <x:c r="F1208" s="14" t="n">
        <x:v>0.12</x:v>
      </x:c>
      <x:c r="G1208" s="17" t="n">
        <x:v>1</x:v>
      </x:c>
      <x:c r="H1208" s="14" t="str">
        <x:v>S04-04:A:origin_interpretation</x:v>
      </x:c>
    </x:row>
    <x:row r="1209" ht="72" customHeight="1">
      <x:c r="A1209" s="14" t="str">
        <x:v>S04-04:A:evaluation_utterance_end</x:v>
      </x:c>
      <x:c r="B1209" s="14" t="str">
        <x:v>A</x:v>
      </x:c>
      <x:c r="C1209" s="14" t="str">
        <x:v>evaluation_utterance_end</x:v>
      </x:c>
      <x:c r="D1209" s="14" t="n">
        <x:v>-6</x:v>
      </x:c>
      <x:c r="E1209" s="14" t="n">
        <x:v>0</x:v>
      </x:c>
      <x:c r="F1209" s="14" t="n">
        <x:v>6</x:v>
      </x:c>
      <x:c r="G1209" s="17" t="n">
        <x:v>0</x:v>
      </x:c>
      <x:c r="H1209" s="14" t="str">
        <x:v>S04-04:A:origin</x:v>
      </x:c>
    </x:row>
    <x:row r="1210" ht="72" customHeight="1">
      <x:c r="A1210" s="14" t="str">
        <x:v>S04-04:A:final_transcript</x:v>
      </x:c>
      <x:c r="B1210" s="14" t="str">
        <x:v>A</x:v>
      </x:c>
      <x:c r="C1210" s="14" t="str">
        <x:v>final_transcript</x:v>
      </x:c>
      <x:c r="D1210" s="14" t="n">
        <x:v>0</x:v>
      </x:c>
      <x:c r="E1210" s="14" t="n">
        <x:v>0.3</x:v>
      </x:c>
      <x:c r="F1210" s="14" t="n">
        <x:v>0.3</x:v>
      </x:c>
      <x:c r="G1210" s="17" t="n">
        <x:v>1</x:v>
      </x:c>
      <x:c r="H1210" s="14" t="str">
        <x:v>S04-04:A:evaluation_utterance_end</x:v>
      </x:c>
    </x:row>
    <x:row r="1211" ht="72" customHeight="1">
      <x:c r="A1211" s="14" t="str">
        <x:v>S04-04:A:meaning_adoption</x:v>
      </x:c>
      <x:c r="B1211" s="14" t="str">
        <x:v>A</x:v>
      </x:c>
      <x:c r="C1211" s="14" t="str">
        <x:v>meaning_adoption</x:v>
      </x:c>
      <x:c r="D1211" s="14" t="n">
        <x:v>0.3</x:v>
      </x:c>
      <x:c r="E1211" s="14" t="n">
        <x:v>0.838333333</x:v>
      </x:c>
      <x:c r="F1211" s="14" t="n">
        <x:v>0.538333333</x:v>
      </x:c>
      <x:c r="G1211" s="17" t="n">
        <x:v>1</x:v>
      </x:c>
      <x:c r="H1211" s="14" t="str">
        <x:v>S04-04:A:final_transcript
S04-04:A:origin_interpretation</x:v>
      </x:c>
    </x:row>
    <x:row r="1212" ht="72" customHeight="1">
      <x:c r="A1212" s="14" t="str">
        <x:v>S04-04:A:apply_relation</x:v>
      </x:c>
      <x:c r="B1212" s="14" t="str">
        <x:v>A</x:v>
      </x:c>
      <x:c r="C1212" s="14" t="str">
        <x:v>apply_relation</x:v>
      </x:c>
      <x:c r="D1212" s="14" t="n">
        <x:v>0.838333333</x:v>
      </x:c>
      <x:c r="E1212" s="14" t="n">
        <x:v>0.878333333</x:v>
      </x:c>
      <x:c r="F1212" s="14" t="n">
        <x:v>0.04</x:v>
      </x:c>
      <x:c r="G1212" s="17" t="n">
        <x:v>1</x:v>
      </x:c>
      <x:c r="H1212" s="14" t="str">
        <x:v>S04-04:A:meaning_adoption</x:v>
      </x:c>
    </x:row>
    <x:row r="1213" ht="72" customHeight="1">
      <x:c r="A1213" s="14" t="str">
        <x:v>S04-04:A:evaluation_first_display</x:v>
      </x:c>
      <x:c r="B1213" s="14" t="str">
        <x:v>A</x:v>
      </x:c>
      <x:c r="C1213" s="14" t="str">
        <x:v>evaluation_first_display</x:v>
      </x:c>
      <x:c r="D1213" s="14" t="n">
        <x:v>0.878333333</x:v>
      </x:c>
      <x:c r="E1213" s="14" t="n">
        <x:v>0.918333333</x:v>
      </x:c>
      <x:c r="F1213" s="14" t="n">
        <x:v>0.04</x:v>
      </x:c>
      <x:c r="G1213" s="17" t="n">
        <x:v>1</x:v>
      </x:c>
      <x:c r="H1213" s="14" t="str">
        <x:v>S04-04:A:apply_relation</x:v>
      </x:c>
    </x:row>
    <x:row r="1214" ht="72" customHeight="1">
      <x:c r="A1214" s="14" t="str">
        <x:v>S04-04:A:source_report_v1</x:v>
      </x:c>
      <x:c r="B1214" s="14" t="str">
        <x:v>A</x:v>
      </x:c>
      <x:c r="C1214" s="14" t="str">
        <x:v>source_report_v1</x:v>
      </x:c>
      <x:c r="D1214" s="14" t="n">
        <x:v>-5.04</x:v>
      </x:c>
      <x:c r="E1214" s="14" t="n">
        <x:v>-1</x:v>
      </x:c>
      <x:c r="F1214" s="14" t="n">
        <x:v>4.04</x:v>
      </x:c>
      <x:c r="G1214" s="17" t="n">
        <x:v>0</x:v>
      </x:c>
      <x:c r="H1214" s="14" t="str">
        <x:v>S04-04:A:original_handoff</x:v>
      </x:c>
    </x:row>
    <x:row r="1215" ht="72" customHeight="1">
      <x:c r="A1215" s="14" t="str">
        <x:v>S04-04:A:display_report_v1</x:v>
      </x:c>
      <x:c r="B1215" s="14" t="str">
        <x:v>A</x:v>
      </x:c>
      <x:c r="C1215" s="14" t="str">
        <x:v>display_report_v1</x:v>
      </x:c>
      <x:c r="D1215" s="14" t="n">
        <x:v>-1</x:v>
      </x:c>
      <x:c r="E1215" s="14" t="n">
        <x:v>-0.96</x:v>
      </x:c>
      <x:c r="F1215" s="14" t="n">
        <x:v>0.04</x:v>
      </x:c>
      <x:c r="G1215" s="17" t="n">
        <x:v>1</x:v>
      </x:c>
      <x:c r="H1215" s="14" t="str">
        <x:v>S04-04:A:source_report_v1</x:v>
      </x:c>
    </x:row>
    <x:row r="1216" ht="72" customHeight="1">
      <x:c r="A1216" s="14" t="str">
        <x:v>S04-04:A:report_v1_first</x:v>
      </x:c>
      <x:c r="B1216" s="14" t="str">
        <x:v>A</x:v>
      </x:c>
      <x:c r="C1216" s="14" t="str">
        <x:v>report_v1_first</x:v>
      </x:c>
      <x:c r="D1216" s="14" t="n">
        <x:v>-1</x:v>
      </x:c>
      <x:c r="E1216" s="14" t="n">
        <x:v>-0.59</x:v>
      </x:c>
      <x:c r="F1216" s="14" t="n">
        <x:v>0.41</x:v>
      </x:c>
      <x:c r="G1216" s="17" t="n">
        <x:v>1</x:v>
      </x:c>
      <x:c r="H1216" s="14" t="str">
        <x:v>S04-04:A:source_report_v1</x:v>
      </x:c>
    </x:row>
    <x:row r="1217" ht="72" customHeight="1">
      <x:c r="A1217" s="14" t="str">
        <x:v>S04-04:A:report_v1_tail</x:v>
      </x:c>
      <x:c r="B1217" s="14" t="str">
        <x:v>A</x:v>
      </x:c>
      <x:c r="C1217" s="14" t="str">
        <x:v>report_v1_tail</x:v>
      </x:c>
      <x:c r="D1217" s="14" t="n">
        <x:v>-0.59</x:v>
      </x:c>
      <x:c r="E1217" s="14" t="n">
        <x:v>0.978333333</x:v>
      </x:c>
      <x:c r="F1217" s="14" t="n">
        <x:v>1.568333333</x:v>
      </x:c>
      <x:c r="G1217" s="17" t="n">
        <x:v>1</x:v>
      </x:c>
      <x:c r="H1217" s="14" t="str">
        <x:v>S04-04:A:report_v1_first</x:v>
      </x:c>
    </x:row>
    <x:row r="1218" ht="72" customHeight="1">
      <x:c r="A1218" s="14" t="str">
        <x:v>S04-04:A:source_withdraw_ack</x:v>
      </x:c>
      <x:c r="B1218" s="14" t="str">
        <x:v>A</x:v>
      </x:c>
      <x:c r="C1218" s="14" t="str">
        <x:v>source_withdraw_ack</x:v>
      </x:c>
      <x:c r="D1218" s="14" t="n">
        <x:v>0.878333333</x:v>
      </x:c>
      <x:c r="E1218" s="14" t="n">
        <x:v>0.878333333</x:v>
      </x:c>
      <x:c r="F1218" s="14" t="n">
        <x:v>0</x:v>
      </x:c>
      <x:c r="G1218" s="17" t="n">
        <x:v>0</x:v>
      </x:c>
      <x:c r="H1218" s="14" t="str">
        <x:v>S04-04:A:apply_relation</x:v>
      </x:c>
    </x:row>
    <x:row r="1219" ht="72" customHeight="1">
      <x:c r="A1219" s="14" t="str">
        <x:v>S04-04:A:display_withdraw_ack</x:v>
      </x:c>
      <x:c r="B1219" s="14" t="str">
        <x:v>A</x:v>
      </x:c>
      <x:c r="C1219" s="14" t="str">
        <x:v>display_withdraw_ack</x:v>
      </x:c>
      <x:c r="D1219" s="14" t="n">
        <x:v>0.878333333</x:v>
      </x:c>
      <x:c r="E1219" s="14" t="n">
        <x:v>0.918333333</x:v>
      </x:c>
      <x:c r="F1219" s="14" t="n">
        <x:v>0.04</x:v>
      </x:c>
      <x:c r="G1219" s="17" t="n">
        <x:v>1</x:v>
      </x:c>
      <x:c r="H1219" s="14" t="str">
        <x:v>S04-04:A:source_withdraw_ack</x:v>
      </x:c>
    </x:row>
    <x:row r="1220" ht="72" customHeight="1">
      <x:c r="A1220" s="14" t="str">
        <x:v>S04-04:A:withdraw_ack_first</x:v>
      </x:c>
      <x:c r="B1220" s="14" t="str">
        <x:v>A</x:v>
      </x:c>
      <x:c r="C1220" s="14" t="str">
        <x:v>withdraw_ack_first</x:v>
      </x:c>
      <x:c r="D1220" s="14" t="n">
        <x:v>0.878333333</x:v>
      </x:c>
      <x:c r="E1220" s="14" t="n">
        <x:v>1.285666666</x:v>
      </x:c>
      <x:c r="F1220" s="14" t="n">
        <x:v>0.407333333</x:v>
      </x:c>
      <x:c r="G1220" s="17" t="n">
        <x:v>1</x:v>
      </x:c>
      <x:c r="H1220" s="14" t="str">
        <x:v>S04-04:A:source_withdraw_ack</x:v>
      </x:c>
    </x:row>
    <x:row r="1221" ht="72" customHeight="1">
      <x:c r="A1221" s="14" t="str">
        <x:v>S04-04:A:withdraw_ack_tail</x:v>
      </x:c>
      <x:c r="B1221" s="14" t="str">
        <x:v>A</x:v>
      </x:c>
      <x:c r="C1221" s="14" t="str">
        <x:v>withdraw_ack_tail</x:v>
      </x:c>
      <x:c r="D1221" s="14" t="n">
        <x:v>1.285666666</x:v>
      </x:c>
      <x:c r="E1221" s="14" t="n">
        <x:v>2.131166666</x:v>
      </x:c>
      <x:c r="F1221" s="14" t="n">
        <x:v>0.8455</x:v>
      </x:c>
      <x:c r="G1221" s="17" t="n">
        <x:v>1</x:v>
      </x:c>
      <x:c r="H1221" s="14" t="str">
        <x:v>S04-04:A:withdraw_ack_first</x:v>
      </x:c>
    </x:row>
    <x:row r="1222" ht="72" customHeight="1">
      <x:c r="A1222" s="14" t="str">
        <x:v>S04-04:A:withdraw_ack_device</x:v>
      </x:c>
      <x:c r="B1222" s="14" t="str">
        <x:v>A</x:v>
      </x:c>
      <x:c r="C1222" s="14" t="str">
        <x:v>withdraw_ack_device</x:v>
      </x:c>
      <x:c r="D1222" s="14" t="n">
        <x:v>1.285666666</x:v>
      </x:c>
      <x:c r="E1222" s="14" t="n">
        <x:v>1.325666666</x:v>
      </x:c>
      <x:c r="F1222" s="14" t="n">
        <x:v>0.04</x:v>
      </x:c>
      <x:c r="G1222" s="17" t="n">
        <x:v>1</x:v>
      </x:c>
      <x:c r="H1222" s="14" t="str">
        <x:v>S04-04:A:apply_relation
S04-04:A:withdraw_ack_first</x:v>
      </x:c>
    </x:row>
    <x:row r="1223" ht="72" customHeight="1">
      <x:c r="A1223" s="14" t="str">
        <x:v>S04-04:A:withdraw_ack_played</x:v>
      </x:c>
      <x:c r="B1223" s="14" t="str">
        <x:v>A</x:v>
      </x:c>
      <x:c r="C1223" s="14" t="str">
        <x:v>withdraw_ack_played</x:v>
      </x:c>
      <x:c r="D1223" s="14" t="n">
        <x:v>1.325666666</x:v>
      </x:c>
      <x:c r="E1223" s="14" t="n">
        <x:v>4.907666666</x:v>
      </x:c>
      <x:c r="F1223" s="14" t="n">
        <x:v>3.582</x:v>
      </x:c>
      <x:c r="G1223" s="17" t="n">
        <x:v>0</x:v>
      </x:c>
      <x:c r="H1223" s="14" t="str">
        <x:v>S04-04:A:withdraw_ack_device</x:v>
      </x:c>
    </x:row>
    <x:row r="1224" ht="72" customHeight="1">
      <x:c r="A1224" s="14" t="str">
        <x:v>S04-04:B:origin</x:v>
      </x:c>
      <x:c r="B1224" s="14" t="str">
        <x:v>B</x:v>
      </x:c>
      <x:c r="C1224" s="14" t="str">
        <x:v>origin</x:v>
      </x:c>
      <x:c r="D1224" s="14" t="n">
        <x:v>-6</x:v>
      </x:c>
      <x:c r="E1224" s="14" t="n">
        <x:v>-6</x:v>
      </x:c>
      <x:c r="F1224" s="14" t="n">
        <x:v>0</x:v>
      </x:c>
      <x:c r="G1224" s="17" t="n">
        <x:v>0</x:v>
      </x:c>
      <x:c r="H1224" s="14" t="str"/>
    </x:row>
    <x:row r="1225" ht="72" customHeight="1">
      <x:c r="A1225" s="14" t="str">
        <x:v>S04-04:B:origin_interpretation</x:v>
      </x:c>
      <x:c r="B1225" s="14" t="str">
        <x:v>B</x:v>
      </x:c>
      <x:c r="C1225" s="14" t="str">
        <x:v>origin_interpretation</x:v>
      </x:c>
      <x:c r="D1225" s="14" t="n">
        <x:v>-6</x:v>
      </x:c>
      <x:c r="E1225" s="14" t="n">
        <x:v>-5.16</x:v>
      </x:c>
      <x:c r="F1225" s="14" t="n">
        <x:v>0.84</x:v>
      </x:c>
      <x:c r="G1225" s="17" t="n">
        <x:v>1</x:v>
      </x:c>
      <x:c r="H1225" s="14" t="str">
        <x:v>S04-04:B:origin</x:v>
      </x:c>
    </x:row>
    <x:row r="1226" ht="72" customHeight="1">
      <x:c r="A1226" s="14" t="str">
        <x:v>S04-04:B:original_handoff</x:v>
      </x:c>
      <x:c r="B1226" s="14" t="str">
        <x:v>B</x:v>
      </x:c>
      <x:c r="C1226" s="14" t="str">
        <x:v>original_handoff</x:v>
      </x:c>
      <x:c r="D1226" s="14" t="n">
        <x:v>-5.16</x:v>
      </x:c>
      <x:c r="E1226" s="14" t="n">
        <x:v>-5.04</x:v>
      </x:c>
      <x:c r="F1226" s="14" t="n">
        <x:v>0.12</x:v>
      </x:c>
      <x:c r="G1226" s="17" t="n">
        <x:v>1</x:v>
      </x:c>
      <x:c r="H1226" s="14" t="str">
        <x:v>S04-04:B:origin_interpretation</x:v>
      </x:c>
    </x:row>
    <x:row r="1227" ht="72" customHeight="1">
      <x:c r="A1227" s="14" t="str">
        <x:v>S04-04:B:evaluation_utterance_end</x:v>
      </x:c>
      <x:c r="B1227" s="14" t="str">
        <x:v>B</x:v>
      </x:c>
      <x:c r="C1227" s="14" t="str">
        <x:v>evaluation_utterance_end</x:v>
      </x:c>
      <x:c r="D1227" s="14" t="n">
        <x:v>-6</x:v>
      </x:c>
      <x:c r="E1227" s="14" t="n">
        <x:v>0</x:v>
      </x:c>
      <x:c r="F1227" s="14" t="n">
        <x:v>6</x:v>
      </x:c>
      <x:c r="G1227" s="17" t="n">
        <x:v>0</x:v>
      </x:c>
      <x:c r="H1227" s="14" t="str">
        <x:v>S04-04:B:origin</x:v>
      </x:c>
    </x:row>
    <x:row r="1228" ht="72" customHeight="1">
      <x:c r="A1228" s="14" t="str">
        <x:v>S04-04:B:final_transcript</x:v>
      </x:c>
      <x:c r="B1228" s="14" t="str">
        <x:v>B</x:v>
      </x:c>
      <x:c r="C1228" s="14" t="str">
        <x:v>final_transcript</x:v>
      </x:c>
      <x:c r="D1228" s="14" t="n">
        <x:v>0</x:v>
      </x:c>
      <x:c r="E1228" s="14" t="n">
        <x:v>0.3</x:v>
      </x:c>
      <x:c r="F1228" s="14" t="n">
        <x:v>0.3</x:v>
      </x:c>
      <x:c r="G1228" s="17" t="n">
        <x:v>1</x:v>
      </x:c>
      <x:c r="H1228" s="14" t="str">
        <x:v>S04-04:B:evaluation_utterance_end</x:v>
      </x:c>
    </x:row>
    <x:row r="1229" ht="72" customHeight="1">
      <x:c r="A1229" s="14" t="str">
        <x:v>S04-04:B:meaning_adoption</x:v>
      </x:c>
      <x:c r="B1229" s="14" t="str">
        <x:v>B</x:v>
      </x:c>
      <x:c r="C1229" s="14" t="str">
        <x:v>meaning_adoption</x:v>
      </x:c>
      <x:c r="D1229" s="14" t="n">
        <x:v>0.3</x:v>
      </x:c>
      <x:c r="E1229" s="14" t="n">
        <x:v>0.838333333</x:v>
      </x:c>
      <x:c r="F1229" s="14" t="n">
        <x:v>0.538333333</x:v>
      </x:c>
      <x:c r="G1229" s="17" t="n">
        <x:v>1</x:v>
      </x:c>
      <x:c r="H1229" s="14" t="str">
        <x:v>S04-04:B:final_transcript
S04-04:B:origin_interpretation</x:v>
      </x:c>
    </x:row>
    <x:row r="1230" ht="72" customHeight="1">
      <x:c r="A1230" s="14" t="str">
        <x:v>S04-04:B:apply_relation</x:v>
      </x:c>
      <x:c r="B1230" s="14" t="str">
        <x:v>B</x:v>
      </x:c>
      <x:c r="C1230" s="14" t="str">
        <x:v>apply_relation</x:v>
      </x:c>
      <x:c r="D1230" s="14" t="n">
        <x:v>0.838333333</x:v>
      </x:c>
      <x:c r="E1230" s="14" t="n">
        <x:v>0.878333333</x:v>
      </x:c>
      <x:c r="F1230" s="14" t="n">
        <x:v>0.04</x:v>
      </x:c>
      <x:c r="G1230" s="17" t="n">
        <x:v>1</x:v>
      </x:c>
      <x:c r="H1230" s="14" t="str">
        <x:v>S04-04:B:meaning_adoption</x:v>
      </x:c>
    </x:row>
    <x:row r="1231" ht="72" customHeight="1">
      <x:c r="A1231" s="14" t="str">
        <x:v>S04-04:B:evaluation_first_display</x:v>
      </x:c>
      <x:c r="B1231" s="14" t="str">
        <x:v>B</x:v>
      </x:c>
      <x:c r="C1231" s="14" t="str">
        <x:v>evaluation_first_display</x:v>
      </x:c>
      <x:c r="D1231" s="14" t="n">
        <x:v>0.878333333</x:v>
      </x:c>
      <x:c r="E1231" s="14" t="n">
        <x:v>0.918333333</x:v>
      </x:c>
      <x:c r="F1231" s="14" t="n">
        <x:v>0.04</x:v>
      </x:c>
      <x:c r="G1231" s="17" t="n">
        <x:v>1</x:v>
      </x:c>
      <x:c r="H1231" s="14" t="str">
        <x:v>S04-04:B:apply_relation</x:v>
      </x:c>
    </x:row>
    <x:row r="1232" ht="72" customHeight="1">
      <x:c r="A1232" s="14" t="str">
        <x:v>S04-04:B:source_report_v1</x:v>
      </x:c>
      <x:c r="B1232" s="14" t="str">
        <x:v>B</x:v>
      </x:c>
      <x:c r="C1232" s="14" t="str">
        <x:v>source_report_v1</x:v>
      </x:c>
      <x:c r="D1232" s="14" t="n">
        <x:v>-5.04</x:v>
      </x:c>
      <x:c r="E1232" s="14" t="n">
        <x:v>-1</x:v>
      </x:c>
      <x:c r="F1232" s="14" t="n">
        <x:v>4.04</x:v>
      </x:c>
      <x:c r="G1232" s="17" t="n">
        <x:v>0</x:v>
      </x:c>
      <x:c r="H1232" s="14" t="str">
        <x:v>S04-04:B:original_handoff</x:v>
      </x:c>
    </x:row>
    <x:row r="1233" ht="72" customHeight="1">
      <x:c r="A1233" s="14" t="str">
        <x:v>S04-04:B:display_report_v1</x:v>
      </x:c>
      <x:c r="B1233" s="14" t="str">
        <x:v>B</x:v>
      </x:c>
      <x:c r="C1233" s="14" t="str">
        <x:v>display_report_v1</x:v>
      </x:c>
      <x:c r="D1233" s="14" t="n">
        <x:v>-1</x:v>
      </x:c>
      <x:c r="E1233" s="14" t="n">
        <x:v>-0.96</x:v>
      </x:c>
      <x:c r="F1233" s="14" t="n">
        <x:v>0.04</x:v>
      </x:c>
      <x:c r="G1233" s="17" t="n">
        <x:v>1</x:v>
      </x:c>
      <x:c r="H1233" s="14" t="str">
        <x:v>S04-04:B:source_report_v1</x:v>
      </x:c>
    </x:row>
    <x:row r="1234" ht="72" customHeight="1">
      <x:c r="A1234" s="14" t="str">
        <x:v>S04-04:B:source_withdraw_ack</x:v>
      </x:c>
      <x:c r="B1234" s="14" t="str">
        <x:v>B</x:v>
      </x:c>
      <x:c r="C1234" s="14" t="str">
        <x:v>source_withdraw_ack</x:v>
      </x:c>
      <x:c r="D1234" s="14" t="n">
        <x:v>0.878333333</x:v>
      </x:c>
      <x:c r="E1234" s="14" t="n">
        <x:v>0.878333333</x:v>
      </x:c>
      <x:c r="F1234" s="14" t="n">
        <x:v>0</x:v>
      </x:c>
      <x:c r="G1234" s="17" t="n">
        <x:v>0</x:v>
      </x:c>
      <x:c r="H1234" s="14" t="str">
        <x:v>S04-04:B:apply_relation</x:v>
      </x:c>
    </x:row>
    <x:row r="1235" ht="72" customHeight="1">
      <x:c r="A1235" s="14" t="str">
        <x:v>S04-04:B:display_withdraw_ack</x:v>
      </x:c>
      <x:c r="B1235" s="14" t="str">
        <x:v>B</x:v>
      </x:c>
      <x:c r="C1235" s="14" t="str">
        <x:v>display_withdraw_ack</x:v>
      </x:c>
      <x:c r="D1235" s="14" t="n">
        <x:v>0.878333333</x:v>
      </x:c>
      <x:c r="E1235" s="14" t="n">
        <x:v>0.918333333</x:v>
      </x:c>
      <x:c r="F1235" s="14" t="n">
        <x:v>0.04</x:v>
      </x:c>
      <x:c r="G1235" s="17" t="n">
        <x:v>1</x:v>
      </x:c>
      <x:c r="H1235" s="14" t="str">
        <x:v>S04-04:B:source_withdraw_ack</x:v>
      </x:c>
    </x:row>
    <x:row r="1236" ht="72" customHeight="1">
      <x:c r="A1236" s="14" t="str">
        <x:v>S04-04:B:withdraw_ack_first</x:v>
      </x:c>
      <x:c r="B1236" s="14" t="str">
        <x:v>B</x:v>
      </x:c>
      <x:c r="C1236" s="14" t="str">
        <x:v>withdraw_ack_first</x:v>
      </x:c>
      <x:c r="D1236" s="14" t="n">
        <x:v>0.878333333</x:v>
      </x:c>
      <x:c r="E1236" s="14" t="n">
        <x:v>1.285666666</x:v>
      </x:c>
      <x:c r="F1236" s="14" t="n">
        <x:v>0.407333333</x:v>
      </x:c>
      <x:c r="G1236" s="17" t="n">
        <x:v>1</x:v>
      </x:c>
      <x:c r="H1236" s="14" t="str">
        <x:v>S04-04:B:apply_relation</x:v>
      </x:c>
    </x:row>
    <x:row r="1237" ht="72" customHeight="1">
      <x:c r="A1237" s="14" t="str">
        <x:v>S04-04:B:withdraw_ack_tail</x:v>
      </x:c>
      <x:c r="B1237" s="14" t="str">
        <x:v>B</x:v>
      </x:c>
      <x:c r="C1237" s="14" t="str">
        <x:v>withdraw_ack_tail</x:v>
      </x:c>
      <x:c r="D1237" s="14" t="n">
        <x:v>1.285666666</x:v>
      </x:c>
      <x:c r="E1237" s="14" t="n">
        <x:v>2.131166666</x:v>
      </x:c>
      <x:c r="F1237" s="14" t="n">
        <x:v>0.8455</x:v>
      </x:c>
      <x:c r="G1237" s="17" t="n">
        <x:v>1</x:v>
      </x:c>
      <x:c r="H1237" s="14" t="str">
        <x:v>S04-04:B:withdraw_ack_first</x:v>
      </x:c>
    </x:row>
    <x:row r="1238" ht="72" customHeight="1">
      <x:c r="A1238" s="14" t="str">
        <x:v>S04-04:B:withdraw_ack_device</x:v>
      </x:c>
      <x:c r="B1238" s="14" t="str">
        <x:v>B</x:v>
      </x:c>
      <x:c r="C1238" s="14" t="str">
        <x:v>withdraw_ack_device</x:v>
      </x:c>
      <x:c r="D1238" s="14" t="n">
        <x:v>1.285666666</x:v>
      </x:c>
      <x:c r="E1238" s="14" t="n">
        <x:v>1.325666666</x:v>
      </x:c>
      <x:c r="F1238" s="14" t="n">
        <x:v>0.04</x:v>
      </x:c>
      <x:c r="G1238" s="17" t="n">
        <x:v>1</x:v>
      </x:c>
      <x:c r="H1238" s="14" t="str">
        <x:v>S04-04:B:apply_relation
S04-04:B:withdraw_ack_first</x:v>
      </x:c>
    </x:row>
    <x:row r="1239" ht="72" customHeight="1">
      <x:c r="A1239" s="14" t="str">
        <x:v>S04-04:B:withdraw_ack_played</x:v>
      </x:c>
      <x:c r="B1239" s="14" t="str">
        <x:v>B</x:v>
      </x:c>
      <x:c r="C1239" s="14" t="str">
        <x:v>withdraw_ack_played</x:v>
      </x:c>
      <x:c r="D1239" s="14" t="n">
        <x:v>1.325666666</x:v>
      </x:c>
      <x:c r="E1239" s="14" t="n">
        <x:v>4.907666666</x:v>
      </x:c>
      <x:c r="F1239" s="14" t="n">
        <x:v>3.582</x:v>
      </x:c>
      <x:c r="G1239" s="17" t="n">
        <x:v>0</x:v>
      </x:c>
      <x:c r="H1239" s="14" t="str">
        <x:v>S04-04:B:withdraw_ack_device</x:v>
      </x:c>
    </x:row>
    <x:row r="1240" ht="72" customHeight="1">
      <x:c r="A1240" s="14" t="str">
        <x:v>S04-05:A:origin</x:v>
      </x:c>
      <x:c r="B1240" s="14" t="str">
        <x:v>A</x:v>
      </x:c>
      <x:c r="C1240" s="14" t="str">
        <x:v>origin</x:v>
      </x:c>
      <x:c r="D1240" s="14" t="n">
        <x:v>-6</x:v>
      </x:c>
      <x:c r="E1240" s="14" t="n">
        <x:v>-6</x:v>
      </x:c>
      <x:c r="F1240" s="14" t="n">
        <x:v>0</x:v>
      </x:c>
      <x:c r="G1240" s="17" t="n">
        <x:v>0</x:v>
      </x:c>
      <x:c r="H1240" s="14" t="str"/>
    </x:row>
    <x:row r="1241" ht="72" customHeight="1">
      <x:c r="A1241" s="14" t="str">
        <x:v>S04-05:A:origin_interpretation</x:v>
      </x:c>
      <x:c r="B1241" s="14" t="str">
        <x:v>A</x:v>
      </x:c>
      <x:c r="C1241" s="14" t="str">
        <x:v>origin_interpretation</x:v>
      </x:c>
      <x:c r="D1241" s="14" t="n">
        <x:v>-6</x:v>
      </x:c>
      <x:c r="E1241" s="14" t="n">
        <x:v>-5.16</x:v>
      </x:c>
      <x:c r="F1241" s="14" t="n">
        <x:v>0.84</x:v>
      </x:c>
      <x:c r="G1241" s="17" t="n">
        <x:v>1</x:v>
      </x:c>
      <x:c r="H1241" s="14" t="str">
        <x:v>S04-05:A:origin</x:v>
      </x:c>
    </x:row>
    <x:row r="1242" ht="72" customHeight="1">
      <x:c r="A1242" s="14" t="str">
        <x:v>S04-05:A:original_handoff</x:v>
      </x:c>
      <x:c r="B1242" s="14" t="str">
        <x:v>A</x:v>
      </x:c>
      <x:c r="C1242" s="14" t="str">
        <x:v>original_handoff</x:v>
      </x:c>
      <x:c r="D1242" s="14" t="n">
        <x:v>-5.16</x:v>
      </x:c>
      <x:c r="E1242" s="14" t="n">
        <x:v>-5.04</x:v>
      </x:c>
      <x:c r="F1242" s="14" t="n">
        <x:v>0.12</x:v>
      </x:c>
      <x:c r="G1242" s="17" t="n">
        <x:v>1</x:v>
      </x:c>
      <x:c r="H1242" s="14" t="str">
        <x:v>S04-05:A:origin_interpretation</x:v>
      </x:c>
    </x:row>
    <x:row r="1243" ht="72" customHeight="1">
      <x:c r="A1243" s="14" t="str">
        <x:v>S04-05:A:evaluation_utterance_end</x:v>
      </x:c>
      <x:c r="B1243" s="14" t="str">
        <x:v>A</x:v>
      </x:c>
      <x:c r="C1243" s="14" t="str">
        <x:v>evaluation_utterance_end</x:v>
      </x:c>
      <x:c r="D1243" s="14" t="n">
        <x:v>-6</x:v>
      </x:c>
      <x:c r="E1243" s="14" t="n">
        <x:v>0</x:v>
      </x:c>
      <x:c r="F1243" s="14" t="n">
        <x:v>6</x:v>
      </x:c>
      <x:c r="G1243" s="17" t="n">
        <x:v>0</x:v>
      </x:c>
      <x:c r="H1243" s="14" t="str">
        <x:v>S04-05:A:origin</x:v>
      </x:c>
    </x:row>
    <x:row r="1244" ht="72" customHeight="1">
      <x:c r="A1244" s="14" t="str">
        <x:v>S04-05:A:final_transcript</x:v>
      </x:c>
      <x:c r="B1244" s="14" t="str">
        <x:v>A</x:v>
      </x:c>
      <x:c r="C1244" s="14" t="str">
        <x:v>final_transcript</x:v>
      </x:c>
      <x:c r="D1244" s="14" t="n">
        <x:v>0</x:v>
      </x:c>
      <x:c r="E1244" s="14" t="n">
        <x:v>0.3</x:v>
      </x:c>
      <x:c r="F1244" s="14" t="n">
        <x:v>0.3</x:v>
      </x:c>
      <x:c r="G1244" s="17" t="n">
        <x:v>1</x:v>
      </x:c>
      <x:c r="H1244" s="14" t="str">
        <x:v>S04-05:A:evaluation_utterance_end</x:v>
      </x:c>
    </x:row>
    <x:row r="1245" ht="72" customHeight="1">
      <x:c r="A1245" s="14" t="str">
        <x:v>S04-05:A:meaning_adoption</x:v>
      </x:c>
      <x:c r="B1245" s="14" t="str">
        <x:v>A</x:v>
      </x:c>
      <x:c r="C1245" s="14" t="str">
        <x:v>meaning_adoption</x:v>
      </x:c>
      <x:c r="D1245" s="14" t="n">
        <x:v>0.3</x:v>
      </x:c>
      <x:c r="E1245" s="14" t="n">
        <x:v>0.866666667</x:v>
      </x:c>
      <x:c r="F1245" s="14" t="n">
        <x:v>0.566666667</x:v>
      </x:c>
      <x:c r="G1245" s="17" t="n">
        <x:v>1</x:v>
      </x:c>
      <x:c r="H1245" s="14" t="str">
        <x:v>S04-05:A:final_transcript
S04-05:A:origin_interpretation</x:v>
      </x:c>
    </x:row>
    <x:row r="1246" ht="72" customHeight="1">
      <x:c r="A1246" s="14" t="str">
        <x:v>S04-05:A:apply_relation</x:v>
      </x:c>
      <x:c r="B1246" s="14" t="str">
        <x:v>A</x:v>
      </x:c>
      <x:c r="C1246" s="14" t="str">
        <x:v>apply_relation</x:v>
      </x:c>
      <x:c r="D1246" s="14" t="n">
        <x:v>0.866666667</x:v>
      </x:c>
      <x:c r="E1246" s="14" t="n">
        <x:v>0.906666667</x:v>
      </x:c>
      <x:c r="F1246" s="14" t="n">
        <x:v>0.04</x:v>
      </x:c>
      <x:c r="G1246" s="17" t="n">
        <x:v>1</x:v>
      </x:c>
      <x:c r="H1246" s="14" t="str">
        <x:v>S04-05:A:meaning_adoption</x:v>
      </x:c>
    </x:row>
    <x:row r="1247" ht="72" customHeight="1">
      <x:c r="A1247" s="14" t="str">
        <x:v>S04-05:A:evaluation_first_display</x:v>
      </x:c>
      <x:c r="B1247" s="14" t="str">
        <x:v>A</x:v>
      </x:c>
      <x:c r="C1247" s="14" t="str">
        <x:v>evaluation_first_display</x:v>
      </x:c>
      <x:c r="D1247" s="14" t="n">
        <x:v>0.906666667</x:v>
      </x:c>
      <x:c r="E1247" s="14" t="n">
        <x:v>0.946666667</x:v>
      </x:c>
      <x:c r="F1247" s="14" t="n">
        <x:v>0.04</x:v>
      </x:c>
      <x:c r="G1247" s="17" t="n">
        <x:v>1</x:v>
      </x:c>
      <x:c r="H1247" s="14" t="str">
        <x:v>S04-05:A:apply_relation</x:v>
      </x:c>
    </x:row>
    <x:row r="1248" ht="72" customHeight="1">
      <x:c r="A1248" s="14" t="str">
        <x:v>S04-05:A:source_report_v1</x:v>
      </x:c>
      <x:c r="B1248" s="14" t="str">
        <x:v>A</x:v>
      </x:c>
      <x:c r="C1248" s="14" t="str">
        <x:v>source_report_v1</x:v>
      </x:c>
      <x:c r="D1248" s="14" t="n">
        <x:v>-5.04</x:v>
      </x:c>
      <x:c r="E1248" s="14" t="n">
        <x:v>-1</x:v>
      </x:c>
      <x:c r="F1248" s="14" t="n">
        <x:v>4.04</x:v>
      </x:c>
      <x:c r="G1248" s="17" t="n">
        <x:v>0</x:v>
      </x:c>
      <x:c r="H1248" s="14" t="str">
        <x:v>S04-05:A:original_handoff</x:v>
      </x:c>
    </x:row>
    <x:row r="1249" ht="72" customHeight="1">
      <x:c r="A1249" s="14" t="str">
        <x:v>S04-05:A:display_report_v1</x:v>
      </x:c>
      <x:c r="B1249" s="14" t="str">
        <x:v>A</x:v>
      </x:c>
      <x:c r="C1249" s="14" t="str">
        <x:v>display_report_v1</x:v>
      </x:c>
      <x:c r="D1249" s="14" t="n">
        <x:v>-1</x:v>
      </x:c>
      <x:c r="E1249" s="14" t="n">
        <x:v>-0.96</x:v>
      </x:c>
      <x:c r="F1249" s="14" t="n">
        <x:v>0.04</x:v>
      </x:c>
      <x:c r="G1249" s="17" t="n">
        <x:v>1</x:v>
      </x:c>
      <x:c r="H1249" s="14" t="str">
        <x:v>S04-05:A:source_report_v1</x:v>
      </x:c>
    </x:row>
    <x:row r="1250" ht="72" customHeight="1">
      <x:c r="A1250" s="14" t="str">
        <x:v>S04-05:A:report_v1_first</x:v>
      </x:c>
      <x:c r="B1250" s="14" t="str">
        <x:v>A</x:v>
      </x:c>
      <x:c r="C1250" s="14" t="str">
        <x:v>report_v1_first</x:v>
      </x:c>
      <x:c r="D1250" s="14" t="n">
        <x:v>-1</x:v>
      </x:c>
      <x:c r="E1250" s="14" t="n">
        <x:v>-0.59</x:v>
      </x:c>
      <x:c r="F1250" s="14" t="n">
        <x:v>0.41</x:v>
      </x:c>
      <x:c r="G1250" s="17" t="n">
        <x:v>1</x:v>
      </x:c>
      <x:c r="H1250" s="14" t="str">
        <x:v>S04-05:A:source_report_v1</x:v>
      </x:c>
    </x:row>
    <x:row r="1251" ht="72" customHeight="1">
      <x:c r="A1251" s="14" t="str">
        <x:v>S04-05:A:report_v1_tail</x:v>
      </x:c>
      <x:c r="B1251" s="14" t="str">
        <x:v>A</x:v>
      </x:c>
      <x:c r="C1251" s="14" t="str">
        <x:v>report_v1_tail</x:v>
      </x:c>
      <x:c r="D1251" s="14" t="n">
        <x:v>-0.59</x:v>
      </x:c>
      <x:c r="E1251" s="14" t="n">
        <x:v>1.006666667</x:v>
      </x:c>
      <x:c r="F1251" s="14" t="n">
        <x:v>1.596666667</x:v>
      </x:c>
      <x:c r="G1251" s="17" t="n">
        <x:v>1</x:v>
      </x:c>
      <x:c r="H1251" s="14" t="str">
        <x:v>S04-05:A:report_v1_first</x:v>
      </x:c>
    </x:row>
    <x:row r="1252" ht="72" customHeight="1">
      <x:c r="A1252" s="14" t="str">
        <x:v>S04-05:A:source_withdraw_ack</x:v>
      </x:c>
      <x:c r="B1252" s="14" t="str">
        <x:v>A</x:v>
      </x:c>
      <x:c r="C1252" s="14" t="str">
        <x:v>source_withdraw_ack</x:v>
      </x:c>
      <x:c r="D1252" s="14" t="n">
        <x:v>0.906666667</x:v>
      </x:c>
      <x:c r="E1252" s="14" t="n">
        <x:v>0.906666667</x:v>
      </x:c>
      <x:c r="F1252" s="14" t="n">
        <x:v>0</x:v>
      </x:c>
      <x:c r="G1252" s="17" t="n">
        <x:v>0</x:v>
      </x:c>
      <x:c r="H1252" s="14" t="str">
        <x:v>S04-05:A:apply_relation</x:v>
      </x:c>
    </x:row>
    <x:row r="1253" ht="72" customHeight="1">
      <x:c r="A1253" s="14" t="str">
        <x:v>S04-05:A:display_withdraw_ack</x:v>
      </x:c>
      <x:c r="B1253" s="14" t="str">
        <x:v>A</x:v>
      </x:c>
      <x:c r="C1253" s="14" t="str">
        <x:v>display_withdraw_ack</x:v>
      </x:c>
      <x:c r="D1253" s="14" t="n">
        <x:v>0.906666667</x:v>
      </x:c>
      <x:c r="E1253" s="14" t="n">
        <x:v>0.946666667</x:v>
      </x:c>
      <x:c r="F1253" s="14" t="n">
        <x:v>0.04</x:v>
      </x:c>
      <x:c r="G1253" s="17" t="n">
        <x:v>1</x:v>
      </x:c>
      <x:c r="H1253" s="14" t="str">
        <x:v>S04-05:A:source_withdraw_ack</x:v>
      </x:c>
    </x:row>
    <x:row r="1254" ht="72" customHeight="1">
      <x:c r="A1254" s="14" t="str">
        <x:v>S04-05:A:withdraw_ack_first</x:v>
      </x:c>
      <x:c r="B1254" s="14" t="str">
        <x:v>A</x:v>
      </x:c>
      <x:c r="C1254" s="14" t="str">
        <x:v>withdraw_ack_first</x:v>
      </x:c>
      <x:c r="D1254" s="14" t="n">
        <x:v>0.906666667</x:v>
      </x:c>
      <x:c r="E1254" s="14" t="n">
        <x:v>1.314</x:v>
      </x:c>
      <x:c r="F1254" s="14" t="n">
        <x:v>0.407333333</x:v>
      </x:c>
      <x:c r="G1254" s="17" t="n">
        <x:v>1</x:v>
      </x:c>
      <x:c r="H1254" s="14" t="str">
        <x:v>S04-05:A:source_withdraw_ack</x:v>
      </x:c>
    </x:row>
    <x:row r="1255" ht="72" customHeight="1">
      <x:c r="A1255" s="14" t="str">
        <x:v>S04-05:A:withdraw_ack_tail</x:v>
      </x:c>
      <x:c r="B1255" s="14" t="str">
        <x:v>A</x:v>
      </x:c>
      <x:c r="C1255" s="14" t="str">
        <x:v>withdraw_ack_tail</x:v>
      </x:c>
      <x:c r="D1255" s="14" t="n">
        <x:v>1.314</x:v>
      </x:c>
      <x:c r="E1255" s="14" t="n">
        <x:v>2.1625</x:v>
      </x:c>
      <x:c r="F1255" s="14" t="n">
        <x:v>0.8485</x:v>
      </x:c>
      <x:c r="G1255" s="17" t="n">
        <x:v>1</x:v>
      </x:c>
      <x:c r="H1255" s="14" t="str">
        <x:v>S04-05:A:withdraw_ack_first</x:v>
      </x:c>
    </x:row>
    <x:row r="1256" ht="72" customHeight="1">
      <x:c r="A1256" s="14" t="str">
        <x:v>S04-05:A:withdraw_ack_device</x:v>
      </x:c>
      <x:c r="B1256" s="14" t="str">
        <x:v>A</x:v>
      </x:c>
      <x:c r="C1256" s="14" t="str">
        <x:v>withdraw_ack_device</x:v>
      </x:c>
      <x:c r="D1256" s="14" t="n">
        <x:v>1.314</x:v>
      </x:c>
      <x:c r="E1256" s="14" t="n">
        <x:v>1.354</x:v>
      </x:c>
      <x:c r="F1256" s="14" t="n">
        <x:v>0.04</x:v>
      </x:c>
      <x:c r="G1256" s="17" t="n">
        <x:v>1</x:v>
      </x:c>
      <x:c r="H1256" s="14" t="str">
        <x:v>S04-05:A:apply_relation
S04-05:A:withdraw_ack_first</x:v>
      </x:c>
    </x:row>
    <x:row r="1257" ht="72" customHeight="1">
      <x:c r="A1257" s="14" t="str">
        <x:v>S04-05:A:withdraw_ack_played</x:v>
      </x:c>
      <x:c r="B1257" s="14" t="str">
        <x:v>A</x:v>
      </x:c>
      <x:c r="C1257" s="14" t="str">
        <x:v>withdraw_ack_played</x:v>
      </x:c>
      <x:c r="D1257" s="14" t="n">
        <x:v>1.354</x:v>
      </x:c>
      <x:c r="E1257" s="14" t="n">
        <x:v>4.948</x:v>
      </x:c>
      <x:c r="F1257" s="14" t="n">
        <x:v>3.594</x:v>
      </x:c>
      <x:c r="G1257" s="17" t="n">
        <x:v>0</x:v>
      </x:c>
      <x:c r="H1257" s="14" t="str">
        <x:v>S04-05:A:withdraw_ack_device</x:v>
      </x:c>
    </x:row>
    <x:row r="1258" ht="72" customHeight="1">
      <x:c r="A1258" s="14" t="str">
        <x:v>S04-05:B:origin</x:v>
      </x:c>
      <x:c r="B1258" s="14" t="str">
        <x:v>B</x:v>
      </x:c>
      <x:c r="C1258" s="14" t="str">
        <x:v>origin</x:v>
      </x:c>
      <x:c r="D1258" s="14" t="n">
        <x:v>-6</x:v>
      </x:c>
      <x:c r="E1258" s="14" t="n">
        <x:v>-6</x:v>
      </x:c>
      <x:c r="F1258" s="14" t="n">
        <x:v>0</x:v>
      </x:c>
      <x:c r="G1258" s="17" t="n">
        <x:v>0</x:v>
      </x:c>
      <x:c r="H1258" s="14" t="str"/>
    </x:row>
    <x:row r="1259" ht="72" customHeight="1">
      <x:c r="A1259" s="14" t="str">
        <x:v>S04-05:B:origin_interpretation</x:v>
      </x:c>
      <x:c r="B1259" s="14" t="str">
        <x:v>B</x:v>
      </x:c>
      <x:c r="C1259" s="14" t="str">
        <x:v>origin_interpretation</x:v>
      </x:c>
      <x:c r="D1259" s="14" t="n">
        <x:v>-6</x:v>
      </x:c>
      <x:c r="E1259" s="14" t="n">
        <x:v>-5.16</x:v>
      </x:c>
      <x:c r="F1259" s="14" t="n">
        <x:v>0.84</x:v>
      </x:c>
      <x:c r="G1259" s="17" t="n">
        <x:v>1</x:v>
      </x:c>
      <x:c r="H1259" s="14" t="str">
        <x:v>S04-05:B:origin</x:v>
      </x:c>
    </x:row>
    <x:row r="1260" ht="72" customHeight="1">
      <x:c r="A1260" s="14" t="str">
        <x:v>S04-05:B:original_handoff</x:v>
      </x:c>
      <x:c r="B1260" s="14" t="str">
        <x:v>B</x:v>
      </x:c>
      <x:c r="C1260" s="14" t="str">
        <x:v>original_handoff</x:v>
      </x:c>
      <x:c r="D1260" s="14" t="n">
        <x:v>-5.16</x:v>
      </x:c>
      <x:c r="E1260" s="14" t="n">
        <x:v>-5.04</x:v>
      </x:c>
      <x:c r="F1260" s="14" t="n">
        <x:v>0.12</x:v>
      </x:c>
      <x:c r="G1260" s="17" t="n">
        <x:v>1</x:v>
      </x:c>
      <x:c r="H1260" s="14" t="str">
        <x:v>S04-05:B:origin_interpretation</x:v>
      </x:c>
    </x:row>
    <x:row r="1261" ht="72" customHeight="1">
      <x:c r="A1261" s="14" t="str">
        <x:v>S04-05:B:evaluation_utterance_end</x:v>
      </x:c>
      <x:c r="B1261" s="14" t="str">
        <x:v>B</x:v>
      </x:c>
      <x:c r="C1261" s="14" t="str">
        <x:v>evaluation_utterance_end</x:v>
      </x:c>
      <x:c r="D1261" s="14" t="n">
        <x:v>-6</x:v>
      </x:c>
      <x:c r="E1261" s="14" t="n">
        <x:v>0</x:v>
      </x:c>
      <x:c r="F1261" s="14" t="n">
        <x:v>6</x:v>
      </x:c>
      <x:c r="G1261" s="17" t="n">
        <x:v>0</x:v>
      </x:c>
      <x:c r="H1261" s="14" t="str">
        <x:v>S04-05:B:origin</x:v>
      </x:c>
    </x:row>
    <x:row r="1262" ht="72" customHeight="1">
      <x:c r="A1262" s="14" t="str">
        <x:v>S04-05:B:final_transcript</x:v>
      </x:c>
      <x:c r="B1262" s="14" t="str">
        <x:v>B</x:v>
      </x:c>
      <x:c r="C1262" s="14" t="str">
        <x:v>final_transcript</x:v>
      </x:c>
      <x:c r="D1262" s="14" t="n">
        <x:v>0</x:v>
      </x:c>
      <x:c r="E1262" s="14" t="n">
        <x:v>0.3</x:v>
      </x:c>
      <x:c r="F1262" s="14" t="n">
        <x:v>0.3</x:v>
      </x:c>
      <x:c r="G1262" s="17" t="n">
        <x:v>1</x:v>
      </x:c>
      <x:c r="H1262" s="14" t="str">
        <x:v>S04-05:B:evaluation_utterance_end</x:v>
      </x:c>
    </x:row>
    <x:row r="1263" ht="72" customHeight="1">
      <x:c r="A1263" s="14" t="str">
        <x:v>S04-05:B:meaning_adoption</x:v>
      </x:c>
      <x:c r="B1263" s="14" t="str">
        <x:v>B</x:v>
      </x:c>
      <x:c r="C1263" s="14" t="str">
        <x:v>meaning_adoption</x:v>
      </x:c>
      <x:c r="D1263" s="14" t="n">
        <x:v>0.3</x:v>
      </x:c>
      <x:c r="E1263" s="14" t="n">
        <x:v>0.866666667</x:v>
      </x:c>
      <x:c r="F1263" s="14" t="n">
        <x:v>0.566666667</x:v>
      </x:c>
      <x:c r="G1263" s="17" t="n">
        <x:v>1</x:v>
      </x:c>
      <x:c r="H1263" s="14" t="str">
        <x:v>S04-05:B:final_transcript
S04-05:B:origin_interpretation</x:v>
      </x:c>
    </x:row>
    <x:row r="1264" ht="72" customHeight="1">
      <x:c r="A1264" s="14" t="str">
        <x:v>S04-05:B:apply_relation</x:v>
      </x:c>
      <x:c r="B1264" s="14" t="str">
        <x:v>B</x:v>
      </x:c>
      <x:c r="C1264" s="14" t="str">
        <x:v>apply_relation</x:v>
      </x:c>
      <x:c r="D1264" s="14" t="n">
        <x:v>0.866666667</x:v>
      </x:c>
      <x:c r="E1264" s="14" t="n">
        <x:v>0.906666667</x:v>
      </x:c>
      <x:c r="F1264" s="14" t="n">
        <x:v>0.04</x:v>
      </x:c>
      <x:c r="G1264" s="17" t="n">
        <x:v>1</x:v>
      </x:c>
      <x:c r="H1264" s="14" t="str">
        <x:v>S04-05:B:meaning_adoption</x:v>
      </x:c>
    </x:row>
    <x:row r="1265" ht="72" customHeight="1">
      <x:c r="A1265" s="14" t="str">
        <x:v>S04-05:B:evaluation_first_display</x:v>
      </x:c>
      <x:c r="B1265" s="14" t="str">
        <x:v>B</x:v>
      </x:c>
      <x:c r="C1265" s="14" t="str">
        <x:v>evaluation_first_display</x:v>
      </x:c>
      <x:c r="D1265" s="14" t="n">
        <x:v>0.906666667</x:v>
      </x:c>
      <x:c r="E1265" s="14" t="n">
        <x:v>0.946666667</x:v>
      </x:c>
      <x:c r="F1265" s="14" t="n">
        <x:v>0.04</x:v>
      </x:c>
      <x:c r="G1265" s="17" t="n">
        <x:v>1</x:v>
      </x:c>
      <x:c r="H1265" s="14" t="str">
        <x:v>S04-05:B:apply_relation</x:v>
      </x:c>
    </x:row>
    <x:row r="1266" ht="72" customHeight="1">
      <x:c r="A1266" s="14" t="str">
        <x:v>S04-05:B:source_report_v1</x:v>
      </x:c>
      <x:c r="B1266" s="14" t="str">
        <x:v>B</x:v>
      </x:c>
      <x:c r="C1266" s="14" t="str">
        <x:v>source_report_v1</x:v>
      </x:c>
      <x:c r="D1266" s="14" t="n">
        <x:v>-5.04</x:v>
      </x:c>
      <x:c r="E1266" s="14" t="n">
        <x:v>-1</x:v>
      </x:c>
      <x:c r="F1266" s="14" t="n">
        <x:v>4.04</x:v>
      </x:c>
      <x:c r="G1266" s="17" t="n">
        <x:v>0</x:v>
      </x:c>
      <x:c r="H1266" s="14" t="str">
        <x:v>S04-05:B:original_handoff</x:v>
      </x:c>
    </x:row>
    <x:row r="1267" ht="72" customHeight="1">
      <x:c r="A1267" s="14" t="str">
        <x:v>S04-05:B:display_report_v1</x:v>
      </x:c>
      <x:c r="B1267" s="14" t="str">
        <x:v>B</x:v>
      </x:c>
      <x:c r="C1267" s="14" t="str">
        <x:v>display_report_v1</x:v>
      </x:c>
      <x:c r="D1267" s="14" t="n">
        <x:v>-1</x:v>
      </x:c>
      <x:c r="E1267" s="14" t="n">
        <x:v>-0.96</x:v>
      </x:c>
      <x:c r="F1267" s="14" t="n">
        <x:v>0.04</x:v>
      </x:c>
      <x:c r="G1267" s="17" t="n">
        <x:v>1</x:v>
      </x:c>
      <x:c r="H1267" s="14" t="str">
        <x:v>S04-05:B:source_report_v1</x:v>
      </x:c>
    </x:row>
    <x:row r="1268" ht="72" customHeight="1">
      <x:c r="A1268" s="14" t="str">
        <x:v>S04-05:B:source_withdraw_ack</x:v>
      </x:c>
      <x:c r="B1268" s="14" t="str">
        <x:v>B</x:v>
      </x:c>
      <x:c r="C1268" s="14" t="str">
        <x:v>source_withdraw_ack</x:v>
      </x:c>
      <x:c r="D1268" s="14" t="n">
        <x:v>0.906666667</x:v>
      </x:c>
      <x:c r="E1268" s="14" t="n">
        <x:v>0.906666667</x:v>
      </x:c>
      <x:c r="F1268" s="14" t="n">
        <x:v>0</x:v>
      </x:c>
      <x:c r="G1268" s="17" t="n">
        <x:v>0</x:v>
      </x:c>
      <x:c r="H1268" s="14" t="str">
        <x:v>S04-05:B:apply_relation</x:v>
      </x:c>
    </x:row>
    <x:row r="1269" ht="72" customHeight="1">
      <x:c r="A1269" s="14" t="str">
        <x:v>S04-05:B:display_withdraw_ack</x:v>
      </x:c>
      <x:c r="B1269" s="14" t="str">
        <x:v>B</x:v>
      </x:c>
      <x:c r="C1269" s="14" t="str">
        <x:v>display_withdraw_ack</x:v>
      </x:c>
      <x:c r="D1269" s="14" t="n">
        <x:v>0.906666667</x:v>
      </x:c>
      <x:c r="E1269" s="14" t="n">
        <x:v>0.946666667</x:v>
      </x:c>
      <x:c r="F1269" s="14" t="n">
        <x:v>0.04</x:v>
      </x:c>
      <x:c r="G1269" s="17" t="n">
        <x:v>1</x:v>
      </x:c>
      <x:c r="H1269" s="14" t="str">
        <x:v>S04-05:B:source_withdraw_ack</x:v>
      </x:c>
    </x:row>
    <x:row r="1270" ht="72" customHeight="1">
      <x:c r="A1270" s="14" t="str">
        <x:v>S04-05:B:withdraw_ack_first</x:v>
      </x:c>
      <x:c r="B1270" s="14" t="str">
        <x:v>B</x:v>
      </x:c>
      <x:c r="C1270" s="14" t="str">
        <x:v>withdraw_ack_first</x:v>
      </x:c>
      <x:c r="D1270" s="14" t="n">
        <x:v>0.906666667</x:v>
      </x:c>
      <x:c r="E1270" s="14" t="n">
        <x:v>1.314</x:v>
      </x:c>
      <x:c r="F1270" s="14" t="n">
        <x:v>0.407333333</x:v>
      </x:c>
      <x:c r="G1270" s="17" t="n">
        <x:v>1</x:v>
      </x:c>
      <x:c r="H1270" s="14" t="str">
        <x:v>S04-05:B:apply_relation</x:v>
      </x:c>
    </x:row>
    <x:row r="1271" ht="72" customHeight="1">
      <x:c r="A1271" s="14" t="str">
        <x:v>S04-05:B:withdraw_ack_tail</x:v>
      </x:c>
      <x:c r="B1271" s="14" t="str">
        <x:v>B</x:v>
      </x:c>
      <x:c r="C1271" s="14" t="str">
        <x:v>withdraw_ack_tail</x:v>
      </x:c>
      <x:c r="D1271" s="14" t="n">
        <x:v>1.314</x:v>
      </x:c>
      <x:c r="E1271" s="14" t="n">
        <x:v>2.1625</x:v>
      </x:c>
      <x:c r="F1271" s="14" t="n">
        <x:v>0.8485</x:v>
      </x:c>
      <x:c r="G1271" s="17" t="n">
        <x:v>1</x:v>
      </x:c>
      <x:c r="H1271" s="14" t="str">
        <x:v>S04-05:B:withdraw_ack_first</x:v>
      </x:c>
    </x:row>
    <x:row r="1272" ht="72" customHeight="1">
      <x:c r="A1272" s="14" t="str">
        <x:v>S04-05:B:withdraw_ack_device</x:v>
      </x:c>
      <x:c r="B1272" s="14" t="str">
        <x:v>B</x:v>
      </x:c>
      <x:c r="C1272" s="14" t="str">
        <x:v>withdraw_ack_device</x:v>
      </x:c>
      <x:c r="D1272" s="14" t="n">
        <x:v>1.314</x:v>
      </x:c>
      <x:c r="E1272" s="14" t="n">
        <x:v>1.354</x:v>
      </x:c>
      <x:c r="F1272" s="14" t="n">
        <x:v>0.04</x:v>
      </x:c>
      <x:c r="G1272" s="17" t="n">
        <x:v>1</x:v>
      </x:c>
      <x:c r="H1272" s="14" t="str">
        <x:v>S04-05:B:apply_relation
S04-05:B:withdraw_ack_first</x:v>
      </x:c>
    </x:row>
    <x:row r="1273" ht="72" customHeight="1">
      <x:c r="A1273" s="14" t="str">
        <x:v>S04-05:B:withdraw_ack_played</x:v>
      </x:c>
      <x:c r="B1273" s="14" t="str">
        <x:v>B</x:v>
      </x:c>
      <x:c r="C1273" s="14" t="str">
        <x:v>withdraw_ack_played</x:v>
      </x:c>
      <x:c r="D1273" s="14" t="n">
        <x:v>1.354</x:v>
      </x:c>
      <x:c r="E1273" s="14" t="n">
        <x:v>4.948</x:v>
      </x:c>
      <x:c r="F1273" s="14" t="n">
        <x:v>3.594</x:v>
      </x:c>
      <x:c r="G1273" s="17" t="n">
        <x:v>0</x:v>
      </x:c>
      <x:c r="H1273" s="14" t="str">
        <x:v>S04-05:B:withdraw_ack_device</x:v>
      </x:c>
    </x:row>
    <x:row r="1274" ht="72" customHeight="1">
      <x:c r="A1274" s="14" t="str">
        <x:v>S04-06:A:origin</x:v>
      </x:c>
      <x:c r="B1274" s="14" t="str">
        <x:v>A</x:v>
      </x:c>
      <x:c r="C1274" s="14" t="str">
        <x:v>origin</x:v>
      </x:c>
      <x:c r="D1274" s="14" t="n">
        <x:v>-6</x:v>
      </x:c>
      <x:c r="E1274" s="14" t="n">
        <x:v>-6</x:v>
      </x:c>
      <x:c r="F1274" s="14" t="n">
        <x:v>0</x:v>
      </x:c>
      <x:c r="G1274" s="17" t="n">
        <x:v>0</x:v>
      </x:c>
      <x:c r="H1274" s="14" t="str"/>
    </x:row>
    <x:row r="1275" ht="72" customHeight="1">
      <x:c r="A1275" s="14" t="str">
        <x:v>S04-06:A:origin_interpretation</x:v>
      </x:c>
      <x:c r="B1275" s="14" t="str">
        <x:v>A</x:v>
      </x:c>
      <x:c r="C1275" s="14" t="str">
        <x:v>origin_interpretation</x:v>
      </x:c>
      <x:c r="D1275" s="14" t="n">
        <x:v>-6</x:v>
      </x:c>
      <x:c r="E1275" s="14" t="n">
        <x:v>-5.16</x:v>
      </x:c>
      <x:c r="F1275" s="14" t="n">
        <x:v>0.84</x:v>
      </x:c>
      <x:c r="G1275" s="17" t="n">
        <x:v>1</x:v>
      </x:c>
      <x:c r="H1275" s="14" t="str">
        <x:v>S04-06:A:origin</x:v>
      </x:c>
    </x:row>
    <x:row r="1276" ht="72" customHeight="1">
      <x:c r="A1276" s="14" t="str">
        <x:v>S04-06:A:original_handoff</x:v>
      </x:c>
      <x:c r="B1276" s="14" t="str">
        <x:v>A</x:v>
      </x:c>
      <x:c r="C1276" s="14" t="str">
        <x:v>original_handoff</x:v>
      </x:c>
      <x:c r="D1276" s="14" t="n">
        <x:v>-5.16</x:v>
      </x:c>
      <x:c r="E1276" s="14" t="n">
        <x:v>-5.04</x:v>
      </x:c>
      <x:c r="F1276" s="14" t="n">
        <x:v>0.12</x:v>
      </x:c>
      <x:c r="G1276" s="17" t="n">
        <x:v>1</x:v>
      </x:c>
      <x:c r="H1276" s="14" t="str">
        <x:v>S04-06:A:origin_interpretation</x:v>
      </x:c>
    </x:row>
    <x:row r="1277" ht="72" customHeight="1">
      <x:c r="A1277" s="14" t="str">
        <x:v>S04-06:A:evaluation_utterance_end</x:v>
      </x:c>
      <x:c r="B1277" s="14" t="str">
        <x:v>A</x:v>
      </x:c>
      <x:c r="C1277" s="14" t="str">
        <x:v>evaluation_utterance_end</x:v>
      </x:c>
      <x:c r="D1277" s="14" t="n">
        <x:v>-6</x:v>
      </x:c>
      <x:c r="E1277" s="14" t="n">
        <x:v>0</x:v>
      </x:c>
      <x:c r="F1277" s="14" t="n">
        <x:v>6</x:v>
      </x:c>
      <x:c r="G1277" s="17" t="n">
        <x:v>0</x:v>
      </x:c>
      <x:c r="H1277" s="14" t="str">
        <x:v>S04-06:A:origin</x:v>
      </x:c>
    </x:row>
    <x:row r="1278" ht="72" customHeight="1">
      <x:c r="A1278" s="14" t="str">
        <x:v>S04-06:A:final_transcript</x:v>
      </x:c>
      <x:c r="B1278" s="14" t="str">
        <x:v>A</x:v>
      </x:c>
      <x:c r="C1278" s="14" t="str">
        <x:v>final_transcript</x:v>
      </x:c>
      <x:c r="D1278" s="14" t="n">
        <x:v>0</x:v>
      </x:c>
      <x:c r="E1278" s="14" t="n">
        <x:v>0.3</x:v>
      </x:c>
      <x:c r="F1278" s="14" t="n">
        <x:v>0.3</x:v>
      </x:c>
      <x:c r="G1278" s="17" t="n">
        <x:v>1</x:v>
      </x:c>
      <x:c r="H1278" s="14" t="str">
        <x:v>S04-06:A:evaluation_utterance_end</x:v>
      </x:c>
    </x:row>
    <x:row r="1279" ht="72" customHeight="1">
      <x:c r="A1279" s="14" t="str">
        <x:v>S04-06:A:meaning_adoption</x:v>
      </x:c>
      <x:c r="B1279" s="14" t="str">
        <x:v>A</x:v>
      </x:c>
      <x:c r="C1279" s="14" t="str">
        <x:v>meaning_adoption</x:v>
      </x:c>
      <x:c r="D1279" s="14" t="n">
        <x:v>0.3</x:v>
      </x:c>
      <x:c r="E1279" s="14" t="n">
        <x:v>0.82</x:v>
      </x:c>
      <x:c r="F1279" s="14" t="n">
        <x:v>0.52</x:v>
      </x:c>
      <x:c r="G1279" s="17" t="n">
        <x:v>1</x:v>
      </x:c>
      <x:c r="H1279" s="14" t="str">
        <x:v>S04-06:A:final_transcript
S04-06:A:origin_interpretation</x:v>
      </x:c>
    </x:row>
    <x:row r="1280" ht="72" customHeight="1">
      <x:c r="A1280" s="14" t="str">
        <x:v>S04-06:A:apply_relation</x:v>
      </x:c>
      <x:c r="B1280" s="14" t="str">
        <x:v>A</x:v>
      </x:c>
      <x:c r="C1280" s="14" t="str">
        <x:v>apply_relation</x:v>
      </x:c>
      <x:c r="D1280" s="14" t="n">
        <x:v>0.82</x:v>
      </x:c>
      <x:c r="E1280" s="14" t="n">
        <x:v>0.86</x:v>
      </x:c>
      <x:c r="F1280" s="14" t="n">
        <x:v>0.04</x:v>
      </x:c>
      <x:c r="G1280" s="17" t="n">
        <x:v>1</x:v>
      </x:c>
      <x:c r="H1280" s="14" t="str">
        <x:v>S04-06:A:meaning_adoption</x:v>
      </x:c>
    </x:row>
    <x:row r="1281" ht="72" customHeight="1">
      <x:c r="A1281" s="14" t="str">
        <x:v>S04-06:A:evaluation_first_display</x:v>
      </x:c>
      <x:c r="B1281" s="14" t="str">
        <x:v>A</x:v>
      </x:c>
      <x:c r="C1281" s="14" t="str">
        <x:v>evaluation_first_display</x:v>
      </x:c>
      <x:c r="D1281" s="14" t="n">
        <x:v>0.86</x:v>
      </x:c>
      <x:c r="E1281" s="14" t="n">
        <x:v>0.9</x:v>
      </x:c>
      <x:c r="F1281" s="14" t="n">
        <x:v>0.04</x:v>
      </x:c>
      <x:c r="G1281" s="17" t="n">
        <x:v>1</x:v>
      </x:c>
      <x:c r="H1281" s="14" t="str">
        <x:v>S04-06:A:apply_relation</x:v>
      </x:c>
    </x:row>
    <x:row r="1282" ht="72" customHeight="1">
      <x:c r="A1282" s="14" t="str">
        <x:v>S04-06:A:source_report_v1</x:v>
      </x:c>
      <x:c r="B1282" s="14" t="str">
        <x:v>A</x:v>
      </x:c>
      <x:c r="C1282" s="14" t="str">
        <x:v>source_report_v1</x:v>
      </x:c>
      <x:c r="D1282" s="14" t="n">
        <x:v>-5.04</x:v>
      </x:c>
      <x:c r="E1282" s="14" t="n">
        <x:v>-1</x:v>
      </x:c>
      <x:c r="F1282" s="14" t="n">
        <x:v>4.04</x:v>
      </x:c>
      <x:c r="G1282" s="17" t="n">
        <x:v>0</x:v>
      </x:c>
      <x:c r="H1282" s="14" t="str">
        <x:v>S04-06:A:original_handoff</x:v>
      </x:c>
    </x:row>
    <x:row r="1283" ht="72" customHeight="1">
      <x:c r="A1283" s="14" t="str">
        <x:v>S04-06:A:display_report_v1</x:v>
      </x:c>
      <x:c r="B1283" s="14" t="str">
        <x:v>A</x:v>
      </x:c>
      <x:c r="C1283" s="14" t="str">
        <x:v>display_report_v1</x:v>
      </x:c>
      <x:c r="D1283" s="14" t="n">
        <x:v>-1</x:v>
      </x:c>
      <x:c r="E1283" s="14" t="n">
        <x:v>-0.96</x:v>
      </x:c>
      <x:c r="F1283" s="14" t="n">
        <x:v>0.04</x:v>
      </x:c>
      <x:c r="G1283" s="17" t="n">
        <x:v>1</x:v>
      </x:c>
      <x:c r="H1283" s="14" t="str">
        <x:v>S04-06:A:source_report_v1</x:v>
      </x:c>
    </x:row>
    <x:row r="1284" ht="72" customHeight="1">
      <x:c r="A1284" s="14" t="str">
        <x:v>S04-06:A:report_v1_first</x:v>
      </x:c>
      <x:c r="B1284" s="14" t="str">
        <x:v>A</x:v>
      </x:c>
      <x:c r="C1284" s="14" t="str">
        <x:v>report_v1_first</x:v>
      </x:c>
      <x:c r="D1284" s="14" t="n">
        <x:v>-1</x:v>
      </x:c>
      <x:c r="E1284" s="14" t="n">
        <x:v>-0.59</x:v>
      </x:c>
      <x:c r="F1284" s="14" t="n">
        <x:v>0.41</x:v>
      </x:c>
      <x:c r="G1284" s="17" t="n">
        <x:v>1</x:v>
      </x:c>
      <x:c r="H1284" s="14" t="str">
        <x:v>S04-06:A:source_report_v1</x:v>
      </x:c>
    </x:row>
    <x:row r="1285" ht="72" customHeight="1">
      <x:c r="A1285" s="14" t="str">
        <x:v>S04-06:A:report_v1_tail</x:v>
      </x:c>
      <x:c r="B1285" s="14" t="str">
        <x:v>A</x:v>
      </x:c>
      <x:c r="C1285" s="14" t="str">
        <x:v>report_v1_tail</x:v>
      </x:c>
      <x:c r="D1285" s="14" t="n">
        <x:v>-0.59</x:v>
      </x:c>
      <x:c r="E1285" s="14" t="n">
        <x:v>0.96</x:v>
      </x:c>
      <x:c r="F1285" s="14" t="n">
        <x:v>1.55</x:v>
      </x:c>
      <x:c r="G1285" s="17" t="n">
        <x:v>1</x:v>
      </x:c>
      <x:c r="H1285" s="14" t="str">
        <x:v>S04-06:A:report_v1_first</x:v>
      </x:c>
    </x:row>
    <x:row r="1286" ht="72" customHeight="1">
      <x:c r="A1286" s="14" t="str">
        <x:v>S04-06:A:source_withdraw_ack</x:v>
      </x:c>
      <x:c r="B1286" s="14" t="str">
        <x:v>A</x:v>
      </x:c>
      <x:c r="C1286" s="14" t="str">
        <x:v>source_withdraw_ack</x:v>
      </x:c>
      <x:c r="D1286" s="14" t="n">
        <x:v>0.86</x:v>
      </x:c>
      <x:c r="E1286" s="14" t="n">
        <x:v>0.86</x:v>
      </x:c>
      <x:c r="F1286" s="14" t="n">
        <x:v>0</x:v>
      </x:c>
      <x:c r="G1286" s="17" t="n">
        <x:v>0</x:v>
      </x:c>
      <x:c r="H1286" s="14" t="str">
        <x:v>S04-06:A:apply_relation</x:v>
      </x:c>
    </x:row>
    <x:row r="1287" ht="72" customHeight="1">
      <x:c r="A1287" s="14" t="str">
        <x:v>S04-06:A:display_withdraw_ack</x:v>
      </x:c>
      <x:c r="B1287" s="14" t="str">
        <x:v>A</x:v>
      </x:c>
      <x:c r="C1287" s="14" t="str">
        <x:v>display_withdraw_ack</x:v>
      </x:c>
      <x:c r="D1287" s="14" t="n">
        <x:v>0.86</x:v>
      </x:c>
      <x:c r="E1287" s="14" t="n">
        <x:v>0.9</x:v>
      </x:c>
      <x:c r="F1287" s="14" t="n">
        <x:v>0.04</x:v>
      </x:c>
      <x:c r="G1287" s="17" t="n">
        <x:v>1</x:v>
      </x:c>
      <x:c r="H1287" s="14" t="str">
        <x:v>S04-06:A:source_withdraw_ack</x:v>
      </x:c>
    </x:row>
    <x:row r="1288" ht="72" customHeight="1">
      <x:c r="A1288" s="14" t="str">
        <x:v>S04-06:A:withdraw_ack_first</x:v>
      </x:c>
      <x:c r="B1288" s="14" t="str">
        <x:v>A</x:v>
      </x:c>
      <x:c r="C1288" s="14" t="str">
        <x:v>withdraw_ack_first</x:v>
      </x:c>
      <x:c r="D1288" s="14" t="n">
        <x:v>0.86</x:v>
      </x:c>
      <x:c r="E1288" s="14" t="n">
        <x:v>1.267333333</x:v>
      </x:c>
      <x:c r="F1288" s="14" t="n">
        <x:v>0.407333333</x:v>
      </x:c>
      <x:c r="G1288" s="17" t="n">
        <x:v>1</x:v>
      </x:c>
      <x:c r="H1288" s="14" t="str">
        <x:v>S04-06:A:source_withdraw_ack</x:v>
      </x:c>
    </x:row>
    <x:row r="1289" ht="72" customHeight="1">
      <x:c r="A1289" s="14" t="str">
        <x:v>S04-06:A:withdraw_ack_tail</x:v>
      </x:c>
      <x:c r="B1289" s="14" t="str">
        <x:v>A</x:v>
      </x:c>
      <x:c r="C1289" s="14" t="str">
        <x:v>withdraw_ack_tail</x:v>
      </x:c>
      <x:c r="D1289" s="14" t="n">
        <x:v>1.267333333</x:v>
      </x:c>
      <x:c r="E1289" s="14" t="n">
        <x:v>2.118833333</x:v>
      </x:c>
      <x:c r="F1289" s="14" t="n">
        <x:v>0.8515</x:v>
      </x:c>
      <x:c r="G1289" s="17" t="n">
        <x:v>1</x:v>
      </x:c>
      <x:c r="H1289" s="14" t="str">
        <x:v>S04-06:A:withdraw_ack_first</x:v>
      </x:c>
    </x:row>
    <x:row r="1290" ht="72" customHeight="1">
      <x:c r="A1290" s="14" t="str">
        <x:v>S04-06:A:withdraw_ack_device</x:v>
      </x:c>
      <x:c r="B1290" s="14" t="str">
        <x:v>A</x:v>
      </x:c>
      <x:c r="C1290" s="14" t="str">
        <x:v>withdraw_ack_device</x:v>
      </x:c>
      <x:c r="D1290" s="14" t="n">
        <x:v>1.267333333</x:v>
      </x:c>
      <x:c r="E1290" s="14" t="n">
        <x:v>1.307333333</x:v>
      </x:c>
      <x:c r="F1290" s="14" t="n">
        <x:v>0.04</x:v>
      </x:c>
      <x:c r="G1290" s="17" t="n">
        <x:v>1</x:v>
      </x:c>
      <x:c r="H1290" s="14" t="str">
        <x:v>S04-06:A:apply_relation
S04-06:A:withdraw_ack_first</x:v>
      </x:c>
    </x:row>
    <x:row r="1291" ht="72" customHeight="1">
      <x:c r="A1291" s="14" t="str">
        <x:v>S04-06:A:withdraw_ack_played</x:v>
      </x:c>
      <x:c r="B1291" s="14" t="str">
        <x:v>A</x:v>
      </x:c>
      <x:c r="C1291" s="14" t="str">
        <x:v>withdraw_ack_played</x:v>
      </x:c>
      <x:c r="D1291" s="14" t="n">
        <x:v>1.307333333</x:v>
      </x:c>
      <x:c r="E1291" s="14" t="n">
        <x:v>4.913333333</x:v>
      </x:c>
      <x:c r="F1291" s="14" t="n">
        <x:v>3.606</x:v>
      </x:c>
      <x:c r="G1291" s="17" t="n">
        <x:v>0</x:v>
      </x:c>
      <x:c r="H1291" s="14" t="str">
        <x:v>S04-06:A:withdraw_ack_device</x:v>
      </x:c>
    </x:row>
    <x:row r="1292" ht="72" customHeight="1">
      <x:c r="A1292" s="14" t="str">
        <x:v>S04-06:B:origin</x:v>
      </x:c>
      <x:c r="B1292" s="14" t="str">
        <x:v>B</x:v>
      </x:c>
      <x:c r="C1292" s="14" t="str">
        <x:v>origin</x:v>
      </x:c>
      <x:c r="D1292" s="14" t="n">
        <x:v>-6</x:v>
      </x:c>
      <x:c r="E1292" s="14" t="n">
        <x:v>-6</x:v>
      </x:c>
      <x:c r="F1292" s="14" t="n">
        <x:v>0</x:v>
      </x:c>
      <x:c r="G1292" s="17" t="n">
        <x:v>0</x:v>
      </x:c>
      <x:c r="H1292" s="14" t="str"/>
    </x:row>
    <x:row r="1293" ht="72" customHeight="1">
      <x:c r="A1293" s="14" t="str">
        <x:v>S04-06:B:origin_interpretation</x:v>
      </x:c>
      <x:c r="B1293" s="14" t="str">
        <x:v>B</x:v>
      </x:c>
      <x:c r="C1293" s="14" t="str">
        <x:v>origin_interpretation</x:v>
      </x:c>
      <x:c r="D1293" s="14" t="n">
        <x:v>-6</x:v>
      </x:c>
      <x:c r="E1293" s="14" t="n">
        <x:v>-5.16</x:v>
      </x:c>
      <x:c r="F1293" s="14" t="n">
        <x:v>0.84</x:v>
      </x:c>
      <x:c r="G1293" s="17" t="n">
        <x:v>1</x:v>
      </x:c>
      <x:c r="H1293" s="14" t="str">
        <x:v>S04-06:B:origin</x:v>
      </x:c>
    </x:row>
    <x:row r="1294" ht="72" customHeight="1">
      <x:c r="A1294" s="14" t="str">
        <x:v>S04-06:B:original_handoff</x:v>
      </x:c>
      <x:c r="B1294" s="14" t="str">
        <x:v>B</x:v>
      </x:c>
      <x:c r="C1294" s="14" t="str">
        <x:v>original_handoff</x:v>
      </x:c>
      <x:c r="D1294" s="14" t="n">
        <x:v>-5.16</x:v>
      </x:c>
      <x:c r="E1294" s="14" t="n">
        <x:v>-5.04</x:v>
      </x:c>
      <x:c r="F1294" s="14" t="n">
        <x:v>0.12</x:v>
      </x:c>
      <x:c r="G1294" s="17" t="n">
        <x:v>1</x:v>
      </x:c>
      <x:c r="H1294" s="14" t="str">
        <x:v>S04-06:B:origin_interpretation</x:v>
      </x:c>
    </x:row>
    <x:row r="1295" ht="72" customHeight="1">
      <x:c r="A1295" s="14" t="str">
        <x:v>S04-06:B:evaluation_utterance_end</x:v>
      </x:c>
      <x:c r="B1295" s="14" t="str">
        <x:v>B</x:v>
      </x:c>
      <x:c r="C1295" s="14" t="str">
        <x:v>evaluation_utterance_end</x:v>
      </x:c>
      <x:c r="D1295" s="14" t="n">
        <x:v>-6</x:v>
      </x:c>
      <x:c r="E1295" s="14" t="n">
        <x:v>0</x:v>
      </x:c>
      <x:c r="F1295" s="14" t="n">
        <x:v>6</x:v>
      </x:c>
      <x:c r="G1295" s="17" t="n">
        <x:v>0</x:v>
      </x:c>
      <x:c r="H1295" s="14" t="str">
        <x:v>S04-06:B:origin</x:v>
      </x:c>
    </x:row>
    <x:row r="1296" ht="72" customHeight="1">
      <x:c r="A1296" s="14" t="str">
        <x:v>S04-06:B:final_transcript</x:v>
      </x:c>
      <x:c r="B1296" s="14" t="str">
        <x:v>B</x:v>
      </x:c>
      <x:c r="C1296" s="14" t="str">
        <x:v>final_transcript</x:v>
      </x:c>
      <x:c r="D1296" s="14" t="n">
        <x:v>0</x:v>
      </x:c>
      <x:c r="E1296" s="14" t="n">
        <x:v>0.3</x:v>
      </x:c>
      <x:c r="F1296" s="14" t="n">
        <x:v>0.3</x:v>
      </x:c>
      <x:c r="G1296" s="17" t="n">
        <x:v>1</x:v>
      </x:c>
      <x:c r="H1296" s="14" t="str">
        <x:v>S04-06:B:evaluation_utterance_end</x:v>
      </x:c>
    </x:row>
    <x:row r="1297" ht="72" customHeight="1">
      <x:c r="A1297" s="14" t="str">
        <x:v>S04-06:B:meaning_adoption</x:v>
      </x:c>
      <x:c r="B1297" s="14" t="str">
        <x:v>B</x:v>
      </x:c>
      <x:c r="C1297" s="14" t="str">
        <x:v>meaning_adoption</x:v>
      </x:c>
      <x:c r="D1297" s="14" t="n">
        <x:v>0.3</x:v>
      </x:c>
      <x:c r="E1297" s="14" t="n">
        <x:v>0.82</x:v>
      </x:c>
      <x:c r="F1297" s="14" t="n">
        <x:v>0.52</x:v>
      </x:c>
      <x:c r="G1297" s="17" t="n">
        <x:v>1</x:v>
      </x:c>
      <x:c r="H1297" s="14" t="str">
        <x:v>S04-06:B:final_transcript
S04-06:B:origin_interpretation</x:v>
      </x:c>
    </x:row>
    <x:row r="1298" ht="72" customHeight="1">
      <x:c r="A1298" s="14" t="str">
        <x:v>S04-06:B:apply_relation</x:v>
      </x:c>
      <x:c r="B1298" s="14" t="str">
        <x:v>B</x:v>
      </x:c>
      <x:c r="C1298" s="14" t="str">
        <x:v>apply_relation</x:v>
      </x:c>
      <x:c r="D1298" s="14" t="n">
        <x:v>0.82</x:v>
      </x:c>
      <x:c r="E1298" s="14" t="n">
        <x:v>0.86</x:v>
      </x:c>
      <x:c r="F1298" s="14" t="n">
        <x:v>0.04</x:v>
      </x:c>
      <x:c r="G1298" s="17" t="n">
        <x:v>1</x:v>
      </x:c>
      <x:c r="H1298" s="14" t="str">
        <x:v>S04-06:B:meaning_adoption</x:v>
      </x:c>
    </x:row>
    <x:row r="1299" ht="72" customHeight="1">
      <x:c r="A1299" s="14" t="str">
        <x:v>S04-06:B:evaluation_first_display</x:v>
      </x:c>
      <x:c r="B1299" s="14" t="str">
        <x:v>B</x:v>
      </x:c>
      <x:c r="C1299" s="14" t="str">
        <x:v>evaluation_first_display</x:v>
      </x:c>
      <x:c r="D1299" s="14" t="n">
        <x:v>0.86</x:v>
      </x:c>
      <x:c r="E1299" s="14" t="n">
        <x:v>0.9</x:v>
      </x:c>
      <x:c r="F1299" s="14" t="n">
        <x:v>0.04</x:v>
      </x:c>
      <x:c r="G1299" s="17" t="n">
        <x:v>1</x:v>
      </x:c>
      <x:c r="H1299" s="14" t="str">
        <x:v>S04-06:B:apply_relation</x:v>
      </x:c>
    </x:row>
    <x:row r="1300" ht="72" customHeight="1">
      <x:c r="A1300" s="14" t="str">
        <x:v>S04-06:B:source_report_v1</x:v>
      </x:c>
      <x:c r="B1300" s="14" t="str">
        <x:v>B</x:v>
      </x:c>
      <x:c r="C1300" s="14" t="str">
        <x:v>source_report_v1</x:v>
      </x:c>
      <x:c r="D1300" s="14" t="n">
        <x:v>-5.04</x:v>
      </x:c>
      <x:c r="E1300" s="14" t="n">
        <x:v>-1</x:v>
      </x:c>
      <x:c r="F1300" s="14" t="n">
        <x:v>4.04</x:v>
      </x:c>
      <x:c r="G1300" s="17" t="n">
        <x:v>0</x:v>
      </x:c>
      <x:c r="H1300" s="14" t="str">
        <x:v>S04-06:B:original_handoff</x:v>
      </x:c>
    </x:row>
    <x:row r="1301" ht="72" customHeight="1">
      <x:c r="A1301" s="14" t="str">
        <x:v>S04-06:B:display_report_v1</x:v>
      </x:c>
      <x:c r="B1301" s="14" t="str">
        <x:v>B</x:v>
      </x:c>
      <x:c r="C1301" s="14" t="str">
        <x:v>display_report_v1</x:v>
      </x:c>
      <x:c r="D1301" s="14" t="n">
        <x:v>-1</x:v>
      </x:c>
      <x:c r="E1301" s="14" t="n">
        <x:v>-0.96</x:v>
      </x:c>
      <x:c r="F1301" s="14" t="n">
        <x:v>0.04</x:v>
      </x:c>
      <x:c r="G1301" s="17" t="n">
        <x:v>1</x:v>
      </x:c>
      <x:c r="H1301" s="14" t="str">
        <x:v>S04-06:B:source_report_v1</x:v>
      </x:c>
    </x:row>
    <x:row r="1302" ht="72" customHeight="1">
      <x:c r="A1302" s="14" t="str">
        <x:v>S04-06:B:source_withdraw_ack</x:v>
      </x:c>
      <x:c r="B1302" s="14" t="str">
        <x:v>B</x:v>
      </x:c>
      <x:c r="C1302" s="14" t="str">
        <x:v>source_withdraw_ack</x:v>
      </x:c>
      <x:c r="D1302" s="14" t="n">
        <x:v>0.86</x:v>
      </x:c>
      <x:c r="E1302" s="14" t="n">
        <x:v>0.86</x:v>
      </x:c>
      <x:c r="F1302" s="14" t="n">
        <x:v>0</x:v>
      </x:c>
      <x:c r="G1302" s="17" t="n">
        <x:v>0</x:v>
      </x:c>
      <x:c r="H1302" s="14" t="str">
        <x:v>S04-06:B:apply_relation</x:v>
      </x:c>
    </x:row>
    <x:row r="1303" ht="72" customHeight="1">
      <x:c r="A1303" s="14" t="str">
        <x:v>S04-06:B:display_withdraw_ack</x:v>
      </x:c>
      <x:c r="B1303" s="14" t="str">
        <x:v>B</x:v>
      </x:c>
      <x:c r="C1303" s="14" t="str">
        <x:v>display_withdraw_ack</x:v>
      </x:c>
      <x:c r="D1303" s="14" t="n">
        <x:v>0.86</x:v>
      </x:c>
      <x:c r="E1303" s="14" t="n">
        <x:v>0.9</x:v>
      </x:c>
      <x:c r="F1303" s="14" t="n">
        <x:v>0.04</x:v>
      </x:c>
      <x:c r="G1303" s="17" t="n">
        <x:v>1</x:v>
      </x:c>
      <x:c r="H1303" s="14" t="str">
        <x:v>S04-06:B:source_withdraw_ack</x:v>
      </x:c>
    </x:row>
    <x:row r="1304" ht="72" customHeight="1">
      <x:c r="A1304" s="14" t="str">
        <x:v>S04-06:B:withdraw_ack_first</x:v>
      </x:c>
      <x:c r="B1304" s="14" t="str">
        <x:v>B</x:v>
      </x:c>
      <x:c r="C1304" s="14" t="str">
        <x:v>withdraw_ack_first</x:v>
      </x:c>
      <x:c r="D1304" s="14" t="n">
        <x:v>0.86</x:v>
      </x:c>
      <x:c r="E1304" s="14" t="n">
        <x:v>1.267333333</x:v>
      </x:c>
      <x:c r="F1304" s="14" t="n">
        <x:v>0.407333333</x:v>
      </x:c>
      <x:c r="G1304" s="17" t="n">
        <x:v>1</x:v>
      </x:c>
      <x:c r="H1304" s="14" t="str">
        <x:v>S04-06:B:apply_relation</x:v>
      </x:c>
    </x:row>
    <x:row r="1305" ht="72" customHeight="1">
      <x:c r="A1305" s="14" t="str">
        <x:v>S04-06:B:withdraw_ack_tail</x:v>
      </x:c>
      <x:c r="B1305" s="14" t="str">
        <x:v>B</x:v>
      </x:c>
      <x:c r="C1305" s="14" t="str">
        <x:v>withdraw_ack_tail</x:v>
      </x:c>
      <x:c r="D1305" s="14" t="n">
        <x:v>1.267333333</x:v>
      </x:c>
      <x:c r="E1305" s="14" t="n">
        <x:v>2.118833333</x:v>
      </x:c>
      <x:c r="F1305" s="14" t="n">
        <x:v>0.8515</x:v>
      </x:c>
      <x:c r="G1305" s="17" t="n">
        <x:v>1</x:v>
      </x:c>
      <x:c r="H1305" s="14" t="str">
        <x:v>S04-06:B:withdraw_ack_first</x:v>
      </x:c>
    </x:row>
    <x:row r="1306" ht="72" customHeight="1">
      <x:c r="A1306" s="14" t="str">
        <x:v>S04-06:B:withdraw_ack_device</x:v>
      </x:c>
      <x:c r="B1306" s="14" t="str">
        <x:v>B</x:v>
      </x:c>
      <x:c r="C1306" s="14" t="str">
        <x:v>withdraw_ack_device</x:v>
      </x:c>
      <x:c r="D1306" s="14" t="n">
        <x:v>1.267333333</x:v>
      </x:c>
      <x:c r="E1306" s="14" t="n">
        <x:v>1.307333333</x:v>
      </x:c>
      <x:c r="F1306" s="14" t="n">
        <x:v>0.04</x:v>
      </x:c>
      <x:c r="G1306" s="17" t="n">
        <x:v>1</x:v>
      </x:c>
      <x:c r="H1306" s="14" t="str">
        <x:v>S04-06:B:apply_relation
S04-06:B:withdraw_ack_first</x:v>
      </x:c>
    </x:row>
    <x:row r="1307" ht="72" customHeight="1">
      <x:c r="A1307" s="14" t="str">
        <x:v>S04-06:B:withdraw_ack_played</x:v>
      </x:c>
      <x:c r="B1307" s="14" t="str">
        <x:v>B</x:v>
      </x:c>
      <x:c r="C1307" s="14" t="str">
        <x:v>withdraw_ack_played</x:v>
      </x:c>
      <x:c r="D1307" s="14" t="n">
        <x:v>1.307333333</x:v>
      </x:c>
      <x:c r="E1307" s="14" t="n">
        <x:v>4.913333333</x:v>
      </x:c>
      <x:c r="F1307" s="14" t="n">
        <x:v>3.606</x:v>
      </x:c>
      <x:c r="G1307" s="17" t="n">
        <x:v>0</x:v>
      </x:c>
      <x:c r="H1307" s="14" t="str">
        <x:v>S04-06:B:withdraw_ack_device</x:v>
      </x:c>
    </x:row>
    <x:row r="1308" ht="72" customHeight="1">
      <x:c r="A1308" s="14" t="str">
        <x:v>S04-07:A:origin</x:v>
      </x:c>
      <x:c r="B1308" s="14" t="str">
        <x:v>A</x:v>
      </x:c>
      <x:c r="C1308" s="14" t="str">
        <x:v>origin</x:v>
      </x:c>
      <x:c r="D1308" s="14" t="n">
        <x:v>-6</x:v>
      </x:c>
      <x:c r="E1308" s="14" t="n">
        <x:v>-6</x:v>
      </x:c>
      <x:c r="F1308" s="14" t="n">
        <x:v>0</x:v>
      </x:c>
      <x:c r="G1308" s="17" t="n">
        <x:v>0</x:v>
      </x:c>
      <x:c r="H1308" s="14" t="str"/>
    </x:row>
    <x:row r="1309" ht="72" customHeight="1">
      <x:c r="A1309" s="14" t="str">
        <x:v>S04-07:A:origin_interpretation</x:v>
      </x:c>
      <x:c r="B1309" s="14" t="str">
        <x:v>A</x:v>
      </x:c>
      <x:c r="C1309" s="14" t="str">
        <x:v>origin_interpretation</x:v>
      </x:c>
      <x:c r="D1309" s="14" t="n">
        <x:v>-6</x:v>
      </x:c>
      <x:c r="E1309" s="14" t="n">
        <x:v>-5.16</x:v>
      </x:c>
      <x:c r="F1309" s="14" t="n">
        <x:v>0.84</x:v>
      </x:c>
      <x:c r="G1309" s="17" t="n">
        <x:v>1</x:v>
      </x:c>
      <x:c r="H1309" s="14" t="str">
        <x:v>S04-07:A:origin</x:v>
      </x:c>
    </x:row>
    <x:row r="1310" ht="72" customHeight="1">
      <x:c r="A1310" s="14" t="str">
        <x:v>S04-07:A:original_handoff</x:v>
      </x:c>
      <x:c r="B1310" s="14" t="str">
        <x:v>A</x:v>
      </x:c>
      <x:c r="C1310" s="14" t="str">
        <x:v>original_handoff</x:v>
      </x:c>
      <x:c r="D1310" s="14" t="n">
        <x:v>-5.16</x:v>
      </x:c>
      <x:c r="E1310" s="14" t="n">
        <x:v>-5.04</x:v>
      </x:c>
      <x:c r="F1310" s="14" t="n">
        <x:v>0.12</x:v>
      </x:c>
      <x:c r="G1310" s="17" t="n">
        <x:v>1</x:v>
      </x:c>
      <x:c r="H1310" s="14" t="str">
        <x:v>S04-07:A:origin_interpretation</x:v>
      </x:c>
    </x:row>
    <x:row r="1311" ht="72" customHeight="1">
      <x:c r="A1311" s="14" t="str">
        <x:v>S04-07:A:evaluation_utterance_end</x:v>
      </x:c>
      <x:c r="B1311" s="14" t="str">
        <x:v>A</x:v>
      </x:c>
      <x:c r="C1311" s="14" t="str">
        <x:v>evaluation_utterance_end</x:v>
      </x:c>
      <x:c r="D1311" s="14" t="n">
        <x:v>-6</x:v>
      </x:c>
      <x:c r="E1311" s="14" t="n">
        <x:v>0</x:v>
      </x:c>
      <x:c r="F1311" s="14" t="n">
        <x:v>6</x:v>
      </x:c>
      <x:c r="G1311" s="17" t="n">
        <x:v>0</x:v>
      </x:c>
      <x:c r="H1311" s="14" t="str">
        <x:v>S04-07:A:origin</x:v>
      </x:c>
    </x:row>
    <x:row r="1312" ht="72" customHeight="1">
      <x:c r="A1312" s="14" t="str">
        <x:v>S04-07:A:final_transcript</x:v>
      </x:c>
      <x:c r="B1312" s="14" t="str">
        <x:v>A</x:v>
      </x:c>
      <x:c r="C1312" s="14" t="str">
        <x:v>final_transcript</x:v>
      </x:c>
      <x:c r="D1312" s="14" t="n">
        <x:v>0</x:v>
      </x:c>
      <x:c r="E1312" s="14" t="n">
        <x:v>0.3</x:v>
      </x:c>
      <x:c r="F1312" s="14" t="n">
        <x:v>0.3</x:v>
      </x:c>
      <x:c r="G1312" s="17" t="n">
        <x:v>1</x:v>
      </x:c>
      <x:c r="H1312" s="14" t="str">
        <x:v>S04-07:A:evaluation_utterance_end</x:v>
      </x:c>
    </x:row>
    <x:row r="1313" ht="72" customHeight="1">
      <x:c r="A1313" s="14" t="str">
        <x:v>S04-07:A:meaning_adoption</x:v>
      </x:c>
      <x:c r="B1313" s="14" t="str">
        <x:v>A</x:v>
      </x:c>
      <x:c r="C1313" s="14" t="str">
        <x:v>meaning_adoption</x:v>
      </x:c>
      <x:c r="D1313" s="14" t="n">
        <x:v>0.3</x:v>
      </x:c>
      <x:c r="E1313" s="14" t="n">
        <x:v>0.848333333</x:v>
      </x:c>
      <x:c r="F1313" s="14" t="n">
        <x:v>0.548333333</x:v>
      </x:c>
      <x:c r="G1313" s="17" t="n">
        <x:v>1</x:v>
      </x:c>
      <x:c r="H1313" s="14" t="str">
        <x:v>S04-07:A:final_transcript
S04-07:A:origin_interpretation</x:v>
      </x:c>
    </x:row>
    <x:row r="1314" ht="72" customHeight="1">
      <x:c r="A1314" s="14" t="str">
        <x:v>S04-07:A:apply_relation</x:v>
      </x:c>
      <x:c r="B1314" s="14" t="str">
        <x:v>A</x:v>
      </x:c>
      <x:c r="C1314" s="14" t="str">
        <x:v>apply_relation</x:v>
      </x:c>
      <x:c r="D1314" s="14" t="n">
        <x:v>0.848333333</x:v>
      </x:c>
      <x:c r="E1314" s="14" t="n">
        <x:v>0.888333333</x:v>
      </x:c>
      <x:c r="F1314" s="14" t="n">
        <x:v>0.04</x:v>
      </x:c>
      <x:c r="G1314" s="17" t="n">
        <x:v>1</x:v>
      </x:c>
      <x:c r="H1314" s="14" t="str">
        <x:v>S04-07:A:meaning_adoption</x:v>
      </x:c>
    </x:row>
    <x:row r="1315" ht="72" customHeight="1">
      <x:c r="A1315" s="14" t="str">
        <x:v>S04-07:A:evaluation_first_display</x:v>
      </x:c>
      <x:c r="B1315" s="14" t="str">
        <x:v>A</x:v>
      </x:c>
      <x:c r="C1315" s="14" t="str">
        <x:v>evaluation_first_display</x:v>
      </x:c>
      <x:c r="D1315" s="14" t="n">
        <x:v>0.888333333</x:v>
      </x:c>
      <x:c r="E1315" s="14" t="n">
        <x:v>0.928333333</x:v>
      </x:c>
      <x:c r="F1315" s="14" t="n">
        <x:v>0.04</x:v>
      </x:c>
      <x:c r="G1315" s="17" t="n">
        <x:v>1</x:v>
      </x:c>
      <x:c r="H1315" s="14" t="str">
        <x:v>S04-07:A:apply_relation</x:v>
      </x:c>
    </x:row>
    <x:row r="1316" ht="72" customHeight="1">
      <x:c r="A1316" s="14" t="str">
        <x:v>S04-07:A:source_report_v1</x:v>
      </x:c>
      <x:c r="B1316" s="14" t="str">
        <x:v>A</x:v>
      </x:c>
      <x:c r="C1316" s="14" t="str">
        <x:v>source_report_v1</x:v>
      </x:c>
      <x:c r="D1316" s="14" t="n">
        <x:v>-5.04</x:v>
      </x:c>
      <x:c r="E1316" s="14" t="n">
        <x:v>-1</x:v>
      </x:c>
      <x:c r="F1316" s="14" t="n">
        <x:v>4.04</x:v>
      </x:c>
      <x:c r="G1316" s="17" t="n">
        <x:v>0</x:v>
      </x:c>
      <x:c r="H1316" s="14" t="str">
        <x:v>S04-07:A:original_handoff</x:v>
      </x:c>
    </x:row>
    <x:row r="1317" ht="72" customHeight="1">
      <x:c r="A1317" s="14" t="str">
        <x:v>S04-07:A:display_report_v1</x:v>
      </x:c>
      <x:c r="B1317" s="14" t="str">
        <x:v>A</x:v>
      </x:c>
      <x:c r="C1317" s="14" t="str">
        <x:v>display_report_v1</x:v>
      </x:c>
      <x:c r="D1317" s="14" t="n">
        <x:v>-1</x:v>
      </x:c>
      <x:c r="E1317" s="14" t="n">
        <x:v>-0.96</x:v>
      </x:c>
      <x:c r="F1317" s="14" t="n">
        <x:v>0.04</x:v>
      </x:c>
      <x:c r="G1317" s="17" t="n">
        <x:v>1</x:v>
      </x:c>
      <x:c r="H1317" s="14" t="str">
        <x:v>S04-07:A:source_report_v1</x:v>
      </x:c>
    </x:row>
    <x:row r="1318" ht="72" customHeight="1">
      <x:c r="A1318" s="14" t="str">
        <x:v>S04-07:A:report_v1_first</x:v>
      </x:c>
      <x:c r="B1318" s="14" t="str">
        <x:v>A</x:v>
      </x:c>
      <x:c r="C1318" s="14" t="str">
        <x:v>report_v1_first</x:v>
      </x:c>
      <x:c r="D1318" s="14" t="n">
        <x:v>-1</x:v>
      </x:c>
      <x:c r="E1318" s="14" t="n">
        <x:v>-0.59</x:v>
      </x:c>
      <x:c r="F1318" s="14" t="n">
        <x:v>0.41</x:v>
      </x:c>
      <x:c r="G1318" s="17" t="n">
        <x:v>1</x:v>
      </x:c>
      <x:c r="H1318" s="14" t="str">
        <x:v>S04-07:A:source_report_v1</x:v>
      </x:c>
    </x:row>
    <x:row r="1319" ht="72" customHeight="1">
      <x:c r="A1319" s="14" t="str">
        <x:v>S04-07:A:report_v1_tail</x:v>
      </x:c>
      <x:c r="B1319" s="14" t="str">
        <x:v>A</x:v>
      </x:c>
      <x:c r="C1319" s="14" t="str">
        <x:v>report_v1_tail</x:v>
      </x:c>
      <x:c r="D1319" s="14" t="n">
        <x:v>-0.59</x:v>
      </x:c>
      <x:c r="E1319" s="14" t="n">
        <x:v>0.988333333</x:v>
      </x:c>
      <x:c r="F1319" s="14" t="n">
        <x:v>1.578333333</x:v>
      </x:c>
      <x:c r="G1319" s="17" t="n">
        <x:v>1</x:v>
      </x:c>
      <x:c r="H1319" s="14" t="str">
        <x:v>S04-07:A:report_v1_first</x:v>
      </x:c>
    </x:row>
    <x:row r="1320" ht="72" customHeight="1">
      <x:c r="A1320" s="14" t="str">
        <x:v>S04-07:A:source_withdraw_ack</x:v>
      </x:c>
      <x:c r="B1320" s="14" t="str">
        <x:v>A</x:v>
      </x:c>
      <x:c r="C1320" s="14" t="str">
        <x:v>source_withdraw_ack</x:v>
      </x:c>
      <x:c r="D1320" s="14" t="n">
        <x:v>0.888333333</x:v>
      </x:c>
      <x:c r="E1320" s="14" t="n">
        <x:v>0.888333333</x:v>
      </x:c>
      <x:c r="F1320" s="14" t="n">
        <x:v>0</x:v>
      </x:c>
      <x:c r="G1320" s="17" t="n">
        <x:v>0</x:v>
      </x:c>
      <x:c r="H1320" s="14" t="str">
        <x:v>S04-07:A:apply_relation</x:v>
      </x:c>
    </x:row>
    <x:row r="1321" ht="72" customHeight="1">
      <x:c r="A1321" s="14" t="str">
        <x:v>S04-07:A:display_withdraw_ack</x:v>
      </x:c>
      <x:c r="B1321" s="14" t="str">
        <x:v>A</x:v>
      </x:c>
      <x:c r="C1321" s="14" t="str">
        <x:v>display_withdraw_ack</x:v>
      </x:c>
      <x:c r="D1321" s="14" t="n">
        <x:v>0.888333333</x:v>
      </x:c>
      <x:c r="E1321" s="14" t="n">
        <x:v>0.928333333</x:v>
      </x:c>
      <x:c r="F1321" s="14" t="n">
        <x:v>0.04</x:v>
      </x:c>
      <x:c r="G1321" s="17" t="n">
        <x:v>1</x:v>
      </x:c>
      <x:c r="H1321" s="14" t="str">
        <x:v>S04-07:A:source_withdraw_ack</x:v>
      </x:c>
    </x:row>
    <x:row r="1322" ht="72" customHeight="1">
      <x:c r="A1322" s="14" t="str">
        <x:v>S04-07:A:withdraw_ack_first</x:v>
      </x:c>
      <x:c r="B1322" s="14" t="str">
        <x:v>A</x:v>
      </x:c>
      <x:c r="C1322" s="14" t="str">
        <x:v>withdraw_ack_first</x:v>
      </x:c>
      <x:c r="D1322" s="14" t="n">
        <x:v>0.888333333</x:v>
      </x:c>
      <x:c r="E1322" s="14" t="n">
        <x:v>1.295666666</x:v>
      </x:c>
      <x:c r="F1322" s="14" t="n">
        <x:v>0.407333333</x:v>
      </x:c>
      <x:c r="G1322" s="17" t="n">
        <x:v>1</x:v>
      </x:c>
      <x:c r="H1322" s="14" t="str">
        <x:v>S04-07:A:source_withdraw_ack</x:v>
      </x:c>
    </x:row>
    <x:row r="1323" ht="72" customHeight="1">
      <x:c r="A1323" s="14" t="str">
        <x:v>S04-07:A:withdraw_ack_tail</x:v>
      </x:c>
      <x:c r="B1323" s="14" t="str">
        <x:v>A</x:v>
      </x:c>
      <x:c r="C1323" s="14" t="str">
        <x:v>withdraw_ack_tail</x:v>
      </x:c>
      <x:c r="D1323" s="14" t="n">
        <x:v>1.295666666</x:v>
      </x:c>
      <x:c r="E1323" s="14" t="n">
        <x:v>2.150166666</x:v>
      </x:c>
      <x:c r="F1323" s="14" t="n">
        <x:v>0.8545</x:v>
      </x:c>
      <x:c r="G1323" s="17" t="n">
        <x:v>1</x:v>
      </x:c>
      <x:c r="H1323" s="14" t="str">
        <x:v>S04-07:A:withdraw_ack_first</x:v>
      </x:c>
    </x:row>
    <x:row r="1324" ht="72" customHeight="1">
      <x:c r="A1324" s="14" t="str">
        <x:v>S04-07:A:withdraw_ack_device</x:v>
      </x:c>
      <x:c r="B1324" s="14" t="str">
        <x:v>A</x:v>
      </x:c>
      <x:c r="C1324" s="14" t="str">
        <x:v>withdraw_ack_device</x:v>
      </x:c>
      <x:c r="D1324" s="14" t="n">
        <x:v>1.295666666</x:v>
      </x:c>
      <x:c r="E1324" s="14" t="n">
        <x:v>1.335666666</x:v>
      </x:c>
      <x:c r="F1324" s="14" t="n">
        <x:v>0.04</x:v>
      </x:c>
      <x:c r="G1324" s="17" t="n">
        <x:v>1</x:v>
      </x:c>
      <x:c r="H1324" s="14" t="str">
        <x:v>S04-07:A:apply_relation
S04-07:A:withdraw_ack_first</x:v>
      </x:c>
    </x:row>
    <x:row r="1325" ht="72" customHeight="1">
      <x:c r="A1325" s="14" t="str">
        <x:v>S04-07:A:withdraw_ack_played</x:v>
      </x:c>
      <x:c r="B1325" s="14" t="str">
        <x:v>A</x:v>
      </x:c>
      <x:c r="C1325" s="14" t="str">
        <x:v>withdraw_ack_played</x:v>
      </x:c>
      <x:c r="D1325" s="14" t="n">
        <x:v>1.335666666</x:v>
      </x:c>
      <x:c r="E1325" s="14" t="n">
        <x:v>4.953666666</x:v>
      </x:c>
      <x:c r="F1325" s="14" t="n">
        <x:v>3.618</x:v>
      </x:c>
      <x:c r="G1325" s="17" t="n">
        <x:v>0</x:v>
      </x:c>
      <x:c r="H1325" s="14" t="str">
        <x:v>S04-07:A:withdraw_ack_device</x:v>
      </x:c>
    </x:row>
    <x:row r="1326" ht="72" customHeight="1">
      <x:c r="A1326" s="14" t="str">
        <x:v>S04-07:B:origin</x:v>
      </x:c>
      <x:c r="B1326" s="14" t="str">
        <x:v>B</x:v>
      </x:c>
      <x:c r="C1326" s="14" t="str">
        <x:v>origin</x:v>
      </x:c>
      <x:c r="D1326" s="14" t="n">
        <x:v>-6</x:v>
      </x:c>
      <x:c r="E1326" s="14" t="n">
        <x:v>-6</x:v>
      </x:c>
      <x:c r="F1326" s="14" t="n">
        <x:v>0</x:v>
      </x:c>
      <x:c r="G1326" s="17" t="n">
        <x:v>0</x:v>
      </x:c>
      <x:c r="H1326" s="14" t="str"/>
    </x:row>
    <x:row r="1327" ht="72" customHeight="1">
      <x:c r="A1327" s="14" t="str">
        <x:v>S04-07:B:origin_interpretation</x:v>
      </x:c>
      <x:c r="B1327" s="14" t="str">
        <x:v>B</x:v>
      </x:c>
      <x:c r="C1327" s="14" t="str">
        <x:v>origin_interpretation</x:v>
      </x:c>
      <x:c r="D1327" s="14" t="n">
        <x:v>-6</x:v>
      </x:c>
      <x:c r="E1327" s="14" t="n">
        <x:v>-5.16</x:v>
      </x:c>
      <x:c r="F1327" s="14" t="n">
        <x:v>0.84</x:v>
      </x:c>
      <x:c r="G1327" s="17" t="n">
        <x:v>1</x:v>
      </x:c>
      <x:c r="H1327" s="14" t="str">
        <x:v>S04-07:B:origin</x:v>
      </x:c>
    </x:row>
    <x:row r="1328" ht="72" customHeight="1">
      <x:c r="A1328" s="14" t="str">
        <x:v>S04-07:B:original_handoff</x:v>
      </x:c>
      <x:c r="B1328" s="14" t="str">
        <x:v>B</x:v>
      </x:c>
      <x:c r="C1328" s="14" t="str">
        <x:v>original_handoff</x:v>
      </x:c>
      <x:c r="D1328" s="14" t="n">
        <x:v>-5.16</x:v>
      </x:c>
      <x:c r="E1328" s="14" t="n">
        <x:v>-5.04</x:v>
      </x:c>
      <x:c r="F1328" s="14" t="n">
        <x:v>0.12</x:v>
      </x:c>
      <x:c r="G1328" s="17" t="n">
        <x:v>1</x:v>
      </x:c>
      <x:c r="H1328" s="14" t="str">
        <x:v>S04-07:B:origin_interpretation</x:v>
      </x:c>
    </x:row>
    <x:row r="1329" ht="72" customHeight="1">
      <x:c r="A1329" s="14" t="str">
        <x:v>S04-07:B:evaluation_utterance_end</x:v>
      </x:c>
      <x:c r="B1329" s="14" t="str">
        <x:v>B</x:v>
      </x:c>
      <x:c r="C1329" s="14" t="str">
        <x:v>evaluation_utterance_end</x:v>
      </x:c>
      <x:c r="D1329" s="14" t="n">
        <x:v>-6</x:v>
      </x:c>
      <x:c r="E1329" s="14" t="n">
        <x:v>0</x:v>
      </x:c>
      <x:c r="F1329" s="14" t="n">
        <x:v>6</x:v>
      </x:c>
      <x:c r="G1329" s="17" t="n">
        <x:v>0</x:v>
      </x:c>
      <x:c r="H1329" s="14" t="str">
        <x:v>S04-07:B:origin</x:v>
      </x:c>
    </x:row>
    <x:row r="1330" ht="72" customHeight="1">
      <x:c r="A1330" s="14" t="str">
        <x:v>S04-07:B:final_transcript</x:v>
      </x:c>
      <x:c r="B1330" s="14" t="str">
        <x:v>B</x:v>
      </x:c>
      <x:c r="C1330" s="14" t="str">
        <x:v>final_transcript</x:v>
      </x:c>
      <x:c r="D1330" s="14" t="n">
        <x:v>0</x:v>
      </x:c>
      <x:c r="E1330" s="14" t="n">
        <x:v>0.3</x:v>
      </x:c>
      <x:c r="F1330" s="14" t="n">
        <x:v>0.3</x:v>
      </x:c>
      <x:c r="G1330" s="17" t="n">
        <x:v>1</x:v>
      </x:c>
      <x:c r="H1330" s="14" t="str">
        <x:v>S04-07:B:evaluation_utterance_end</x:v>
      </x:c>
    </x:row>
    <x:row r="1331" ht="72" customHeight="1">
      <x:c r="A1331" s="14" t="str">
        <x:v>S04-07:B:meaning_adoption</x:v>
      </x:c>
      <x:c r="B1331" s="14" t="str">
        <x:v>B</x:v>
      </x:c>
      <x:c r="C1331" s="14" t="str">
        <x:v>meaning_adoption</x:v>
      </x:c>
      <x:c r="D1331" s="14" t="n">
        <x:v>0.3</x:v>
      </x:c>
      <x:c r="E1331" s="14" t="n">
        <x:v>0.848333333</x:v>
      </x:c>
      <x:c r="F1331" s="14" t="n">
        <x:v>0.548333333</x:v>
      </x:c>
      <x:c r="G1331" s="17" t="n">
        <x:v>1</x:v>
      </x:c>
      <x:c r="H1331" s="14" t="str">
        <x:v>S04-07:B:final_transcript
S04-07:B:origin_interpretation</x:v>
      </x:c>
    </x:row>
    <x:row r="1332" ht="72" customHeight="1">
      <x:c r="A1332" s="14" t="str">
        <x:v>S04-07:B:apply_relation</x:v>
      </x:c>
      <x:c r="B1332" s="14" t="str">
        <x:v>B</x:v>
      </x:c>
      <x:c r="C1332" s="14" t="str">
        <x:v>apply_relation</x:v>
      </x:c>
      <x:c r="D1332" s="14" t="n">
        <x:v>0.848333333</x:v>
      </x:c>
      <x:c r="E1332" s="14" t="n">
        <x:v>0.888333333</x:v>
      </x:c>
      <x:c r="F1332" s="14" t="n">
        <x:v>0.04</x:v>
      </x:c>
      <x:c r="G1332" s="17" t="n">
        <x:v>1</x:v>
      </x:c>
      <x:c r="H1332" s="14" t="str">
        <x:v>S04-07:B:meaning_adoption</x:v>
      </x:c>
    </x:row>
    <x:row r="1333" ht="72" customHeight="1">
      <x:c r="A1333" s="14" t="str">
        <x:v>S04-07:B:evaluation_first_display</x:v>
      </x:c>
      <x:c r="B1333" s="14" t="str">
        <x:v>B</x:v>
      </x:c>
      <x:c r="C1333" s="14" t="str">
        <x:v>evaluation_first_display</x:v>
      </x:c>
      <x:c r="D1333" s="14" t="n">
        <x:v>0.888333333</x:v>
      </x:c>
      <x:c r="E1333" s="14" t="n">
        <x:v>0.928333333</x:v>
      </x:c>
      <x:c r="F1333" s="14" t="n">
        <x:v>0.04</x:v>
      </x:c>
      <x:c r="G1333" s="17" t="n">
        <x:v>1</x:v>
      </x:c>
      <x:c r="H1333" s="14" t="str">
        <x:v>S04-07:B:apply_relation</x:v>
      </x:c>
    </x:row>
    <x:row r="1334" ht="72" customHeight="1">
      <x:c r="A1334" s="14" t="str">
        <x:v>S04-07:B:source_report_v1</x:v>
      </x:c>
      <x:c r="B1334" s="14" t="str">
        <x:v>B</x:v>
      </x:c>
      <x:c r="C1334" s="14" t="str">
        <x:v>source_report_v1</x:v>
      </x:c>
      <x:c r="D1334" s="14" t="n">
        <x:v>-5.04</x:v>
      </x:c>
      <x:c r="E1334" s="14" t="n">
        <x:v>-1</x:v>
      </x:c>
      <x:c r="F1334" s="14" t="n">
        <x:v>4.04</x:v>
      </x:c>
      <x:c r="G1334" s="17" t="n">
        <x:v>0</x:v>
      </x:c>
      <x:c r="H1334" s="14" t="str">
        <x:v>S04-07:B:original_handoff</x:v>
      </x:c>
    </x:row>
    <x:row r="1335" ht="72" customHeight="1">
      <x:c r="A1335" s="14" t="str">
        <x:v>S04-07:B:display_report_v1</x:v>
      </x:c>
      <x:c r="B1335" s="14" t="str">
        <x:v>B</x:v>
      </x:c>
      <x:c r="C1335" s="14" t="str">
        <x:v>display_report_v1</x:v>
      </x:c>
      <x:c r="D1335" s="14" t="n">
        <x:v>-1</x:v>
      </x:c>
      <x:c r="E1335" s="14" t="n">
        <x:v>-0.96</x:v>
      </x:c>
      <x:c r="F1335" s="14" t="n">
        <x:v>0.04</x:v>
      </x:c>
      <x:c r="G1335" s="17" t="n">
        <x:v>1</x:v>
      </x:c>
      <x:c r="H1335" s="14" t="str">
        <x:v>S04-07:B:source_report_v1</x:v>
      </x:c>
    </x:row>
    <x:row r="1336" ht="72" customHeight="1">
      <x:c r="A1336" s="14" t="str">
        <x:v>S04-07:B:source_withdraw_ack</x:v>
      </x:c>
      <x:c r="B1336" s="14" t="str">
        <x:v>B</x:v>
      </x:c>
      <x:c r="C1336" s="14" t="str">
        <x:v>source_withdraw_ack</x:v>
      </x:c>
      <x:c r="D1336" s="14" t="n">
        <x:v>0.888333333</x:v>
      </x:c>
      <x:c r="E1336" s="14" t="n">
        <x:v>0.888333333</x:v>
      </x:c>
      <x:c r="F1336" s="14" t="n">
        <x:v>0</x:v>
      </x:c>
      <x:c r="G1336" s="17" t="n">
        <x:v>0</x:v>
      </x:c>
      <x:c r="H1336" s="14" t="str">
        <x:v>S04-07:B:apply_relation</x:v>
      </x:c>
    </x:row>
    <x:row r="1337" ht="72" customHeight="1">
      <x:c r="A1337" s="14" t="str">
        <x:v>S04-07:B:display_withdraw_ack</x:v>
      </x:c>
      <x:c r="B1337" s="14" t="str">
        <x:v>B</x:v>
      </x:c>
      <x:c r="C1337" s="14" t="str">
        <x:v>display_withdraw_ack</x:v>
      </x:c>
      <x:c r="D1337" s="14" t="n">
        <x:v>0.888333333</x:v>
      </x:c>
      <x:c r="E1337" s="14" t="n">
        <x:v>0.928333333</x:v>
      </x:c>
      <x:c r="F1337" s="14" t="n">
        <x:v>0.04</x:v>
      </x:c>
      <x:c r="G1337" s="17" t="n">
        <x:v>1</x:v>
      </x:c>
      <x:c r="H1337" s="14" t="str">
        <x:v>S04-07:B:source_withdraw_ack</x:v>
      </x:c>
    </x:row>
    <x:row r="1338" ht="72" customHeight="1">
      <x:c r="A1338" s="14" t="str">
        <x:v>S04-07:B:withdraw_ack_first</x:v>
      </x:c>
      <x:c r="B1338" s="14" t="str">
        <x:v>B</x:v>
      </x:c>
      <x:c r="C1338" s="14" t="str">
        <x:v>withdraw_ack_first</x:v>
      </x:c>
      <x:c r="D1338" s="14" t="n">
        <x:v>0.888333333</x:v>
      </x:c>
      <x:c r="E1338" s="14" t="n">
        <x:v>1.295666666</x:v>
      </x:c>
      <x:c r="F1338" s="14" t="n">
        <x:v>0.407333333</x:v>
      </x:c>
      <x:c r="G1338" s="17" t="n">
        <x:v>1</x:v>
      </x:c>
      <x:c r="H1338" s="14" t="str">
        <x:v>S04-07:B:apply_relation</x:v>
      </x:c>
    </x:row>
    <x:row r="1339" ht="72" customHeight="1">
      <x:c r="A1339" s="14" t="str">
        <x:v>S04-07:B:withdraw_ack_tail</x:v>
      </x:c>
      <x:c r="B1339" s="14" t="str">
        <x:v>B</x:v>
      </x:c>
      <x:c r="C1339" s="14" t="str">
        <x:v>withdraw_ack_tail</x:v>
      </x:c>
      <x:c r="D1339" s="14" t="n">
        <x:v>1.295666666</x:v>
      </x:c>
      <x:c r="E1339" s="14" t="n">
        <x:v>2.150166666</x:v>
      </x:c>
      <x:c r="F1339" s="14" t="n">
        <x:v>0.8545</x:v>
      </x:c>
      <x:c r="G1339" s="17" t="n">
        <x:v>1</x:v>
      </x:c>
      <x:c r="H1339" s="14" t="str">
        <x:v>S04-07:B:withdraw_ack_first</x:v>
      </x:c>
    </x:row>
    <x:row r="1340" ht="72" customHeight="1">
      <x:c r="A1340" s="14" t="str">
        <x:v>S04-07:B:withdraw_ack_device</x:v>
      </x:c>
      <x:c r="B1340" s="14" t="str">
        <x:v>B</x:v>
      </x:c>
      <x:c r="C1340" s="14" t="str">
        <x:v>withdraw_ack_device</x:v>
      </x:c>
      <x:c r="D1340" s="14" t="n">
        <x:v>1.295666666</x:v>
      </x:c>
      <x:c r="E1340" s="14" t="n">
        <x:v>1.335666666</x:v>
      </x:c>
      <x:c r="F1340" s="14" t="n">
        <x:v>0.04</x:v>
      </x:c>
      <x:c r="G1340" s="17" t="n">
        <x:v>1</x:v>
      </x:c>
      <x:c r="H1340" s="14" t="str">
        <x:v>S04-07:B:apply_relation
S04-07:B:withdraw_ack_first</x:v>
      </x:c>
    </x:row>
    <x:row r="1341" ht="72" customHeight="1">
      <x:c r="A1341" s="14" t="str">
        <x:v>S04-07:B:withdraw_ack_played</x:v>
      </x:c>
      <x:c r="B1341" s="14" t="str">
        <x:v>B</x:v>
      </x:c>
      <x:c r="C1341" s="14" t="str">
        <x:v>withdraw_ack_played</x:v>
      </x:c>
      <x:c r="D1341" s="14" t="n">
        <x:v>1.335666666</x:v>
      </x:c>
      <x:c r="E1341" s="14" t="n">
        <x:v>4.953666666</x:v>
      </x:c>
      <x:c r="F1341" s="14" t="n">
        <x:v>3.618</x:v>
      </x:c>
      <x:c r="G1341" s="17" t="n">
        <x:v>0</x:v>
      </x:c>
      <x:c r="H1341" s="14" t="str">
        <x:v>S04-07:B:withdraw_ack_device</x:v>
      </x:c>
    </x:row>
    <x:row r="1342" ht="72" customHeight="1">
      <x:c r="A1342" s="14" t="str">
        <x:v>S04-08:A:origin</x:v>
      </x:c>
      <x:c r="B1342" s="14" t="str">
        <x:v>A</x:v>
      </x:c>
      <x:c r="C1342" s="14" t="str">
        <x:v>origin</x:v>
      </x:c>
      <x:c r="D1342" s="14" t="n">
        <x:v>-6</x:v>
      </x:c>
      <x:c r="E1342" s="14" t="n">
        <x:v>-6</x:v>
      </x:c>
      <x:c r="F1342" s="14" t="n">
        <x:v>0</x:v>
      </x:c>
      <x:c r="G1342" s="17" t="n">
        <x:v>0</x:v>
      </x:c>
      <x:c r="H1342" s="14" t="str"/>
    </x:row>
    <x:row r="1343" ht="72" customHeight="1">
      <x:c r="A1343" s="14" t="str">
        <x:v>S04-08:A:origin_interpretation</x:v>
      </x:c>
      <x:c r="B1343" s="14" t="str">
        <x:v>A</x:v>
      </x:c>
      <x:c r="C1343" s="14" t="str">
        <x:v>origin_interpretation</x:v>
      </x:c>
      <x:c r="D1343" s="14" t="n">
        <x:v>-6</x:v>
      </x:c>
      <x:c r="E1343" s="14" t="n">
        <x:v>-5.16</x:v>
      </x:c>
      <x:c r="F1343" s="14" t="n">
        <x:v>0.84</x:v>
      </x:c>
      <x:c r="G1343" s="17" t="n">
        <x:v>1</x:v>
      </x:c>
      <x:c r="H1343" s="14" t="str">
        <x:v>S04-08:A:origin</x:v>
      </x:c>
    </x:row>
    <x:row r="1344" ht="72" customHeight="1">
      <x:c r="A1344" s="14" t="str">
        <x:v>S04-08:A:original_handoff</x:v>
      </x:c>
      <x:c r="B1344" s="14" t="str">
        <x:v>A</x:v>
      </x:c>
      <x:c r="C1344" s="14" t="str">
        <x:v>original_handoff</x:v>
      </x:c>
      <x:c r="D1344" s="14" t="n">
        <x:v>-5.16</x:v>
      </x:c>
      <x:c r="E1344" s="14" t="n">
        <x:v>-5.04</x:v>
      </x:c>
      <x:c r="F1344" s="14" t="n">
        <x:v>0.12</x:v>
      </x:c>
      <x:c r="G1344" s="17" t="n">
        <x:v>1</x:v>
      </x:c>
      <x:c r="H1344" s="14" t="str">
        <x:v>S04-08:A:origin_interpretation</x:v>
      </x:c>
    </x:row>
    <x:row r="1345" ht="72" customHeight="1">
      <x:c r="A1345" s="14" t="str">
        <x:v>S04-08:A:evaluation_utterance_end</x:v>
      </x:c>
      <x:c r="B1345" s="14" t="str">
        <x:v>A</x:v>
      </x:c>
      <x:c r="C1345" s="14" t="str">
        <x:v>evaluation_utterance_end</x:v>
      </x:c>
      <x:c r="D1345" s="14" t="n">
        <x:v>-6</x:v>
      </x:c>
      <x:c r="E1345" s="14" t="n">
        <x:v>0</x:v>
      </x:c>
      <x:c r="F1345" s="14" t="n">
        <x:v>6</x:v>
      </x:c>
      <x:c r="G1345" s="17" t="n">
        <x:v>0</x:v>
      </x:c>
      <x:c r="H1345" s="14" t="str">
        <x:v>S04-08:A:origin</x:v>
      </x:c>
    </x:row>
    <x:row r="1346" ht="72" customHeight="1">
      <x:c r="A1346" s="14" t="str">
        <x:v>S04-08:A:final_transcript</x:v>
      </x:c>
      <x:c r="B1346" s="14" t="str">
        <x:v>A</x:v>
      </x:c>
      <x:c r="C1346" s="14" t="str">
        <x:v>final_transcript</x:v>
      </x:c>
      <x:c r="D1346" s="14" t="n">
        <x:v>0</x:v>
      </x:c>
      <x:c r="E1346" s="14" t="n">
        <x:v>0.3</x:v>
      </x:c>
      <x:c r="F1346" s="14" t="n">
        <x:v>0.3</x:v>
      </x:c>
      <x:c r="G1346" s="17" t="n">
        <x:v>1</x:v>
      </x:c>
      <x:c r="H1346" s="14" t="str">
        <x:v>S04-08:A:evaluation_utterance_end</x:v>
      </x:c>
    </x:row>
    <x:row r="1347" ht="72" customHeight="1">
      <x:c r="A1347" s="14" t="str">
        <x:v>S04-08:A:meaning_adoption</x:v>
      </x:c>
      <x:c r="B1347" s="14" t="str">
        <x:v>A</x:v>
      </x:c>
      <x:c r="C1347" s="14" t="str">
        <x:v>meaning_adoption</x:v>
      </x:c>
      <x:c r="D1347" s="14" t="n">
        <x:v>0.3</x:v>
      </x:c>
      <x:c r="E1347" s="14" t="n">
        <x:v>0.876666667</x:v>
      </x:c>
      <x:c r="F1347" s="14" t="n">
        <x:v>0.576666667</x:v>
      </x:c>
      <x:c r="G1347" s="17" t="n">
        <x:v>1</x:v>
      </x:c>
      <x:c r="H1347" s="14" t="str">
        <x:v>S04-08:A:final_transcript
S04-08:A:origin_interpretation</x:v>
      </x:c>
    </x:row>
    <x:row r="1348" ht="72" customHeight="1">
      <x:c r="A1348" s="14" t="str">
        <x:v>S04-08:A:apply_relation</x:v>
      </x:c>
      <x:c r="B1348" s="14" t="str">
        <x:v>A</x:v>
      </x:c>
      <x:c r="C1348" s="14" t="str">
        <x:v>apply_relation</x:v>
      </x:c>
      <x:c r="D1348" s="14" t="n">
        <x:v>0.876666667</x:v>
      </x:c>
      <x:c r="E1348" s="14" t="n">
        <x:v>0.916666667</x:v>
      </x:c>
      <x:c r="F1348" s="14" t="n">
        <x:v>0.04</x:v>
      </x:c>
      <x:c r="G1348" s="17" t="n">
        <x:v>1</x:v>
      </x:c>
      <x:c r="H1348" s="14" t="str">
        <x:v>S04-08:A:meaning_adoption</x:v>
      </x:c>
    </x:row>
    <x:row r="1349" ht="72" customHeight="1">
      <x:c r="A1349" s="14" t="str">
        <x:v>S04-08:A:evaluation_first_display</x:v>
      </x:c>
      <x:c r="B1349" s="14" t="str">
        <x:v>A</x:v>
      </x:c>
      <x:c r="C1349" s="14" t="str">
        <x:v>evaluation_first_display</x:v>
      </x:c>
      <x:c r="D1349" s="14" t="n">
        <x:v>0.916666667</x:v>
      </x:c>
      <x:c r="E1349" s="14" t="n">
        <x:v>0.956666667</x:v>
      </x:c>
      <x:c r="F1349" s="14" t="n">
        <x:v>0.04</x:v>
      </x:c>
      <x:c r="G1349" s="17" t="n">
        <x:v>1</x:v>
      </x:c>
      <x:c r="H1349" s="14" t="str">
        <x:v>S04-08:A:apply_relation</x:v>
      </x:c>
    </x:row>
    <x:row r="1350" ht="72" customHeight="1">
      <x:c r="A1350" s="14" t="str">
        <x:v>S04-08:A:source_report_v1</x:v>
      </x:c>
      <x:c r="B1350" s="14" t="str">
        <x:v>A</x:v>
      </x:c>
      <x:c r="C1350" s="14" t="str">
        <x:v>source_report_v1</x:v>
      </x:c>
      <x:c r="D1350" s="14" t="n">
        <x:v>-5.04</x:v>
      </x:c>
      <x:c r="E1350" s="14" t="n">
        <x:v>-1</x:v>
      </x:c>
      <x:c r="F1350" s="14" t="n">
        <x:v>4.04</x:v>
      </x:c>
      <x:c r="G1350" s="17" t="n">
        <x:v>0</x:v>
      </x:c>
      <x:c r="H1350" s="14" t="str">
        <x:v>S04-08:A:original_handoff</x:v>
      </x:c>
    </x:row>
    <x:row r="1351" ht="72" customHeight="1">
      <x:c r="A1351" s="14" t="str">
        <x:v>S04-08:A:display_report_v1</x:v>
      </x:c>
      <x:c r="B1351" s="14" t="str">
        <x:v>A</x:v>
      </x:c>
      <x:c r="C1351" s="14" t="str">
        <x:v>display_report_v1</x:v>
      </x:c>
      <x:c r="D1351" s="14" t="n">
        <x:v>-1</x:v>
      </x:c>
      <x:c r="E1351" s="14" t="n">
        <x:v>-0.96</x:v>
      </x:c>
      <x:c r="F1351" s="14" t="n">
        <x:v>0.04</x:v>
      </x:c>
      <x:c r="G1351" s="17" t="n">
        <x:v>1</x:v>
      </x:c>
      <x:c r="H1351" s="14" t="str">
        <x:v>S04-08:A:source_report_v1</x:v>
      </x:c>
    </x:row>
    <x:row r="1352" ht="72" customHeight="1">
      <x:c r="A1352" s="14" t="str">
        <x:v>S04-08:A:report_v1_first</x:v>
      </x:c>
      <x:c r="B1352" s="14" t="str">
        <x:v>A</x:v>
      </x:c>
      <x:c r="C1352" s="14" t="str">
        <x:v>report_v1_first</x:v>
      </x:c>
      <x:c r="D1352" s="14" t="n">
        <x:v>-1</x:v>
      </x:c>
      <x:c r="E1352" s="14" t="n">
        <x:v>-0.59</x:v>
      </x:c>
      <x:c r="F1352" s="14" t="n">
        <x:v>0.41</x:v>
      </x:c>
      <x:c r="G1352" s="17" t="n">
        <x:v>1</x:v>
      </x:c>
      <x:c r="H1352" s="14" t="str">
        <x:v>S04-08:A:source_report_v1</x:v>
      </x:c>
    </x:row>
    <x:row r="1353" ht="72" customHeight="1">
      <x:c r="A1353" s="14" t="str">
        <x:v>S04-08:A:report_v1_tail</x:v>
      </x:c>
      <x:c r="B1353" s="14" t="str">
        <x:v>A</x:v>
      </x:c>
      <x:c r="C1353" s="14" t="str">
        <x:v>report_v1_tail</x:v>
      </x:c>
      <x:c r="D1353" s="14" t="n">
        <x:v>-0.59</x:v>
      </x:c>
      <x:c r="E1353" s="14" t="n">
        <x:v>1.016666667</x:v>
      </x:c>
      <x:c r="F1353" s="14" t="n">
        <x:v>1.606666667</x:v>
      </x:c>
      <x:c r="G1353" s="17" t="n">
        <x:v>1</x:v>
      </x:c>
      <x:c r="H1353" s="14" t="str">
        <x:v>S04-08:A:report_v1_first</x:v>
      </x:c>
    </x:row>
    <x:row r="1354" ht="72" customHeight="1">
      <x:c r="A1354" s="14" t="str">
        <x:v>S04-08:A:source_withdraw_ack</x:v>
      </x:c>
      <x:c r="B1354" s="14" t="str">
        <x:v>A</x:v>
      </x:c>
      <x:c r="C1354" s="14" t="str">
        <x:v>source_withdraw_ack</x:v>
      </x:c>
      <x:c r="D1354" s="14" t="n">
        <x:v>0.916666667</x:v>
      </x:c>
      <x:c r="E1354" s="14" t="n">
        <x:v>0.916666667</x:v>
      </x:c>
      <x:c r="F1354" s="14" t="n">
        <x:v>0</x:v>
      </x:c>
      <x:c r="G1354" s="17" t="n">
        <x:v>0</x:v>
      </x:c>
      <x:c r="H1354" s="14" t="str">
        <x:v>S04-08:A:apply_relation</x:v>
      </x:c>
    </x:row>
    <x:row r="1355" ht="72" customHeight="1">
      <x:c r="A1355" s="14" t="str">
        <x:v>S04-08:A:display_withdraw_ack</x:v>
      </x:c>
      <x:c r="B1355" s="14" t="str">
        <x:v>A</x:v>
      </x:c>
      <x:c r="C1355" s="14" t="str">
        <x:v>display_withdraw_ack</x:v>
      </x:c>
      <x:c r="D1355" s="14" t="n">
        <x:v>0.916666667</x:v>
      </x:c>
      <x:c r="E1355" s="14" t="n">
        <x:v>0.956666667</x:v>
      </x:c>
      <x:c r="F1355" s="14" t="n">
        <x:v>0.04</x:v>
      </x:c>
      <x:c r="G1355" s="17" t="n">
        <x:v>1</x:v>
      </x:c>
      <x:c r="H1355" s="14" t="str">
        <x:v>S04-08:A:source_withdraw_ack</x:v>
      </x:c>
    </x:row>
    <x:row r="1356" ht="72" customHeight="1">
      <x:c r="A1356" s="14" t="str">
        <x:v>S04-08:A:withdraw_ack_first</x:v>
      </x:c>
      <x:c r="B1356" s="14" t="str">
        <x:v>A</x:v>
      </x:c>
      <x:c r="C1356" s="14" t="str">
        <x:v>withdraw_ack_first</x:v>
      </x:c>
      <x:c r="D1356" s="14" t="n">
        <x:v>0.916666667</x:v>
      </x:c>
      <x:c r="E1356" s="14" t="n">
        <x:v>1.324</x:v>
      </x:c>
      <x:c r="F1356" s="14" t="n">
        <x:v>0.407333333</x:v>
      </x:c>
      <x:c r="G1356" s="17" t="n">
        <x:v>1</x:v>
      </x:c>
      <x:c r="H1356" s="14" t="str">
        <x:v>S04-08:A:source_withdraw_ack</x:v>
      </x:c>
    </x:row>
    <x:row r="1357" ht="72" customHeight="1">
      <x:c r="A1357" s="14" t="str">
        <x:v>S04-08:A:withdraw_ack_tail</x:v>
      </x:c>
      <x:c r="B1357" s="14" t="str">
        <x:v>A</x:v>
      </x:c>
      <x:c r="C1357" s="14" t="str">
        <x:v>withdraw_ack_tail</x:v>
      </x:c>
      <x:c r="D1357" s="14" t="n">
        <x:v>1.324</x:v>
      </x:c>
      <x:c r="E1357" s="14" t="n">
        <x:v>2.1815</x:v>
      </x:c>
      <x:c r="F1357" s="14" t="n">
        <x:v>0.8575</x:v>
      </x:c>
      <x:c r="G1357" s="17" t="n">
        <x:v>1</x:v>
      </x:c>
      <x:c r="H1357" s="14" t="str">
        <x:v>S04-08:A:withdraw_ack_first</x:v>
      </x:c>
    </x:row>
    <x:row r="1358" ht="72" customHeight="1">
      <x:c r="A1358" s="14" t="str">
        <x:v>S04-08:A:withdraw_ack_device</x:v>
      </x:c>
      <x:c r="B1358" s="14" t="str">
        <x:v>A</x:v>
      </x:c>
      <x:c r="C1358" s="14" t="str">
        <x:v>withdraw_ack_device</x:v>
      </x:c>
      <x:c r="D1358" s="14" t="n">
        <x:v>1.324</x:v>
      </x:c>
      <x:c r="E1358" s="14" t="n">
        <x:v>1.364</x:v>
      </x:c>
      <x:c r="F1358" s="14" t="n">
        <x:v>0.04</x:v>
      </x:c>
      <x:c r="G1358" s="17" t="n">
        <x:v>1</x:v>
      </x:c>
      <x:c r="H1358" s="14" t="str">
        <x:v>S04-08:A:apply_relation
S04-08:A:withdraw_ack_first</x:v>
      </x:c>
    </x:row>
    <x:row r="1359" ht="72" customHeight="1">
      <x:c r="A1359" s="14" t="str">
        <x:v>S04-08:A:withdraw_ack_played</x:v>
      </x:c>
      <x:c r="B1359" s="14" t="str">
        <x:v>A</x:v>
      </x:c>
      <x:c r="C1359" s="14" t="str">
        <x:v>withdraw_ack_played</x:v>
      </x:c>
      <x:c r="D1359" s="14" t="n">
        <x:v>1.364</x:v>
      </x:c>
      <x:c r="E1359" s="14" t="n">
        <x:v>4.994</x:v>
      </x:c>
      <x:c r="F1359" s="14" t="n">
        <x:v>3.63</x:v>
      </x:c>
      <x:c r="G1359" s="17" t="n">
        <x:v>0</x:v>
      </x:c>
      <x:c r="H1359" s="14" t="str">
        <x:v>S04-08:A:withdraw_ack_device</x:v>
      </x:c>
    </x:row>
    <x:row r="1360" ht="72" customHeight="1">
      <x:c r="A1360" s="14" t="str">
        <x:v>S04-08:B:origin</x:v>
      </x:c>
      <x:c r="B1360" s="14" t="str">
        <x:v>B</x:v>
      </x:c>
      <x:c r="C1360" s="14" t="str">
        <x:v>origin</x:v>
      </x:c>
      <x:c r="D1360" s="14" t="n">
        <x:v>-6</x:v>
      </x:c>
      <x:c r="E1360" s="14" t="n">
        <x:v>-6</x:v>
      </x:c>
      <x:c r="F1360" s="14" t="n">
        <x:v>0</x:v>
      </x:c>
      <x:c r="G1360" s="17" t="n">
        <x:v>0</x:v>
      </x:c>
      <x:c r="H1360" s="14" t="str"/>
    </x:row>
    <x:row r="1361" ht="72" customHeight="1">
      <x:c r="A1361" s="14" t="str">
        <x:v>S04-08:B:origin_interpretation</x:v>
      </x:c>
      <x:c r="B1361" s="14" t="str">
        <x:v>B</x:v>
      </x:c>
      <x:c r="C1361" s="14" t="str">
        <x:v>origin_interpretation</x:v>
      </x:c>
      <x:c r="D1361" s="14" t="n">
        <x:v>-6</x:v>
      </x:c>
      <x:c r="E1361" s="14" t="n">
        <x:v>-5.16</x:v>
      </x:c>
      <x:c r="F1361" s="14" t="n">
        <x:v>0.84</x:v>
      </x:c>
      <x:c r="G1361" s="17" t="n">
        <x:v>1</x:v>
      </x:c>
      <x:c r="H1361" s="14" t="str">
        <x:v>S04-08:B:origin</x:v>
      </x:c>
    </x:row>
    <x:row r="1362" ht="72" customHeight="1">
      <x:c r="A1362" s="14" t="str">
        <x:v>S04-08:B:original_handoff</x:v>
      </x:c>
      <x:c r="B1362" s="14" t="str">
        <x:v>B</x:v>
      </x:c>
      <x:c r="C1362" s="14" t="str">
        <x:v>original_handoff</x:v>
      </x:c>
      <x:c r="D1362" s="14" t="n">
        <x:v>-5.16</x:v>
      </x:c>
      <x:c r="E1362" s="14" t="n">
        <x:v>-5.04</x:v>
      </x:c>
      <x:c r="F1362" s="14" t="n">
        <x:v>0.12</x:v>
      </x:c>
      <x:c r="G1362" s="17" t="n">
        <x:v>1</x:v>
      </x:c>
      <x:c r="H1362" s="14" t="str">
        <x:v>S04-08:B:origin_interpretation</x:v>
      </x:c>
    </x:row>
    <x:row r="1363" ht="72" customHeight="1">
      <x:c r="A1363" s="14" t="str">
        <x:v>S04-08:B:evaluation_utterance_end</x:v>
      </x:c>
      <x:c r="B1363" s="14" t="str">
        <x:v>B</x:v>
      </x:c>
      <x:c r="C1363" s="14" t="str">
        <x:v>evaluation_utterance_end</x:v>
      </x:c>
      <x:c r="D1363" s="14" t="n">
        <x:v>-6</x:v>
      </x:c>
      <x:c r="E1363" s="14" t="n">
        <x:v>0</x:v>
      </x:c>
      <x:c r="F1363" s="14" t="n">
        <x:v>6</x:v>
      </x:c>
      <x:c r="G1363" s="17" t="n">
        <x:v>0</x:v>
      </x:c>
      <x:c r="H1363" s="14" t="str">
        <x:v>S04-08:B:origin</x:v>
      </x:c>
    </x:row>
    <x:row r="1364" ht="72" customHeight="1">
      <x:c r="A1364" s="14" t="str">
        <x:v>S04-08:B:final_transcript</x:v>
      </x:c>
      <x:c r="B1364" s="14" t="str">
        <x:v>B</x:v>
      </x:c>
      <x:c r="C1364" s="14" t="str">
        <x:v>final_transcript</x:v>
      </x:c>
      <x:c r="D1364" s="14" t="n">
        <x:v>0</x:v>
      </x:c>
      <x:c r="E1364" s="14" t="n">
        <x:v>0.3</x:v>
      </x:c>
      <x:c r="F1364" s="14" t="n">
        <x:v>0.3</x:v>
      </x:c>
      <x:c r="G1364" s="17" t="n">
        <x:v>1</x:v>
      </x:c>
      <x:c r="H1364" s="14" t="str">
        <x:v>S04-08:B:evaluation_utterance_end</x:v>
      </x:c>
    </x:row>
    <x:row r="1365" ht="72" customHeight="1">
      <x:c r="A1365" s="14" t="str">
        <x:v>S04-08:B:meaning_adoption</x:v>
      </x:c>
      <x:c r="B1365" s="14" t="str">
        <x:v>B</x:v>
      </x:c>
      <x:c r="C1365" s="14" t="str">
        <x:v>meaning_adoption</x:v>
      </x:c>
      <x:c r="D1365" s="14" t="n">
        <x:v>0.3</x:v>
      </x:c>
      <x:c r="E1365" s="14" t="n">
        <x:v>0.876666667</x:v>
      </x:c>
      <x:c r="F1365" s="14" t="n">
        <x:v>0.576666667</x:v>
      </x:c>
      <x:c r="G1365" s="17" t="n">
        <x:v>1</x:v>
      </x:c>
      <x:c r="H1365" s="14" t="str">
        <x:v>S04-08:B:final_transcript
S04-08:B:origin_interpretation</x:v>
      </x:c>
    </x:row>
    <x:row r="1366" ht="72" customHeight="1">
      <x:c r="A1366" s="14" t="str">
        <x:v>S04-08:B:apply_relation</x:v>
      </x:c>
      <x:c r="B1366" s="14" t="str">
        <x:v>B</x:v>
      </x:c>
      <x:c r="C1366" s="14" t="str">
        <x:v>apply_relation</x:v>
      </x:c>
      <x:c r="D1366" s="14" t="n">
        <x:v>0.876666667</x:v>
      </x:c>
      <x:c r="E1366" s="14" t="n">
        <x:v>0.916666667</x:v>
      </x:c>
      <x:c r="F1366" s="14" t="n">
        <x:v>0.04</x:v>
      </x:c>
      <x:c r="G1366" s="17" t="n">
        <x:v>1</x:v>
      </x:c>
      <x:c r="H1366" s="14" t="str">
        <x:v>S04-08:B:meaning_adoption</x:v>
      </x:c>
    </x:row>
    <x:row r="1367" ht="72" customHeight="1">
      <x:c r="A1367" s="14" t="str">
        <x:v>S04-08:B:evaluation_first_display</x:v>
      </x:c>
      <x:c r="B1367" s="14" t="str">
        <x:v>B</x:v>
      </x:c>
      <x:c r="C1367" s="14" t="str">
        <x:v>evaluation_first_display</x:v>
      </x:c>
      <x:c r="D1367" s="14" t="n">
        <x:v>0.916666667</x:v>
      </x:c>
      <x:c r="E1367" s="14" t="n">
        <x:v>0.956666667</x:v>
      </x:c>
      <x:c r="F1367" s="14" t="n">
        <x:v>0.04</x:v>
      </x:c>
      <x:c r="G1367" s="17" t="n">
        <x:v>1</x:v>
      </x:c>
      <x:c r="H1367" s="14" t="str">
        <x:v>S04-08:B:apply_relation</x:v>
      </x:c>
    </x:row>
    <x:row r="1368" ht="72" customHeight="1">
      <x:c r="A1368" s="14" t="str">
        <x:v>S04-08:B:source_report_v1</x:v>
      </x:c>
      <x:c r="B1368" s="14" t="str">
        <x:v>B</x:v>
      </x:c>
      <x:c r="C1368" s="14" t="str">
        <x:v>source_report_v1</x:v>
      </x:c>
      <x:c r="D1368" s="14" t="n">
        <x:v>-5.04</x:v>
      </x:c>
      <x:c r="E1368" s="14" t="n">
        <x:v>-1</x:v>
      </x:c>
      <x:c r="F1368" s="14" t="n">
        <x:v>4.04</x:v>
      </x:c>
      <x:c r="G1368" s="17" t="n">
        <x:v>0</x:v>
      </x:c>
      <x:c r="H1368" s="14" t="str">
        <x:v>S04-08:B:original_handoff</x:v>
      </x:c>
    </x:row>
    <x:row r="1369" ht="72" customHeight="1">
      <x:c r="A1369" s="14" t="str">
        <x:v>S04-08:B:display_report_v1</x:v>
      </x:c>
      <x:c r="B1369" s="14" t="str">
        <x:v>B</x:v>
      </x:c>
      <x:c r="C1369" s="14" t="str">
        <x:v>display_report_v1</x:v>
      </x:c>
      <x:c r="D1369" s="14" t="n">
        <x:v>-1</x:v>
      </x:c>
      <x:c r="E1369" s="14" t="n">
        <x:v>-0.96</x:v>
      </x:c>
      <x:c r="F1369" s="14" t="n">
        <x:v>0.04</x:v>
      </x:c>
      <x:c r="G1369" s="17" t="n">
        <x:v>1</x:v>
      </x:c>
      <x:c r="H1369" s="14" t="str">
        <x:v>S04-08:B:source_report_v1</x:v>
      </x:c>
    </x:row>
    <x:row r="1370" ht="72" customHeight="1">
      <x:c r="A1370" s="14" t="str">
        <x:v>S04-08:B:source_withdraw_ack</x:v>
      </x:c>
      <x:c r="B1370" s="14" t="str">
        <x:v>B</x:v>
      </x:c>
      <x:c r="C1370" s="14" t="str">
        <x:v>source_withdraw_ack</x:v>
      </x:c>
      <x:c r="D1370" s="14" t="n">
        <x:v>0.916666667</x:v>
      </x:c>
      <x:c r="E1370" s="14" t="n">
        <x:v>0.916666667</x:v>
      </x:c>
      <x:c r="F1370" s="14" t="n">
        <x:v>0</x:v>
      </x:c>
      <x:c r="G1370" s="17" t="n">
        <x:v>0</x:v>
      </x:c>
      <x:c r="H1370" s="14" t="str">
        <x:v>S04-08:B:apply_relation</x:v>
      </x:c>
    </x:row>
    <x:row r="1371" ht="72" customHeight="1">
      <x:c r="A1371" s="14" t="str">
        <x:v>S04-08:B:display_withdraw_ack</x:v>
      </x:c>
      <x:c r="B1371" s="14" t="str">
        <x:v>B</x:v>
      </x:c>
      <x:c r="C1371" s="14" t="str">
        <x:v>display_withdraw_ack</x:v>
      </x:c>
      <x:c r="D1371" s="14" t="n">
        <x:v>0.916666667</x:v>
      </x:c>
      <x:c r="E1371" s="14" t="n">
        <x:v>0.956666667</x:v>
      </x:c>
      <x:c r="F1371" s="14" t="n">
        <x:v>0.04</x:v>
      </x:c>
      <x:c r="G1371" s="17" t="n">
        <x:v>1</x:v>
      </x:c>
      <x:c r="H1371" s="14" t="str">
        <x:v>S04-08:B:source_withdraw_ack</x:v>
      </x:c>
    </x:row>
    <x:row r="1372" ht="72" customHeight="1">
      <x:c r="A1372" s="14" t="str">
        <x:v>S04-08:B:withdraw_ack_first</x:v>
      </x:c>
      <x:c r="B1372" s="14" t="str">
        <x:v>B</x:v>
      </x:c>
      <x:c r="C1372" s="14" t="str">
        <x:v>withdraw_ack_first</x:v>
      </x:c>
      <x:c r="D1372" s="14" t="n">
        <x:v>0.916666667</x:v>
      </x:c>
      <x:c r="E1372" s="14" t="n">
        <x:v>1.324</x:v>
      </x:c>
      <x:c r="F1372" s="14" t="n">
        <x:v>0.407333333</x:v>
      </x:c>
      <x:c r="G1372" s="17" t="n">
        <x:v>1</x:v>
      </x:c>
      <x:c r="H1372" s="14" t="str">
        <x:v>S04-08:B:apply_relation</x:v>
      </x:c>
    </x:row>
    <x:row r="1373" ht="72" customHeight="1">
      <x:c r="A1373" s="14" t="str">
        <x:v>S04-08:B:withdraw_ack_tail</x:v>
      </x:c>
      <x:c r="B1373" s="14" t="str">
        <x:v>B</x:v>
      </x:c>
      <x:c r="C1373" s="14" t="str">
        <x:v>withdraw_ack_tail</x:v>
      </x:c>
      <x:c r="D1373" s="14" t="n">
        <x:v>1.324</x:v>
      </x:c>
      <x:c r="E1373" s="14" t="n">
        <x:v>2.1815</x:v>
      </x:c>
      <x:c r="F1373" s="14" t="n">
        <x:v>0.8575</x:v>
      </x:c>
      <x:c r="G1373" s="17" t="n">
        <x:v>1</x:v>
      </x:c>
      <x:c r="H1373" s="14" t="str">
        <x:v>S04-08:B:withdraw_ack_first</x:v>
      </x:c>
    </x:row>
    <x:row r="1374" ht="72" customHeight="1">
      <x:c r="A1374" s="14" t="str">
        <x:v>S04-08:B:withdraw_ack_device</x:v>
      </x:c>
      <x:c r="B1374" s="14" t="str">
        <x:v>B</x:v>
      </x:c>
      <x:c r="C1374" s="14" t="str">
        <x:v>withdraw_ack_device</x:v>
      </x:c>
      <x:c r="D1374" s="14" t="n">
        <x:v>1.324</x:v>
      </x:c>
      <x:c r="E1374" s="14" t="n">
        <x:v>1.364</x:v>
      </x:c>
      <x:c r="F1374" s="14" t="n">
        <x:v>0.04</x:v>
      </x:c>
      <x:c r="G1374" s="17" t="n">
        <x:v>1</x:v>
      </x:c>
      <x:c r="H1374" s="14" t="str">
        <x:v>S04-08:B:apply_relation
S04-08:B:withdraw_ack_first</x:v>
      </x:c>
    </x:row>
    <x:row r="1375" ht="72" customHeight="1">
      <x:c r="A1375" s="14" t="str">
        <x:v>S04-08:B:withdraw_ack_played</x:v>
      </x:c>
      <x:c r="B1375" s="14" t="str">
        <x:v>B</x:v>
      </x:c>
      <x:c r="C1375" s="14" t="str">
        <x:v>withdraw_ack_played</x:v>
      </x:c>
      <x:c r="D1375" s="14" t="n">
        <x:v>1.364</x:v>
      </x:c>
      <x:c r="E1375" s="14" t="n">
        <x:v>4.994</x:v>
      </x:c>
      <x:c r="F1375" s="14" t="n">
        <x:v>3.63</x:v>
      </x:c>
      <x:c r="G1375" s="17" t="n">
        <x:v>0</x:v>
      </x:c>
      <x:c r="H1375" s="14" t="str">
        <x:v>S04-08:B:withdraw_ack_device</x:v>
      </x:c>
    </x:row>
    <x:row r="1376" ht="72" customHeight="1">
      <x:c r="A1376" s="14" t="str">
        <x:v>S04-09:A:origin</x:v>
      </x:c>
      <x:c r="B1376" s="14" t="str">
        <x:v>A</x:v>
      </x:c>
      <x:c r="C1376" s="14" t="str">
        <x:v>origin</x:v>
      </x:c>
      <x:c r="D1376" s="14" t="n">
        <x:v>-6</x:v>
      </x:c>
      <x:c r="E1376" s="14" t="n">
        <x:v>-6</x:v>
      </x:c>
      <x:c r="F1376" s="14" t="n">
        <x:v>0</x:v>
      </x:c>
      <x:c r="G1376" s="17" t="n">
        <x:v>0</x:v>
      </x:c>
      <x:c r="H1376" s="14" t="str"/>
    </x:row>
    <x:row r="1377" ht="72" customHeight="1">
      <x:c r="A1377" s="14" t="str">
        <x:v>S04-09:A:origin_interpretation</x:v>
      </x:c>
      <x:c r="B1377" s="14" t="str">
        <x:v>A</x:v>
      </x:c>
      <x:c r="C1377" s="14" t="str">
        <x:v>origin_interpretation</x:v>
      </x:c>
      <x:c r="D1377" s="14" t="n">
        <x:v>-6</x:v>
      </x:c>
      <x:c r="E1377" s="14" t="n">
        <x:v>-5.16</x:v>
      </x:c>
      <x:c r="F1377" s="14" t="n">
        <x:v>0.84</x:v>
      </x:c>
      <x:c r="G1377" s="17" t="n">
        <x:v>1</x:v>
      </x:c>
      <x:c r="H1377" s="14" t="str">
        <x:v>S04-09:A:origin</x:v>
      </x:c>
    </x:row>
    <x:row r="1378" ht="72" customHeight="1">
      <x:c r="A1378" s="14" t="str">
        <x:v>S04-09:A:original_handoff</x:v>
      </x:c>
      <x:c r="B1378" s="14" t="str">
        <x:v>A</x:v>
      </x:c>
      <x:c r="C1378" s="14" t="str">
        <x:v>original_handoff</x:v>
      </x:c>
      <x:c r="D1378" s="14" t="n">
        <x:v>-5.16</x:v>
      </x:c>
      <x:c r="E1378" s="14" t="n">
        <x:v>-5.04</x:v>
      </x:c>
      <x:c r="F1378" s="14" t="n">
        <x:v>0.12</x:v>
      </x:c>
      <x:c r="G1378" s="17" t="n">
        <x:v>1</x:v>
      </x:c>
      <x:c r="H1378" s="14" t="str">
        <x:v>S04-09:A:origin_interpretation</x:v>
      </x:c>
    </x:row>
    <x:row r="1379" ht="72" customHeight="1">
      <x:c r="A1379" s="14" t="str">
        <x:v>S04-09:A:evaluation_utterance_end</x:v>
      </x:c>
      <x:c r="B1379" s="14" t="str">
        <x:v>A</x:v>
      </x:c>
      <x:c r="C1379" s="14" t="str">
        <x:v>evaluation_utterance_end</x:v>
      </x:c>
      <x:c r="D1379" s="14" t="n">
        <x:v>-6</x:v>
      </x:c>
      <x:c r="E1379" s="14" t="n">
        <x:v>0</x:v>
      </x:c>
      <x:c r="F1379" s="14" t="n">
        <x:v>6</x:v>
      </x:c>
      <x:c r="G1379" s="17" t="n">
        <x:v>0</x:v>
      </x:c>
      <x:c r="H1379" s="14" t="str">
        <x:v>S04-09:A:origin</x:v>
      </x:c>
    </x:row>
    <x:row r="1380" ht="72" customHeight="1">
      <x:c r="A1380" s="14" t="str">
        <x:v>S04-09:A:final_transcript</x:v>
      </x:c>
      <x:c r="B1380" s="14" t="str">
        <x:v>A</x:v>
      </x:c>
      <x:c r="C1380" s="14" t="str">
        <x:v>final_transcript</x:v>
      </x:c>
      <x:c r="D1380" s="14" t="n">
        <x:v>0</x:v>
      </x:c>
      <x:c r="E1380" s="14" t="n">
        <x:v>0.3</x:v>
      </x:c>
      <x:c r="F1380" s="14" t="n">
        <x:v>0.3</x:v>
      </x:c>
      <x:c r="G1380" s="17" t="n">
        <x:v>1</x:v>
      </x:c>
      <x:c r="H1380" s="14" t="str">
        <x:v>S04-09:A:evaluation_utterance_end</x:v>
      </x:c>
    </x:row>
    <x:row r="1381" ht="72" customHeight="1">
      <x:c r="A1381" s="14" t="str">
        <x:v>S04-09:A:meaning_adoption</x:v>
      </x:c>
      <x:c r="B1381" s="14" t="str">
        <x:v>A</x:v>
      </x:c>
      <x:c r="C1381" s="14" t="str">
        <x:v>meaning_adoption</x:v>
      </x:c>
      <x:c r="D1381" s="14" t="n">
        <x:v>0.3</x:v>
      </x:c>
      <x:c r="E1381" s="14" t="n">
        <x:v>0.83</x:v>
      </x:c>
      <x:c r="F1381" s="14" t="n">
        <x:v>0.53</x:v>
      </x:c>
      <x:c r="G1381" s="17" t="n">
        <x:v>1</x:v>
      </x:c>
      <x:c r="H1381" s="14" t="str">
        <x:v>S04-09:A:final_transcript
S04-09:A:origin_interpretation</x:v>
      </x:c>
    </x:row>
    <x:row r="1382" ht="72" customHeight="1">
      <x:c r="A1382" s="14" t="str">
        <x:v>S04-09:A:apply_relation</x:v>
      </x:c>
      <x:c r="B1382" s="14" t="str">
        <x:v>A</x:v>
      </x:c>
      <x:c r="C1382" s="14" t="str">
        <x:v>apply_relation</x:v>
      </x:c>
      <x:c r="D1382" s="14" t="n">
        <x:v>0.83</x:v>
      </x:c>
      <x:c r="E1382" s="14" t="n">
        <x:v>0.87</x:v>
      </x:c>
      <x:c r="F1382" s="14" t="n">
        <x:v>0.04</x:v>
      </x:c>
      <x:c r="G1382" s="17" t="n">
        <x:v>1</x:v>
      </x:c>
      <x:c r="H1382" s="14" t="str">
        <x:v>S04-09:A:meaning_adoption</x:v>
      </x:c>
    </x:row>
    <x:row r="1383" ht="72" customHeight="1">
      <x:c r="A1383" s="14" t="str">
        <x:v>S04-09:A:evaluation_first_display</x:v>
      </x:c>
      <x:c r="B1383" s="14" t="str">
        <x:v>A</x:v>
      </x:c>
      <x:c r="C1383" s="14" t="str">
        <x:v>evaluation_first_display</x:v>
      </x:c>
      <x:c r="D1383" s="14" t="n">
        <x:v>0.87</x:v>
      </x:c>
      <x:c r="E1383" s="14" t="n">
        <x:v>0.91</x:v>
      </x:c>
      <x:c r="F1383" s="14" t="n">
        <x:v>0.04</x:v>
      </x:c>
      <x:c r="G1383" s="17" t="n">
        <x:v>1</x:v>
      </x:c>
      <x:c r="H1383" s="14" t="str">
        <x:v>S04-09:A:apply_relation</x:v>
      </x:c>
    </x:row>
    <x:row r="1384" ht="72" customHeight="1">
      <x:c r="A1384" s="14" t="str">
        <x:v>S04-09:A:source_report_v1</x:v>
      </x:c>
      <x:c r="B1384" s="14" t="str">
        <x:v>A</x:v>
      </x:c>
      <x:c r="C1384" s="14" t="str">
        <x:v>source_report_v1</x:v>
      </x:c>
      <x:c r="D1384" s="14" t="n">
        <x:v>-5.04</x:v>
      </x:c>
      <x:c r="E1384" s="14" t="n">
        <x:v>-1</x:v>
      </x:c>
      <x:c r="F1384" s="14" t="n">
        <x:v>4.04</x:v>
      </x:c>
      <x:c r="G1384" s="17" t="n">
        <x:v>0</x:v>
      </x:c>
      <x:c r="H1384" s="14" t="str">
        <x:v>S04-09:A:original_handoff</x:v>
      </x:c>
    </x:row>
    <x:row r="1385" ht="72" customHeight="1">
      <x:c r="A1385" s="14" t="str">
        <x:v>S04-09:A:display_report_v1</x:v>
      </x:c>
      <x:c r="B1385" s="14" t="str">
        <x:v>A</x:v>
      </x:c>
      <x:c r="C1385" s="14" t="str">
        <x:v>display_report_v1</x:v>
      </x:c>
      <x:c r="D1385" s="14" t="n">
        <x:v>-1</x:v>
      </x:c>
      <x:c r="E1385" s="14" t="n">
        <x:v>-0.96</x:v>
      </x:c>
      <x:c r="F1385" s="14" t="n">
        <x:v>0.04</x:v>
      </x:c>
      <x:c r="G1385" s="17" t="n">
        <x:v>1</x:v>
      </x:c>
      <x:c r="H1385" s="14" t="str">
        <x:v>S04-09:A:source_report_v1</x:v>
      </x:c>
    </x:row>
    <x:row r="1386" ht="72" customHeight="1">
      <x:c r="A1386" s="14" t="str">
        <x:v>S04-09:A:report_v1_first</x:v>
      </x:c>
      <x:c r="B1386" s="14" t="str">
        <x:v>A</x:v>
      </x:c>
      <x:c r="C1386" s="14" t="str">
        <x:v>report_v1_first</x:v>
      </x:c>
      <x:c r="D1386" s="14" t="n">
        <x:v>-1</x:v>
      </x:c>
      <x:c r="E1386" s="14" t="n">
        <x:v>-0.59</x:v>
      </x:c>
      <x:c r="F1386" s="14" t="n">
        <x:v>0.41</x:v>
      </x:c>
      <x:c r="G1386" s="17" t="n">
        <x:v>1</x:v>
      </x:c>
      <x:c r="H1386" s="14" t="str">
        <x:v>S04-09:A:source_report_v1</x:v>
      </x:c>
    </x:row>
    <x:row r="1387" ht="72" customHeight="1">
      <x:c r="A1387" s="14" t="str">
        <x:v>S04-09:A:report_v1_tail</x:v>
      </x:c>
      <x:c r="B1387" s="14" t="str">
        <x:v>A</x:v>
      </x:c>
      <x:c r="C1387" s="14" t="str">
        <x:v>report_v1_tail</x:v>
      </x:c>
      <x:c r="D1387" s="14" t="n">
        <x:v>-0.59</x:v>
      </x:c>
      <x:c r="E1387" s="14" t="n">
        <x:v>0.97</x:v>
      </x:c>
      <x:c r="F1387" s="14" t="n">
        <x:v>1.56</x:v>
      </x:c>
      <x:c r="G1387" s="17" t="n">
        <x:v>1</x:v>
      </x:c>
      <x:c r="H1387" s="14" t="str">
        <x:v>S04-09:A:report_v1_first</x:v>
      </x:c>
    </x:row>
    <x:row r="1388" ht="72" customHeight="1">
      <x:c r="A1388" s="14" t="str">
        <x:v>S04-09:A:source_withdraw_ack</x:v>
      </x:c>
      <x:c r="B1388" s="14" t="str">
        <x:v>A</x:v>
      </x:c>
      <x:c r="C1388" s="14" t="str">
        <x:v>source_withdraw_ack</x:v>
      </x:c>
      <x:c r="D1388" s="14" t="n">
        <x:v>0.87</x:v>
      </x:c>
      <x:c r="E1388" s="14" t="n">
        <x:v>0.87</x:v>
      </x:c>
      <x:c r="F1388" s="14" t="n">
        <x:v>0</x:v>
      </x:c>
      <x:c r="G1388" s="17" t="n">
        <x:v>0</x:v>
      </x:c>
      <x:c r="H1388" s="14" t="str">
        <x:v>S04-09:A:apply_relation</x:v>
      </x:c>
    </x:row>
    <x:row r="1389" ht="72" customHeight="1">
      <x:c r="A1389" s="14" t="str">
        <x:v>S04-09:A:display_withdraw_ack</x:v>
      </x:c>
      <x:c r="B1389" s="14" t="str">
        <x:v>A</x:v>
      </x:c>
      <x:c r="C1389" s="14" t="str">
        <x:v>display_withdraw_ack</x:v>
      </x:c>
      <x:c r="D1389" s="14" t="n">
        <x:v>0.87</x:v>
      </x:c>
      <x:c r="E1389" s="14" t="n">
        <x:v>0.91</x:v>
      </x:c>
      <x:c r="F1389" s="14" t="n">
        <x:v>0.04</x:v>
      </x:c>
      <x:c r="G1389" s="17" t="n">
        <x:v>1</x:v>
      </x:c>
      <x:c r="H1389" s="14" t="str">
        <x:v>S04-09:A:source_withdraw_ack</x:v>
      </x:c>
    </x:row>
    <x:row r="1390" ht="72" customHeight="1">
      <x:c r="A1390" s="14" t="str">
        <x:v>S04-09:A:withdraw_ack_first</x:v>
      </x:c>
      <x:c r="B1390" s="14" t="str">
        <x:v>A</x:v>
      </x:c>
      <x:c r="C1390" s="14" t="str">
        <x:v>withdraw_ack_first</x:v>
      </x:c>
      <x:c r="D1390" s="14" t="n">
        <x:v>0.87</x:v>
      </x:c>
      <x:c r="E1390" s="14" t="n">
        <x:v>1.277333333</x:v>
      </x:c>
      <x:c r="F1390" s="14" t="n">
        <x:v>0.407333333</x:v>
      </x:c>
      <x:c r="G1390" s="17" t="n">
        <x:v>1</x:v>
      </x:c>
      <x:c r="H1390" s="14" t="str">
        <x:v>S04-09:A:source_withdraw_ack</x:v>
      </x:c>
    </x:row>
    <x:row r="1391" ht="72" customHeight="1">
      <x:c r="A1391" s="14" t="str">
        <x:v>S04-09:A:withdraw_ack_tail</x:v>
      </x:c>
      <x:c r="B1391" s="14" t="str">
        <x:v>A</x:v>
      </x:c>
      <x:c r="C1391" s="14" t="str">
        <x:v>withdraw_ack_tail</x:v>
      </x:c>
      <x:c r="D1391" s="14" t="n">
        <x:v>1.277333333</x:v>
      </x:c>
      <x:c r="E1391" s="14" t="n">
        <x:v>2.137833333</x:v>
      </x:c>
      <x:c r="F1391" s="14" t="n">
        <x:v>0.8605</x:v>
      </x:c>
      <x:c r="G1391" s="17" t="n">
        <x:v>1</x:v>
      </x:c>
      <x:c r="H1391" s="14" t="str">
        <x:v>S04-09:A:withdraw_ack_first</x:v>
      </x:c>
    </x:row>
    <x:row r="1392" ht="72" customHeight="1">
      <x:c r="A1392" s="14" t="str">
        <x:v>S04-09:A:withdraw_ack_device</x:v>
      </x:c>
      <x:c r="B1392" s="14" t="str">
        <x:v>A</x:v>
      </x:c>
      <x:c r="C1392" s="14" t="str">
        <x:v>withdraw_ack_device</x:v>
      </x:c>
      <x:c r="D1392" s="14" t="n">
        <x:v>1.277333333</x:v>
      </x:c>
      <x:c r="E1392" s="14" t="n">
        <x:v>1.317333333</x:v>
      </x:c>
      <x:c r="F1392" s="14" t="n">
        <x:v>0.04</x:v>
      </x:c>
      <x:c r="G1392" s="17" t="n">
        <x:v>1</x:v>
      </x:c>
      <x:c r="H1392" s="14" t="str">
        <x:v>S04-09:A:apply_relation
S04-09:A:withdraw_ack_first</x:v>
      </x:c>
    </x:row>
    <x:row r="1393" ht="72" customHeight="1">
      <x:c r="A1393" s="14" t="str">
        <x:v>S04-09:A:withdraw_ack_played</x:v>
      </x:c>
      <x:c r="B1393" s="14" t="str">
        <x:v>A</x:v>
      </x:c>
      <x:c r="C1393" s="14" t="str">
        <x:v>withdraw_ack_played</x:v>
      </x:c>
      <x:c r="D1393" s="14" t="n">
        <x:v>1.317333333</x:v>
      </x:c>
      <x:c r="E1393" s="14" t="n">
        <x:v>4.959333333</x:v>
      </x:c>
      <x:c r="F1393" s="14" t="n">
        <x:v>3.642</x:v>
      </x:c>
      <x:c r="G1393" s="17" t="n">
        <x:v>0</x:v>
      </x:c>
      <x:c r="H1393" s="14" t="str">
        <x:v>S04-09:A:withdraw_ack_device</x:v>
      </x:c>
    </x:row>
    <x:row r="1394" ht="72" customHeight="1">
      <x:c r="A1394" s="14" t="str">
        <x:v>S04-09:B:origin</x:v>
      </x:c>
      <x:c r="B1394" s="14" t="str">
        <x:v>B</x:v>
      </x:c>
      <x:c r="C1394" s="14" t="str">
        <x:v>origin</x:v>
      </x:c>
      <x:c r="D1394" s="14" t="n">
        <x:v>-6</x:v>
      </x:c>
      <x:c r="E1394" s="14" t="n">
        <x:v>-6</x:v>
      </x:c>
      <x:c r="F1394" s="14" t="n">
        <x:v>0</x:v>
      </x:c>
      <x:c r="G1394" s="17" t="n">
        <x:v>0</x:v>
      </x:c>
      <x:c r="H1394" s="14" t="str"/>
    </x:row>
    <x:row r="1395" ht="72" customHeight="1">
      <x:c r="A1395" s="14" t="str">
        <x:v>S04-09:B:origin_interpretation</x:v>
      </x:c>
      <x:c r="B1395" s="14" t="str">
        <x:v>B</x:v>
      </x:c>
      <x:c r="C1395" s="14" t="str">
        <x:v>origin_interpretation</x:v>
      </x:c>
      <x:c r="D1395" s="14" t="n">
        <x:v>-6</x:v>
      </x:c>
      <x:c r="E1395" s="14" t="n">
        <x:v>-5.16</x:v>
      </x:c>
      <x:c r="F1395" s="14" t="n">
        <x:v>0.84</x:v>
      </x:c>
      <x:c r="G1395" s="17" t="n">
        <x:v>1</x:v>
      </x:c>
      <x:c r="H1395" s="14" t="str">
        <x:v>S04-09:B:origin</x:v>
      </x:c>
    </x:row>
    <x:row r="1396" ht="72" customHeight="1">
      <x:c r="A1396" s="14" t="str">
        <x:v>S04-09:B:original_handoff</x:v>
      </x:c>
      <x:c r="B1396" s="14" t="str">
        <x:v>B</x:v>
      </x:c>
      <x:c r="C1396" s="14" t="str">
        <x:v>original_handoff</x:v>
      </x:c>
      <x:c r="D1396" s="14" t="n">
        <x:v>-5.16</x:v>
      </x:c>
      <x:c r="E1396" s="14" t="n">
        <x:v>-5.04</x:v>
      </x:c>
      <x:c r="F1396" s="14" t="n">
        <x:v>0.12</x:v>
      </x:c>
      <x:c r="G1396" s="17" t="n">
        <x:v>1</x:v>
      </x:c>
      <x:c r="H1396" s="14" t="str">
        <x:v>S04-09:B:origin_interpretation</x:v>
      </x:c>
    </x:row>
    <x:row r="1397" ht="72" customHeight="1">
      <x:c r="A1397" s="14" t="str">
        <x:v>S04-09:B:evaluation_utterance_end</x:v>
      </x:c>
      <x:c r="B1397" s="14" t="str">
        <x:v>B</x:v>
      </x:c>
      <x:c r="C1397" s="14" t="str">
        <x:v>evaluation_utterance_end</x:v>
      </x:c>
      <x:c r="D1397" s="14" t="n">
        <x:v>-6</x:v>
      </x:c>
      <x:c r="E1397" s="14" t="n">
        <x:v>0</x:v>
      </x:c>
      <x:c r="F1397" s="14" t="n">
        <x:v>6</x:v>
      </x:c>
      <x:c r="G1397" s="17" t="n">
        <x:v>0</x:v>
      </x:c>
      <x:c r="H1397" s="14" t="str">
        <x:v>S04-09:B:origin</x:v>
      </x:c>
    </x:row>
    <x:row r="1398" ht="72" customHeight="1">
      <x:c r="A1398" s="14" t="str">
        <x:v>S04-09:B:final_transcript</x:v>
      </x:c>
      <x:c r="B1398" s="14" t="str">
        <x:v>B</x:v>
      </x:c>
      <x:c r="C1398" s="14" t="str">
        <x:v>final_transcript</x:v>
      </x:c>
      <x:c r="D1398" s="14" t="n">
        <x:v>0</x:v>
      </x:c>
      <x:c r="E1398" s="14" t="n">
        <x:v>0.3</x:v>
      </x:c>
      <x:c r="F1398" s="14" t="n">
        <x:v>0.3</x:v>
      </x:c>
      <x:c r="G1398" s="17" t="n">
        <x:v>1</x:v>
      </x:c>
      <x:c r="H1398" s="14" t="str">
        <x:v>S04-09:B:evaluation_utterance_end</x:v>
      </x:c>
    </x:row>
    <x:row r="1399" ht="72" customHeight="1">
      <x:c r="A1399" s="14" t="str">
        <x:v>S04-09:B:meaning_adoption</x:v>
      </x:c>
      <x:c r="B1399" s="14" t="str">
        <x:v>B</x:v>
      </x:c>
      <x:c r="C1399" s="14" t="str">
        <x:v>meaning_adoption</x:v>
      </x:c>
      <x:c r="D1399" s="14" t="n">
        <x:v>0.3</x:v>
      </x:c>
      <x:c r="E1399" s="14" t="n">
        <x:v>0.83</x:v>
      </x:c>
      <x:c r="F1399" s="14" t="n">
        <x:v>0.53</x:v>
      </x:c>
      <x:c r="G1399" s="17" t="n">
        <x:v>1</x:v>
      </x:c>
      <x:c r="H1399" s="14" t="str">
        <x:v>S04-09:B:final_transcript
S04-09:B:origin_interpretation</x:v>
      </x:c>
    </x:row>
    <x:row r="1400" ht="72" customHeight="1">
      <x:c r="A1400" s="14" t="str">
        <x:v>S04-09:B:apply_relation</x:v>
      </x:c>
      <x:c r="B1400" s="14" t="str">
        <x:v>B</x:v>
      </x:c>
      <x:c r="C1400" s="14" t="str">
        <x:v>apply_relation</x:v>
      </x:c>
      <x:c r="D1400" s="14" t="n">
        <x:v>0.83</x:v>
      </x:c>
      <x:c r="E1400" s="14" t="n">
        <x:v>0.87</x:v>
      </x:c>
      <x:c r="F1400" s="14" t="n">
        <x:v>0.04</x:v>
      </x:c>
      <x:c r="G1400" s="17" t="n">
        <x:v>1</x:v>
      </x:c>
      <x:c r="H1400" s="14" t="str">
        <x:v>S04-09:B:meaning_adoption</x:v>
      </x:c>
    </x:row>
    <x:row r="1401" ht="72" customHeight="1">
      <x:c r="A1401" s="14" t="str">
        <x:v>S04-09:B:evaluation_first_display</x:v>
      </x:c>
      <x:c r="B1401" s="14" t="str">
        <x:v>B</x:v>
      </x:c>
      <x:c r="C1401" s="14" t="str">
        <x:v>evaluation_first_display</x:v>
      </x:c>
      <x:c r="D1401" s="14" t="n">
        <x:v>0.87</x:v>
      </x:c>
      <x:c r="E1401" s="14" t="n">
        <x:v>0.91</x:v>
      </x:c>
      <x:c r="F1401" s="14" t="n">
        <x:v>0.04</x:v>
      </x:c>
      <x:c r="G1401" s="17" t="n">
        <x:v>1</x:v>
      </x:c>
      <x:c r="H1401" s="14" t="str">
        <x:v>S04-09:B:apply_relation</x:v>
      </x:c>
    </x:row>
    <x:row r="1402" ht="72" customHeight="1">
      <x:c r="A1402" s="14" t="str">
        <x:v>S04-09:B:source_report_v1</x:v>
      </x:c>
      <x:c r="B1402" s="14" t="str">
        <x:v>B</x:v>
      </x:c>
      <x:c r="C1402" s="14" t="str">
        <x:v>source_report_v1</x:v>
      </x:c>
      <x:c r="D1402" s="14" t="n">
        <x:v>-5.04</x:v>
      </x:c>
      <x:c r="E1402" s="14" t="n">
        <x:v>-1</x:v>
      </x:c>
      <x:c r="F1402" s="14" t="n">
        <x:v>4.04</x:v>
      </x:c>
      <x:c r="G1402" s="17" t="n">
        <x:v>0</x:v>
      </x:c>
      <x:c r="H1402" s="14" t="str">
        <x:v>S04-09:B:original_handoff</x:v>
      </x:c>
    </x:row>
    <x:row r="1403" ht="72" customHeight="1">
      <x:c r="A1403" s="14" t="str">
        <x:v>S04-09:B:display_report_v1</x:v>
      </x:c>
      <x:c r="B1403" s="14" t="str">
        <x:v>B</x:v>
      </x:c>
      <x:c r="C1403" s="14" t="str">
        <x:v>display_report_v1</x:v>
      </x:c>
      <x:c r="D1403" s="14" t="n">
        <x:v>-1</x:v>
      </x:c>
      <x:c r="E1403" s="14" t="n">
        <x:v>-0.96</x:v>
      </x:c>
      <x:c r="F1403" s="14" t="n">
        <x:v>0.04</x:v>
      </x:c>
      <x:c r="G1403" s="17" t="n">
        <x:v>1</x:v>
      </x:c>
      <x:c r="H1403" s="14" t="str">
        <x:v>S04-09:B:source_report_v1</x:v>
      </x:c>
    </x:row>
    <x:row r="1404" ht="72" customHeight="1">
      <x:c r="A1404" s="14" t="str">
        <x:v>S04-09:B:source_withdraw_ack</x:v>
      </x:c>
      <x:c r="B1404" s="14" t="str">
        <x:v>B</x:v>
      </x:c>
      <x:c r="C1404" s="14" t="str">
        <x:v>source_withdraw_ack</x:v>
      </x:c>
      <x:c r="D1404" s="14" t="n">
        <x:v>0.87</x:v>
      </x:c>
      <x:c r="E1404" s="14" t="n">
        <x:v>0.87</x:v>
      </x:c>
      <x:c r="F1404" s="14" t="n">
        <x:v>0</x:v>
      </x:c>
      <x:c r="G1404" s="17" t="n">
        <x:v>0</x:v>
      </x:c>
      <x:c r="H1404" s="14" t="str">
        <x:v>S04-09:B:apply_relation</x:v>
      </x:c>
    </x:row>
    <x:row r="1405" ht="72" customHeight="1">
      <x:c r="A1405" s="14" t="str">
        <x:v>S04-09:B:display_withdraw_ack</x:v>
      </x:c>
      <x:c r="B1405" s="14" t="str">
        <x:v>B</x:v>
      </x:c>
      <x:c r="C1405" s="14" t="str">
        <x:v>display_withdraw_ack</x:v>
      </x:c>
      <x:c r="D1405" s="14" t="n">
        <x:v>0.87</x:v>
      </x:c>
      <x:c r="E1405" s="14" t="n">
        <x:v>0.91</x:v>
      </x:c>
      <x:c r="F1405" s="14" t="n">
        <x:v>0.04</x:v>
      </x:c>
      <x:c r="G1405" s="17" t="n">
        <x:v>1</x:v>
      </x:c>
      <x:c r="H1405" s="14" t="str">
        <x:v>S04-09:B:source_withdraw_ack</x:v>
      </x:c>
    </x:row>
    <x:row r="1406" ht="72" customHeight="1">
      <x:c r="A1406" s="14" t="str">
        <x:v>S04-09:B:withdraw_ack_first</x:v>
      </x:c>
      <x:c r="B1406" s="14" t="str">
        <x:v>B</x:v>
      </x:c>
      <x:c r="C1406" s="14" t="str">
        <x:v>withdraw_ack_first</x:v>
      </x:c>
      <x:c r="D1406" s="14" t="n">
        <x:v>0.87</x:v>
      </x:c>
      <x:c r="E1406" s="14" t="n">
        <x:v>1.277333333</x:v>
      </x:c>
      <x:c r="F1406" s="14" t="n">
        <x:v>0.407333333</x:v>
      </x:c>
      <x:c r="G1406" s="17" t="n">
        <x:v>1</x:v>
      </x:c>
      <x:c r="H1406" s="14" t="str">
        <x:v>S04-09:B:apply_relation</x:v>
      </x:c>
    </x:row>
    <x:row r="1407" ht="72" customHeight="1">
      <x:c r="A1407" s="14" t="str">
        <x:v>S04-09:B:withdraw_ack_tail</x:v>
      </x:c>
      <x:c r="B1407" s="14" t="str">
        <x:v>B</x:v>
      </x:c>
      <x:c r="C1407" s="14" t="str">
        <x:v>withdraw_ack_tail</x:v>
      </x:c>
      <x:c r="D1407" s="14" t="n">
        <x:v>1.277333333</x:v>
      </x:c>
      <x:c r="E1407" s="14" t="n">
        <x:v>2.137833333</x:v>
      </x:c>
      <x:c r="F1407" s="14" t="n">
        <x:v>0.8605</x:v>
      </x:c>
      <x:c r="G1407" s="17" t="n">
        <x:v>1</x:v>
      </x:c>
      <x:c r="H1407" s="14" t="str">
        <x:v>S04-09:B:withdraw_ack_first</x:v>
      </x:c>
    </x:row>
    <x:row r="1408" ht="72" customHeight="1">
      <x:c r="A1408" s="14" t="str">
        <x:v>S04-09:B:withdraw_ack_device</x:v>
      </x:c>
      <x:c r="B1408" s="14" t="str">
        <x:v>B</x:v>
      </x:c>
      <x:c r="C1408" s="14" t="str">
        <x:v>withdraw_ack_device</x:v>
      </x:c>
      <x:c r="D1408" s="14" t="n">
        <x:v>1.277333333</x:v>
      </x:c>
      <x:c r="E1408" s="14" t="n">
        <x:v>1.317333333</x:v>
      </x:c>
      <x:c r="F1408" s="14" t="n">
        <x:v>0.04</x:v>
      </x:c>
      <x:c r="G1408" s="17" t="n">
        <x:v>1</x:v>
      </x:c>
      <x:c r="H1408" s="14" t="str">
        <x:v>S04-09:B:apply_relation
S04-09:B:withdraw_ack_first</x:v>
      </x:c>
    </x:row>
    <x:row r="1409" ht="72" customHeight="1">
      <x:c r="A1409" s="14" t="str">
        <x:v>S04-09:B:withdraw_ack_played</x:v>
      </x:c>
      <x:c r="B1409" s="14" t="str">
        <x:v>B</x:v>
      </x:c>
      <x:c r="C1409" s="14" t="str">
        <x:v>withdraw_ack_played</x:v>
      </x:c>
      <x:c r="D1409" s="14" t="n">
        <x:v>1.317333333</x:v>
      </x:c>
      <x:c r="E1409" s="14" t="n">
        <x:v>4.959333333</x:v>
      </x:c>
      <x:c r="F1409" s="14" t="n">
        <x:v>3.642</x:v>
      </x:c>
      <x:c r="G1409" s="17" t="n">
        <x:v>0</x:v>
      </x:c>
      <x:c r="H1409" s="14" t="str">
        <x:v>S04-09:B:withdraw_ack_device</x:v>
      </x:c>
    </x:row>
    <x:row r="1410" ht="72" customHeight="1">
      <x:c r="A1410" s="14" t="str">
        <x:v>S04-10:A:origin</x:v>
      </x:c>
      <x:c r="B1410" s="14" t="str">
        <x:v>A</x:v>
      </x:c>
      <x:c r="C1410" s="14" t="str">
        <x:v>origin</x:v>
      </x:c>
      <x:c r="D1410" s="14" t="n">
        <x:v>-6</x:v>
      </x:c>
      <x:c r="E1410" s="14" t="n">
        <x:v>-6</x:v>
      </x:c>
      <x:c r="F1410" s="14" t="n">
        <x:v>0</x:v>
      </x:c>
      <x:c r="G1410" s="17" t="n">
        <x:v>0</x:v>
      </x:c>
      <x:c r="H1410" s="14" t="str"/>
    </x:row>
    <x:row r="1411" ht="72" customHeight="1">
      <x:c r="A1411" s="14" t="str">
        <x:v>S04-10:A:origin_interpretation</x:v>
      </x:c>
      <x:c r="B1411" s="14" t="str">
        <x:v>A</x:v>
      </x:c>
      <x:c r="C1411" s="14" t="str">
        <x:v>origin_interpretation</x:v>
      </x:c>
      <x:c r="D1411" s="14" t="n">
        <x:v>-6</x:v>
      </x:c>
      <x:c r="E1411" s="14" t="n">
        <x:v>-5.16</x:v>
      </x:c>
      <x:c r="F1411" s="14" t="n">
        <x:v>0.84</x:v>
      </x:c>
      <x:c r="G1411" s="17" t="n">
        <x:v>1</x:v>
      </x:c>
      <x:c r="H1411" s="14" t="str">
        <x:v>S04-10:A:origin</x:v>
      </x:c>
    </x:row>
    <x:row r="1412" ht="72" customHeight="1">
      <x:c r="A1412" s="14" t="str">
        <x:v>S04-10:A:original_handoff</x:v>
      </x:c>
      <x:c r="B1412" s="14" t="str">
        <x:v>A</x:v>
      </x:c>
      <x:c r="C1412" s="14" t="str">
        <x:v>original_handoff</x:v>
      </x:c>
      <x:c r="D1412" s="14" t="n">
        <x:v>-5.16</x:v>
      </x:c>
      <x:c r="E1412" s="14" t="n">
        <x:v>-5.04</x:v>
      </x:c>
      <x:c r="F1412" s="14" t="n">
        <x:v>0.12</x:v>
      </x:c>
      <x:c r="G1412" s="17" t="n">
        <x:v>1</x:v>
      </x:c>
      <x:c r="H1412" s="14" t="str">
        <x:v>S04-10:A:origin_interpretation</x:v>
      </x:c>
    </x:row>
    <x:row r="1413" ht="72" customHeight="1">
      <x:c r="A1413" s="14" t="str">
        <x:v>S04-10:A:evaluation_utterance_end</x:v>
      </x:c>
      <x:c r="B1413" s="14" t="str">
        <x:v>A</x:v>
      </x:c>
      <x:c r="C1413" s="14" t="str">
        <x:v>evaluation_utterance_end</x:v>
      </x:c>
      <x:c r="D1413" s="14" t="n">
        <x:v>-6</x:v>
      </x:c>
      <x:c r="E1413" s="14" t="n">
        <x:v>0</x:v>
      </x:c>
      <x:c r="F1413" s="14" t="n">
        <x:v>6</x:v>
      </x:c>
      <x:c r="G1413" s="17" t="n">
        <x:v>0</x:v>
      </x:c>
      <x:c r="H1413" s="14" t="str">
        <x:v>S04-10:A:origin</x:v>
      </x:c>
    </x:row>
    <x:row r="1414" ht="72" customHeight="1">
      <x:c r="A1414" s="14" t="str">
        <x:v>S04-10:A:final_transcript</x:v>
      </x:c>
      <x:c r="B1414" s="14" t="str">
        <x:v>A</x:v>
      </x:c>
      <x:c r="C1414" s="14" t="str">
        <x:v>final_transcript</x:v>
      </x:c>
      <x:c r="D1414" s="14" t="n">
        <x:v>0</x:v>
      </x:c>
      <x:c r="E1414" s="14" t="n">
        <x:v>0.3</x:v>
      </x:c>
      <x:c r="F1414" s="14" t="n">
        <x:v>0.3</x:v>
      </x:c>
      <x:c r="G1414" s="17" t="n">
        <x:v>1</x:v>
      </x:c>
      <x:c r="H1414" s="14" t="str">
        <x:v>S04-10:A:evaluation_utterance_end</x:v>
      </x:c>
    </x:row>
    <x:row r="1415" ht="72" customHeight="1">
      <x:c r="A1415" s="14" t="str">
        <x:v>S04-10:A:meaning_adoption</x:v>
      </x:c>
      <x:c r="B1415" s="14" t="str">
        <x:v>A</x:v>
      </x:c>
      <x:c r="C1415" s="14" t="str">
        <x:v>meaning_adoption</x:v>
      </x:c>
      <x:c r="D1415" s="14" t="n">
        <x:v>0.3</x:v>
      </x:c>
      <x:c r="E1415" s="14" t="n">
        <x:v>0.858333333</x:v>
      </x:c>
      <x:c r="F1415" s="14" t="n">
        <x:v>0.558333333</x:v>
      </x:c>
      <x:c r="G1415" s="17" t="n">
        <x:v>1</x:v>
      </x:c>
      <x:c r="H1415" s="14" t="str">
        <x:v>S04-10:A:final_transcript
S04-10:A:origin_interpretation</x:v>
      </x:c>
    </x:row>
    <x:row r="1416" ht="72" customHeight="1">
      <x:c r="A1416" s="14" t="str">
        <x:v>S04-10:A:apply_relation</x:v>
      </x:c>
      <x:c r="B1416" s="14" t="str">
        <x:v>A</x:v>
      </x:c>
      <x:c r="C1416" s="14" t="str">
        <x:v>apply_relation</x:v>
      </x:c>
      <x:c r="D1416" s="14" t="n">
        <x:v>0.858333333</x:v>
      </x:c>
      <x:c r="E1416" s="14" t="n">
        <x:v>0.898333333</x:v>
      </x:c>
      <x:c r="F1416" s="14" t="n">
        <x:v>0.04</x:v>
      </x:c>
      <x:c r="G1416" s="17" t="n">
        <x:v>1</x:v>
      </x:c>
      <x:c r="H1416" s="14" t="str">
        <x:v>S04-10:A:meaning_adoption</x:v>
      </x:c>
    </x:row>
    <x:row r="1417" ht="72" customHeight="1">
      <x:c r="A1417" s="14" t="str">
        <x:v>S04-10:A:evaluation_first_display</x:v>
      </x:c>
      <x:c r="B1417" s="14" t="str">
        <x:v>A</x:v>
      </x:c>
      <x:c r="C1417" s="14" t="str">
        <x:v>evaluation_first_display</x:v>
      </x:c>
      <x:c r="D1417" s="14" t="n">
        <x:v>0.898333333</x:v>
      </x:c>
      <x:c r="E1417" s="14" t="n">
        <x:v>0.938333333</x:v>
      </x:c>
      <x:c r="F1417" s="14" t="n">
        <x:v>0.04</x:v>
      </x:c>
      <x:c r="G1417" s="17" t="n">
        <x:v>1</x:v>
      </x:c>
      <x:c r="H1417" s="14" t="str">
        <x:v>S04-10:A:apply_relation</x:v>
      </x:c>
    </x:row>
    <x:row r="1418" ht="72" customHeight="1">
      <x:c r="A1418" s="14" t="str">
        <x:v>S04-10:A:source_report_v1</x:v>
      </x:c>
      <x:c r="B1418" s="14" t="str">
        <x:v>A</x:v>
      </x:c>
      <x:c r="C1418" s="14" t="str">
        <x:v>source_report_v1</x:v>
      </x:c>
      <x:c r="D1418" s="14" t="n">
        <x:v>-5.04</x:v>
      </x:c>
      <x:c r="E1418" s="14" t="n">
        <x:v>-1</x:v>
      </x:c>
      <x:c r="F1418" s="14" t="n">
        <x:v>4.04</x:v>
      </x:c>
      <x:c r="G1418" s="17" t="n">
        <x:v>0</x:v>
      </x:c>
      <x:c r="H1418" s="14" t="str">
        <x:v>S04-10:A:original_handoff</x:v>
      </x:c>
    </x:row>
    <x:row r="1419" ht="72" customHeight="1">
      <x:c r="A1419" s="14" t="str">
        <x:v>S04-10:A:display_report_v1</x:v>
      </x:c>
      <x:c r="B1419" s="14" t="str">
        <x:v>A</x:v>
      </x:c>
      <x:c r="C1419" s="14" t="str">
        <x:v>display_report_v1</x:v>
      </x:c>
      <x:c r="D1419" s="14" t="n">
        <x:v>-1</x:v>
      </x:c>
      <x:c r="E1419" s="14" t="n">
        <x:v>-0.96</x:v>
      </x:c>
      <x:c r="F1419" s="14" t="n">
        <x:v>0.04</x:v>
      </x:c>
      <x:c r="G1419" s="17" t="n">
        <x:v>1</x:v>
      </x:c>
      <x:c r="H1419" s="14" t="str">
        <x:v>S04-10:A:source_report_v1</x:v>
      </x:c>
    </x:row>
    <x:row r="1420" ht="72" customHeight="1">
      <x:c r="A1420" s="14" t="str">
        <x:v>S04-10:A:report_v1_first</x:v>
      </x:c>
      <x:c r="B1420" s="14" t="str">
        <x:v>A</x:v>
      </x:c>
      <x:c r="C1420" s="14" t="str">
        <x:v>report_v1_first</x:v>
      </x:c>
      <x:c r="D1420" s="14" t="n">
        <x:v>-1</x:v>
      </x:c>
      <x:c r="E1420" s="14" t="n">
        <x:v>-0.59</x:v>
      </x:c>
      <x:c r="F1420" s="14" t="n">
        <x:v>0.41</x:v>
      </x:c>
      <x:c r="G1420" s="17" t="n">
        <x:v>1</x:v>
      </x:c>
      <x:c r="H1420" s="14" t="str">
        <x:v>S04-10:A:source_report_v1</x:v>
      </x:c>
    </x:row>
    <x:row r="1421" ht="72" customHeight="1">
      <x:c r="A1421" s="14" t="str">
        <x:v>S04-10:A:report_v1_tail</x:v>
      </x:c>
      <x:c r="B1421" s="14" t="str">
        <x:v>A</x:v>
      </x:c>
      <x:c r="C1421" s="14" t="str">
        <x:v>report_v1_tail</x:v>
      </x:c>
      <x:c r="D1421" s="14" t="n">
        <x:v>-0.59</x:v>
      </x:c>
      <x:c r="E1421" s="14" t="n">
        <x:v>0.998333333</x:v>
      </x:c>
      <x:c r="F1421" s="14" t="n">
        <x:v>1.588333333</x:v>
      </x:c>
      <x:c r="G1421" s="17" t="n">
        <x:v>1</x:v>
      </x:c>
      <x:c r="H1421" s="14" t="str">
        <x:v>S04-10:A:report_v1_first</x:v>
      </x:c>
    </x:row>
    <x:row r="1422" ht="72" customHeight="1">
      <x:c r="A1422" s="14" t="str">
        <x:v>S04-10:A:source_withdraw_ack</x:v>
      </x:c>
      <x:c r="B1422" s="14" t="str">
        <x:v>A</x:v>
      </x:c>
      <x:c r="C1422" s="14" t="str">
        <x:v>source_withdraw_ack</x:v>
      </x:c>
      <x:c r="D1422" s="14" t="n">
        <x:v>0.898333333</x:v>
      </x:c>
      <x:c r="E1422" s="14" t="n">
        <x:v>0.898333333</x:v>
      </x:c>
      <x:c r="F1422" s="14" t="n">
        <x:v>0</x:v>
      </x:c>
      <x:c r="G1422" s="17" t="n">
        <x:v>0</x:v>
      </x:c>
      <x:c r="H1422" s="14" t="str">
        <x:v>S04-10:A:apply_relation</x:v>
      </x:c>
    </x:row>
    <x:row r="1423" ht="72" customHeight="1">
      <x:c r="A1423" s="14" t="str">
        <x:v>S04-10:A:display_withdraw_ack</x:v>
      </x:c>
      <x:c r="B1423" s="14" t="str">
        <x:v>A</x:v>
      </x:c>
      <x:c r="C1423" s="14" t="str">
        <x:v>display_withdraw_ack</x:v>
      </x:c>
      <x:c r="D1423" s="14" t="n">
        <x:v>0.898333333</x:v>
      </x:c>
      <x:c r="E1423" s="14" t="n">
        <x:v>0.938333333</x:v>
      </x:c>
      <x:c r="F1423" s="14" t="n">
        <x:v>0.04</x:v>
      </x:c>
      <x:c r="G1423" s="17" t="n">
        <x:v>1</x:v>
      </x:c>
      <x:c r="H1423" s="14" t="str">
        <x:v>S04-10:A:source_withdraw_ack</x:v>
      </x:c>
    </x:row>
    <x:row r="1424" ht="72" customHeight="1">
      <x:c r="A1424" s="14" t="str">
        <x:v>S04-10:A:withdraw_ack_first</x:v>
      </x:c>
      <x:c r="B1424" s="14" t="str">
        <x:v>A</x:v>
      </x:c>
      <x:c r="C1424" s="14" t="str">
        <x:v>withdraw_ack_first</x:v>
      </x:c>
      <x:c r="D1424" s="14" t="n">
        <x:v>0.898333333</x:v>
      </x:c>
      <x:c r="E1424" s="14" t="n">
        <x:v>1.305666666</x:v>
      </x:c>
      <x:c r="F1424" s="14" t="n">
        <x:v>0.407333333</x:v>
      </x:c>
      <x:c r="G1424" s="17" t="n">
        <x:v>1</x:v>
      </x:c>
      <x:c r="H1424" s="14" t="str">
        <x:v>S04-10:A:source_withdraw_ack</x:v>
      </x:c>
    </x:row>
    <x:row r="1425" ht="72" customHeight="1">
      <x:c r="A1425" s="14" t="str">
        <x:v>S04-10:A:withdraw_ack_tail</x:v>
      </x:c>
      <x:c r="B1425" s="14" t="str">
        <x:v>A</x:v>
      </x:c>
      <x:c r="C1425" s="14" t="str">
        <x:v>withdraw_ack_tail</x:v>
      </x:c>
      <x:c r="D1425" s="14" t="n">
        <x:v>1.305666666</x:v>
      </x:c>
      <x:c r="E1425" s="14" t="n">
        <x:v>2.169166666</x:v>
      </x:c>
      <x:c r="F1425" s="14" t="n">
        <x:v>0.8635</x:v>
      </x:c>
      <x:c r="G1425" s="17" t="n">
        <x:v>1</x:v>
      </x:c>
      <x:c r="H1425" s="14" t="str">
        <x:v>S04-10:A:withdraw_ack_first</x:v>
      </x:c>
    </x:row>
    <x:row r="1426" ht="72" customHeight="1">
      <x:c r="A1426" s="14" t="str">
        <x:v>S04-10:A:withdraw_ack_device</x:v>
      </x:c>
      <x:c r="B1426" s="14" t="str">
        <x:v>A</x:v>
      </x:c>
      <x:c r="C1426" s="14" t="str">
        <x:v>withdraw_ack_device</x:v>
      </x:c>
      <x:c r="D1426" s="14" t="n">
        <x:v>1.305666666</x:v>
      </x:c>
      <x:c r="E1426" s="14" t="n">
        <x:v>1.345666666</x:v>
      </x:c>
      <x:c r="F1426" s="14" t="n">
        <x:v>0.04</x:v>
      </x:c>
      <x:c r="G1426" s="17" t="n">
        <x:v>1</x:v>
      </x:c>
      <x:c r="H1426" s="14" t="str">
        <x:v>S04-10:A:apply_relation
S04-10:A:withdraw_ack_first</x:v>
      </x:c>
    </x:row>
    <x:row r="1427" ht="72" customHeight="1">
      <x:c r="A1427" s="14" t="str">
        <x:v>S04-10:A:withdraw_ack_played</x:v>
      </x:c>
      <x:c r="B1427" s="14" t="str">
        <x:v>A</x:v>
      </x:c>
      <x:c r="C1427" s="14" t="str">
        <x:v>withdraw_ack_played</x:v>
      </x:c>
      <x:c r="D1427" s="14" t="n">
        <x:v>1.345666666</x:v>
      </x:c>
      <x:c r="E1427" s="14" t="n">
        <x:v>4.999666666</x:v>
      </x:c>
      <x:c r="F1427" s="14" t="n">
        <x:v>3.654</x:v>
      </x:c>
      <x:c r="G1427" s="17" t="n">
        <x:v>0</x:v>
      </x:c>
      <x:c r="H1427" s="14" t="str">
        <x:v>S04-10:A:withdraw_ack_device</x:v>
      </x:c>
    </x:row>
    <x:row r="1428" ht="72" customHeight="1">
      <x:c r="A1428" s="14" t="str">
        <x:v>S04-10:B:origin</x:v>
      </x:c>
      <x:c r="B1428" s="14" t="str">
        <x:v>B</x:v>
      </x:c>
      <x:c r="C1428" s="14" t="str">
        <x:v>origin</x:v>
      </x:c>
      <x:c r="D1428" s="14" t="n">
        <x:v>-6</x:v>
      </x:c>
      <x:c r="E1428" s="14" t="n">
        <x:v>-6</x:v>
      </x:c>
      <x:c r="F1428" s="14" t="n">
        <x:v>0</x:v>
      </x:c>
      <x:c r="G1428" s="17" t="n">
        <x:v>0</x:v>
      </x:c>
      <x:c r="H1428" s="14" t="str"/>
    </x:row>
    <x:row r="1429" ht="72" customHeight="1">
      <x:c r="A1429" s="14" t="str">
        <x:v>S04-10:B:origin_interpretation</x:v>
      </x:c>
      <x:c r="B1429" s="14" t="str">
        <x:v>B</x:v>
      </x:c>
      <x:c r="C1429" s="14" t="str">
        <x:v>origin_interpretation</x:v>
      </x:c>
      <x:c r="D1429" s="14" t="n">
        <x:v>-6</x:v>
      </x:c>
      <x:c r="E1429" s="14" t="n">
        <x:v>-5.16</x:v>
      </x:c>
      <x:c r="F1429" s="14" t="n">
        <x:v>0.84</x:v>
      </x:c>
      <x:c r="G1429" s="17" t="n">
        <x:v>1</x:v>
      </x:c>
      <x:c r="H1429" s="14" t="str">
        <x:v>S04-10:B:origin</x:v>
      </x:c>
    </x:row>
    <x:row r="1430" ht="72" customHeight="1">
      <x:c r="A1430" s="14" t="str">
        <x:v>S04-10:B:original_handoff</x:v>
      </x:c>
      <x:c r="B1430" s="14" t="str">
        <x:v>B</x:v>
      </x:c>
      <x:c r="C1430" s="14" t="str">
        <x:v>original_handoff</x:v>
      </x:c>
      <x:c r="D1430" s="14" t="n">
        <x:v>-5.16</x:v>
      </x:c>
      <x:c r="E1430" s="14" t="n">
        <x:v>-5.04</x:v>
      </x:c>
      <x:c r="F1430" s="14" t="n">
        <x:v>0.12</x:v>
      </x:c>
      <x:c r="G1430" s="17" t="n">
        <x:v>1</x:v>
      </x:c>
      <x:c r="H1430" s="14" t="str">
        <x:v>S04-10:B:origin_interpretation</x:v>
      </x:c>
    </x:row>
    <x:row r="1431" ht="72" customHeight="1">
      <x:c r="A1431" s="14" t="str">
        <x:v>S04-10:B:evaluation_utterance_end</x:v>
      </x:c>
      <x:c r="B1431" s="14" t="str">
        <x:v>B</x:v>
      </x:c>
      <x:c r="C1431" s="14" t="str">
        <x:v>evaluation_utterance_end</x:v>
      </x:c>
      <x:c r="D1431" s="14" t="n">
        <x:v>-6</x:v>
      </x:c>
      <x:c r="E1431" s="14" t="n">
        <x:v>0</x:v>
      </x:c>
      <x:c r="F1431" s="14" t="n">
        <x:v>6</x:v>
      </x:c>
      <x:c r="G1431" s="17" t="n">
        <x:v>0</x:v>
      </x:c>
      <x:c r="H1431" s="14" t="str">
        <x:v>S04-10:B:origin</x:v>
      </x:c>
    </x:row>
    <x:row r="1432" ht="72" customHeight="1">
      <x:c r="A1432" s="14" t="str">
        <x:v>S04-10:B:final_transcript</x:v>
      </x:c>
      <x:c r="B1432" s="14" t="str">
        <x:v>B</x:v>
      </x:c>
      <x:c r="C1432" s="14" t="str">
        <x:v>final_transcript</x:v>
      </x:c>
      <x:c r="D1432" s="14" t="n">
        <x:v>0</x:v>
      </x:c>
      <x:c r="E1432" s="14" t="n">
        <x:v>0.3</x:v>
      </x:c>
      <x:c r="F1432" s="14" t="n">
        <x:v>0.3</x:v>
      </x:c>
      <x:c r="G1432" s="17" t="n">
        <x:v>1</x:v>
      </x:c>
      <x:c r="H1432" s="14" t="str">
        <x:v>S04-10:B:evaluation_utterance_end</x:v>
      </x:c>
    </x:row>
    <x:row r="1433" ht="72" customHeight="1">
      <x:c r="A1433" s="14" t="str">
        <x:v>S04-10:B:meaning_adoption</x:v>
      </x:c>
      <x:c r="B1433" s="14" t="str">
        <x:v>B</x:v>
      </x:c>
      <x:c r="C1433" s="14" t="str">
        <x:v>meaning_adoption</x:v>
      </x:c>
      <x:c r="D1433" s="14" t="n">
        <x:v>0.3</x:v>
      </x:c>
      <x:c r="E1433" s="14" t="n">
        <x:v>0.858333333</x:v>
      </x:c>
      <x:c r="F1433" s="14" t="n">
        <x:v>0.558333333</x:v>
      </x:c>
      <x:c r="G1433" s="17" t="n">
        <x:v>1</x:v>
      </x:c>
      <x:c r="H1433" s="14" t="str">
        <x:v>S04-10:B:final_transcript
S04-10:B:origin_interpretation</x:v>
      </x:c>
    </x:row>
    <x:row r="1434" ht="72" customHeight="1">
      <x:c r="A1434" s="14" t="str">
        <x:v>S04-10:B:apply_relation</x:v>
      </x:c>
      <x:c r="B1434" s="14" t="str">
        <x:v>B</x:v>
      </x:c>
      <x:c r="C1434" s="14" t="str">
        <x:v>apply_relation</x:v>
      </x:c>
      <x:c r="D1434" s="14" t="n">
        <x:v>0.858333333</x:v>
      </x:c>
      <x:c r="E1434" s="14" t="n">
        <x:v>0.898333333</x:v>
      </x:c>
      <x:c r="F1434" s="14" t="n">
        <x:v>0.04</x:v>
      </x:c>
      <x:c r="G1434" s="17" t="n">
        <x:v>1</x:v>
      </x:c>
      <x:c r="H1434" s="14" t="str">
        <x:v>S04-10:B:meaning_adoption</x:v>
      </x:c>
    </x:row>
    <x:row r="1435" ht="72" customHeight="1">
      <x:c r="A1435" s="14" t="str">
        <x:v>S04-10:B:evaluation_first_display</x:v>
      </x:c>
      <x:c r="B1435" s="14" t="str">
        <x:v>B</x:v>
      </x:c>
      <x:c r="C1435" s="14" t="str">
        <x:v>evaluation_first_display</x:v>
      </x:c>
      <x:c r="D1435" s="14" t="n">
        <x:v>0.898333333</x:v>
      </x:c>
      <x:c r="E1435" s="14" t="n">
        <x:v>0.938333333</x:v>
      </x:c>
      <x:c r="F1435" s="14" t="n">
        <x:v>0.04</x:v>
      </x:c>
      <x:c r="G1435" s="17" t="n">
        <x:v>1</x:v>
      </x:c>
      <x:c r="H1435" s="14" t="str">
        <x:v>S04-10:B:apply_relation</x:v>
      </x:c>
    </x:row>
    <x:row r="1436" ht="72" customHeight="1">
      <x:c r="A1436" s="14" t="str">
        <x:v>S04-10:B:source_report_v1</x:v>
      </x:c>
      <x:c r="B1436" s="14" t="str">
        <x:v>B</x:v>
      </x:c>
      <x:c r="C1436" s="14" t="str">
        <x:v>source_report_v1</x:v>
      </x:c>
      <x:c r="D1436" s="14" t="n">
        <x:v>-5.04</x:v>
      </x:c>
      <x:c r="E1436" s="14" t="n">
        <x:v>-1</x:v>
      </x:c>
      <x:c r="F1436" s="14" t="n">
        <x:v>4.04</x:v>
      </x:c>
      <x:c r="G1436" s="17" t="n">
        <x:v>0</x:v>
      </x:c>
      <x:c r="H1436" s="14" t="str">
        <x:v>S04-10:B:original_handoff</x:v>
      </x:c>
    </x:row>
    <x:row r="1437" ht="72" customHeight="1">
      <x:c r="A1437" s="14" t="str">
        <x:v>S04-10:B:display_report_v1</x:v>
      </x:c>
      <x:c r="B1437" s="14" t="str">
        <x:v>B</x:v>
      </x:c>
      <x:c r="C1437" s="14" t="str">
        <x:v>display_report_v1</x:v>
      </x:c>
      <x:c r="D1437" s="14" t="n">
        <x:v>-1</x:v>
      </x:c>
      <x:c r="E1437" s="14" t="n">
        <x:v>-0.96</x:v>
      </x:c>
      <x:c r="F1437" s="14" t="n">
        <x:v>0.04</x:v>
      </x:c>
      <x:c r="G1437" s="17" t="n">
        <x:v>1</x:v>
      </x:c>
      <x:c r="H1437" s="14" t="str">
        <x:v>S04-10:B:source_report_v1</x:v>
      </x:c>
    </x:row>
    <x:row r="1438" ht="72" customHeight="1">
      <x:c r="A1438" s="14" t="str">
        <x:v>S04-10:B:source_withdraw_ack</x:v>
      </x:c>
      <x:c r="B1438" s="14" t="str">
        <x:v>B</x:v>
      </x:c>
      <x:c r="C1438" s="14" t="str">
        <x:v>source_withdraw_ack</x:v>
      </x:c>
      <x:c r="D1438" s="14" t="n">
        <x:v>0.898333333</x:v>
      </x:c>
      <x:c r="E1438" s="14" t="n">
        <x:v>0.898333333</x:v>
      </x:c>
      <x:c r="F1438" s="14" t="n">
        <x:v>0</x:v>
      </x:c>
      <x:c r="G1438" s="17" t="n">
        <x:v>0</x:v>
      </x:c>
      <x:c r="H1438" s="14" t="str">
        <x:v>S04-10:B:apply_relation</x:v>
      </x:c>
    </x:row>
    <x:row r="1439" ht="72" customHeight="1">
      <x:c r="A1439" s="14" t="str">
        <x:v>S04-10:B:display_withdraw_ack</x:v>
      </x:c>
      <x:c r="B1439" s="14" t="str">
        <x:v>B</x:v>
      </x:c>
      <x:c r="C1439" s="14" t="str">
        <x:v>display_withdraw_ack</x:v>
      </x:c>
      <x:c r="D1439" s="14" t="n">
        <x:v>0.898333333</x:v>
      </x:c>
      <x:c r="E1439" s="14" t="n">
        <x:v>0.938333333</x:v>
      </x:c>
      <x:c r="F1439" s="14" t="n">
        <x:v>0.04</x:v>
      </x:c>
      <x:c r="G1439" s="17" t="n">
        <x:v>1</x:v>
      </x:c>
      <x:c r="H1439" s="14" t="str">
        <x:v>S04-10:B:source_withdraw_ack</x:v>
      </x:c>
    </x:row>
    <x:row r="1440" ht="72" customHeight="1">
      <x:c r="A1440" s="14" t="str">
        <x:v>S04-10:B:withdraw_ack_first</x:v>
      </x:c>
      <x:c r="B1440" s="14" t="str">
        <x:v>B</x:v>
      </x:c>
      <x:c r="C1440" s="14" t="str">
        <x:v>withdraw_ack_first</x:v>
      </x:c>
      <x:c r="D1440" s="14" t="n">
        <x:v>0.898333333</x:v>
      </x:c>
      <x:c r="E1440" s="14" t="n">
        <x:v>1.305666666</x:v>
      </x:c>
      <x:c r="F1440" s="14" t="n">
        <x:v>0.407333333</x:v>
      </x:c>
      <x:c r="G1440" s="17" t="n">
        <x:v>1</x:v>
      </x:c>
      <x:c r="H1440" s="14" t="str">
        <x:v>S04-10:B:apply_relation</x:v>
      </x:c>
    </x:row>
    <x:row r="1441" ht="72" customHeight="1">
      <x:c r="A1441" s="14" t="str">
        <x:v>S04-10:B:withdraw_ack_tail</x:v>
      </x:c>
      <x:c r="B1441" s="14" t="str">
        <x:v>B</x:v>
      </x:c>
      <x:c r="C1441" s="14" t="str">
        <x:v>withdraw_ack_tail</x:v>
      </x:c>
      <x:c r="D1441" s="14" t="n">
        <x:v>1.305666666</x:v>
      </x:c>
      <x:c r="E1441" s="14" t="n">
        <x:v>2.169166666</x:v>
      </x:c>
      <x:c r="F1441" s="14" t="n">
        <x:v>0.8635</x:v>
      </x:c>
      <x:c r="G1441" s="17" t="n">
        <x:v>1</x:v>
      </x:c>
      <x:c r="H1441" s="14" t="str">
        <x:v>S04-10:B:withdraw_ack_first</x:v>
      </x:c>
    </x:row>
    <x:row r="1442" ht="72" customHeight="1">
      <x:c r="A1442" s="14" t="str">
        <x:v>S04-10:B:withdraw_ack_device</x:v>
      </x:c>
      <x:c r="B1442" s="14" t="str">
        <x:v>B</x:v>
      </x:c>
      <x:c r="C1442" s="14" t="str">
        <x:v>withdraw_ack_device</x:v>
      </x:c>
      <x:c r="D1442" s="14" t="n">
        <x:v>1.305666666</x:v>
      </x:c>
      <x:c r="E1442" s="14" t="n">
        <x:v>1.345666666</x:v>
      </x:c>
      <x:c r="F1442" s="14" t="n">
        <x:v>0.04</x:v>
      </x:c>
      <x:c r="G1442" s="17" t="n">
        <x:v>1</x:v>
      </x:c>
      <x:c r="H1442" s="14" t="str">
        <x:v>S04-10:B:apply_relation
S04-10:B:withdraw_ack_first</x:v>
      </x:c>
    </x:row>
    <x:row r="1443" ht="72" customHeight="1">
      <x:c r="A1443" s="14" t="str">
        <x:v>S04-10:B:withdraw_ack_played</x:v>
      </x:c>
      <x:c r="B1443" s="14" t="str">
        <x:v>B</x:v>
      </x:c>
      <x:c r="C1443" s="14" t="str">
        <x:v>withdraw_ack_played</x:v>
      </x:c>
      <x:c r="D1443" s="14" t="n">
        <x:v>1.345666666</x:v>
      </x:c>
      <x:c r="E1443" s="14" t="n">
        <x:v>4.999666666</x:v>
      </x:c>
      <x:c r="F1443" s="14" t="n">
        <x:v>3.654</x:v>
      </x:c>
      <x:c r="G1443" s="17" t="n">
        <x:v>0</x:v>
      </x:c>
      <x:c r="H1443" s="14" t="str">
        <x:v>S04-10:B:withdraw_ack_device</x:v>
      </x:c>
    </x:row>
    <x:row r="1444" ht="72" customHeight="1">
      <x:c r="A1444" s="14" t="str">
        <x:v>S05-01:A:origin</x:v>
      </x:c>
      <x:c r="B1444" s="14" t="str">
        <x:v>A</x:v>
      </x:c>
      <x:c r="C1444" s="14" t="str">
        <x:v>origin</x:v>
      </x:c>
      <x:c r="D1444" s="14" t="n">
        <x:v>-6</x:v>
      </x:c>
      <x:c r="E1444" s="14" t="n">
        <x:v>-6</x:v>
      </x:c>
      <x:c r="F1444" s="14" t="n">
        <x:v>0</x:v>
      </x:c>
      <x:c r="G1444" s="17" t="n">
        <x:v>0</x:v>
      </x:c>
      <x:c r="H1444" s="14" t="str"/>
    </x:row>
    <x:row r="1445" ht="72" customHeight="1">
      <x:c r="A1445" s="14" t="str">
        <x:v>S05-01:A:origin_interpretation</x:v>
      </x:c>
      <x:c r="B1445" s="14" t="str">
        <x:v>A</x:v>
      </x:c>
      <x:c r="C1445" s="14" t="str">
        <x:v>origin_interpretation</x:v>
      </x:c>
      <x:c r="D1445" s="14" t="n">
        <x:v>-6</x:v>
      </x:c>
      <x:c r="E1445" s="14" t="n">
        <x:v>-5.16</x:v>
      </x:c>
      <x:c r="F1445" s="14" t="n">
        <x:v>0.84</x:v>
      </x:c>
      <x:c r="G1445" s="17" t="n">
        <x:v>1</x:v>
      </x:c>
      <x:c r="H1445" s="14" t="str">
        <x:v>S05-01:A:origin</x:v>
      </x:c>
    </x:row>
    <x:row r="1446" ht="72" customHeight="1">
      <x:c r="A1446" s="14" t="str">
        <x:v>S05-01:A:original_handoff</x:v>
      </x:c>
      <x:c r="B1446" s="14" t="str">
        <x:v>A</x:v>
      </x:c>
      <x:c r="C1446" s="14" t="str">
        <x:v>original_handoff</x:v>
      </x:c>
      <x:c r="D1446" s="14" t="n">
        <x:v>-5.16</x:v>
      </x:c>
      <x:c r="E1446" s="14" t="n">
        <x:v>-5.04</x:v>
      </x:c>
      <x:c r="F1446" s="14" t="n">
        <x:v>0.12</x:v>
      </x:c>
      <x:c r="G1446" s="17" t="n">
        <x:v>1</x:v>
      </x:c>
      <x:c r="H1446" s="14" t="str">
        <x:v>S05-01:A:origin_interpretation</x:v>
      </x:c>
    </x:row>
    <x:row r="1447" ht="72" customHeight="1">
      <x:c r="A1447" s="14" t="str">
        <x:v>S05-01:A:evaluation_utterance_end</x:v>
      </x:c>
      <x:c r="B1447" s="14" t="str">
        <x:v>A</x:v>
      </x:c>
      <x:c r="C1447" s="14" t="str">
        <x:v>evaluation_utterance_end</x:v>
      </x:c>
      <x:c r="D1447" s="14" t="n">
        <x:v>-6</x:v>
      </x:c>
      <x:c r="E1447" s="14" t="n">
        <x:v>0</x:v>
      </x:c>
      <x:c r="F1447" s="14" t="n">
        <x:v>6</x:v>
      </x:c>
      <x:c r="G1447" s="17" t="n">
        <x:v>0</x:v>
      </x:c>
      <x:c r="H1447" s="14" t="str">
        <x:v>S05-01:A:origin</x:v>
      </x:c>
    </x:row>
    <x:row r="1448" ht="72" customHeight="1">
      <x:c r="A1448" s="14" t="str">
        <x:v>S05-01:A:final_transcript</x:v>
      </x:c>
      <x:c r="B1448" s="14" t="str">
        <x:v>A</x:v>
      </x:c>
      <x:c r="C1448" s="14" t="str">
        <x:v>final_transcript</x:v>
      </x:c>
      <x:c r="D1448" s="14" t="n">
        <x:v>0</x:v>
      </x:c>
      <x:c r="E1448" s="14" t="n">
        <x:v>0.3</x:v>
      </x:c>
      <x:c r="F1448" s="14" t="n">
        <x:v>0.3</x:v>
      </x:c>
      <x:c r="G1448" s="17" t="n">
        <x:v>1</x:v>
      </x:c>
      <x:c r="H1448" s="14" t="str">
        <x:v>S05-01:A:evaluation_utterance_end</x:v>
      </x:c>
    </x:row>
    <x:row r="1449" ht="72" customHeight="1">
      <x:c r="A1449" s="14" t="str">
        <x:v>S05-01:A:meaning_adoption</x:v>
      </x:c>
      <x:c r="B1449" s="14" t="str">
        <x:v>A</x:v>
      </x:c>
      <x:c r="C1449" s="14" t="str">
        <x:v>meaning_adoption</x:v>
      </x:c>
      <x:c r="D1449" s="14" t="n">
        <x:v>0.3</x:v>
      </x:c>
      <x:c r="E1449" s="14" t="n">
        <x:v>0.828333333</x:v>
      </x:c>
      <x:c r="F1449" s="14" t="n">
        <x:v>0.528333333</x:v>
      </x:c>
      <x:c r="G1449" s="17" t="n">
        <x:v>1</x:v>
      </x:c>
      <x:c r="H1449" s="14" t="str">
        <x:v>S05-01:A:final_transcript
S05-01:A:origin_interpretation</x:v>
      </x:c>
    </x:row>
    <x:row r="1450" ht="72" customHeight="1">
      <x:c r="A1450" s="14" t="str">
        <x:v>S05-01:A:apply_relation</x:v>
      </x:c>
      <x:c r="B1450" s="14" t="str">
        <x:v>A</x:v>
      </x:c>
      <x:c r="C1450" s="14" t="str">
        <x:v>apply_relation</x:v>
      </x:c>
      <x:c r="D1450" s="14" t="n">
        <x:v>0.828333333</x:v>
      </x:c>
      <x:c r="E1450" s="14" t="n">
        <x:v>0.868333333</x:v>
      </x:c>
      <x:c r="F1450" s="14" t="n">
        <x:v>0.04</x:v>
      </x:c>
      <x:c r="G1450" s="17" t="n">
        <x:v>1</x:v>
      </x:c>
      <x:c r="H1450" s="14" t="str">
        <x:v>S05-01:A:meaning_adoption</x:v>
      </x:c>
    </x:row>
    <x:row r="1451" ht="72" customHeight="1">
      <x:c r="A1451" s="14" t="str">
        <x:v>S05-01:A:evaluation_first_display</x:v>
      </x:c>
      <x:c r="B1451" s="14" t="str">
        <x:v>A</x:v>
      </x:c>
      <x:c r="C1451" s="14" t="str">
        <x:v>evaluation_first_display</x:v>
      </x:c>
      <x:c r="D1451" s="14" t="n">
        <x:v>0.868333333</x:v>
      </x:c>
      <x:c r="E1451" s="14" t="n">
        <x:v>0.908333333</x:v>
      </x:c>
      <x:c r="F1451" s="14" t="n">
        <x:v>0.04</x:v>
      </x:c>
      <x:c r="G1451" s="17" t="n">
        <x:v>1</x:v>
      </x:c>
      <x:c r="H1451" s="14" t="str">
        <x:v>S05-01:A:apply_relation</x:v>
      </x:c>
    </x:row>
    <x:row r="1452" ht="72" customHeight="1">
      <x:c r="A1452" s="14" t="str">
        <x:v>S05-01:A:source_long_report</x:v>
      </x:c>
      <x:c r="B1452" s="14" t="str">
        <x:v>A</x:v>
      </x:c>
      <x:c r="C1452" s="14" t="str">
        <x:v>source_long_report</x:v>
      </x:c>
      <x:c r="D1452" s="14" t="n">
        <x:v>-5.04</x:v>
      </x:c>
      <x:c r="E1452" s="14" t="n">
        <x:v>-4.8</x:v>
      </x:c>
      <x:c r="F1452" s="14" t="n">
        <x:v>0.24</x:v>
      </x:c>
      <x:c r="G1452" s="17" t="n">
        <x:v>0</x:v>
      </x:c>
      <x:c r="H1452" s="14" t="str">
        <x:v>S05-01:A:original_handoff</x:v>
      </x:c>
    </x:row>
    <x:row r="1453" ht="72" customHeight="1">
      <x:c r="A1453" s="14" t="str">
        <x:v>S05-01:A:display_long_report</x:v>
      </x:c>
      <x:c r="B1453" s="14" t="str">
        <x:v>A</x:v>
      </x:c>
      <x:c r="C1453" s="14" t="str">
        <x:v>display_long_report</x:v>
      </x:c>
      <x:c r="D1453" s="14" t="n">
        <x:v>-4.8</x:v>
      </x:c>
      <x:c r="E1453" s="14" t="n">
        <x:v>-4.76</x:v>
      </x:c>
      <x:c r="F1453" s="14" t="n">
        <x:v>0.04</x:v>
      </x:c>
      <x:c r="G1453" s="17" t="n">
        <x:v>1</x:v>
      </x:c>
      <x:c r="H1453" s="14" t="str">
        <x:v>S05-01:A:source_long_report</x:v>
      </x:c>
    </x:row>
    <x:row r="1454" ht="72" customHeight="1">
      <x:c r="A1454" s="14" t="str">
        <x:v>S05-01:A:long_report_first</x:v>
      </x:c>
      <x:c r="B1454" s="14" t="str">
        <x:v>A</x:v>
      </x:c>
      <x:c r="C1454" s="14" t="str">
        <x:v>long_report_first</x:v>
      </x:c>
      <x:c r="D1454" s="14" t="n">
        <x:v>-4.8</x:v>
      </x:c>
      <x:c r="E1454" s="14" t="n">
        <x:v>-4.324666667</x:v>
      </x:c>
      <x:c r="F1454" s="14" t="n">
        <x:v>0.475333333</x:v>
      </x:c>
      <x:c r="G1454" s="17" t="n">
        <x:v>1</x:v>
      </x:c>
      <x:c r="H1454" s="14" t="str">
        <x:v>S05-01:A:source_long_report</x:v>
      </x:c>
    </x:row>
    <x:row r="1455" ht="72" customHeight="1">
      <x:c r="A1455" s="14" t="str">
        <x:v>S05-01:A:long_report_tail</x:v>
      </x:c>
      <x:c r="B1455" s="14" t="str">
        <x:v>A</x:v>
      </x:c>
      <x:c r="C1455" s="14" t="str">
        <x:v>long_report_tail</x:v>
      </x:c>
      <x:c r="D1455" s="14" t="n">
        <x:v>-4.324666667</x:v>
      </x:c>
      <x:c r="E1455" s="14" t="n">
        <x:v>4.611833333</x:v>
      </x:c>
      <x:c r="F1455" s="14" t="n">
        <x:v>8.9365</x:v>
      </x:c>
      <x:c r="G1455" s="17" t="n">
        <x:v>1</x:v>
      </x:c>
      <x:c r="H1455" s="14" t="str">
        <x:v>S05-01:A:long_report_first</x:v>
      </x:c>
    </x:row>
    <x:row r="1456" ht="72" customHeight="1">
      <x:c r="A1456" s="14" t="str">
        <x:v>S05-01:A:source_question</x:v>
      </x:c>
      <x:c r="B1456" s="14" t="str">
        <x:v>A</x:v>
      </x:c>
      <x:c r="C1456" s="14" t="str">
        <x:v>source_question</x:v>
      </x:c>
      <x:c r="D1456" s="14" t="n">
        <x:v>-5.04</x:v>
      </x:c>
      <x:c r="E1456" s="14" t="n">
        <x:v>-0.9</x:v>
      </x:c>
      <x:c r="F1456" s="14" t="n">
        <x:v>4.14</x:v>
      </x:c>
      <x:c r="G1456" s="17" t="n">
        <x:v>0</x:v>
      </x:c>
      <x:c r="H1456" s="14" t="str">
        <x:v>S05-01:A:original_handoff</x:v>
      </x:c>
    </x:row>
    <x:row r="1457" ht="72" customHeight="1">
      <x:c r="A1457" s="14" t="str">
        <x:v>S05-01:A:display_question</x:v>
      </x:c>
      <x:c r="B1457" s="14" t="str">
        <x:v>A</x:v>
      </x:c>
      <x:c r="C1457" s="14" t="str">
        <x:v>display_question</x:v>
      </x:c>
      <x:c r="D1457" s="14" t="n">
        <x:v>-0.9</x:v>
      </x:c>
      <x:c r="E1457" s="14" t="n">
        <x:v>-0.86</x:v>
      </x:c>
      <x:c r="F1457" s="14" t="n">
        <x:v>0.04</x:v>
      </x:c>
      <x:c r="G1457" s="17" t="n">
        <x:v>1</x:v>
      </x:c>
      <x:c r="H1457" s="14" t="str">
        <x:v>S05-01:A:source_question</x:v>
      </x:c>
    </x:row>
    <x:row r="1458" ht="72" customHeight="1">
      <x:c r="A1458" s="14" t="str">
        <x:v>S05-01:A:question_first</x:v>
      </x:c>
      <x:c r="B1458" s="14" t="str">
        <x:v>A</x:v>
      </x:c>
      <x:c r="C1458" s="14" t="str">
        <x:v>question_first</x:v>
      </x:c>
      <x:c r="D1458" s="14" t="n">
        <x:v>-0.9</x:v>
      </x:c>
      <x:c r="E1458" s="14" t="n">
        <x:v>-0.499</x:v>
      </x:c>
      <x:c r="F1458" s="14" t="n">
        <x:v>0.401</x:v>
      </x:c>
      <x:c r="G1458" s="17" t="n">
        <x:v>1</x:v>
      </x:c>
      <x:c r="H1458" s="14" t="str">
        <x:v>S05-01:A:source_question</x:v>
      </x:c>
    </x:row>
    <x:row r="1459" ht="72" customHeight="1">
      <x:c r="A1459" s="14" t="str">
        <x:v>S05-01:A:question_tail</x:v>
      </x:c>
      <x:c r="B1459" s="14" t="str">
        <x:v>A</x:v>
      </x:c>
      <x:c r="C1459" s="14" t="str">
        <x:v>question_tail</x:v>
      </x:c>
      <x:c r="D1459" s="14" t="n">
        <x:v>-0.499</x:v>
      </x:c>
      <x:c r="E1459" s="14" t="n">
        <x:v>0.1375</x:v>
      </x:c>
      <x:c r="F1459" s="14" t="n">
        <x:v>0.6365</x:v>
      </x:c>
      <x:c r="G1459" s="17" t="n">
        <x:v>1</x:v>
      </x:c>
      <x:c r="H1459" s="14" t="str">
        <x:v>S05-01:A:question_first</x:v>
      </x:c>
    </x:row>
    <x:row r="1460" ht="72" customHeight="1">
      <x:c r="A1460" s="14" t="str">
        <x:v>S05-01:A:question_device</x:v>
      </x:c>
      <x:c r="B1460" s="14" t="str">
        <x:v>A</x:v>
      </x:c>
      <x:c r="C1460" s="14" t="str">
        <x:v>question_device</x:v>
      </x:c>
      <x:c r="D1460" s="14" t="n">
        <x:v>0.868333333</x:v>
      </x:c>
      <x:c r="E1460" s="14" t="n">
        <x:v>0.908333333</x:v>
      </x:c>
      <x:c r="F1460" s="14" t="n">
        <x:v>0.04</x:v>
      </x:c>
      <x:c r="G1460" s="17" t="n">
        <x:v>1</x:v>
      </x:c>
      <x:c r="H1460" s="14" t="str">
        <x:v>S05-01:A:apply_relation
S05-01:A:question_first</x:v>
      </x:c>
    </x:row>
    <x:row r="1461" ht="72" customHeight="1">
      <x:c r="A1461" s="14" t="str">
        <x:v>S05-01:A:question_played</x:v>
      </x:c>
      <x:c r="B1461" s="14" t="str">
        <x:v>A</x:v>
      </x:c>
      <x:c r="C1461" s="14" t="str">
        <x:v>question_played</x:v>
      </x:c>
      <x:c r="D1461" s="14" t="n">
        <x:v>0.908333333</x:v>
      </x:c>
      <x:c r="E1461" s="14" t="n">
        <x:v>3.654333333</x:v>
      </x:c>
      <x:c r="F1461" s="14" t="n">
        <x:v>2.746</x:v>
      </x:c>
      <x:c r="G1461" s="17" t="n">
        <x:v>0</x:v>
      </x:c>
      <x:c r="H1461" s="14" t="str">
        <x:v>S05-01:A:question_device</x:v>
      </x:c>
    </x:row>
    <x:row r="1462" ht="72" customHeight="1">
      <x:c r="A1462" s="14" t="str">
        <x:v>S05-01:A:resume_report_device</x:v>
      </x:c>
      <x:c r="B1462" s="14" t="str">
        <x:v>A</x:v>
      </x:c>
      <x:c r="C1462" s="14" t="str">
        <x:v>resume_report_device</x:v>
      </x:c>
      <x:c r="D1462" s="14" t="n">
        <x:v>3.654333333</x:v>
      </x:c>
      <x:c r="E1462" s="14" t="n">
        <x:v>3.694333333</x:v>
      </x:c>
      <x:c r="F1462" s="14" t="n">
        <x:v>0.04</x:v>
      </x:c>
      <x:c r="G1462" s="17" t="n">
        <x:v>1</x:v>
      </x:c>
      <x:c r="H1462" s="14" t="str">
        <x:v>S05-01:A:question_played
S05-01:A:long_report_first</x:v>
      </x:c>
    </x:row>
    <x:row r="1463" ht="72" customHeight="1">
      <x:c r="A1463" s="14" t="str">
        <x:v>S05-01:A:resume_report_played</x:v>
      </x:c>
      <x:c r="B1463" s="14" t="str">
        <x:v>A</x:v>
      </x:c>
      <x:c r="C1463" s="14" t="str">
        <x:v>resume_report_played</x:v>
      </x:c>
      <x:c r="D1463" s="14" t="n">
        <x:v>3.694333333</x:v>
      </x:c>
      <x:c r="E1463" s="14" t="n">
        <x:v>38.875666666</x:v>
      </x:c>
      <x:c r="F1463" s="14" t="n">
        <x:v>35.181333333</x:v>
      </x:c>
      <x:c r="G1463" s="17" t="n">
        <x:v>0</x:v>
      </x:c>
      <x:c r="H1463" s="14" t="str">
        <x:v>S05-01:A:resume_report_device</x:v>
      </x:c>
    </x:row>
    <x:row r="1464" ht="72" customHeight="1">
      <x:c r="A1464" s="14" t="str">
        <x:v>S05-01:B:origin</x:v>
      </x:c>
      <x:c r="B1464" s="14" t="str">
        <x:v>B</x:v>
      </x:c>
      <x:c r="C1464" s="14" t="str">
        <x:v>origin</x:v>
      </x:c>
      <x:c r="D1464" s="14" t="n">
        <x:v>-6</x:v>
      </x:c>
      <x:c r="E1464" s="14" t="n">
        <x:v>-6</x:v>
      </x:c>
      <x:c r="F1464" s="14" t="n">
        <x:v>0</x:v>
      </x:c>
      <x:c r="G1464" s="17" t="n">
        <x:v>0</x:v>
      </x:c>
      <x:c r="H1464" s="14" t="str"/>
    </x:row>
    <x:row r="1465" ht="72" customHeight="1">
      <x:c r="A1465" s="14" t="str">
        <x:v>S05-01:B:origin_interpretation</x:v>
      </x:c>
      <x:c r="B1465" s="14" t="str">
        <x:v>B</x:v>
      </x:c>
      <x:c r="C1465" s="14" t="str">
        <x:v>origin_interpretation</x:v>
      </x:c>
      <x:c r="D1465" s="14" t="n">
        <x:v>-6</x:v>
      </x:c>
      <x:c r="E1465" s="14" t="n">
        <x:v>-5.16</x:v>
      </x:c>
      <x:c r="F1465" s="14" t="n">
        <x:v>0.84</x:v>
      </x:c>
      <x:c r="G1465" s="17" t="n">
        <x:v>1</x:v>
      </x:c>
      <x:c r="H1465" s="14" t="str">
        <x:v>S05-01:B:origin</x:v>
      </x:c>
    </x:row>
    <x:row r="1466" ht="72" customHeight="1">
      <x:c r="A1466" s="14" t="str">
        <x:v>S05-01:B:original_handoff</x:v>
      </x:c>
      <x:c r="B1466" s="14" t="str">
        <x:v>B</x:v>
      </x:c>
      <x:c r="C1466" s="14" t="str">
        <x:v>original_handoff</x:v>
      </x:c>
      <x:c r="D1466" s="14" t="n">
        <x:v>-5.16</x:v>
      </x:c>
      <x:c r="E1466" s="14" t="n">
        <x:v>-5.04</x:v>
      </x:c>
      <x:c r="F1466" s="14" t="n">
        <x:v>0.12</x:v>
      </x:c>
      <x:c r="G1466" s="17" t="n">
        <x:v>1</x:v>
      </x:c>
      <x:c r="H1466" s="14" t="str">
        <x:v>S05-01:B:origin_interpretation</x:v>
      </x:c>
    </x:row>
    <x:row r="1467" ht="72" customHeight="1">
      <x:c r="A1467" s="14" t="str">
        <x:v>S05-01:B:evaluation_utterance_end</x:v>
      </x:c>
      <x:c r="B1467" s="14" t="str">
        <x:v>B</x:v>
      </x:c>
      <x:c r="C1467" s="14" t="str">
        <x:v>evaluation_utterance_end</x:v>
      </x:c>
      <x:c r="D1467" s="14" t="n">
        <x:v>-6</x:v>
      </x:c>
      <x:c r="E1467" s="14" t="n">
        <x:v>0</x:v>
      </x:c>
      <x:c r="F1467" s="14" t="n">
        <x:v>6</x:v>
      </x:c>
      <x:c r="G1467" s="17" t="n">
        <x:v>0</x:v>
      </x:c>
      <x:c r="H1467" s="14" t="str">
        <x:v>S05-01:B:origin</x:v>
      </x:c>
    </x:row>
    <x:row r="1468" ht="72" customHeight="1">
      <x:c r="A1468" s="14" t="str">
        <x:v>S05-01:B:final_transcript</x:v>
      </x:c>
      <x:c r="B1468" s="14" t="str">
        <x:v>B</x:v>
      </x:c>
      <x:c r="C1468" s="14" t="str">
        <x:v>final_transcript</x:v>
      </x:c>
      <x:c r="D1468" s="14" t="n">
        <x:v>0</x:v>
      </x:c>
      <x:c r="E1468" s="14" t="n">
        <x:v>0.3</x:v>
      </x:c>
      <x:c r="F1468" s="14" t="n">
        <x:v>0.3</x:v>
      </x:c>
      <x:c r="G1468" s="17" t="n">
        <x:v>1</x:v>
      </x:c>
      <x:c r="H1468" s="14" t="str">
        <x:v>S05-01:B:evaluation_utterance_end</x:v>
      </x:c>
    </x:row>
    <x:row r="1469" ht="72" customHeight="1">
      <x:c r="A1469" s="14" t="str">
        <x:v>S05-01:B:meaning_adoption</x:v>
      </x:c>
      <x:c r="B1469" s="14" t="str">
        <x:v>B</x:v>
      </x:c>
      <x:c r="C1469" s="14" t="str">
        <x:v>meaning_adoption</x:v>
      </x:c>
      <x:c r="D1469" s="14" t="n">
        <x:v>0.3</x:v>
      </x:c>
      <x:c r="E1469" s="14" t="n">
        <x:v>0.828333333</x:v>
      </x:c>
      <x:c r="F1469" s="14" t="n">
        <x:v>0.528333333</x:v>
      </x:c>
      <x:c r="G1469" s="17" t="n">
        <x:v>1</x:v>
      </x:c>
      <x:c r="H1469" s="14" t="str">
        <x:v>S05-01:B:final_transcript
S05-01:B:origin_interpretation</x:v>
      </x:c>
    </x:row>
    <x:row r="1470" ht="72" customHeight="1">
      <x:c r="A1470" s="14" t="str">
        <x:v>S05-01:B:apply_relation</x:v>
      </x:c>
      <x:c r="B1470" s="14" t="str">
        <x:v>B</x:v>
      </x:c>
      <x:c r="C1470" s="14" t="str">
        <x:v>apply_relation</x:v>
      </x:c>
      <x:c r="D1470" s="14" t="n">
        <x:v>0.828333333</x:v>
      </x:c>
      <x:c r="E1470" s="14" t="n">
        <x:v>0.868333333</x:v>
      </x:c>
      <x:c r="F1470" s="14" t="n">
        <x:v>0.04</x:v>
      </x:c>
      <x:c r="G1470" s="17" t="n">
        <x:v>1</x:v>
      </x:c>
      <x:c r="H1470" s="14" t="str">
        <x:v>S05-01:B:meaning_adoption</x:v>
      </x:c>
    </x:row>
    <x:row r="1471" ht="72" customHeight="1">
      <x:c r="A1471" s="14" t="str">
        <x:v>S05-01:B:evaluation_first_display</x:v>
      </x:c>
      <x:c r="B1471" s="14" t="str">
        <x:v>B</x:v>
      </x:c>
      <x:c r="C1471" s="14" t="str">
        <x:v>evaluation_first_display</x:v>
      </x:c>
      <x:c r="D1471" s="14" t="n">
        <x:v>0.868333333</x:v>
      </x:c>
      <x:c r="E1471" s="14" t="n">
        <x:v>0.908333333</x:v>
      </x:c>
      <x:c r="F1471" s="14" t="n">
        <x:v>0.04</x:v>
      </x:c>
      <x:c r="G1471" s="17" t="n">
        <x:v>1</x:v>
      </x:c>
      <x:c r="H1471" s="14" t="str">
        <x:v>S05-01:B:apply_relation</x:v>
      </x:c>
    </x:row>
    <x:row r="1472" ht="72" customHeight="1">
      <x:c r="A1472" s="14" t="str">
        <x:v>S05-01:B:source_long_report</x:v>
      </x:c>
      <x:c r="B1472" s="14" t="str">
        <x:v>B</x:v>
      </x:c>
      <x:c r="C1472" s="14" t="str">
        <x:v>source_long_report</x:v>
      </x:c>
      <x:c r="D1472" s="14" t="n">
        <x:v>-5.04</x:v>
      </x:c>
      <x:c r="E1472" s="14" t="n">
        <x:v>-4.8</x:v>
      </x:c>
      <x:c r="F1472" s="14" t="n">
        <x:v>0.24</x:v>
      </x:c>
      <x:c r="G1472" s="17" t="n">
        <x:v>0</x:v>
      </x:c>
      <x:c r="H1472" s="14" t="str">
        <x:v>S05-01:B:original_handoff</x:v>
      </x:c>
    </x:row>
    <x:row r="1473" ht="72" customHeight="1">
      <x:c r="A1473" s="14" t="str">
        <x:v>S05-01:B:display_long_report</x:v>
      </x:c>
      <x:c r="B1473" s="14" t="str">
        <x:v>B</x:v>
      </x:c>
      <x:c r="C1473" s="14" t="str">
        <x:v>display_long_report</x:v>
      </x:c>
      <x:c r="D1473" s="14" t="n">
        <x:v>-4.8</x:v>
      </x:c>
      <x:c r="E1473" s="14" t="n">
        <x:v>-4.76</x:v>
      </x:c>
      <x:c r="F1473" s="14" t="n">
        <x:v>0.04</x:v>
      </x:c>
      <x:c r="G1473" s="17" t="n">
        <x:v>1</x:v>
      </x:c>
      <x:c r="H1473" s="14" t="str">
        <x:v>S05-01:B:source_long_report</x:v>
      </x:c>
    </x:row>
    <x:row r="1474" ht="72" customHeight="1">
      <x:c r="A1474" s="14" t="str">
        <x:v>S05-01:B:long_report_first</x:v>
      </x:c>
      <x:c r="B1474" s="14" t="str">
        <x:v>B</x:v>
      </x:c>
      <x:c r="C1474" s="14" t="str">
        <x:v>long_report_first</x:v>
      </x:c>
      <x:c r="D1474" s="14" t="n">
        <x:v>-4.8</x:v>
      </x:c>
      <x:c r="E1474" s="14" t="n">
        <x:v>-4.324666667</x:v>
      </x:c>
      <x:c r="F1474" s="14" t="n">
        <x:v>0.475333333</x:v>
      </x:c>
      <x:c r="G1474" s="17" t="n">
        <x:v>1</x:v>
      </x:c>
      <x:c r="H1474" s="14" t="str">
        <x:v>S05-01:B:source_long_report</x:v>
      </x:c>
    </x:row>
    <x:row r="1475" ht="72" customHeight="1">
      <x:c r="A1475" s="14" t="str">
        <x:v>S05-01:B:long_report_tail</x:v>
      </x:c>
      <x:c r="B1475" s="14" t="str">
        <x:v>B</x:v>
      </x:c>
      <x:c r="C1475" s="14" t="str">
        <x:v>long_report_tail</x:v>
      </x:c>
      <x:c r="D1475" s="14" t="n">
        <x:v>-4.324666667</x:v>
      </x:c>
      <x:c r="E1475" s="14" t="n">
        <x:v>0.968333333</x:v>
      </x:c>
      <x:c r="F1475" s="14" t="n">
        <x:v>5.293</x:v>
      </x:c>
      <x:c r="G1475" s="17" t="n">
        <x:v>1</x:v>
      </x:c>
      <x:c r="H1475" s="14" t="str">
        <x:v>S05-01:B:long_report_first</x:v>
      </x:c>
    </x:row>
    <x:row r="1476" ht="72" customHeight="1">
      <x:c r="A1476" s="14" t="str">
        <x:v>S05-01:B:source_question</x:v>
      </x:c>
      <x:c r="B1476" s="14" t="str">
        <x:v>B</x:v>
      </x:c>
      <x:c r="C1476" s="14" t="str">
        <x:v>source_question</x:v>
      </x:c>
      <x:c r="D1476" s="14" t="n">
        <x:v>-5.04</x:v>
      </x:c>
      <x:c r="E1476" s="14" t="n">
        <x:v>-0.9</x:v>
      </x:c>
      <x:c r="F1476" s="14" t="n">
        <x:v>4.14</x:v>
      </x:c>
      <x:c r="G1476" s="17" t="n">
        <x:v>0</x:v>
      </x:c>
      <x:c r="H1476" s="14" t="str">
        <x:v>S05-01:B:original_handoff</x:v>
      </x:c>
    </x:row>
    <x:row r="1477" ht="72" customHeight="1">
      <x:c r="A1477" s="14" t="str">
        <x:v>S05-01:B:display_question</x:v>
      </x:c>
      <x:c r="B1477" s="14" t="str">
        <x:v>B</x:v>
      </x:c>
      <x:c r="C1477" s="14" t="str">
        <x:v>display_question</x:v>
      </x:c>
      <x:c r="D1477" s="14" t="n">
        <x:v>-0.9</x:v>
      </x:c>
      <x:c r="E1477" s="14" t="n">
        <x:v>-0.86</x:v>
      </x:c>
      <x:c r="F1477" s="14" t="n">
        <x:v>0.04</x:v>
      </x:c>
      <x:c r="G1477" s="17" t="n">
        <x:v>1</x:v>
      </x:c>
      <x:c r="H1477" s="14" t="str">
        <x:v>S05-01:B:source_question</x:v>
      </x:c>
    </x:row>
    <x:row r="1478" ht="72" customHeight="1">
      <x:c r="A1478" s="14" t="str">
        <x:v>S05-01:B:question_first</x:v>
      </x:c>
      <x:c r="B1478" s="14" t="str">
        <x:v>B</x:v>
      </x:c>
      <x:c r="C1478" s="14" t="str">
        <x:v>question_first</x:v>
      </x:c>
      <x:c r="D1478" s="14" t="n">
        <x:v>0.868333333</x:v>
      </x:c>
      <x:c r="E1478" s="14" t="n">
        <x:v>1.269333333</x:v>
      </x:c>
      <x:c r="F1478" s="14" t="n">
        <x:v>0.401</x:v>
      </x:c>
      <x:c r="G1478" s="17" t="n">
        <x:v>1</x:v>
      </x:c>
      <x:c r="H1478" s="14" t="str">
        <x:v>S05-01:B:apply_relation</x:v>
      </x:c>
    </x:row>
    <x:row r="1479" ht="72" customHeight="1">
      <x:c r="A1479" s="14" t="str">
        <x:v>S05-01:B:question_tail</x:v>
      </x:c>
      <x:c r="B1479" s="14" t="str">
        <x:v>B</x:v>
      </x:c>
      <x:c r="C1479" s="14" t="str">
        <x:v>question_tail</x:v>
      </x:c>
      <x:c r="D1479" s="14" t="n">
        <x:v>1.269333333</x:v>
      </x:c>
      <x:c r="E1479" s="14" t="n">
        <x:v>1.905833333</x:v>
      </x:c>
      <x:c r="F1479" s="14" t="n">
        <x:v>0.6365</x:v>
      </x:c>
      <x:c r="G1479" s="17" t="n">
        <x:v>1</x:v>
      </x:c>
      <x:c r="H1479" s="14" t="str">
        <x:v>S05-01:B:question_first</x:v>
      </x:c>
    </x:row>
    <x:row r="1480" ht="72" customHeight="1">
      <x:c r="A1480" s="14" t="str">
        <x:v>S05-01:B:question_device</x:v>
      </x:c>
      <x:c r="B1480" s="14" t="str">
        <x:v>B</x:v>
      </x:c>
      <x:c r="C1480" s="14" t="str">
        <x:v>question_device</x:v>
      </x:c>
      <x:c r="D1480" s="14" t="n">
        <x:v>1.269333333</x:v>
      </x:c>
      <x:c r="E1480" s="14" t="n">
        <x:v>1.309333333</x:v>
      </x:c>
      <x:c r="F1480" s="14" t="n">
        <x:v>0.04</x:v>
      </x:c>
      <x:c r="G1480" s="17" t="n">
        <x:v>1</x:v>
      </x:c>
      <x:c r="H1480" s="14" t="str">
        <x:v>S05-01:B:apply_relation
S05-01:B:question_first</x:v>
      </x:c>
    </x:row>
    <x:row r="1481" ht="72" customHeight="1">
      <x:c r="A1481" s="14" t="str">
        <x:v>S05-01:B:question_played</x:v>
      </x:c>
      <x:c r="B1481" s="14" t="str">
        <x:v>B</x:v>
      </x:c>
      <x:c r="C1481" s="14" t="str">
        <x:v>question_played</x:v>
      </x:c>
      <x:c r="D1481" s="14" t="n">
        <x:v>1.309333333</x:v>
      </x:c>
      <x:c r="E1481" s="14" t="n">
        <x:v>4.055333333</x:v>
      </x:c>
      <x:c r="F1481" s="14" t="n">
        <x:v>2.746</x:v>
      </x:c>
      <x:c r="G1481" s="17" t="n">
        <x:v>0</x:v>
      </x:c>
      <x:c r="H1481" s="14" t="str">
        <x:v>S05-01:B:question_device</x:v>
      </x:c>
    </x:row>
    <x:row r="1482" ht="72" customHeight="1">
      <x:c r="A1482" s="14" t="str">
        <x:v>S05-01:B:resume_cached_device</x:v>
      </x:c>
      <x:c r="B1482" s="14" t="str">
        <x:v>B</x:v>
      </x:c>
      <x:c r="C1482" s="14" t="str">
        <x:v>resume_cached_device</x:v>
      </x:c>
      <x:c r="D1482" s="14" t="n">
        <x:v>4.055333333</x:v>
      </x:c>
      <x:c r="E1482" s="14" t="n">
        <x:v>4.095333333</x:v>
      </x:c>
      <x:c r="F1482" s="14" t="n">
        <x:v>0.04</x:v>
      </x:c>
      <x:c r="G1482" s="17" t="n">
        <x:v>1</x:v>
      </x:c>
      <x:c r="H1482" s="14" t="str">
        <x:v>S05-01:B:question_played
S05-01:B:long_report_first</x:v>
      </x:c>
    </x:row>
    <x:row r="1483" ht="72" customHeight="1">
      <x:c r="A1483" s="14" t="str">
        <x:v>S05-01:B:resume_cached_played</x:v>
      </x:c>
      <x:c r="B1483" s="14" t="str">
        <x:v>B</x:v>
      </x:c>
      <x:c r="C1483" s="14" t="str">
        <x:v>resume_cached_played</x:v>
      </x:c>
      <x:c r="D1483" s="14" t="n">
        <x:v>4.095333333</x:v>
      </x:c>
      <x:c r="E1483" s="14" t="n">
        <x:v>24.702666666</x:v>
      </x:c>
      <x:c r="F1483" s="14" t="n">
        <x:v>20.607333333</x:v>
      </x:c>
      <x:c r="G1483" s="17" t="n">
        <x:v>0</x:v>
      </x:c>
      <x:c r="H1483" s="14" t="str">
        <x:v>S05-01:B:resume_cached_device</x:v>
      </x:c>
    </x:row>
    <x:row r="1484" ht="72" customHeight="1">
      <x:c r="A1484" s="14" t="str">
        <x:v>S05-01:B:resume_suffix_first</x:v>
      </x:c>
      <x:c r="B1484" s="14" t="str">
        <x:v>B</x:v>
      </x:c>
      <x:c r="C1484" s="14" t="str">
        <x:v>resume_suffix_first</x:v>
      </x:c>
      <x:c r="D1484" s="14" t="n">
        <x:v>4.055333333</x:v>
      </x:c>
      <x:c r="E1484" s="14" t="n">
        <x:v>4.570666666</x:v>
      </x:c>
      <x:c r="F1484" s="14" t="n">
        <x:v>0.515333333</x:v>
      </x:c>
      <x:c r="G1484" s="17" t="n">
        <x:v>1</x:v>
      </x:c>
      <x:c r="H1484" s="14" t="str">
        <x:v>S05-01:B:question_played</x:v>
      </x:c>
    </x:row>
    <x:row r="1485" ht="72" customHeight="1">
      <x:c r="A1485" s="14" t="str">
        <x:v>S05-01:B:resume_suffix_tail</x:v>
      </x:c>
      <x:c r="B1485" s="14" t="str">
        <x:v>B</x:v>
      </x:c>
      <x:c r="C1485" s="14" t="str">
        <x:v>resume_suffix_tail</x:v>
      </x:c>
      <x:c r="D1485" s="14" t="n">
        <x:v>4.570666666</x:v>
      </x:c>
      <x:c r="E1485" s="14" t="n">
        <x:v>8.164166666</x:v>
      </x:c>
      <x:c r="F1485" s="14" t="n">
        <x:v>3.5935</x:v>
      </x:c>
      <x:c r="G1485" s="17" t="n">
        <x:v>1</x:v>
      </x:c>
      <x:c r="H1485" s="14" t="str">
        <x:v>S05-01:B:resume_suffix_first</x:v>
      </x:c>
    </x:row>
    <x:row r="1486" ht="72" customHeight="1">
      <x:c r="A1486" s="14" t="str">
        <x:v>S05-01:B:resume_suffix_device</x:v>
      </x:c>
      <x:c r="B1486" s="14" t="str">
        <x:v>B</x:v>
      </x:c>
      <x:c r="C1486" s="14" t="str">
        <x:v>resume_suffix_device</x:v>
      </x:c>
      <x:c r="D1486" s="14" t="n">
        <x:v>24.702666666</x:v>
      </x:c>
      <x:c r="E1486" s="14" t="n">
        <x:v>24.742666666</x:v>
      </x:c>
      <x:c r="F1486" s="14" t="n">
        <x:v>0.04</x:v>
      </x:c>
      <x:c r="G1486" s="17" t="n">
        <x:v>1</x:v>
      </x:c>
      <x:c r="H1486" s="14" t="str">
        <x:v>S05-01:B:resume_cached_played
S05-01:B:resume_suffix_first</x:v>
      </x:c>
    </x:row>
    <x:row r="1487" ht="72" customHeight="1">
      <x:c r="A1487" s="14" t="str">
        <x:v>S05-01:B:resume_suffix_played</x:v>
      </x:c>
      <x:c r="B1487" s="14" t="str">
        <x:v>B</x:v>
      </x:c>
      <x:c r="C1487" s="14" t="str">
        <x:v>resume_suffix_played</x:v>
      </x:c>
      <x:c r="D1487" s="14" t="n">
        <x:v>24.742666666</x:v>
      </x:c>
      <x:c r="E1487" s="14" t="n">
        <x:v>39.316666666</x:v>
      </x:c>
      <x:c r="F1487" s="14" t="n">
        <x:v>14.574</x:v>
      </x:c>
      <x:c r="G1487" s="17" t="n">
        <x:v>0</x:v>
      </x:c>
      <x:c r="H1487" s="14" t="str">
        <x:v>S05-01:B:resume_suffix_device</x:v>
      </x:c>
    </x:row>
    <x:row r="1488" ht="72" customHeight="1">
      <x:c r="A1488" s="14" t="str">
        <x:v>S05-02:A:origin</x:v>
      </x:c>
      <x:c r="B1488" s="14" t="str">
        <x:v>A</x:v>
      </x:c>
      <x:c r="C1488" s="14" t="str">
        <x:v>origin</x:v>
      </x:c>
      <x:c r="D1488" s="14" t="n">
        <x:v>-6</x:v>
      </x:c>
      <x:c r="E1488" s="14" t="n">
        <x:v>-6</x:v>
      </x:c>
      <x:c r="F1488" s="14" t="n">
        <x:v>0</x:v>
      </x:c>
      <x:c r="G1488" s="17" t="n">
        <x:v>0</x:v>
      </x:c>
      <x:c r="H1488" s="14" t="str"/>
    </x:row>
    <x:row r="1489" ht="72" customHeight="1">
      <x:c r="A1489" s="14" t="str">
        <x:v>S05-02:A:origin_interpretation</x:v>
      </x:c>
      <x:c r="B1489" s="14" t="str">
        <x:v>A</x:v>
      </x:c>
      <x:c r="C1489" s="14" t="str">
        <x:v>origin_interpretation</x:v>
      </x:c>
      <x:c r="D1489" s="14" t="n">
        <x:v>-6</x:v>
      </x:c>
      <x:c r="E1489" s="14" t="n">
        <x:v>-5.16</x:v>
      </x:c>
      <x:c r="F1489" s="14" t="n">
        <x:v>0.84</x:v>
      </x:c>
      <x:c r="G1489" s="17" t="n">
        <x:v>1</x:v>
      </x:c>
      <x:c r="H1489" s="14" t="str">
        <x:v>S05-02:A:origin</x:v>
      </x:c>
    </x:row>
    <x:row r="1490" ht="72" customHeight="1">
      <x:c r="A1490" s="14" t="str">
        <x:v>S05-02:A:original_handoff</x:v>
      </x:c>
      <x:c r="B1490" s="14" t="str">
        <x:v>A</x:v>
      </x:c>
      <x:c r="C1490" s="14" t="str">
        <x:v>original_handoff</x:v>
      </x:c>
      <x:c r="D1490" s="14" t="n">
        <x:v>-5.16</x:v>
      </x:c>
      <x:c r="E1490" s="14" t="n">
        <x:v>-5.04</x:v>
      </x:c>
      <x:c r="F1490" s="14" t="n">
        <x:v>0.12</x:v>
      </x:c>
      <x:c r="G1490" s="17" t="n">
        <x:v>1</x:v>
      </x:c>
      <x:c r="H1490" s="14" t="str">
        <x:v>S05-02:A:origin_interpretation</x:v>
      </x:c>
    </x:row>
    <x:row r="1491" ht="72" customHeight="1">
      <x:c r="A1491" s="14" t="str">
        <x:v>S05-02:A:evaluation_utterance_end</x:v>
      </x:c>
      <x:c r="B1491" s="14" t="str">
        <x:v>A</x:v>
      </x:c>
      <x:c r="C1491" s="14" t="str">
        <x:v>evaluation_utterance_end</x:v>
      </x:c>
      <x:c r="D1491" s="14" t="n">
        <x:v>-6</x:v>
      </x:c>
      <x:c r="E1491" s="14" t="n">
        <x:v>0</x:v>
      </x:c>
      <x:c r="F1491" s="14" t="n">
        <x:v>6</x:v>
      </x:c>
      <x:c r="G1491" s="17" t="n">
        <x:v>0</x:v>
      </x:c>
      <x:c r="H1491" s="14" t="str">
        <x:v>S05-02:A:origin</x:v>
      </x:c>
    </x:row>
    <x:row r="1492" ht="72" customHeight="1">
      <x:c r="A1492" s="14" t="str">
        <x:v>S05-02:A:final_transcript</x:v>
      </x:c>
      <x:c r="B1492" s="14" t="str">
        <x:v>A</x:v>
      </x:c>
      <x:c r="C1492" s="14" t="str">
        <x:v>final_transcript</x:v>
      </x:c>
      <x:c r="D1492" s="14" t="n">
        <x:v>0</x:v>
      </x:c>
      <x:c r="E1492" s="14" t="n">
        <x:v>0.3</x:v>
      </x:c>
      <x:c r="F1492" s="14" t="n">
        <x:v>0.3</x:v>
      </x:c>
      <x:c r="G1492" s="17" t="n">
        <x:v>1</x:v>
      </x:c>
      <x:c r="H1492" s="14" t="str">
        <x:v>S05-02:A:evaluation_utterance_end</x:v>
      </x:c>
    </x:row>
    <x:row r="1493" ht="72" customHeight="1">
      <x:c r="A1493" s="14" t="str">
        <x:v>S05-02:A:meaning_adoption</x:v>
      </x:c>
      <x:c r="B1493" s="14" t="str">
        <x:v>A</x:v>
      </x:c>
      <x:c r="C1493" s="14" t="str">
        <x:v>meaning_adoption</x:v>
      </x:c>
      <x:c r="D1493" s="14" t="n">
        <x:v>0.3</x:v>
      </x:c>
      <x:c r="E1493" s="14" t="n">
        <x:v>0.856666667</x:v>
      </x:c>
      <x:c r="F1493" s="14" t="n">
        <x:v>0.556666667</x:v>
      </x:c>
      <x:c r="G1493" s="17" t="n">
        <x:v>1</x:v>
      </x:c>
      <x:c r="H1493" s="14" t="str">
        <x:v>S05-02:A:final_transcript
S05-02:A:origin_interpretation</x:v>
      </x:c>
    </x:row>
    <x:row r="1494" ht="72" customHeight="1">
      <x:c r="A1494" s="14" t="str">
        <x:v>S05-02:A:apply_relation</x:v>
      </x:c>
      <x:c r="B1494" s="14" t="str">
        <x:v>A</x:v>
      </x:c>
      <x:c r="C1494" s="14" t="str">
        <x:v>apply_relation</x:v>
      </x:c>
      <x:c r="D1494" s="14" t="n">
        <x:v>0.856666667</x:v>
      </x:c>
      <x:c r="E1494" s="14" t="n">
        <x:v>0.896666667</x:v>
      </x:c>
      <x:c r="F1494" s="14" t="n">
        <x:v>0.04</x:v>
      </x:c>
      <x:c r="G1494" s="17" t="n">
        <x:v>1</x:v>
      </x:c>
      <x:c r="H1494" s="14" t="str">
        <x:v>S05-02:A:meaning_adoption</x:v>
      </x:c>
    </x:row>
    <x:row r="1495" ht="72" customHeight="1">
      <x:c r="A1495" s="14" t="str">
        <x:v>S05-02:A:evaluation_first_display</x:v>
      </x:c>
      <x:c r="B1495" s="14" t="str">
        <x:v>A</x:v>
      </x:c>
      <x:c r="C1495" s="14" t="str">
        <x:v>evaluation_first_display</x:v>
      </x:c>
      <x:c r="D1495" s="14" t="n">
        <x:v>0.896666667</x:v>
      </x:c>
      <x:c r="E1495" s="14" t="n">
        <x:v>0.936666667</x:v>
      </x:c>
      <x:c r="F1495" s="14" t="n">
        <x:v>0.04</x:v>
      </x:c>
      <x:c r="G1495" s="17" t="n">
        <x:v>1</x:v>
      </x:c>
      <x:c r="H1495" s="14" t="str">
        <x:v>S05-02:A:apply_relation</x:v>
      </x:c>
    </x:row>
    <x:row r="1496" ht="72" customHeight="1">
      <x:c r="A1496" s="14" t="str">
        <x:v>S05-02:A:source_long_report</x:v>
      </x:c>
      <x:c r="B1496" s="14" t="str">
        <x:v>A</x:v>
      </x:c>
      <x:c r="C1496" s="14" t="str">
        <x:v>source_long_report</x:v>
      </x:c>
      <x:c r="D1496" s="14" t="n">
        <x:v>-5.04</x:v>
      </x:c>
      <x:c r="E1496" s="14" t="n">
        <x:v>-4.8</x:v>
      </x:c>
      <x:c r="F1496" s="14" t="n">
        <x:v>0.24</x:v>
      </x:c>
      <x:c r="G1496" s="17" t="n">
        <x:v>0</x:v>
      </x:c>
      <x:c r="H1496" s="14" t="str">
        <x:v>S05-02:A:original_handoff</x:v>
      </x:c>
    </x:row>
    <x:row r="1497" ht="72" customHeight="1">
      <x:c r="A1497" s="14" t="str">
        <x:v>S05-02:A:display_long_report</x:v>
      </x:c>
      <x:c r="B1497" s="14" t="str">
        <x:v>A</x:v>
      </x:c>
      <x:c r="C1497" s="14" t="str">
        <x:v>display_long_report</x:v>
      </x:c>
      <x:c r="D1497" s="14" t="n">
        <x:v>-4.8</x:v>
      </x:c>
      <x:c r="E1497" s="14" t="n">
        <x:v>-4.76</x:v>
      </x:c>
      <x:c r="F1497" s="14" t="n">
        <x:v>0.04</x:v>
      </x:c>
      <x:c r="G1497" s="17" t="n">
        <x:v>1</x:v>
      </x:c>
      <x:c r="H1497" s="14" t="str">
        <x:v>S05-02:A:source_long_report</x:v>
      </x:c>
    </x:row>
    <x:row r="1498" ht="72" customHeight="1">
      <x:c r="A1498" s="14" t="str">
        <x:v>S05-02:A:long_report_first</x:v>
      </x:c>
      <x:c r="B1498" s="14" t="str">
        <x:v>A</x:v>
      </x:c>
      <x:c r="C1498" s="14" t="str">
        <x:v>long_report_first</x:v>
      </x:c>
      <x:c r="D1498" s="14" t="n">
        <x:v>-4.8</x:v>
      </x:c>
      <x:c r="E1498" s="14" t="n">
        <x:v>-4.324666667</x:v>
      </x:c>
      <x:c r="F1498" s="14" t="n">
        <x:v>0.475333333</x:v>
      </x:c>
      <x:c r="G1498" s="17" t="n">
        <x:v>1</x:v>
      </x:c>
      <x:c r="H1498" s="14" t="str">
        <x:v>S05-02:A:source_long_report</x:v>
      </x:c>
    </x:row>
    <x:row r="1499" ht="72" customHeight="1">
      <x:c r="A1499" s="14" t="str">
        <x:v>S05-02:A:long_report_tail</x:v>
      </x:c>
      <x:c r="B1499" s="14" t="str">
        <x:v>A</x:v>
      </x:c>
      <x:c r="C1499" s="14" t="str">
        <x:v>long_report_tail</x:v>
      </x:c>
      <x:c r="D1499" s="14" t="n">
        <x:v>-4.324666667</x:v>
      </x:c>
      <x:c r="E1499" s="14" t="n">
        <x:v>4.614833333</x:v>
      </x:c>
      <x:c r="F1499" s="14" t="n">
        <x:v>8.9395</x:v>
      </x:c>
      <x:c r="G1499" s="17" t="n">
        <x:v>1</x:v>
      </x:c>
      <x:c r="H1499" s="14" t="str">
        <x:v>S05-02:A:long_report_first</x:v>
      </x:c>
    </x:row>
    <x:row r="1500" ht="72" customHeight="1">
      <x:c r="A1500" s="14" t="str">
        <x:v>S05-02:A:source_question</x:v>
      </x:c>
      <x:c r="B1500" s="14" t="str">
        <x:v>A</x:v>
      </x:c>
      <x:c r="C1500" s="14" t="str">
        <x:v>source_question</x:v>
      </x:c>
      <x:c r="D1500" s="14" t="n">
        <x:v>-5.04</x:v>
      </x:c>
      <x:c r="E1500" s="14" t="n">
        <x:v>-0.9</x:v>
      </x:c>
      <x:c r="F1500" s="14" t="n">
        <x:v>4.14</x:v>
      </x:c>
      <x:c r="G1500" s="17" t="n">
        <x:v>0</x:v>
      </x:c>
      <x:c r="H1500" s="14" t="str">
        <x:v>S05-02:A:original_handoff</x:v>
      </x:c>
    </x:row>
    <x:row r="1501" ht="72" customHeight="1">
      <x:c r="A1501" s="14" t="str">
        <x:v>S05-02:A:display_question</x:v>
      </x:c>
      <x:c r="B1501" s="14" t="str">
        <x:v>A</x:v>
      </x:c>
      <x:c r="C1501" s="14" t="str">
        <x:v>display_question</x:v>
      </x:c>
      <x:c r="D1501" s="14" t="n">
        <x:v>-0.9</x:v>
      </x:c>
      <x:c r="E1501" s="14" t="n">
        <x:v>-0.86</x:v>
      </x:c>
      <x:c r="F1501" s="14" t="n">
        <x:v>0.04</x:v>
      </x:c>
      <x:c r="G1501" s="17" t="n">
        <x:v>1</x:v>
      </x:c>
      <x:c r="H1501" s="14" t="str">
        <x:v>S05-02:A:source_question</x:v>
      </x:c>
    </x:row>
    <x:row r="1502" ht="72" customHeight="1">
      <x:c r="A1502" s="14" t="str">
        <x:v>S05-02:A:question_first</x:v>
      </x:c>
      <x:c r="B1502" s="14" t="str">
        <x:v>A</x:v>
      </x:c>
      <x:c r="C1502" s="14" t="str">
        <x:v>question_first</x:v>
      </x:c>
      <x:c r="D1502" s="14" t="n">
        <x:v>-0.9</x:v>
      </x:c>
      <x:c r="E1502" s="14" t="n">
        <x:v>-0.499</x:v>
      </x:c>
      <x:c r="F1502" s="14" t="n">
        <x:v>0.401</x:v>
      </x:c>
      <x:c r="G1502" s="17" t="n">
        <x:v>1</x:v>
      </x:c>
      <x:c r="H1502" s="14" t="str">
        <x:v>S05-02:A:source_question</x:v>
      </x:c>
    </x:row>
    <x:row r="1503" ht="72" customHeight="1">
      <x:c r="A1503" s="14" t="str">
        <x:v>S05-02:A:question_tail</x:v>
      </x:c>
      <x:c r="B1503" s="14" t="str">
        <x:v>A</x:v>
      </x:c>
      <x:c r="C1503" s="14" t="str">
        <x:v>question_tail</x:v>
      </x:c>
      <x:c r="D1503" s="14" t="n">
        <x:v>-0.499</x:v>
      </x:c>
      <x:c r="E1503" s="14" t="n">
        <x:v>0.1405</x:v>
      </x:c>
      <x:c r="F1503" s="14" t="n">
        <x:v>0.6395</x:v>
      </x:c>
      <x:c r="G1503" s="17" t="n">
        <x:v>1</x:v>
      </x:c>
      <x:c r="H1503" s="14" t="str">
        <x:v>S05-02:A:question_first</x:v>
      </x:c>
    </x:row>
    <x:row r="1504" ht="72" customHeight="1">
      <x:c r="A1504" s="14" t="str">
        <x:v>S05-02:A:question_device</x:v>
      </x:c>
      <x:c r="B1504" s="14" t="str">
        <x:v>A</x:v>
      </x:c>
      <x:c r="C1504" s="14" t="str">
        <x:v>question_device</x:v>
      </x:c>
      <x:c r="D1504" s="14" t="n">
        <x:v>0.896666667</x:v>
      </x:c>
      <x:c r="E1504" s="14" t="n">
        <x:v>0.936666667</x:v>
      </x:c>
      <x:c r="F1504" s="14" t="n">
        <x:v>0.04</x:v>
      </x:c>
      <x:c r="G1504" s="17" t="n">
        <x:v>1</x:v>
      </x:c>
      <x:c r="H1504" s="14" t="str">
        <x:v>S05-02:A:apply_relation
S05-02:A:question_first</x:v>
      </x:c>
    </x:row>
    <x:row r="1505" ht="72" customHeight="1">
      <x:c r="A1505" s="14" t="str">
        <x:v>S05-02:A:question_played</x:v>
      </x:c>
      <x:c r="B1505" s="14" t="str">
        <x:v>A</x:v>
      </x:c>
      <x:c r="C1505" s="14" t="str">
        <x:v>question_played</x:v>
      </x:c>
      <x:c r="D1505" s="14" t="n">
        <x:v>0.936666667</x:v>
      </x:c>
      <x:c r="E1505" s="14" t="n">
        <x:v>3.694666667</x:v>
      </x:c>
      <x:c r="F1505" s="14" t="n">
        <x:v>2.758</x:v>
      </x:c>
      <x:c r="G1505" s="17" t="n">
        <x:v>0</x:v>
      </x:c>
      <x:c r="H1505" s="14" t="str">
        <x:v>S05-02:A:question_device</x:v>
      </x:c>
    </x:row>
    <x:row r="1506" ht="72" customHeight="1">
      <x:c r="A1506" s="14" t="str">
        <x:v>S05-02:A:resume_report_device</x:v>
      </x:c>
      <x:c r="B1506" s="14" t="str">
        <x:v>A</x:v>
      </x:c>
      <x:c r="C1506" s="14" t="str">
        <x:v>resume_report_device</x:v>
      </x:c>
      <x:c r="D1506" s="14" t="n">
        <x:v>3.694666667</x:v>
      </x:c>
      <x:c r="E1506" s="14" t="n">
        <x:v>3.734666667</x:v>
      </x:c>
      <x:c r="F1506" s="14" t="n">
        <x:v>0.04</x:v>
      </x:c>
      <x:c r="G1506" s="17" t="n">
        <x:v>1</x:v>
      </x:c>
      <x:c r="H1506" s="14" t="str">
        <x:v>S05-02:A:question_played
S05-02:A:long_report_first</x:v>
      </x:c>
    </x:row>
    <x:row r="1507" ht="72" customHeight="1">
      <x:c r="A1507" s="14" t="str">
        <x:v>S05-02:A:resume_report_played</x:v>
      </x:c>
      <x:c r="B1507" s="14" t="str">
        <x:v>A</x:v>
      </x:c>
      <x:c r="C1507" s="14" t="str">
        <x:v>resume_report_played</x:v>
      </x:c>
      <x:c r="D1507" s="14" t="n">
        <x:v>3.734666667</x:v>
      </x:c>
      <x:c r="E1507" s="14" t="n">
        <x:v>38.928</x:v>
      </x:c>
      <x:c r="F1507" s="14" t="n">
        <x:v>35.193333333</x:v>
      </x:c>
      <x:c r="G1507" s="17" t="n">
        <x:v>0</x:v>
      </x:c>
      <x:c r="H1507" s="14" t="str">
        <x:v>S05-02:A:resume_report_device</x:v>
      </x:c>
    </x:row>
    <x:row r="1508" ht="72" customHeight="1">
      <x:c r="A1508" s="14" t="str">
        <x:v>S05-02:B:origin</x:v>
      </x:c>
      <x:c r="B1508" s="14" t="str">
        <x:v>B</x:v>
      </x:c>
      <x:c r="C1508" s="14" t="str">
        <x:v>origin</x:v>
      </x:c>
      <x:c r="D1508" s="14" t="n">
        <x:v>-6</x:v>
      </x:c>
      <x:c r="E1508" s="14" t="n">
        <x:v>-6</x:v>
      </x:c>
      <x:c r="F1508" s="14" t="n">
        <x:v>0</x:v>
      </x:c>
      <x:c r="G1508" s="17" t="n">
        <x:v>0</x:v>
      </x:c>
      <x:c r="H1508" s="14" t="str"/>
    </x:row>
    <x:row r="1509" ht="72" customHeight="1">
      <x:c r="A1509" s="14" t="str">
        <x:v>S05-02:B:origin_interpretation</x:v>
      </x:c>
      <x:c r="B1509" s="14" t="str">
        <x:v>B</x:v>
      </x:c>
      <x:c r="C1509" s="14" t="str">
        <x:v>origin_interpretation</x:v>
      </x:c>
      <x:c r="D1509" s="14" t="n">
        <x:v>-6</x:v>
      </x:c>
      <x:c r="E1509" s="14" t="n">
        <x:v>-5.16</x:v>
      </x:c>
      <x:c r="F1509" s="14" t="n">
        <x:v>0.84</x:v>
      </x:c>
      <x:c r="G1509" s="17" t="n">
        <x:v>1</x:v>
      </x:c>
      <x:c r="H1509" s="14" t="str">
        <x:v>S05-02:B:origin</x:v>
      </x:c>
    </x:row>
    <x:row r="1510" ht="72" customHeight="1">
      <x:c r="A1510" s="14" t="str">
        <x:v>S05-02:B:original_handoff</x:v>
      </x:c>
      <x:c r="B1510" s="14" t="str">
        <x:v>B</x:v>
      </x:c>
      <x:c r="C1510" s="14" t="str">
        <x:v>original_handoff</x:v>
      </x:c>
      <x:c r="D1510" s="14" t="n">
        <x:v>-5.16</x:v>
      </x:c>
      <x:c r="E1510" s="14" t="n">
        <x:v>-5.04</x:v>
      </x:c>
      <x:c r="F1510" s="14" t="n">
        <x:v>0.12</x:v>
      </x:c>
      <x:c r="G1510" s="17" t="n">
        <x:v>1</x:v>
      </x:c>
      <x:c r="H1510" s="14" t="str">
        <x:v>S05-02:B:origin_interpretation</x:v>
      </x:c>
    </x:row>
    <x:row r="1511" ht="72" customHeight="1">
      <x:c r="A1511" s="14" t="str">
        <x:v>S05-02:B:evaluation_utterance_end</x:v>
      </x:c>
      <x:c r="B1511" s="14" t="str">
        <x:v>B</x:v>
      </x:c>
      <x:c r="C1511" s="14" t="str">
        <x:v>evaluation_utterance_end</x:v>
      </x:c>
      <x:c r="D1511" s="14" t="n">
        <x:v>-6</x:v>
      </x:c>
      <x:c r="E1511" s="14" t="n">
        <x:v>0</x:v>
      </x:c>
      <x:c r="F1511" s="14" t="n">
        <x:v>6</x:v>
      </x:c>
      <x:c r="G1511" s="17" t="n">
        <x:v>0</x:v>
      </x:c>
      <x:c r="H1511" s="14" t="str">
        <x:v>S05-02:B:origin</x:v>
      </x:c>
    </x:row>
    <x:row r="1512" ht="72" customHeight="1">
      <x:c r="A1512" s="14" t="str">
        <x:v>S05-02:B:final_transcript</x:v>
      </x:c>
      <x:c r="B1512" s="14" t="str">
        <x:v>B</x:v>
      </x:c>
      <x:c r="C1512" s="14" t="str">
        <x:v>final_transcript</x:v>
      </x:c>
      <x:c r="D1512" s="14" t="n">
        <x:v>0</x:v>
      </x:c>
      <x:c r="E1512" s="14" t="n">
        <x:v>0.3</x:v>
      </x:c>
      <x:c r="F1512" s="14" t="n">
        <x:v>0.3</x:v>
      </x:c>
      <x:c r="G1512" s="17" t="n">
        <x:v>1</x:v>
      </x:c>
      <x:c r="H1512" s="14" t="str">
        <x:v>S05-02:B:evaluation_utterance_end</x:v>
      </x:c>
    </x:row>
    <x:row r="1513" ht="72" customHeight="1">
      <x:c r="A1513" s="14" t="str">
        <x:v>S05-02:B:meaning_adoption</x:v>
      </x:c>
      <x:c r="B1513" s="14" t="str">
        <x:v>B</x:v>
      </x:c>
      <x:c r="C1513" s="14" t="str">
        <x:v>meaning_adoption</x:v>
      </x:c>
      <x:c r="D1513" s="14" t="n">
        <x:v>0.3</x:v>
      </x:c>
      <x:c r="E1513" s="14" t="n">
        <x:v>0.856666667</x:v>
      </x:c>
      <x:c r="F1513" s="14" t="n">
        <x:v>0.556666667</x:v>
      </x:c>
      <x:c r="G1513" s="17" t="n">
        <x:v>1</x:v>
      </x:c>
      <x:c r="H1513" s="14" t="str">
        <x:v>S05-02:B:final_transcript
S05-02:B:origin_interpretation</x:v>
      </x:c>
    </x:row>
    <x:row r="1514" ht="72" customHeight="1">
      <x:c r="A1514" s="14" t="str">
        <x:v>S05-02:B:apply_relation</x:v>
      </x:c>
      <x:c r="B1514" s="14" t="str">
        <x:v>B</x:v>
      </x:c>
      <x:c r="C1514" s="14" t="str">
        <x:v>apply_relation</x:v>
      </x:c>
      <x:c r="D1514" s="14" t="n">
        <x:v>0.856666667</x:v>
      </x:c>
      <x:c r="E1514" s="14" t="n">
        <x:v>0.896666667</x:v>
      </x:c>
      <x:c r="F1514" s="14" t="n">
        <x:v>0.04</x:v>
      </x:c>
      <x:c r="G1514" s="17" t="n">
        <x:v>1</x:v>
      </x:c>
      <x:c r="H1514" s="14" t="str">
        <x:v>S05-02:B:meaning_adoption</x:v>
      </x:c>
    </x:row>
    <x:row r="1515" ht="72" customHeight="1">
      <x:c r="A1515" s="14" t="str">
        <x:v>S05-02:B:evaluation_first_display</x:v>
      </x:c>
      <x:c r="B1515" s="14" t="str">
        <x:v>B</x:v>
      </x:c>
      <x:c r="C1515" s="14" t="str">
        <x:v>evaluation_first_display</x:v>
      </x:c>
      <x:c r="D1515" s="14" t="n">
        <x:v>0.896666667</x:v>
      </x:c>
      <x:c r="E1515" s="14" t="n">
        <x:v>0.936666667</x:v>
      </x:c>
      <x:c r="F1515" s="14" t="n">
        <x:v>0.04</x:v>
      </x:c>
      <x:c r="G1515" s="17" t="n">
        <x:v>1</x:v>
      </x:c>
      <x:c r="H1515" s="14" t="str">
        <x:v>S05-02:B:apply_relation</x:v>
      </x:c>
    </x:row>
    <x:row r="1516" ht="72" customHeight="1">
      <x:c r="A1516" s="14" t="str">
        <x:v>S05-02:B:source_long_report</x:v>
      </x:c>
      <x:c r="B1516" s="14" t="str">
        <x:v>B</x:v>
      </x:c>
      <x:c r="C1516" s="14" t="str">
        <x:v>source_long_report</x:v>
      </x:c>
      <x:c r="D1516" s="14" t="n">
        <x:v>-5.04</x:v>
      </x:c>
      <x:c r="E1516" s="14" t="n">
        <x:v>-4.8</x:v>
      </x:c>
      <x:c r="F1516" s="14" t="n">
        <x:v>0.24</x:v>
      </x:c>
      <x:c r="G1516" s="17" t="n">
        <x:v>0</x:v>
      </x:c>
      <x:c r="H1516" s="14" t="str">
        <x:v>S05-02:B:original_handoff</x:v>
      </x:c>
    </x:row>
    <x:row r="1517" ht="72" customHeight="1">
      <x:c r="A1517" s="14" t="str">
        <x:v>S05-02:B:display_long_report</x:v>
      </x:c>
      <x:c r="B1517" s="14" t="str">
        <x:v>B</x:v>
      </x:c>
      <x:c r="C1517" s="14" t="str">
        <x:v>display_long_report</x:v>
      </x:c>
      <x:c r="D1517" s="14" t="n">
        <x:v>-4.8</x:v>
      </x:c>
      <x:c r="E1517" s="14" t="n">
        <x:v>-4.76</x:v>
      </x:c>
      <x:c r="F1517" s="14" t="n">
        <x:v>0.04</x:v>
      </x:c>
      <x:c r="G1517" s="17" t="n">
        <x:v>1</x:v>
      </x:c>
      <x:c r="H1517" s="14" t="str">
        <x:v>S05-02:B:source_long_report</x:v>
      </x:c>
    </x:row>
    <x:row r="1518" ht="72" customHeight="1">
      <x:c r="A1518" s="14" t="str">
        <x:v>S05-02:B:long_report_first</x:v>
      </x:c>
      <x:c r="B1518" s="14" t="str">
        <x:v>B</x:v>
      </x:c>
      <x:c r="C1518" s="14" t="str">
        <x:v>long_report_first</x:v>
      </x:c>
      <x:c r="D1518" s="14" t="n">
        <x:v>-4.8</x:v>
      </x:c>
      <x:c r="E1518" s="14" t="n">
        <x:v>-4.324666667</x:v>
      </x:c>
      <x:c r="F1518" s="14" t="n">
        <x:v>0.475333333</x:v>
      </x:c>
      <x:c r="G1518" s="17" t="n">
        <x:v>1</x:v>
      </x:c>
      <x:c r="H1518" s="14" t="str">
        <x:v>S05-02:B:source_long_report</x:v>
      </x:c>
    </x:row>
    <x:row r="1519" ht="72" customHeight="1">
      <x:c r="A1519" s="14" t="str">
        <x:v>S05-02:B:long_report_tail</x:v>
      </x:c>
      <x:c r="B1519" s="14" t="str">
        <x:v>B</x:v>
      </x:c>
      <x:c r="C1519" s="14" t="str">
        <x:v>long_report_tail</x:v>
      </x:c>
      <x:c r="D1519" s="14" t="n">
        <x:v>-4.324666667</x:v>
      </x:c>
      <x:c r="E1519" s="14" t="n">
        <x:v>0.996666667</x:v>
      </x:c>
      <x:c r="F1519" s="14" t="n">
        <x:v>5.321333334</x:v>
      </x:c>
      <x:c r="G1519" s="17" t="n">
        <x:v>1</x:v>
      </x:c>
      <x:c r="H1519" s="14" t="str">
        <x:v>S05-02:B:long_report_first</x:v>
      </x:c>
    </x:row>
    <x:row r="1520" ht="72" customHeight="1">
      <x:c r="A1520" s="14" t="str">
        <x:v>S05-02:B:source_question</x:v>
      </x:c>
      <x:c r="B1520" s="14" t="str">
        <x:v>B</x:v>
      </x:c>
      <x:c r="C1520" s="14" t="str">
        <x:v>source_question</x:v>
      </x:c>
      <x:c r="D1520" s="14" t="n">
        <x:v>-5.04</x:v>
      </x:c>
      <x:c r="E1520" s="14" t="n">
        <x:v>-0.9</x:v>
      </x:c>
      <x:c r="F1520" s="14" t="n">
        <x:v>4.14</x:v>
      </x:c>
      <x:c r="G1520" s="17" t="n">
        <x:v>0</x:v>
      </x:c>
      <x:c r="H1520" s="14" t="str">
        <x:v>S05-02:B:original_handoff</x:v>
      </x:c>
    </x:row>
    <x:row r="1521" ht="72" customHeight="1">
      <x:c r="A1521" s="14" t="str">
        <x:v>S05-02:B:display_question</x:v>
      </x:c>
      <x:c r="B1521" s="14" t="str">
        <x:v>B</x:v>
      </x:c>
      <x:c r="C1521" s="14" t="str">
        <x:v>display_question</x:v>
      </x:c>
      <x:c r="D1521" s="14" t="n">
        <x:v>-0.9</x:v>
      </x:c>
      <x:c r="E1521" s="14" t="n">
        <x:v>-0.86</x:v>
      </x:c>
      <x:c r="F1521" s="14" t="n">
        <x:v>0.04</x:v>
      </x:c>
      <x:c r="G1521" s="17" t="n">
        <x:v>1</x:v>
      </x:c>
      <x:c r="H1521" s="14" t="str">
        <x:v>S05-02:B:source_question</x:v>
      </x:c>
    </x:row>
    <x:row r="1522" ht="72" customHeight="1">
      <x:c r="A1522" s="14" t="str">
        <x:v>S05-02:B:question_first</x:v>
      </x:c>
      <x:c r="B1522" s="14" t="str">
        <x:v>B</x:v>
      </x:c>
      <x:c r="C1522" s="14" t="str">
        <x:v>question_first</x:v>
      </x:c>
      <x:c r="D1522" s="14" t="n">
        <x:v>0.896666667</x:v>
      </x:c>
      <x:c r="E1522" s="14" t="n">
        <x:v>1.297666667</x:v>
      </x:c>
      <x:c r="F1522" s="14" t="n">
        <x:v>0.401</x:v>
      </x:c>
      <x:c r="G1522" s="17" t="n">
        <x:v>1</x:v>
      </x:c>
      <x:c r="H1522" s="14" t="str">
        <x:v>S05-02:B:apply_relation</x:v>
      </x:c>
    </x:row>
    <x:row r="1523" ht="72" customHeight="1">
      <x:c r="A1523" s="14" t="str">
        <x:v>S05-02:B:question_tail</x:v>
      </x:c>
      <x:c r="B1523" s="14" t="str">
        <x:v>B</x:v>
      </x:c>
      <x:c r="C1523" s="14" t="str">
        <x:v>question_tail</x:v>
      </x:c>
      <x:c r="D1523" s="14" t="n">
        <x:v>1.297666667</x:v>
      </x:c>
      <x:c r="E1523" s="14" t="n">
        <x:v>1.937166667</x:v>
      </x:c>
      <x:c r="F1523" s="14" t="n">
        <x:v>0.6395</x:v>
      </x:c>
      <x:c r="G1523" s="17" t="n">
        <x:v>1</x:v>
      </x:c>
      <x:c r="H1523" s="14" t="str">
        <x:v>S05-02:B:question_first</x:v>
      </x:c>
    </x:row>
    <x:row r="1524" ht="72" customHeight="1">
      <x:c r="A1524" s="14" t="str">
        <x:v>S05-02:B:question_device</x:v>
      </x:c>
      <x:c r="B1524" s="14" t="str">
        <x:v>B</x:v>
      </x:c>
      <x:c r="C1524" s="14" t="str">
        <x:v>question_device</x:v>
      </x:c>
      <x:c r="D1524" s="14" t="n">
        <x:v>1.297666667</x:v>
      </x:c>
      <x:c r="E1524" s="14" t="n">
        <x:v>1.337666667</x:v>
      </x:c>
      <x:c r="F1524" s="14" t="n">
        <x:v>0.04</x:v>
      </x:c>
      <x:c r="G1524" s="17" t="n">
        <x:v>1</x:v>
      </x:c>
      <x:c r="H1524" s="14" t="str">
        <x:v>S05-02:B:apply_relation
S05-02:B:question_first</x:v>
      </x:c>
    </x:row>
    <x:row r="1525" ht="72" customHeight="1">
      <x:c r="A1525" s="14" t="str">
        <x:v>S05-02:B:question_played</x:v>
      </x:c>
      <x:c r="B1525" s="14" t="str">
        <x:v>B</x:v>
      </x:c>
      <x:c r="C1525" s="14" t="str">
        <x:v>question_played</x:v>
      </x:c>
      <x:c r="D1525" s="14" t="n">
        <x:v>1.337666667</x:v>
      </x:c>
      <x:c r="E1525" s="14" t="n">
        <x:v>4.095666667</x:v>
      </x:c>
      <x:c r="F1525" s="14" t="n">
        <x:v>2.758</x:v>
      </x:c>
      <x:c r="G1525" s="17" t="n">
        <x:v>0</x:v>
      </x:c>
      <x:c r="H1525" s="14" t="str">
        <x:v>S05-02:B:question_device</x:v>
      </x:c>
    </x:row>
    <x:row r="1526" ht="72" customHeight="1">
      <x:c r="A1526" s="14" t="str">
        <x:v>S05-02:B:resume_cached_device</x:v>
      </x:c>
      <x:c r="B1526" s="14" t="str">
        <x:v>B</x:v>
      </x:c>
      <x:c r="C1526" s="14" t="str">
        <x:v>resume_cached_device</x:v>
      </x:c>
      <x:c r="D1526" s="14" t="n">
        <x:v>4.095666667</x:v>
      </x:c>
      <x:c r="E1526" s="14" t="n">
        <x:v>4.135666667</x:v>
      </x:c>
      <x:c r="F1526" s="14" t="n">
        <x:v>0.04</x:v>
      </x:c>
      <x:c r="G1526" s="17" t="n">
        <x:v>1</x:v>
      </x:c>
      <x:c r="H1526" s="14" t="str">
        <x:v>S05-02:B:question_played
S05-02:B:long_report_first</x:v>
      </x:c>
    </x:row>
    <x:row r="1527" ht="72" customHeight="1">
      <x:c r="A1527" s="14" t="str">
        <x:v>S05-02:B:resume_cached_played</x:v>
      </x:c>
      <x:c r="B1527" s="14" t="str">
        <x:v>B</x:v>
      </x:c>
      <x:c r="C1527" s="14" t="str">
        <x:v>resume_cached_played</x:v>
      </x:c>
      <x:c r="D1527" s="14" t="n">
        <x:v>4.135666667</x:v>
      </x:c>
      <x:c r="E1527" s="14" t="n">
        <x:v>24.856333336</x:v>
      </x:c>
      <x:c r="F1527" s="14" t="n">
        <x:v>20.720666669</x:v>
      </x:c>
      <x:c r="G1527" s="17" t="n">
        <x:v>0</x:v>
      </x:c>
      <x:c r="H1527" s="14" t="str">
        <x:v>S05-02:B:resume_cached_device</x:v>
      </x:c>
    </x:row>
    <x:row r="1528" ht="72" customHeight="1">
      <x:c r="A1528" s="14" t="str">
        <x:v>S05-02:B:resume_suffix_first</x:v>
      </x:c>
      <x:c r="B1528" s="14" t="str">
        <x:v>B</x:v>
      </x:c>
      <x:c r="C1528" s="14" t="str">
        <x:v>resume_suffix_first</x:v>
      </x:c>
      <x:c r="D1528" s="14" t="n">
        <x:v>4.095666667</x:v>
      </x:c>
      <x:c r="E1528" s="14" t="n">
        <x:v>4.611</x:v>
      </x:c>
      <x:c r="F1528" s="14" t="n">
        <x:v>0.515333333</x:v>
      </x:c>
      <x:c r="G1528" s="17" t="n">
        <x:v>1</x:v>
      </x:c>
      <x:c r="H1528" s="14" t="str">
        <x:v>S05-02:B:question_played</x:v>
      </x:c>
    </x:row>
    <x:row r="1529" ht="72" customHeight="1">
      <x:c r="A1529" s="14" t="str">
        <x:v>S05-02:B:resume_suffix_tail</x:v>
      </x:c>
      <x:c r="B1529" s="14" t="str">
        <x:v>B</x:v>
      </x:c>
      <x:c r="C1529" s="14" t="str">
        <x:v>resume_suffix_tail</x:v>
      </x:c>
      <x:c r="D1529" s="14" t="n">
        <x:v>4.611</x:v>
      </x:c>
      <x:c r="E1529" s="14" t="n">
        <x:v>8.179166666</x:v>
      </x:c>
      <x:c r="F1529" s="14" t="n">
        <x:v>3.568166666</x:v>
      </x:c>
      <x:c r="G1529" s="17" t="n">
        <x:v>1</x:v>
      </x:c>
      <x:c r="H1529" s="14" t="str">
        <x:v>S05-02:B:resume_suffix_first</x:v>
      </x:c>
    </x:row>
    <x:row r="1530" ht="72" customHeight="1">
      <x:c r="A1530" s="14" t="str">
        <x:v>S05-02:B:resume_suffix_device</x:v>
      </x:c>
      <x:c r="B1530" s="14" t="str">
        <x:v>B</x:v>
      </x:c>
      <x:c r="C1530" s="14" t="str">
        <x:v>resume_suffix_device</x:v>
      </x:c>
      <x:c r="D1530" s="14" t="n">
        <x:v>24.856333336</x:v>
      </x:c>
      <x:c r="E1530" s="14" t="n">
        <x:v>24.896333336</x:v>
      </x:c>
      <x:c r="F1530" s="14" t="n">
        <x:v>0.04</x:v>
      </x:c>
      <x:c r="G1530" s="17" t="n">
        <x:v>1</x:v>
      </x:c>
      <x:c r="H1530" s="14" t="str">
        <x:v>S05-02:B:resume_cached_played
S05-02:B:resume_suffix_first</x:v>
      </x:c>
    </x:row>
    <x:row r="1531" ht="72" customHeight="1">
      <x:c r="A1531" s="14" t="str">
        <x:v>S05-02:B:resume_suffix_played</x:v>
      </x:c>
      <x:c r="B1531" s="14" t="str">
        <x:v>B</x:v>
      </x:c>
      <x:c r="C1531" s="14" t="str">
        <x:v>resume_suffix_played</x:v>
      </x:c>
      <x:c r="D1531" s="14" t="n">
        <x:v>24.896333336</x:v>
      </x:c>
      <x:c r="E1531" s="14" t="n">
        <x:v>39.369</x:v>
      </x:c>
      <x:c r="F1531" s="14" t="n">
        <x:v>14.472666664</x:v>
      </x:c>
      <x:c r="G1531" s="17" t="n">
        <x:v>0</x:v>
      </x:c>
      <x:c r="H1531" s="14" t="str">
        <x:v>S05-02:B:resume_suffix_device</x:v>
      </x:c>
    </x:row>
    <x:row r="1532" ht="72" customHeight="1">
      <x:c r="A1532" s="14" t="str">
        <x:v>S05-03:A:origin</x:v>
      </x:c>
      <x:c r="B1532" s="14" t="str">
        <x:v>A</x:v>
      </x:c>
      <x:c r="C1532" s="14" t="str">
        <x:v>origin</x:v>
      </x:c>
      <x:c r="D1532" s="14" t="n">
        <x:v>-6</x:v>
      </x:c>
      <x:c r="E1532" s="14" t="n">
        <x:v>-6</x:v>
      </x:c>
      <x:c r="F1532" s="14" t="n">
        <x:v>0</x:v>
      </x:c>
      <x:c r="G1532" s="17" t="n">
        <x:v>0</x:v>
      </x:c>
      <x:c r="H1532" s="14" t="str"/>
    </x:row>
    <x:row r="1533" ht="72" customHeight="1">
      <x:c r="A1533" s="14" t="str">
        <x:v>S05-03:A:origin_interpretation</x:v>
      </x:c>
      <x:c r="B1533" s="14" t="str">
        <x:v>A</x:v>
      </x:c>
      <x:c r="C1533" s="14" t="str">
        <x:v>origin_interpretation</x:v>
      </x:c>
      <x:c r="D1533" s="14" t="n">
        <x:v>-6</x:v>
      </x:c>
      <x:c r="E1533" s="14" t="n">
        <x:v>-5.16</x:v>
      </x:c>
      <x:c r="F1533" s="14" t="n">
        <x:v>0.84</x:v>
      </x:c>
      <x:c r="G1533" s="17" t="n">
        <x:v>1</x:v>
      </x:c>
      <x:c r="H1533" s="14" t="str">
        <x:v>S05-03:A:origin</x:v>
      </x:c>
    </x:row>
    <x:row r="1534" ht="72" customHeight="1">
      <x:c r="A1534" s="14" t="str">
        <x:v>S05-03:A:original_handoff</x:v>
      </x:c>
      <x:c r="B1534" s="14" t="str">
        <x:v>A</x:v>
      </x:c>
      <x:c r="C1534" s="14" t="str">
        <x:v>original_handoff</x:v>
      </x:c>
      <x:c r="D1534" s="14" t="n">
        <x:v>-5.16</x:v>
      </x:c>
      <x:c r="E1534" s="14" t="n">
        <x:v>-5.04</x:v>
      </x:c>
      <x:c r="F1534" s="14" t="n">
        <x:v>0.12</x:v>
      </x:c>
      <x:c r="G1534" s="17" t="n">
        <x:v>1</x:v>
      </x:c>
      <x:c r="H1534" s="14" t="str">
        <x:v>S05-03:A:origin_interpretation</x:v>
      </x:c>
    </x:row>
    <x:row r="1535" ht="72" customHeight="1">
      <x:c r="A1535" s="14" t="str">
        <x:v>S05-03:A:evaluation_utterance_end</x:v>
      </x:c>
      <x:c r="B1535" s="14" t="str">
        <x:v>A</x:v>
      </x:c>
      <x:c r="C1535" s="14" t="str">
        <x:v>evaluation_utterance_end</x:v>
      </x:c>
      <x:c r="D1535" s="14" t="n">
        <x:v>-6</x:v>
      </x:c>
      <x:c r="E1535" s="14" t="n">
        <x:v>0</x:v>
      </x:c>
      <x:c r="F1535" s="14" t="n">
        <x:v>6</x:v>
      </x:c>
      <x:c r="G1535" s="17" t="n">
        <x:v>0</x:v>
      </x:c>
      <x:c r="H1535" s="14" t="str">
        <x:v>S05-03:A:origin</x:v>
      </x:c>
    </x:row>
    <x:row r="1536" ht="72" customHeight="1">
      <x:c r="A1536" s="14" t="str">
        <x:v>S05-03:A:final_transcript</x:v>
      </x:c>
      <x:c r="B1536" s="14" t="str">
        <x:v>A</x:v>
      </x:c>
      <x:c r="C1536" s="14" t="str">
        <x:v>final_transcript</x:v>
      </x:c>
      <x:c r="D1536" s="14" t="n">
        <x:v>0</x:v>
      </x:c>
      <x:c r="E1536" s="14" t="n">
        <x:v>0.3</x:v>
      </x:c>
      <x:c r="F1536" s="14" t="n">
        <x:v>0.3</x:v>
      </x:c>
      <x:c r="G1536" s="17" t="n">
        <x:v>1</x:v>
      </x:c>
      <x:c r="H1536" s="14" t="str">
        <x:v>S05-03:A:evaluation_utterance_end</x:v>
      </x:c>
    </x:row>
    <x:row r="1537" ht="72" customHeight="1">
      <x:c r="A1537" s="14" t="str">
        <x:v>S05-03:A:meaning_adoption</x:v>
      </x:c>
      <x:c r="B1537" s="14" t="str">
        <x:v>A</x:v>
      </x:c>
      <x:c r="C1537" s="14" t="str">
        <x:v>meaning_adoption</x:v>
      </x:c>
      <x:c r="D1537" s="14" t="n">
        <x:v>0.3</x:v>
      </x:c>
      <x:c r="E1537" s="14" t="n">
        <x:v>0.81</x:v>
      </x:c>
      <x:c r="F1537" s="14" t="n">
        <x:v>0.51</x:v>
      </x:c>
      <x:c r="G1537" s="17" t="n">
        <x:v>1</x:v>
      </x:c>
      <x:c r="H1537" s="14" t="str">
        <x:v>S05-03:A:final_transcript
S05-03:A:origin_interpretation</x:v>
      </x:c>
    </x:row>
    <x:row r="1538" ht="72" customHeight="1">
      <x:c r="A1538" s="14" t="str">
        <x:v>S05-03:A:apply_relation</x:v>
      </x:c>
      <x:c r="B1538" s="14" t="str">
        <x:v>A</x:v>
      </x:c>
      <x:c r="C1538" s="14" t="str">
        <x:v>apply_relation</x:v>
      </x:c>
      <x:c r="D1538" s="14" t="n">
        <x:v>0.81</x:v>
      </x:c>
      <x:c r="E1538" s="14" t="n">
        <x:v>0.85</x:v>
      </x:c>
      <x:c r="F1538" s="14" t="n">
        <x:v>0.04</x:v>
      </x:c>
      <x:c r="G1538" s="17" t="n">
        <x:v>1</x:v>
      </x:c>
      <x:c r="H1538" s="14" t="str">
        <x:v>S05-03:A:meaning_adoption</x:v>
      </x:c>
    </x:row>
    <x:row r="1539" ht="72" customHeight="1">
      <x:c r="A1539" s="14" t="str">
        <x:v>S05-03:A:evaluation_first_display</x:v>
      </x:c>
      <x:c r="B1539" s="14" t="str">
        <x:v>A</x:v>
      </x:c>
      <x:c r="C1539" s="14" t="str">
        <x:v>evaluation_first_display</x:v>
      </x:c>
      <x:c r="D1539" s="14" t="n">
        <x:v>0.85</x:v>
      </x:c>
      <x:c r="E1539" s="14" t="n">
        <x:v>0.89</x:v>
      </x:c>
      <x:c r="F1539" s="14" t="n">
        <x:v>0.04</x:v>
      </x:c>
      <x:c r="G1539" s="17" t="n">
        <x:v>1</x:v>
      </x:c>
      <x:c r="H1539" s="14" t="str">
        <x:v>S05-03:A:apply_relation</x:v>
      </x:c>
    </x:row>
    <x:row r="1540" ht="72" customHeight="1">
      <x:c r="A1540" s="14" t="str">
        <x:v>S05-03:A:source_long_report</x:v>
      </x:c>
      <x:c r="B1540" s="14" t="str">
        <x:v>A</x:v>
      </x:c>
      <x:c r="C1540" s="14" t="str">
        <x:v>source_long_report</x:v>
      </x:c>
      <x:c r="D1540" s="14" t="n">
        <x:v>-5.04</x:v>
      </x:c>
      <x:c r="E1540" s="14" t="n">
        <x:v>-4.8</x:v>
      </x:c>
      <x:c r="F1540" s="14" t="n">
        <x:v>0.24</x:v>
      </x:c>
      <x:c r="G1540" s="17" t="n">
        <x:v>0</x:v>
      </x:c>
      <x:c r="H1540" s="14" t="str">
        <x:v>S05-03:A:original_handoff</x:v>
      </x:c>
    </x:row>
    <x:row r="1541" ht="72" customHeight="1">
      <x:c r="A1541" s="14" t="str">
        <x:v>S05-03:A:display_long_report</x:v>
      </x:c>
      <x:c r="B1541" s="14" t="str">
        <x:v>A</x:v>
      </x:c>
      <x:c r="C1541" s="14" t="str">
        <x:v>display_long_report</x:v>
      </x:c>
      <x:c r="D1541" s="14" t="n">
        <x:v>-4.8</x:v>
      </x:c>
      <x:c r="E1541" s="14" t="n">
        <x:v>-4.76</x:v>
      </x:c>
      <x:c r="F1541" s="14" t="n">
        <x:v>0.04</x:v>
      </x:c>
      <x:c r="G1541" s="17" t="n">
        <x:v>1</x:v>
      </x:c>
      <x:c r="H1541" s="14" t="str">
        <x:v>S05-03:A:source_long_report</x:v>
      </x:c>
    </x:row>
    <x:row r="1542" ht="72" customHeight="1">
      <x:c r="A1542" s="14" t="str">
        <x:v>S05-03:A:long_report_first</x:v>
      </x:c>
      <x:c r="B1542" s="14" t="str">
        <x:v>A</x:v>
      </x:c>
      <x:c r="C1542" s="14" t="str">
        <x:v>long_report_first</x:v>
      </x:c>
      <x:c r="D1542" s="14" t="n">
        <x:v>-4.8</x:v>
      </x:c>
      <x:c r="E1542" s="14" t="n">
        <x:v>-4.324666667</x:v>
      </x:c>
      <x:c r="F1542" s="14" t="n">
        <x:v>0.475333333</x:v>
      </x:c>
      <x:c r="G1542" s="17" t="n">
        <x:v>1</x:v>
      </x:c>
      <x:c r="H1542" s="14" t="str">
        <x:v>S05-03:A:source_long_report</x:v>
      </x:c>
    </x:row>
    <x:row r="1543" ht="72" customHeight="1">
      <x:c r="A1543" s="14" t="str">
        <x:v>S05-03:A:long_report_tail</x:v>
      </x:c>
      <x:c r="B1543" s="14" t="str">
        <x:v>A</x:v>
      </x:c>
      <x:c r="C1543" s="14" t="str">
        <x:v>long_report_tail</x:v>
      </x:c>
      <x:c r="D1543" s="14" t="n">
        <x:v>-4.324666667</x:v>
      </x:c>
      <x:c r="E1543" s="14" t="n">
        <x:v>4.617833333</x:v>
      </x:c>
      <x:c r="F1543" s="14" t="n">
        <x:v>8.9425</x:v>
      </x:c>
      <x:c r="G1543" s="17" t="n">
        <x:v>1</x:v>
      </x:c>
      <x:c r="H1543" s="14" t="str">
        <x:v>S05-03:A:long_report_first</x:v>
      </x:c>
    </x:row>
    <x:row r="1544" ht="72" customHeight="1">
      <x:c r="A1544" s="14" t="str">
        <x:v>S05-03:A:source_question</x:v>
      </x:c>
      <x:c r="B1544" s="14" t="str">
        <x:v>A</x:v>
      </x:c>
      <x:c r="C1544" s="14" t="str">
        <x:v>source_question</x:v>
      </x:c>
      <x:c r="D1544" s="14" t="n">
        <x:v>-5.04</x:v>
      </x:c>
      <x:c r="E1544" s="14" t="n">
        <x:v>-0.9</x:v>
      </x:c>
      <x:c r="F1544" s="14" t="n">
        <x:v>4.14</x:v>
      </x:c>
      <x:c r="G1544" s="17" t="n">
        <x:v>0</x:v>
      </x:c>
      <x:c r="H1544" s="14" t="str">
        <x:v>S05-03:A:original_handoff</x:v>
      </x:c>
    </x:row>
    <x:row r="1545" ht="72" customHeight="1">
      <x:c r="A1545" s="14" t="str">
        <x:v>S05-03:A:display_question</x:v>
      </x:c>
      <x:c r="B1545" s="14" t="str">
        <x:v>A</x:v>
      </x:c>
      <x:c r="C1545" s="14" t="str">
        <x:v>display_question</x:v>
      </x:c>
      <x:c r="D1545" s="14" t="n">
        <x:v>-0.9</x:v>
      </x:c>
      <x:c r="E1545" s="14" t="n">
        <x:v>-0.86</x:v>
      </x:c>
      <x:c r="F1545" s="14" t="n">
        <x:v>0.04</x:v>
      </x:c>
      <x:c r="G1545" s="17" t="n">
        <x:v>1</x:v>
      </x:c>
      <x:c r="H1545" s="14" t="str">
        <x:v>S05-03:A:source_question</x:v>
      </x:c>
    </x:row>
    <x:row r="1546" ht="72" customHeight="1">
      <x:c r="A1546" s="14" t="str">
        <x:v>S05-03:A:question_first</x:v>
      </x:c>
      <x:c r="B1546" s="14" t="str">
        <x:v>A</x:v>
      </x:c>
      <x:c r="C1546" s="14" t="str">
        <x:v>question_first</x:v>
      </x:c>
      <x:c r="D1546" s="14" t="n">
        <x:v>-0.9</x:v>
      </x:c>
      <x:c r="E1546" s="14" t="n">
        <x:v>-0.499</x:v>
      </x:c>
      <x:c r="F1546" s="14" t="n">
        <x:v>0.401</x:v>
      </x:c>
      <x:c r="G1546" s="17" t="n">
        <x:v>1</x:v>
      </x:c>
      <x:c r="H1546" s="14" t="str">
        <x:v>S05-03:A:source_question</x:v>
      </x:c>
    </x:row>
    <x:row r="1547" ht="72" customHeight="1">
      <x:c r="A1547" s="14" t="str">
        <x:v>S05-03:A:question_tail</x:v>
      </x:c>
      <x:c r="B1547" s="14" t="str">
        <x:v>A</x:v>
      </x:c>
      <x:c r="C1547" s="14" t="str">
        <x:v>question_tail</x:v>
      </x:c>
      <x:c r="D1547" s="14" t="n">
        <x:v>-0.499</x:v>
      </x:c>
      <x:c r="E1547" s="14" t="n">
        <x:v>0.1435</x:v>
      </x:c>
      <x:c r="F1547" s="14" t="n">
        <x:v>0.6425</x:v>
      </x:c>
      <x:c r="G1547" s="17" t="n">
        <x:v>1</x:v>
      </x:c>
      <x:c r="H1547" s="14" t="str">
        <x:v>S05-03:A:question_first</x:v>
      </x:c>
    </x:row>
    <x:row r="1548" ht="72" customHeight="1">
      <x:c r="A1548" s="14" t="str">
        <x:v>S05-03:A:question_device</x:v>
      </x:c>
      <x:c r="B1548" s="14" t="str">
        <x:v>A</x:v>
      </x:c>
      <x:c r="C1548" s="14" t="str">
        <x:v>question_device</x:v>
      </x:c>
      <x:c r="D1548" s="14" t="n">
        <x:v>0.85</x:v>
      </x:c>
      <x:c r="E1548" s="14" t="n">
        <x:v>0.89</x:v>
      </x:c>
      <x:c r="F1548" s="14" t="n">
        <x:v>0.04</x:v>
      </x:c>
      <x:c r="G1548" s="17" t="n">
        <x:v>1</x:v>
      </x:c>
      <x:c r="H1548" s="14" t="str">
        <x:v>S05-03:A:apply_relation
S05-03:A:question_first</x:v>
      </x:c>
    </x:row>
    <x:row r="1549" ht="72" customHeight="1">
      <x:c r="A1549" s="14" t="str">
        <x:v>S05-03:A:question_played</x:v>
      </x:c>
      <x:c r="B1549" s="14" t="str">
        <x:v>A</x:v>
      </x:c>
      <x:c r="C1549" s="14" t="str">
        <x:v>question_played</x:v>
      </x:c>
      <x:c r="D1549" s="14" t="n">
        <x:v>0.89</x:v>
      </x:c>
      <x:c r="E1549" s="14" t="n">
        <x:v>3.66</x:v>
      </x:c>
      <x:c r="F1549" s="14" t="n">
        <x:v>2.77</x:v>
      </x:c>
      <x:c r="G1549" s="17" t="n">
        <x:v>0</x:v>
      </x:c>
      <x:c r="H1549" s="14" t="str">
        <x:v>S05-03:A:question_device</x:v>
      </x:c>
    </x:row>
    <x:row r="1550" ht="72" customHeight="1">
      <x:c r="A1550" s="14" t="str">
        <x:v>S05-03:A:resume_report_device</x:v>
      </x:c>
      <x:c r="B1550" s="14" t="str">
        <x:v>A</x:v>
      </x:c>
      <x:c r="C1550" s="14" t="str">
        <x:v>resume_report_device</x:v>
      </x:c>
      <x:c r="D1550" s="14" t="n">
        <x:v>3.66</x:v>
      </x:c>
      <x:c r="E1550" s="14" t="n">
        <x:v>3.7</x:v>
      </x:c>
      <x:c r="F1550" s="14" t="n">
        <x:v>0.04</x:v>
      </x:c>
      <x:c r="G1550" s="17" t="n">
        <x:v>1</x:v>
      </x:c>
      <x:c r="H1550" s="14" t="str">
        <x:v>S05-03:A:question_played
S05-03:A:long_report_first</x:v>
      </x:c>
    </x:row>
    <x:row r="1551" ht="72" customHeight="1">
      <x:c r="A1551" s="14" t="str">
        <x:v>S05-03:A:resume_report_played</x:v>
      </x:c>
      <x:c r="B1551" s="14" t="str">
        <x:v>A</x:v>
      </x:c>
      <x:c r="C1551" s="14" t="str">
        <x:v>resume_report_played</x:v>
      </x:c>
      <x:c r="D1551" s="14" t="n">
        <x:v>3.7</x:v>
      </x:c>
      <x:c r="E1551" s="14" t="n">
        <x:v>38.905333333</x:v>
      </x:c>
      <x:c r="F1551" s="14" t="n">
        <x:v>35.205333333</x:v>
      </x:c>
      <x:c r="G1551" s="17" t="n">
        <x:v>0</x:v>
      </x:c>
      <x:c r="H1551" s="14" t="str">
        <x:v>S05-03:A:resume_report_device</x:v>
      </x:c>
    </x:row>
    <x:row r="1552" ht="72" customHeight="1">
      <x:c r="A1552" s="14" t="str">
        <x:v>S05-03:B:origin</x:v>
      </x:c>
      <x:c r="B1552" s="14" t="str">
        <x:v>B</x:v>
      </x:c>
      <x:c r="C1552" s="14" t="str">
        <x:v>origin</x:v>
      </x:c>
      <x:c r="D1552" s="14" t="n">
        <x:v>-6</x:v>
      </x:c>
      <x:c r="E1552" s="14" t="n">
        <x:v>-6</x:v>
      </x:c>
      <x:c r="F1552" s="14" t="n">
        <x:v>0</x:v>
      </x:c>
      <x:c r="G1552" s="17" t="n">
        <x:v>0</x:v>
      </x:c>
      <x:c r="H1552" s="14" t="str"/>
    </x:row>
    <x:row r="1553" ht="72" customHeight="1">
      <x:c r="A1553" s="14" t="str">
        <x:v>S05-03:B:origin_interpretation</x:v>
      </x:c>
      <x:c r="B1553" s="14" t="str">
        <x:v>B</x:v>
      </x:c>
      <x:c r="C1553" s="14" t="str">
        <x:v>origin_interpretation</x:v>
      </x:c>
      <x:c r="D1553" s="14" t="n">
        <x:v>-6</x:v>
      </x:c>
      <x:c r="E1553" s="14" t="n">
        <x:v>-5.16</x:v>
      </x:c>
      <x:c r="F1553" s="14" t="n">
        <x:v>0.84</x:v>
      </x:c>
      <x:c r="G1553" s="17" t="n">
        <x:v>1</x:v>
      </x:c>
      <x:c r="H1553" s="14" t="str">
        <x:v>S05-03:B:origin</x:v>
      </x:c>
    </x:row>
    <x:row r="1554" ht="72" customHeight="1">
      <x:c r="A1554" s="14" t="str">
        <x:v>S05-03:B:original_handoff</x:v>
      </x:c>
      <x:c r="B1554" s="14" t="str">
        <x:v>B</x:v>
      </x:c>
      <x:c r="C1554" s="14" t="str">
        <x:v>original_handoff</x:v>
      </x:c>
      <x:c r="D1554" s="14" t="n">
        <x:v>-5.16</x:v>
      </x:c>
      <x:c r="E1554" s="14" t="n">
        <x:v>-5.04</x:v>
      </x:c>
      <x:c r="F1554" s="14" t="n">
        <x:v>0.12</x:v>
      </x:c>
      <x:c r="G1554" s="17" t="n">
        <x:v>1</x:v>
      </x:c>
      <x:c r="H1554" s="14" t="str">
        <x:v>S05-03:B:origin_interpretation</x:v>
      </x:c>
    </x:row>
    <x:row r="1555" ht="72" customHeight="1">
      <x:c r="A1555" s="14" t="str">
        <x:v>S05-03:B:evaluation_utterance_end</x:v>
      </x:c>
      <x:c r="B1555" s="14" t="str">
        <x:v>B</x:v>
      </x:c>
      <x:c r="C1555" s="14" t="str">
        <x:v>evaluation_utterance_end</x:v>
      </x:c>
      <x:c r="D1555" s="14" t="n">
        <x:v>-6</x:v>
      </x:c>
      <x:c r="E1555" s="14" t="n">
        <x:v>0</x:v>
      </x:c>
      <x:c r="F1555" s="14" t="n">
        <x:v>6</x:v>
      </x:c>
      <x:c r="G1555" s="17" t="n">
        <x:v>0</x:v>
      </x:c>
      <x:c r="H1555" s="14" t="str">
        <x:v>S05-03:B:origin</x:v>
      </x:c>
    </x:row>
    <x:row r="1556" ht="72" customHeight="1">
      <x:c r="A1556" s="14" t="str">
        <x:v>S05-03:B:final_transcript</x:v>
      </x:c>
      <x:c r="B1556" s="14" t="str">
        <x:v>B</x:v>
      </x:c>
      <x:c r="C1556" s="14" t="str">
        <x:v>final_transcript</x:v>
      </x:c>
      <x:c r="D1556" s="14" t="n">
        <x:v>0</x:v>
      </x:c>
      <x:c r="E1556" s="14" t="n">
        <x:v>0.3</x:v>
      </x:c>
      <x:c r="F1556" s="14" t="n">
        <x:v>0.3</x:v>
      </x:c>
      <x:c r="G1556" s="17" t="n">
        <x:v>1</x:v>
      </x:c>
      <x:c r="H1556" s="14" t="str">
        <x:v>S05-03:B:evaluation_utterance_end</x:v>
      </x:c>
    </x:row>
    <x:row r="1557" ht="72" customHeight="1">
      <x:c r="A1557" s="14" t="str">
        <x:v>S05-03:B:meaning_adoption</x:v>
      </x:c>
      <x:c r="B1557" s="14" t="str">
        <x:v>B</x:v>
      </x:c>
      <x:c r="C1557" s="14" t="str">
        <x:v>meaning_adoption</x:v>
      </x:c>
      <x:c r="D1557" s="14" t="n">
        <x:v>0.3</x:v>
      </x:c>
      <x:c r="E1557" s="14" t="n">
        <x:v>0.81</x:v>
      </x:c>
      <x:c r="F1557" s="14" t="n">
        <x:v>0.51</x:v>
      </x:c>
      <x:c r="G1557" s="17" t="n">
        <x:v>1</x:v>
      </x:c>
      <x:c r="H1557" s="14" t="str">
        <x:v>S05-03:B:final_transcript
S05-03:B:origin_interpretation</x:v>
      </x:c>
    </x:row>
    <x:row r="1558" ht="72" customHeight="1">
      <x:c r="A1558" s="14" t="str">
        <x:v>S05-03:B:apply_relation</x:v>
      </x:c>
      <x:c r="B1558" s="14" t="str">
        <x:v>B</x:v>
      </x:c>
      <x:c r="C1558" s="14" t="str">
        <x:v>apply_relation</x:v>
      </x:c>
      <x:c r="D1558" s="14" t="n">
        <x:v>0.81</x:v>
      </x:c>
      <x:c r="E1558" s="14" t="n">
        <x:v>0.85</x:v>
      </x:c>
      <x:c r="F1558" s="14" t="n">
        <x:v>0.04</x:v>
      </x:c>
      <x:c r="G1558" s="17" t="n">
        <x:v>1</x:v>
      </x:c>
      <x:c r="H1558" s="14" t="str">
        <x:v>S05-03:B:meaning_adoption</x:v>
      </x:c>
    </x:row>
    <x:row r="1559" ht="72" customHeight="1">
      <x:c r="A1559" s="14" t="str">
        <x:v>S05-03:B:evaluation_first_display</x:v>
      </x:c>
      <x:c r="B1559" s="14" t="str">
        <x:v>B</x:v>
      </x:c>
      <x:c r="C1559" s="14" t="str">
        <x:v>evaluation_first_display</x:v>
      </x:c>
      <x:c r="D1559" s="14" t="n">
        <x:v>0.85</x:v>
      </x:c>
      <x:c r="E1559" s="14" t="n">
        <x:v>0.89</x:v>
      </x:c>
      <x:c r="F1559" s="14" t="n">
        <x:v>0.04</x:v>
      </x:c>
      <x:c r="G1559" s="17" t="n">
        <x:v>1</x:v>
      </x:c>
      <x:c r="H1559" s="14" t="str">
        <x:v>S05-03:B:apply_relation</x:v>
      </x:c>
    </x:row>
    <x:row r="1560" ht="72" customHeight="1">
      <x:c r="A1560" s="14" t="str">
        <x:v>S05-03:B:source_long_report</x:v>
      </x:c>
      <x:c r="B1560" s="14" t="str">
        <x:v>B</x:v>
      </x:c>
      <x:c r="C1560" s="14" t="str">
        <x:v>source_long_report</x:v>
      </x:c>
      <x:c r="D1560" s="14" t="n">
        <x:v>-5.04</x:v>
      </x:c>
      <x:c r="E1560" s="14" t="n">
        <x:v>-4.8</x:v>
      </x:c>
      <x:c r="F1560" s="14" t="n">
        <x:v>0.24</x:v>
      </x:c>
      <x:c r="G1560" s="17" t="n">
        <x:v>0</x:v>
      </x:c>
      <x:c r="H1560" s="14" t="str">
        <x:v>S05-03:B:original_handoff</x:v>
      </x:c>
    </x:row>
    <x:row r="1561" ht="72" customHeight="1">
      <x:c r="A1561" s="14" t="str">
        <x:v>S05-03:B:display_long_report</x:v>
      </x:c>
      <x:c r="B1561" s="14" t="str">
        <x:v>B</x:v>
      </x:c>
      <x:c r="C1561" s="14" t="str">
        <x:v>display_long_report</x:v>
      </x:c>
      <x:c r="D1561" s="14" t="n">
        <x:v>-4.8</x:v>
      </x:c>
      <x:c r="E1561" s="14" t="n">
        <x:v>-4.76</x:v>
      </x:c>
      <x:c r="F1561" s="14" t="n">
        <x:v>0.04</x:v>
      </x:c>
      <x:c r="G1561" s="17" t="n">
        <x:v>1</x:v>
      </x:c>
      <x:c r="H1561" s="14" t="str">
        <x:v>S05-03:B:source_long_report</x:v>
      </x:c>
    </x:row>
    <x:row r="1562" ht="72" customHeight="1">
      <x:c r="A1562" s="14" t="str">
        <x:v>S05-03:B:long_report_first</x:v>
      </x:c>
      <x:c r="B1562" s="14" t="str">
        <x:v>B</x:v>
      </x:c>
      <x:c r="C1562" s="14" t="str">
        <x:v>long_report_first</x:v>
      </x:c>
      <x:c r="D1562" s="14" t="n">
        <x:v>-4.8</x:v>
      </x:c>
      <x:c r="E1562" s="14" t="n">
        <x:v>-4.324666667</x:v>
      </x:c>
      <x:c r="F1562" s="14" t="n">
        <x:v>0.475333333</x:v>
      </x:c>
      <x:c r="G1562" s="17" t="n">
        <x:v>1</x:v>
      </x:c>
      <x:c r="H1562" s="14" t="str">
        <x:v>S05-03:B:source_long_report</x:v>
      </x:c>
    </x:row>
    <x:row r="1563" ht="72" customHeight="1">
      <x:c r="A1563" s="14" t="str">
        <x:v>S05-03:B:long_report_tail</x:v>
      </x:c>
      <x:c r="B1563" s="14" t="str">
        <x:v>B</x:v>
      </x:c>
      <x:c r="C1563" s="14" t="str">
        <x:v>long_report_tail</x:v>
      </x:c>
      <x:c r="D1563" s="14" t="n">
        <x:v>-4.324666667</x:v>
      </x:c>
      <x:c r="E1563" s="14" t="n">
        <x:v>0.95</x:v>
      </x:c>
      <x:c r="F1563" s="14" t="n">
        <x:v>5.274666667</x:v>
      </x:c>
      <x:c r="G1563" s="17" t="n">
        <x:v>1</x:v>
      </x:c>
      <x:c r="H1563" s="14" t="str">
        <x:v>S05-03:B:long_report_first</x:v>
      </x:c>
    </x:row>
    <x:row r="1564" ht="72" customHeight="1">
      <x:c r="A1564" s="14" t="str">
        <x:v>S05-03:B:source_question</x:v>
      </x:c>
      <x:c r="B1564" s="14" t="str">
        <x:v>B</x:v>
      </x:c>
      <x:c r="C1564" s="14" t="str">
        <x:v>source_question</x:v>
      </x:c>
      <x:c r="D1564" s="14" t="n">
        <x:v>-5.04</x:v>
      </x:c>
      <x:c r="E1564" s="14" t="n">
        <x:v>-0.9</x:v>
      </x:c>
      <x:c r="F1564" s="14" t="n">
        <x:v>4.14</x:v>
      </x:c>
      <x:c r="G1564" s="17" t="n">
        <x:v>0</x:v>
      </x:c>
      <x:c r="H1564" s="14" t="str">
        <x:v>S05-03:B:original_handoff</x:v>
      </x:c>
    </x:row>
    <x:row r="1565" ht="72" customHeight="1">
      <x:c r="A1565" s="14" t="str">
        <x:v>S05-03:B:display_question</x:v>
      </x:c>
      <x:c r="B1565" s="14" t="str">
        <x:v>B</x:v>
      </x:c>
      <x:c r="C1565" s="14" t="str">
        <x:v>display_question</x:v>
      </x:c>
      <x:c r="D1565" s="14" t="n">
        <x:v>-0.9</x:v>
      </x:c>
      <x:c r="E1565" s="14" t="n">
        <x:v>-0.86</x:v>
      </x:c>
      <x:c r="F1565" s="14" t="n">
        <x:v>0.04</x:v>
      </x:c>
      <x:c r="G1565" s="17" t="n">
        <x:v>1</x:v>
      </x:c>
      <x:c r="H1565" s="14" t="str">
        <x:v>S05-03:B:source_question</x:v>
      </x:c>
    </x:row>
    <x:row r="1566" ht="72" customHeight="1">
      <x:c r="A1566" s="14" t="str">
        <x:v>S05-03:B:question_first</x:v>
      </x:c>
      <x:c r="B1566" s="14" t="str">
        <x:v>B</x:v>
      </x:c>
      <x:c r="C1566" s="14" t="str">
        <x:v>question_first</x:v>
      </x:c>
      <x:c r="D1566" s="14" t="n">
        <x:v>0.85</x:v>
      </x:c>
      <x:c r="E1566" s="14" t="n">
        <x:v>1.251</x:v>
      </x:c>
      <x:c r="F1566" s="14" t="n">
        <x:v>0.401</x:v>
      </x:c>
      <x:c r="G1566" s="17" t="n">
        <x:v>1</x:v>
      </x:c>
      <x:c r="H1566" s="14" t="str">
        <x:v>S05-03:B:apply_relation</x:v>
      </x:c>
    </x:row>
    <x:row r="1567" ht="72" customHeight="1">
      <x:c r="A1567" s="14" t="str">
        <x:v>S05-03:B:question_tail</x:v>
      </x:c>
      <x:c r="B1567" s="14" t="str">
        <x:v>B</x:v>
      </x:c>
      <x:c r="C1567" s="14" t="str">
        <x:v>question_tail</x:v>
      </x:c>
      <x:c r="D1567" s="14" t="n">
        <x:v>1.251</x:v>
      </x:c>
      <x:c r="E1567" s="14" t="n">
        <x:v>1.8935</x:v>
      </x:c>
      <x:c r="F1567" s="14" t="n">
        <x:v>0.6425</x:v>
      </x:c>
      <x:c r="G1567" s="17" t="n">
        <x:v>1</x:v>
      </x:c>
      <x:c r="H1567" s="14" t="str">
        <x:v>S05-03:B:question_first</x:v>
      </x:c>
    </x:row>
    <x:row r="1568" ht="72" customHeight="1">
      <x:c r="A1568" s="14" t="str">
        <x:v>S05-03:B:question_device</x:v>
      </x:c>
      <x:c r="B1568" s="14" t="str">
        <x:v>B</x:v>
      </x:c>
      <x:c r="C1568" s="14" t="str">
        <x:v>question_device</x:v>
      </x:c>
      <x:c r="D1568" s="14" t="n">
        <x:v>1.251</x:v>
      </x:c>
      <x:c r="E1568" s="14" t="n">
        <x:v>1.291</x:v>
      </x:c>
      <x:c r="F1568" s="14" t="n">
        <x:v>0.04</x:v>
      </x:c>
      <x:c r="G1568" s="17" t="n">
        <x:v>1</x:v>
      </x:c>
      <x:c r="H1568" s="14" t="str">
        <x:v>S05-03:B:apply_relation
S05-03:B:question_first</x:v>
      </x:c>
    </x:row>
    <x:row r="1569" ht="72" customHeight="1">
      <x:c r="A1569" s="14" t="str">
        <x:v>S05-03:B:question_played</x:v>
      </x:c>
      <x:c r="B1569" s="14" t="str">
        <x:v>B</x:v>
      </x:c>
      <x:c r="C1569" s="14" t="str">
        <x:v>question_played</x:v>
      </x:c>
      <x:c r="D1569" s="14" t="n">
        <x:v>1.291</x:v>
      </x:c>
      <x:c r="E1569" s="14" t="n">
        <x:v>4.061</x:v>
      </x:c>
      <x:c r="F1569" s="14" t="n">
        <x:v>2.77</x:v>
      </x:c>
      <x:c r="G1569" s="17" t="n">
        <x:v>0</x:v>
      </x:c>
      <x:c r="H1569" s="14" t="str">
        <x:v>S05-03:B:question_device</x:v>
      </x:c>
    </x:row>
    <x:row r="1570" ht="72" customHeight="1">
      <x:c r="A1570" s="14" t="str">
        <x:v>S05-03:B:resume_cached_device</x:v>
      </x:c>
      <x:c r="B1570" s="14" t="str">
        <x:v>B</x:v>
      </x:c>
      <x:c r="C1570" s="14" t="str">
        <x:v>resume_cached_device</x:v>
      </x:c>
      <x:c r="D1570" s="14" t="n">
        <x:v>4.061</x:v>
      </x:c>
      <x:c r="E1570" s="14" t="n">
        <x:v>4.101</x:v>
      </x:c>
      <x:c r="F1570" s="14" t="n">
        <x:v>0.04</x:v>
      </x:c>
      <x:c r="G1570" s="17" t="n">
        <x:v>1</x:v>
      </x:c>
      <x:c r="H1570" s="14" t="str">
        <x:v>S05-03:B:question_played
S05-03:B:long_report_first</x:v>
      </x:c>
    </x:row>
    <x:row r="1571" ht="72" customHeight="1">
      <x:c r="A1571" s="14" t="str">
        <x:v>S05-03:B:resume_cached_played</x:v>
      </x:c>
      <x:c r="B1571" s="14" t="str">
        <x:v>B</x:v>
      </x:c>
      <x:c r="C1571" s="14" t="str">
        <x:v>resume_cached_played</x:v>
      </x:c>
      <x:c r="D1571" s="14" t="n">
        <x:v>4.101</x:v>
      </x:c>
      <x:c r="E1571" s="14" t="n">
        <x:v>24.635000001</x:v>
      </x:c>
      <x:c r="F1571" s="14" t="n">
        <x:v>20.534000001</x:v>
      </x:c>
      <x:c r="G1571" s="17" t="n">
        <x:v>0</x:v>
      </x:c>
      <x:c r="H1571" s="14" t="str">
        <x:v>S05-03:B:resume_cached_device</x:v>
      </x:c>
    </x:row>
    <x:row r="1572" ht="72" customHeight="1">
      <x:c r="A1572" s="14" t="str">
        <x:v>S05-03:B:resume_suffix_first</x:v>
      </x:c>
      <x:c r="B1572" s="14" t="str">
        <x:v>B</x:v>
      </x:c>
      <x:c r="C1572" s="14" t="str">
        <x:v>resume_suffix_first</x:v>
      </x:c>
      <x:c r="D1572" s="14" t="n">
        <x:v>4.061</x:v>
      </x:c>
      <x:c r="E1572" s="14" t="n">
        <x:v>4.576333333</x:v>
      </x:c>
      <x:c r="F1572" s="14" t="n">
        <x:v>0.515333333</x:v>
      </x:c>
      <x:c r="G1572" s="17" t="n">
        <x:v>1</x:v>
      </x:c>
      <x:c r="H1572" s="14" t="str">
        <x:v>S05-03:B:question_played</x:v>
      </x:c>
    </x:row>
    <x:row r="1573" ht="72" customHeight="1">
      <x:c r="A1573" s="14" t="str">
        <x:v>S05-03:B:resume_suffix_tail</x:v>
      </x:c>
      <x:c r="B1573" s="14" t="str">
        <x:v>B</x:v>
      </x:c>
      <x:c r="C1573" s="14" t="str">
        <x:v>resume_suffix_tail</x:v>
      </x:c>
      <x:c r="D1573" s="14" t="n">
        <x:v>4.576333333</x:v>
      </x:c>
      <x:c r="E1573" s="14" t="n">
        <x:v>8.194166666</x:v>
      </x:c>
      <x:c r="F1573" s="14" t="n">
        <x:v>3.617833333</x:v>
      </x:c>
      <x:c r="G1573" s="17" t="n">
        <x:v>1</x:v>
      </x:c>
      <x:c r="H1573" s="14" t="str">
        <x:v>S05-03:B:resume_suffix_first</x:v>
      </x:c>
    </x:row>
    <x:row r="1574" ht="72" customHeight="1">
      <x:c r="A1574" s="14" t="str">
        <x:v>S05-03:B:resume_suffix_device</x:v>
      </x:c>
      <x:c r="B1574" s="14" t="str">
        <x:v>B</x:v>
      </x:c>
      <x:c r="C1574" s="14" t="str">
        <x:v>resume_suffix_device</x:v>
      </x:c>
      <x:c r="D1574" s="14" t="n">
        <x:v>24.635000001</x:v>
      </x:c>
      <x:c r="E1574" s="14" t="n">
        <x:v>24.675000001</x:v>
      </x:c>
      <x:c r="F1574" s="14" t="n">
        <x:v>0.04</x:v>
      </x:c>
      <x:c r="G1574" s="17" t="n">
        <x:v>1</x:v>
      </x:c>
      <x:c r="H1574" s="14" t="str">
        <x:v>S05-03:B:resume_cached_played
S05-03:B:resume_suffix_first</x:v>
      </x:c>
    </x:row>
    <x:row r="1575" ht="72" customHeight="1">
      <x:c r="A1575" s="14" t="str">
        <x:v>S05-03:B:resume_suffix_played</x:v>
      </x:c>
      <x:c r="B1575" s="14" t="str">
        <x:v>B</x:v>
      </x:c>
      <x:c r="C1575" s="14" t="str">
        <x:v>resume_suffix_played</x:v>
      </x:c>
      <x:c r="D1575" s="14" t="n">
        <x:v>24.675000001</x:v>
      </x:c>
      <x:c r="E1575" s="14" t="n">
        <x:v>39.346333333</x:v>
      </x:c>
      <x:c r="F1575" s="14" t="n">
        <x:v>14.671333332</x:v>
      </x:c>
      <x:c r="G1575" s="17" t="n">
        <x:v>0</x:v>
      </x:c>
      <x:c r="H1575" s="14" t="str">
        <x:v>S05-03:B:resume_suffix_device</x:v>
      </x:c>
    </x:row>
    <x:row r="1576" ht="72" customHeight="1">
      <x:c r="A1576" s="14" t="str">
        <x:v>S05-04:A:origin</x:v>
      </x:c>
      <x:c r="B1576" s="14" t="str">
        <x:v>A</x:v>
      </x:c>
      <x:c r="C1576" s="14" t="str">
        <x:v>origin</x:v>
      </x:c>
      <x:c r="D1576" s="14" t="n">
        <x:v>-6</x:v>
      </x:c>
      <x:c r="E1576" s="14" t="n">
        <x:v>-6</x:v>
      </x:c>
      <x:c r="F1576" s="14" t="n">
        <x:v>0</x:v>
      </x:c>
      <x:c r="G1576" s="17" t="n">
        <x:v>0</x:v>
      </x:c>
      <x:c r="H1576" s="14" t="str"/>
    </x:row>
    <x:row r="1577" ht="72" customHeight="1">
      <x:c r="A1577" s="14" t="str">
        <x:v>S05-04:A:origin_interpretation</x:v>
      </x:c>
      <x:c r="B1577" s="14" t="str">
        <x:v>A</x:v>
      </x:c>
      <x:c r="C1577" s="14" t="str">
        <x:v>origin_interpretation</x:v>
      </x:c>
      <x:c r="D1577" s="14" t="n">
        <x:v>-6</x:v>
      </x:c>
      <x:c r="E1577" s="14" t="n">
        <x:v>-5.16</x:v>
      </x:c>
      <x:c r="F1577" s="14" t="n">
        <x:v>0.84</x:v>
      </x:c>
      <x:c r="G1577" s="17" t="n">
        <x:v>1</x:v>
      </x:c>
      <x:c r="H1577" s="14" t="str">
        <x:v>S05-04:A:origin</x:v>
      </x:c>
    </x:row>
    <x:row r="1578" ht="72" customHeight="1">
      <x:c r="A1578" s="14" t="str">
        <x:v>S05-04:A:original_handoff</x:v>
      </x:c>
      <x:c r="B1578" s="14" t="str">
        <x:v>A</x:v>
      </x:c>
      <x:c r="C1578" s="14" t="str">
        <x:v>original_handoff</x:v>
      </x:c>
      <x:c r="D1578" s="14" t="n">
        <x:v>-5.16</x:v>
      </x:c>
      <x:c r="E1578" s="14" t="n">
        <x:v>-5.04</x:v>
      </x:c>
      <x:c r="F1578" s="14" t="n">
        <x:v>0.12</x:v>
      </x:c>
      <x:c r="G1578" s="17" t="n">
        <x:v>1</x:v>
      </x:c>
      <x:c r="H1578" s="14" t="str">
        <x:v>S05-04:A:origin_interpretation</x:v>
      </x:c>
    </x:row>
    <x:row r="1579" ht="72" customHeight="1">
      <x:c r="A1579" s="14" t="str">
        <x:v>S05-04:A:evaluation_utterance_end</x:v>
      </x:c>
      <x:c r="B1579" s="14" t="str">
        <x:v>A</x:v>
      </x:c>
      <x:c r="C1579" s="14" t="str">
        <x:v>evaluation_utterance_end</x:v>
      </x:c>
      <x:c r="D1579" s="14" t="n">
        <x:v>-6</x:v>
      </x:c>
      <x:c r="E1579" s="14" t="n">
        <x:v>0</x:v>
      </x:c>
      <x:c r="F1579" s="14" t="n">
        <x:v>6</x:v>
      </x:c>
      <x:c r="G1579" s="17" t="n">
        <x:v>0</x:v>
      </x:c>
      <x:c r="H1579" s="14" t="str">
        <x:v>S05-04:A:origin</x:v>
      </x:c>
    </x:row>
    <x:row r="1580" ht="72" customHeight="1">
      <x:c r="A1580" s="14" t="str">
        <x:v>S05-04:A:final_transcript</x:v>
      </x:c>
      <x:c r="B1580" s="14" t="str">
        <x:v>A</x:v>
      </x:c>
      <x:c r="C1580" s="14" t="str">
        <x:v>final_transcript</x:v>
      </x:c>
      <x:c r="D1580" s="14" t="n">
        <x:v>0</x:v>
      </x:c>
      <x:c r="E1580" s="14" t="n">
        <x:v>0.3</x:v>
      </x:c>
      <x:c r="F1580" s="14" t="n">
        <x:v>0.3</x:v>
      </x:c>
      <x:c r="G1580" s="17" t="n">
        <x:v>1</x:v>
      </x:c>
      <x:c r="H1580" s="14" t="str">
        <x:v>S05-04:A:evaluation_utterance_end</x:v>
      </x:c>
    </x:row>
    <x:row r="1581" ht="72" customHeight="1">
      <x:c r="A1581" s="14" t="str">
        <x:v>S05-04:A:meaning_adoption</x:v>
      </x:c>
      <x:c r="B1581" s="14" t="str">
        <x:v>A</x:v>
      </x:c>
      <x:c r="C1581" s="14" t="str">
        <x:v>meaning_adoption</x:v>
      </x:c>
      <x:c r="D1581" s="14" t="n">
        <x:v>0.3</x:v>
      </x:c>
      <x:c r="E1581" s="14" t="n">
        <x:v>0.838333333</x:v>
      </x:c>
      <x:c r="F1581" s="14" t="n">
        <x:v>0.538333333</x:v>
      </x:c>
      <x:c r="G1581" s="17" t="n">
        <x:v>1</x:v>
      </x:c>
      <x:c r="H1581" s="14" t="str">
        <x:v>S05-04:A:final_transcript
S05-04:A:origin_interpretation</x:v>
      </x:c>
    </x:row>
    <x:row r="1582" ht="72" customHeight="1">
      <x:c r="A1582" s="14" t="str">
        <x:v>S05-04:A:apply_relation</x:v>
      </x:c>
      <x:c r="B1582" s="14" t="str">
        <x:v>A</x:v>
      </x:c>
      <x:c r="C1582" s="14" t="str">
        <x:v>apply_relation</x:v>
      </x:c>
      <x:c r="D1582" s="14" t="n">
        <x:v>0.838333333</x:v>
      </x:c>
      <x:c r="E1582" s="14" t="n">
        <x:v>0.878333333</x:v>
      </x:c>
      <x:c r="F1582" s="14" t="n">
        <x:v>0.04</x:v>
      </x:c>
      <x:c r="G1582" s="17" t="n">
        <x:v>1</x:v>
      </x:c>
      <x:c r="H1582" s="14" t="str">
        <x:v>S05-04:A:meaning_adoption</x:v>
      </x:c>
    </x:row>
    <x:row r="1583" ht="72" customHeight="1">
      <x:c r="A1583" s="14" t="str">
        <x:v>S05-04:A:evaluation_first_display</x:v>
      </x:c>
      <x:c r="B1583" s="14" t="str">
        <x:v>A</x:v>
      </x:c>
      <x:c r="C1583" s="14" t="str">
        <x:v>evaluation_first_display</x:v>
      </x:c>
      <x:c r="D1583" s="14" t="n">
        <x:v>0.878333333</x:v>
      </x:c>
      <x:c r="E1583" s="14" t="n">
        <x:v>0.918333333</x:v>
      </x:c>
      <x:c r="F1583" s="14" t="n">
        <x:v>0.04</x:v>
      </x:c>
      <x:c r="G1583" s="17" t="n">
        <x:v>1</x:v>
      </x:c>
      <x:c r="H1583" s="14" t="str">
        <x:v>S05-04:A:apply_relation</x:v>
      </x:c>
    </x:row>
    <x:row r="1584" ht="72" customHeight="1">
      <x:c r="A1584" s="14" t="str">
        <x:v>S05-04:A:source_long_report</x:v>
      </x:c>
      <x:c r="B1584" s="14" t="str">
        <x:v>A</x:v>
      </x:c>
      <x:c r="C1584" s="14" t="str">
        <x:v>source_long_report</x:v>
      </x:c>
      <x:c r="D1584" s="14" t="n">
        <x:v>-5.04</x:v>
      </x:c>
      <x:c r="E1584" s="14" t="n">
        <x:v>-4.8</x:v>
      </x:c>
      <x:c r="F1584" s="14" t="n">
        <x:v>0.24</x:v>
      </x:c>
      <x:c r="G1584" s="17" t="n">
        <x:v>0</x:v>
      </x:c>
      <x:c r="H1584" s="14" t="str">
        <x:v>S05-04:A:original_handoff</x:v>
      </x:c>
    </x:row>
    <x:row r="1585" ht="72" customHeight="1">
      <x:c r="A1585" s="14" t="str">
        <x:v>S05-04:A:display_long_report</x:v>
      </x:c>
      <x:c r="B1585" s="14" t="str">
        <x:v>A</x:v>
      </x:c>
      <x:c r="C1585" s="14" t="str">
        <x:v>display_long_report</x:v>
      </x:c>
      <x:c r="D1585" s="14" t="n">
        <x:v>-4.8</x:v>
      </x:c>
      <x:c r="E1585" s="14" t="n">
        <x:v>-4.76</x:v>
      </x:c>
      <x:c r="F1585" s="14" t="n">
        <x:v>0.04</x:v>
      </x:c>
      <x:c r="G1585" s="17" t="n">
        <x:v>1</x:v>
      </x:c>
      <x:c r="H1585" s="14" t="str">
        <x:v>S05-04:A:source_long_report</x:v>
      </x:c>
    </x:row>
    <x:row r="1586" ht="72" customHeight="1">
      <x:c r="A1586" s="14" t="str">
        <x:v>S05-04:A:long_report_first</x:v>
      </x:c>
      <x:c r="B1586" s="14" t="str">
        <x:v>A</x:v>
      </x:c>
      <x:c r="C1586" s="14" t="str">
        <x:v>long_report_first</x:v>
      </x:c>
      <x:c r="D1586" s="14" t="n">
        <x:v>-4.8</x:v>
      </x:c>
      <x:c r="E1586" s="14" t="n">
        <x:v>-4.324666667</x:v>
      </x:c>
      <x:c r="F1586" s="14" t="n">
        <x:v>0.475333333</x:v>
      </x:c>
      <x:c r="G1586" s="17" t="n">
        <x:v>1</x:v>
      </x:c>
      <x:c r="H1586" s="14" t="str">
        <x:v>S05-04:A:source_long_report</x:v>
      </x:c>
    </x:row>
    <x:row r="1587" ht="72" customHeight="1">
      <x:c r="A1587" s="14" t="str">
        <x:v>S05-04:A:long_report_tail</x:v>
      </x:c>
      <x:c r="B1587" s="14" t="str">
        <x:v>A</x:v>
      </x:c>
      <x:c r="C1587" s="14" t="str">
        <x:v>long_report_tail</x:v>
      </x:c>
      <x:c r="D1587" s="14" t="n">
        <x:v>-4.324666667</x:v>
      </x:c>
      <x:c r="E1587" s="14" t="n">
        <x:v>4.620833333</x:v>
      </x:c>
      <x:c r="F1587" s="14" t="n">
        <x:v>8.9455</x:v>
      </x:c>
      <x:c r="G1587" s="17" t="n">
        <x:v>1</x:v>
      </x:c>
      <x:c r="H1587" s="14" t="str">
        <x:v>S05-04:A:long_report_first</x:v>
      </x:c>
    </x:row>
    <x:row r="1588" ht="72" customHeight="1">
      <x:c r="A1588" s="14" t="str">
        <x:v>S05-04:A:source_question</x:v>
      </x:c>
      <x:c r="B1588" s="14" t="str">
        <x:v>A</x:v>
      </x:c>
      <x:c r="C1588" s="14" t="str">
        <x:v>source_question</x:v>
      </x:c>
      <x:c r="D1588" s="14" t="n">
        <x:v>-5.04</x:v>
      </x:c>
      <x:c r="E1588" s="14" t="n">
        <x:v>-0.9</x:v>
      </x:c>
      <x:c r="F1588" s="14" t="n">
        <x:v>4.14</x:v>
      </x:c>
      <x:c r="G1588" s="17" t="n">
        <x:v>0</x:v>
      </x:c>
      <x:c r="H1588" s="14" t="str">
        <x:v>S05-04:A:original_handoff</x:v>
      </x:c>
    </x:row>
    <x:row r="1589" ht="72" customHeight="1">
      <x:c r="A1589" s="14" t="str">
        <x:v>S05-04:A:display_question</x:v>
      </x:c>
      <x:c r="B1589" s="14" t="str">
        <x:v>A</x:v>
      </x:c>
      <x:c r="C1589" s="14" t="str">
        <x:v>display_question</x:v>
      </x:c>
      <x:c r="D1589" s="14" t="n">
        <x:v>-0.9</x:v>
      </x:c>
      <x:c r="E1589" s="14" t="n">
        <x:v>-0.86</x:v>
      </x:c>
      <x:c r="F1589" s="14" t="n">
        <x:v>0.04</x:v>
      </x:c>
      <x:c r="G1589" s="17" t="n">
        <x:v>1</x:v>
      </x:c>
      <x:c r="H1589" s="14" t="str">
        <x:v>S05-04:A:source_question</x:v>
      </x:c>
    </x:row>
    <x:row r="1590" ht="72" customHeight="1">
      <x:c r="A1590" s="14" t="str">
        <x:v>S05-04:A:question_first</x:v>
      </x:c>
      <x:c r="B1590" s="14" t="str">
        <x:v>A</x:v>
      </x:c>
      <x:c r="C1590" s="14" t="str">
        <x:v>question_first</x:v>
      </x:c>
      <x:c r="D1590" s="14" t="n">
        <x:v>-0.9</x:v>
      </x:c>
      <x:c r="E1590" s="14" t="n">
        <x:v>-0.499</x:v>
      </x:c>
      <x:c r="F1590" s="14" t="n">
        <x:v>0.401</x:v>
      </x:c>
      <x:c r="G1590" s="17" t="n">
        <x:v>1</x:v>
      </x:c>
      <x:c r="H1590" s="14" t="str">
        <x:v>S05-04:A:source_question</x:v>
      </x:c>
    </x:row>
    <x:row r="1591" ht="72" customHeight="1">
      <x:c r="A1591" s="14" t="str">
        <x:v>S05-04:A:question_tail</x:v>
      </x:c>
      <x:c r="B1591" s="14" t="str">
        <x:v>A</x:v>
      </x:c>
      <x:c r="C1591" s="14" t="str">
        <x:v>question_tail</x:v>
      </x:c>
      <x:c r="D1591" s="14" t="n">
        <x:v>-0.499</x:v>
      </x:c>
      <x:c r="E1591" s="14" t="n">
        <x:v>0.1465</x:v>
      </x:c>
      <x:c r="F1591" s="14" t="n">
        <x:v>0.6455</x:v>
      </x:c>
      <x:c r="G1591" s="17" t="n">
        <x:v>1</x:v>
      </x:c>
      <x:c r="H1591" s="14" t="str">
        <x:v>S05-04:A:question_first</x:v>
      </x:c>
    </x:row>
    <x:row r="1592" ht="72" customHeight="1">
      <x:c r="A1592" s="14" t="str">
        <x:v>S05-04:A:question_device</x:v>
      </x:c>
      <x:c r="B1592" s="14" t="str">
        <x:v>A</x:v>
      </x:c>
      <x:c r="C1592" s="14" t="str">
        <x:v>question_device</x:v>
      </x:c>
      <x:c r="D1592" s="14" t="n">
        <x:v>0.878333333</x:v>
      </x:c>
      <x:c r="E1592" s="14" t="n">
        <x:v>0.918333333</x:v>
      </x:c>
      <x:c r="F1592" s="14" t="n">
        <x:v>0.04</x:v>
      </x:c>
      <x:c r="G1592" s="17" t="n">
        <x:v>1</x:v>
      </x:c>
      <x:c r="H1592" s="14" t="str">
        <x:v>S05-04:A:apply_relation
S05-04:A:question_first</x:v>
      </x:c>
    </x:row>
    <x:row r="1593" ht="72" customHeight="1">
      <x:c r="A1593" s="14" t="str">
        <x:v>S05-04:A:question_played</x:v>
      </x:c>
      <x:c r="B1593" s="14" t="str">
        <x:v>A</x:v>
      </x:c>
      <x:c r="C1593" s="14" t="str">
        <x:v>question_played</x:v>
      </x:c>
      <x:c r="D1593" s="14" t="n">
        <x:v>0.918333333</x:v>
      </x:c>
      <x:c r="E1593" s="14" t="n">
        <x:v>3.700333333</x:v>
      </x:c>
      <x:c r="F1593" s="14" t="n">
        <x:v>2.782</x:v>
      </x:c>
      <x:c r="G1593" s="17" t="n">
        <x:v>0</x:v>
      </x:c>
      <x:c r="H1593" s="14" t="str">
        <x:v>S05-04:A:question_device</x:v>
      </x:c>
    </x:row>
    <x:row r="1594" ht="72" customHeight="1">
      <x:c r="A1594" s="14" t="str">
        <x:v>S05-04:A:resume_report_device</x:v>
      </x:c>
      <x:c r="B1594" s="14" t="str">
        <x:v>A</x:v>
      </x:c>
      <x:c r="C1594" s="14" t="str">
        <x:v>resume_report_device</x:v>
      </x:c>
      <x:c r="D1594" s="14" t="n">
        <x:v>3.700333333</x:v>
      </x:c>
      <x:c r="E1594" s="14" t="n">
        <x:v>3.740333333</x:v>
      </x:c>
      <x:c r="F1594" s="14" t="n">
        <x:v>0.04</x:v>
      </x:c>
      <x:c r="G1594" s="17" t="n">
        <x:v>1</x:v>
      </x:c>
      <x:c r="H1594" s="14" t="str">
        <x:v>S05-04:A:question_played
S05-04:A:long_report_first</x:v>
      </x:c>
    </x:row>
    <x:row r="1595" ht="72" customHeight="1">
      <x:c r="A1595" s="14" t="str">
        <x:v>S05-04:A:resume_report_played</x:v>
      </x:c>
      <x:c r="B1595" s="14" t="str">
        <x:v>A</x:v>
      </x:c>
      <x:c r="C1595" s="14" t="str">
        <x:v>resume_report_played</x:v>
      </x:c>
      <x:c r="D1595" s="14" t="n">
        <x:v>3.740333333</x:v>
      </x:c>
      <x:c r="E1595" s="14" t="n">
        <x:v>38.957666666</x:v>
      </x:c>
      <x:c r="F1595" s="14" t="n">
        <x:v>35.217333333</x:v>
      </x:c>
      <x:c r="G1595" s="17" t="n">
        <x:v>0</x:v>
      </x:c>
      <x:c r="H1595" s="14" t="str">
        <x:v>S05-04:A:resume_report_device</x:v>
      </x:c>
    </x:row>
    <x:row r="1596" ht="72" customHeight="1">
      <x:c r="A1596" s="14" t="str">
        <x:v>S05-04:B:origin</x:v>
      </x:c>
      <x:c r="B1596" s="14" t="str">
        <x:v>B</x:v>
      </x:c>
      <x:c r="C1596" s="14" t="str">
        <x:v>origin</x:v>
      </x:c>
      <x:c r="D1596" s="14" t="n">
        <x:v>-6</x:v>
      </x:c>
      <x:c r="E1596" s="14" t="n">
        <x:v>-6</x:v>
      </x:c>
      <x:c r="F1596" s="14" t="n">
        <x:v>0</x:v>
      </x:c>
      <x:c r="G1596" s="17" t="n">
        <x:v>0</x:v>
      </x:c>
      <x:c r="H1596" s="14" t="str"/>
    </x:row>
    <x:row r="1597" ht="72" customHeight="1">
      <x:c r="A1597" s="14" t="str">
        <x:v>S05-04:B:origin_interpretation</x:v>
      </x:c>
      <x:c r="B1597" s="14" t="str">
        <x:v>B</x:v>
      </x:c>
      <x:c r="C1597" s="14" t="str">
        <x:v>origin_interpretation</x:v>
      </x:c>
      <x:c r="D1597" s="14" t="n">
        <x:v>-6</x:v>
      </x:c>
      <x:c r="E1597" s="14" t="n">
        <x:v>-5.16</x:v>
      </x:c>
      <x:c r="F1597" s="14" t="n">
        <x:v>0.84</x:v>
      </x:c>
      <x:c r="G1597" s="17" t="n">
        <x:v>1</x:v>
      </x:c>
      <x:c r="H1597" s="14" t="str">
        <x:v>S05-04:B:origin</x:v>
      </x:c>
    </x:row>
    <x:row r="1598" ht="72" customHeight="1">
      <x:c r="A1598" s="14" t="str">
        <x:v>S05-04:B:original_handoff</x:v>
      </x:c>
      <x:c r="B1598" s="14" t="str">
        <x:v>B</x:v>
      </x:c>
      <x:c r="C1598" s="14" t="str">
        <x:v>original_handoff</x:v>
      </x:c>
      <x:c r="D1598" s="14" t="n">
        <x:v>-5.16</x:v>
      </x:c>
      <x:c r="E1598" s="14" t="n">
        <x:v>-5.04</x:v>
      </x:c>
      <x:c r="F1598" s="14" t="n">
        <x:v>0.12</x:v>
      </x:c>
      <x:c r="G1598" s="17" t="n">
        <x:v>1</x:v>
      </x:c>
      <x:c r="H1598" s="14" t="str">
        <x:v>S05-04:B:origin_interpretation</x:v>
      </x:c>
    </x:row>
    <x:row r="1599" ht="72" customHeight="1">
      <x:c r="A1599" s="14" t="str">
        <x:v>S05-04:B:evaluation_utterance_end</x:v>
      </x:c>
      <x:c r="B1599" s="14" t="str">
        <x:v>B</x:v>
      </x:c>
      <x:c r="C1599" s="14" t="str">
        <x:v>evaluation_utterance_end</x:v>
      </x:c>
      <x:c r="D1599" s="14" t="n">
        <x:v>-6</x:v>
      </x:c>
      <x:c r="E1599" s="14" t="n">
        <x:v>0</x:v>
      </x:c>
      <x:c r="F1599" s="14" t="n">
        <x:v>6</x:v>
      </x:c>
      <x:c r="G1599" s="17" t="n">
        <x:v>0</x:v>
      </x:c>
      <x:c r="H1599" s="14" t="str">
        <x:v>S05-04:B:origin</x:v>
      </x:c>
    </x:row>
    <x:row r="1600" ht="72" customHeight="1">
      <x:c r="A1600" s="14" t="str">
        <x:v>S05-04:B:final_transcript</x:v>
      </x:c>
      <x:c r="B1600" s="14" t="str">
        <x:v>B</x:v>
      </x:c>
      <x:c r="C1600" s="14" t="str">
        <x:v>final_transcript</x:v>
      </x:c>
      <x:c r="D1600" s="14" t="n">
        <x:v>0</x:v>
      </x:c>
      <x:c r="E1600" s="14" t="n">
        <x:v>0.3</x:v>
      </x:c>
      <x:c r="F1600" s="14" t="n">
        <x:v>0.3</x:v>
      </x:c>
      <x:c r="G1600" s="17" t="n">
        <x:v>1</x:v>
      </x:c>
      <x:c r="H1600" s="14" t="str">
        <x:v>S05-04:B:evaluation_utterance_end</x:v>
      </x:c>
    </x:row>
    <x:row r="1601" ht="72" customHeight="1">
      <x:c r="A1601" s="14" t="str">
        <x:v>S05-04:B:meaning_adoption</x:v>
      </x:c>
      <x:c r="B1601" s="14" t="str">
        <x:v>B</x:v>
      </x:c>
      <x:c r="C1601" s="14" t="str">
        <x:v>meaning_adoption</x:v>
      </x:c>
      <x:c r="D1601" s="14" t="n">
        <x:v>0.3</x:v>
      </x:c>
      <x:c r="E1601" s="14" t="n">
        <x:v>0.838333333</x:v>
      </x:c>
      <x:c r="F1601" s="14" t="n">
        <x:v>0.538333333</x:v>
      </x:c>
      <x:c r="G1601" s="17" t="n">
        <x:v>1</x:v>
      </x:c>
      <x:c r="H1601" s="14" t="str">
        <x:v>S05-04:B:final_transcript
S05-04:B:origin_interpretation</x:v>
      </x:c>
    </x:row>
    <x:row r="1602" ht="72" customHeight="1">
      <x:c r="A1602" s="14" t="str">
        <x:v>S05-04:B:apply_relation</x:v>
      </x:c>
      <x:c r="B1602" s="14" t="str">
        <x:v>B</x:v>
      </x:c>
      <x:c r="C1602" s="14" t="str">
        <x:v>apply_relation</x:v>
      </x:c>
      <x:c r="D1602" s="14" t="n">
        <x:v>0.838333333</x:v>
      </x:c>
      <x:c r="E1602" s="14" t="n">
        <x:v>0.878333333</x:v>
      </x:c>
      <x:c r="F1602" s="14" t="n">
        <x:v>0.04</x:v>
      </x:c>
      <x:c r="G1602" s="17" t="n">
        <x:v>1</x:v>
      </x:c>
      <x:c r="H1602" s="14" t="str">
        <x:v>S05-04:B:meaning_adoption</x:v>
      </x:c>
    </x:row>
    <x:row r="1603" ht="72" customHeight="1">
      <x:c r="A1603" s="14" t="str">
        <x:v>S05-04:B:evaluation_first_display</x:v>
      </x:c>
      <x:c r="B1603" s="14" t="str">
        <x:v>B</x:v>
      </x:c>
      <x:c r="C1603" s="14" t="str">
        <x:v>evaluation_first_display</x:v>
      </x:c>
      <x:c r="D1603" s="14" t="n">
        <x:v>0.878333333</x:v>
      </x:c>
      <x:c r="E1603" s="14" t="n">
        <x:v>0.918333333</x:v>
      </x:c>
      <x:c r="F1603" s="14" t="n">
        <x:v>0.04</x:v>
      </x:c>
      <x:c r="G1603" s="17" t="n">
        <x:v>1</x:v>
      </x:c>
      <x:c r="H1603" s="14" t="str">
        <x:v>S05-04:B:apply_relation</x:v>
      </x:c>
    </x:row>
    <x:row r="1604" ht="72" customHeight="1">
      <x:c r="A1604" s="14" t="str">
        <x:v>S05-04:B:source_long_report</x:v>
      </x:c>
      <x:c r="B1604" s="14" t="str">
        <x:v>B</x:v>
      </x:c>
      <x:c r="C1604" s="14" t="str">
        <x:v>source_long_report</x:v>
      </x:c>
      <x:c r="D1604" s="14" t="n">
        <x:v>-5.04</x:v>
      </x:c>
      <x:c r="E1604" s="14" t="n">
        <x:v>-4.8</x:v>
      </x:c>
      <x:c r="F1604" s="14" t="n">
        <x:v>0.24</x:v>
      </x:c>
      <x:c r="G1604" s="17" t="n">
        <x:v>0</x:v>
      </x:c>
      <x:c r="H1604" s="14" t="str">
        <x:v>S05-04:B:original_handoff</x:v>
      </x:c>
    </x:row>
    <x:row r="1605" ht="72" customHeight="1">
      <x:c r="A1605" s="14" t="str">
        <x:v>S05-04:B:display_long_report</x:v>
      </x:c>
      <x:c r="B1605" s="14" t="str">
        <x:v>B</x:v>
      </x:c>
      <x:c r="C1605" s="14" t="str">
        <x:v>display_long_report</x:v>
      </x:c>
      <x:c r="D1605" s="14" t="n">
        <x:v>-4.8</x:v>
      </x:c>
      <x:c r="E1605" s="14" t="n">
        <x:v>-4.76</x:v>
      </x:c>
      <x:c r="F1605" s="14" t="n">
        <x:v>0.04</x:v>
      </x:c>
      <x:c r="G1605" s="17" t="n">
        <x:v>1</x:v>
      </x:c>
      <x:c r="H1605" s="14" t="str">
        <x:v>S05-04:B:source_long_report</x:v>
      </x:c>
    </x:row>
    <x:row r="1606" ht="72" customHeight="1">
      <x:c r="A1606" s="14" t="str">
        <x:v>S05-04:B:long_report_first</x:v>
      </x:c>
      <x:c r="B1606" s="14" t="str">
        <x:v>B</x:v>
      </x:c>
      <x:c r="C1606" s="14" t="str">
        <x:v>long_report_first</x:v>
      </x:c>
      <x:c r="D1606" s="14" t="n">
        <x:v>-4.8</x:v>
      </x:c>
      <x:c r="E1606" s="14" t="n">
        <x:v>-4.324666667</x:v>
      </x:c>
      <x:c r="F1606" s="14" t="n">
        <x:v>0.475333333</x:v>
      </x:c>
      <x:c r="G1606" s="17" t="n">
        <x:v>1</x:v>
      </x:c>
      <x:c r="H1606" s="14" t="str">
        <x:v>S05-04:B:source_long_report</x:v>
      </x:c>
    </x:row>
    <x:row r="1607" ht="72" customHeight="1">
      <x:c r="A1607" s="14" t="str">
        <x:v>S05-04:B:long_report_tail</x:v>
      </x:c>
      <x:c r="B1607" s="14" t="str">
        <x:v>B</x:v>
      </x:c>
      <x:c r="C1607" s="14" t="str">
        <x:v>long_report_tail</x:v>
      </x:c>
      <x:c r="D1607" s="14" t="n">
        <x:v>-4.324666667</x:v>
      </x:c>
      <x:c r="E1607" s="14" t="n">
        <x:v>0.978333333</x:v>
      </x:c>
      <x:c r="F1607" s="14" t="n">
        <x:v>5.303</x:v>
      </x:c>
      <x:c r="G1607" s="17" t="n">
        <x:v>1</x:v>
      </x:c>
      <x:c r="H1607" s="14" t="str">
        <x:v>S05-04:B:long_report_first</x:v>
      </x:c>
    </x:row>
    <x:row r="1608" ht="72" customHeight="1">
      <x:c r="A1608" s="14" t="str">
        <x:v>S05-04:B:source_question</x:v>
      </x:c>
      <x:c r="B1608" s="14" t="str">
        <x:v>B</x:v>
      </x:c>
      <x:c r="C1608" s="14" t="str">
        <x:v>source_question</x:v>
      </x:c>
      <x:c r="D1608" s="14" t="n">
        <x:v>-5.04</x:v>
      </x:c>
      <x:c r="E1608" s="14" t="n">
        <x:v>-0.9</x:v>
      </x:c>
      <x:c r="F1608" s="14" t="n">
        <x:v>4.14</x:v>
      </x:c>
      <x:c r="G1608" s="17" t="n">
        <x:v>0</x:v>
      </x:c>
      <x:c r="H1608" s="14" t="str">
        <x:v>S05-04:B:original_handoff</x:v>
      </x:c>
    </x:row>
    <x:row r="1609" ht="72" customHeight="1">
      <x:c r="A1609" s="14" t="str">
        <x:v>S05-04:B:display_question</x:v>
      </x:c>
      <x:c r="B1609" s="14" t="str">
        <x:v>B</x:v>
      </x:c>
      <x:c r="C1609" s="14" t="str">
        <x:v>display_question</x:v>
      </x:c>
      <x:c r="D1609" s="14" t="n">
        <x:v>-0.9</x:v>
      </x:c>
      <x:c r="E1609" s="14" t="n">
        <x:v>-0.86</x:v>
      </x:c>
      <x:c r="F1609" s="14" t="n">
        <x:v>0.04</x:v>
      </x:c>
      <x:c r="G1609" s="17" t="n">
        <x:v>1</x:v>
      </x:c>
      <x:c r="H1609" s="14" t="str">
        <x:v>S05-04:B:source_question</x:v>
      </x:c>
    </x:row>
    <x:row r="1610" ht="72" customHeight="1">
      <x:c r="A1610" s="14" t="str">
        <x:v>S05-04:B:question_first</x:v>
      </x:c>
      <x:c r="B1610" s="14" t="str">
        <x:v>B</x:v>
      </x:c>
      <x:c r="C1610" s="14" t="str">
        <x:v>question_first</x:v>
      </x:c>
      <x:c r="D1610" s="14" t="n">
        <x:v>0.878333333</x:v>
      </x:c>
      <x:c r="E1610" s="14" t="n">
        <x:v>1.279333333</x:v>
      </x:c>
      <x:c r="F1610" s="14" t="n">
        <x:v>0.401</x:v>
      </x:c>
      <x:c r="G1610" s="17" t="n">
        <x:v>1</x:v>
      </x:c>
      <x:c r="H1610" s="14" t="str">
        <x:v>S05-04:B:apply_relation</x:v>
      </x:c>
    </x:row>
    <x:row r="1611" ht="72" customHeight="1">
      <x:c r="A1611" s="14" t="str">
        <x:v>S05-04:B:question_tail</x:v>
      </x:c>
      <x:c r="B1611" s="14" t="str">
        <x:v>B</x:v>
      </x:c>
      <x:c r="C1611" s="14" t="str">
        <x:v>question_tail</x:v>
      </x:c>
      <x:c r="D1611" s="14" t="n">
        <x:v>1.279333333</x:v>
      </x:c>
      <x:c r="E1611" s="14" t="n">
        <x:v>1.924833333</x:v>
      </x:c>
      <x:c r="F1611" s="14" t="n">
        <x:v>0.6455</x:v>
      </x:c>
      <x:c r="G1611" s="17" t="n">
        <x:v>1</x:v>
      </x:c>
      <x:c r="H1611" s="14" t="str">
        <x:v>S05-04:B:question_first</x:v>
      </x:c>
    </x:row>
    <x:row r="1612" ht="72" customHeight="1">
      <x:c r="A1612" s="14" t="str">
        <x:v>S05-04:B:question_device</x:v>
      </x:c>
      <x:c r="B1612" s="14" t="str">
        <x:v>B</x:v>
      </x:c>
      <x:c r="C1612" s="14" t="str">
        <x:v>question_device</x:v>
      </x:c>
      <x:c r="D1612" s="14" t="n">
        <x:v>1.279333333</x:v>
      </x:c>
      <x:c r="E1612" s="14" t="n">
        <x:v>1.319333333</x:v>
      </x:c>
      <x:c r="F1612" s="14" t="n">
        <x:v>0.04</x:v>
      </x:c>
      <x:c r="G1612" s="17" t="n">
        <x:v>1</x:v>
      </x:c>
      <x:c r="H1612" s="14" t="str">
        <x:v>S05-04:B:apply_relation
S05-04:B:question_first</x:v>
      </x:c>
    </x:row>
    <x:row r="1613" ht="72" customHeight="1">
      <x:c r="A1613" s="14" t="str">
        <x:v>S05-04:B:question_played</x:v>
      </x:c>
      <x:c r="B1613" s="14" t="str">
        <x:v>B</x:v>
      </x:c>
      <x:c r="C1613" s="14" t="str">
        <x:v>question_played</x:v>
      </x:c>
      <x:c r="D1613" s="14" t="n">
        <x:v>1.319333333</x:v>
      </x:c>
      <x:c r="E1613" s="14" t="n">
        <x:v>4.101333333</x:v>
      </x:c>
      <x:c r="F1613" s="14" t="n">
        <x:v>2.782</x:v>
      </x:c>
      <x:c r="G1613" s="17" t="n">
        <x:v>0</x:v>
      </x:c>
      <x:c r="H1613" s="14" t="str">
        <x:v>S05-04:B:question_device</x:v>
      </x:c>
    </x:row>
    <x:row r="1614" ht="72" customHeight="1">
      <x:c r="A1614" s="14" t="str">
        <x:v>S05-04:B:resume_cached_device</x:v>
      </x:c>
      <x:c r="B1614" s="14" t="str">
        <x:v>B</x:v>
      </x:c>
      <x:c r="C1614" s="14" t="str">
        <x:v>resume_cached_device</x:v>
      </x:c>
      <x:c r="D1614" s="14" t="n">
        <x:v>4.101333333</x:v>
      </x:c>
      <x:c r="E1614" s="14" t="n">
        <x:v>4.141333333</x:v>
      </x:c>
      <x:c r="F1614" s="14" t="n">
        <x:v>0.04</x:v>
      </x:c>
      <x:c r="G1614" s="17" t="n">
        <x:v>1</x:v>
      </x:c>
      <x:c r="H1614" s="14" t="str">
        <x:v>S05-04:B:question_played
S05-04:B:long_report_first</x:v>
      </x:c>
    </x:row>
    <x:row r="1615" ht="72" customHeight="1">
      <x:c r="A1615" s="14" t="str">
        <x:v>S05-04:B:resume_cached_played</x:v>
      </x:c>
      <x:c r="B1615" s="14" t="str">
        <x:v>B</x:v>
      </x:c>
      <x:c r="C1615" s="14" t="str">
        <x:v>resume_cached_played</x:v>
      </x:c>
      <x:c r="D1615" s="14" t="n">
        <x:v>4.141333333</x:v>
      </x:c>
      <x:c r="E1615" s="14" t="n">
        <x:v>24.788666666</x:v>
      </x:c>
      <x:c r="F1615" s="14" t="n">
        <x:v>20.647333333</x:v>
      </x:c>
      <x:c r="G1615" s="17" t="n">
        <x:v>0</x:v>
      </x:c>
      <x:c r="H1615" s="14" t="str">
        <x:v>S05-04:B:resume_cached_device</x:v>
      </x:c>
    </x:row>
    <x:row r="1616" ht="72" customHeight="1">
      <x:c r="A1616" s="14" t="str">
        <x:v>S05-04:B:resume_suffix_first</x:v>
      </x:c>
      <x:c r="B1616" s="14" t="str">
        <x:v>B</x:v>
      </x:c>
      <x:c r="C1616" s="14" t="str">
        <x:v>resume_suffix_first</x:v>
      </x:c>
      <x:c r="D1616" s="14" t="n">
        <x:v>4.101333333</x:v>
      </x:c>
      <x:c r="E1616" s="14" t="n">
        <x:v>4.616666666</x:v>
      </x:c>
      <x:c r="F1616" s="14" t="n">
        <x:v>0.515333333</x:v>
      </x:c>
      <x:c r="G1616" s="17" t="n">
        <x:v>1</x:v>
      </x:c>
      <x:c r="H1616" s="14" t="str">
        <x:v>S05-04:B:question_played</x:v>
      </x:c>
    </x:row>
    <x:row r="1617" ht="72" customHeight="1">
      <x:c r="A1617" s="14" t="str">
        <x:v>S05-04:B:resume_suffix_tail</x:v>
      </x:c>
      <x:c r="B1617" s="14" t="str">
        <x:v>B</x:v>
      </x:c>
      <x:c r="C1617" s="14" t="str">
        <x:v>resume_suffix_tail</x:v>
      </x:c>
      <x:c r="D1617" s="14" t="n">
        <x:v>4.616666666</x:v>
      </x:c>
      <x:c r="E1617" s="14" t="n">
        <x:v>8.209166666</x:v>
      </x:c>
      <x:c r="F1617" s="14" t="n">
        <x:v>3.5925</x:v>
      </x:c>
      <x:c r="G1617" s="17" t="n">
        <x:v>1</x:v>
      </x:c>
      <x:c r="H1617" s="14" t="str">
        <x:v>S05-04:B:resume_suffix_first</x:v>
      </x:c>
    </x:row>
    <x:row r="1618" ht="72" customHeight="1">
      <x:c r="A1618" s="14" t="str">
        <x:v>S05-04:B:resume_suffix_device</x:v>
      </x:c>
      <x:c r="B1618" s="14" t="str">
        <x:v>B</x:v>
      </x:c>
      <x:c r="C1618" s="14" t="str">
        <x:v>resume_suffix_device</x:v>
      </x:c>
      <x:c r="D1618" s="14" t="n">
        <x:v>24.788666666</x:v>
      </x:c>
      <x:c r="E1618" s="14" t="n">
        <x:v>24.828666666</x:v>
      </x:c>
      <x:c r="F1618" s="14" t="n">
        <x:v>0.04</x:v>
      </x:c>
      <x:c r="G1618" s="17" t="n">
        <x:v>1</x:v>
      </x:c>
      <x:c r="H1618" s="14" t="str">
        <x:v>S05-04:B:resume_cached_played
S05-04:B:resume_suffix_first</x:v>
      </x:c>
    </x:row>
    <x:row r="1619" ht="72" customHeight="1">
      <x:c r="A1619" s="14" t="str">
        <x:v>S05-04:B:resume_suffix_played</x:v>
      </x:c>
      <x:c r="B1619" s="14" t="str">
        <x:v>B</x:v>
      </x:c>
      <x:c r="C1619" s="14" t="str">
        <x:v>resume_suffix_played</x:v>
      </x:c>
      <x:c r="D1619" s="14" t="n">
        <x:v>24.828666666</x:v>
      </x:c>
      <x:c r="E1619" s="14" t="n">
        <x:v>39.398666666</x:v>
      </x:c>
      <x:c r="F1619" s="14" t="n">
        <x:v>14.57</x:v>
      </x:c>
      <x:c r="G1619" s="17" t="n">
        <x:v>0</x:v>
      </x:c>
      <x:c r="H1619" s="14" t="str">
        <x:v>S05-04:B:resume_suffix_device</x:v>
      </x:c>
    </x:row>
    <x:row r="1620" ht="72" customHeight="1">
      <x:c r="A1620" s="14" t="str">
        <x:v>S05-05:A:origin</x:v>
      </x:c>
      <x:c r="B1620" s="14" t="str">
        <x:v>A</x:v>
      </x:c>
      <x:c r="C1620" s="14" t="str">
        <x:v>origin</x:v>
      </x:c>
      <x:c r="D1620" s="14" t="n">
        <x:v>-6</x:v>
      </x:c>
      <x:c r="E1620" s="14" t="n">
        <x:v>-6</x:v>
      </x:c>
      <x:c r="F1620" s="14" t="n">
        <x:v>0</x:v>
      </x:c>
      <x:c r="G1620" s="17" t="n">
        <x:v>0</x:v>
      </x:c>
      <x:c r="H1620" s="14" t="str"/>
    </x:row>
    <x:row r="1621" ht="72" customHeight="1">
      <x:c r="A1621" s="14" t="str">
        <x:v>S05-05:A:origin_interpretation</x:v>
      </x:c>
      <x:c r="B1621" s="14" t="str">
        <x:v>A</x:v>
      </x:c>
      <x:c r="C1621" s="14" t="str">
        <x:v>origin_interpretation</x:v>
      </x:c>
      <x:c r="D1621" s="14" t="n">
        <x:v>-6</x:v>
      </x:c>
      <x:c r="E1621" s="14" t="n">
        <x:v>-5.16</x:v>
      </x:c>
      <x:c r="F1621" s="14" t="n">
        <x:v>0.84</x:v>
      </x:c>
      <x:c r="G1621" s="17" t="n">
        <x:v>1</x:v>
      </x:c>
      <x:c r="H1621" s="14" t="str">
        <x:v>S05-05:A:origin</x:v>
      </x:c>
    </x:row>
    <x:row r="1622" ht="72" customHeight="1">
      <x:c r="A1622" s="14" t="str">
        <x:v>S05-05:A:original_handoff</x:v>
      </x:c>
      <x:c r="B1622" s="14" t="str">
        <x:v>A</x:v>
      </x:c>
      <x:c r="C1622" s="14" t="str">
        <x:v>original_handoff</x:v>
      </x:c>
      <x:c r="D1622" s="14" t="n">
        <x:v>-5.16</x:v>
      </x:c>
      <x:c r="E1622" s="14" t="n">
        <x:v>-5.04</x:v>
      </x:c>
      <x:c r="F1622" s="14" t="n">
        <x:v>0.12</x:v>
      </x:c>
      <x:c r="G1622" s="17" t="n">
        <x:v>1</x:v>
      </x:c>
      <x:c r="H1622" s="14" t="str">
        <x:v>S05-05:A:origin_interpretation</x:v>
      </x:c>
    </x:row>
    <x:row r="1623" ht="72" customHeight="1">
      <x:c r="A1623" s="14" t="str">
        <x:v>S05-05:A:evaluation_utterance_end</x:v>
      </x:c>
      <x:c r="B1623" s="14" t="str">
        <x:v>A</x:v>
      </x:c>
      <x:c r="C1623" s="14" t="str">
        <x:v>evaluation_utterance_end</x:v>
      </x:c>
      <x:c r="D1623" s="14" t="n">
        <x:v>-6</x:v>
      </x:c>
      <x:c r="E1623" s="14" t="n">
        <x:v>0</x:v>
      </x:c>
      <x:c r="F1623" s="14" t="n">
        <x:v>6</x:v>
      </x:c>
      <x:c r="G1623" s="17" t="n">
        <x:v>0</x:v>
      </x:c>
      <x:c r="H1623" s="14" t="str">
        <x:v>S05-05:A:origin</x:v>
      </x:c>
    </x:row>
    <x:row r="1624" ht="72" customHeight="1">
      <x:c r="A1624" s="14" t="str">
        <x:v>S05-05:A:final_transcript</x:v>
      </x:c>
      <x:c r="B1624" s="14" t="str">
        <x:v>A</x:v>
      </x:c>
      <x:c r="C1624" s="14" t="str">
        <x:v>final_transcript</x:v>
      </x:c>
      <x:c r="D1624" s="14" t="n">
        <x:v>0</x:v>
      </x:c>
      <x:c r="E1624" s="14" t="n">
        <x:v>0.3</x:v>
      </x:c>
      <x:c r="F1624" s="14" t="n">
        <x:v>0.3</x:v>
      </x:c>
      <x:c r="G1624" s="17" t="n">
        <x:v>1</x:v>
      </x:c>
      <x:c r="H1624" s="14" t="str">
        <x:v>S05-05:A:evaluation_utterance_end</x:v>
      </x:c>
    </x:row>
    <x:row r="1625" ht="72" customHeight="1">
      <x:c r="A1625" s="14" t="str">
        <x:v>S05-05:A:meaning_adoption</x:v>
      </x:c>
      <x:c r="B1625" s="14" t="str">
        <x:v>A</x:v>
      </x:c>
      <x:c r="C1625" s="14" t="str">
        <x:v>meaning_adoption</x:v>
      </x:c>
      <x:c r="D1625" s="14" t="n">
        <x:v>0.3</x:v>
      </x:c>
      <x:c r="E1625" s="14" t="n">
        <x:v>0.866666667</x:v>
      </x:c>
      <x:c r="F1625" s="14" t="n">
        <x:v>0.566666667</x:v>
      </x:c>
      <x:c r="G1625" s="17" t="n">
        <x:v>1</x:v>
      </x:c>
      <x:c r="H1625" s="14" t="str">
        <x:v>S05-05:A:final_transcript
S05-05:A:origin_interpretation</x:v>
      </x:c>
    </x:row>
    <x:row r="1626" ht="72" customHeight="1">
      <x:c r="A1626" s="14" t="str">
        <x:v>S05-05:A:apply_relation</x:v>
      </x:c>
      <x:c r="B1626" s="14" t="str">
        <x:v>A</x:v>
      </x:c>
      <x:c r="C1626" s="14" t="str">
        <x:v>apply_relation</x:v>
      </x:c>
      <x:c r="D1626" s="14" t="n">
        <x:v>0.866666667</x:v>
      </x:c>
      <x:c r="E1626" s="14" t="n">
        <x:v>0.906666667</x:v>
      </x:c>
      <x:c r="F1626" s="14" t="n">
        <x:v>0.04</x:v>
      </x:c>
      <x:c r="G1626" s="17" t="n">
        <x:v>1</x:v>
      </x:c>
      <x:c r="H1626" s="14" t="str">
        <x:v>S05-05:A:meaning_adoption</x:v>
      </x:c>
    </x:row>
    <x:row r="1627" ht="72" customHeight="1">
      <x:c r="A1627" s="14" t="str">
        <x:v>S05-05:A:evaluation_first_display</x:v>
      </x:c>
      <x:c r="B1627" s="14" t="str">
        <x:v>A</x:v>
      </x:c>
      <x:c r="C1627" s="14" t="str">
        <x:v>evaluation_first_display</x:v>
      </x:c>
      <x:c r="D1627" s="14" t="n">
        <x:v>0.906666667</x:v>
      </x:c>
      <x:c r="E1627" s="14" t="n">
        <x:v>0.946666667</x:v>
      </x:c>
      <x:c r="F1627" s="14" t="n">
        <x:v>0.04</x:v>
      </x:c>
      <x:c r="G1627" s="17" t="n">
        <x:v>1</x:v>
      </x:c>
      <x:c r="H1627" s="14" t="str">
        <x:v>S05-05:A:apply_relation</x:v>
      </x:c>
    </x:row>
    <x:row r="1628" ht="72" customHeight="1">
      <x:c r="A1628" s="14" t="str">
        <x:v>S05-05:A:source_long_report</x:v>
      </x:c>
      <x:c r="B1628" s="14" t="str">
        <x:v>A</x:v>
      </x:c>
      <x:c r="C1628" s="14" t="str">
        <x:v>source_long_report</x:v>
      </x:c>
      <x:c r="D1628" s="14" t="n">
        <x:v>-5.04</x:v>
      </x:c>
      <x:c r="E1628" s="14" t="n">
        <x:v>-4.8</x:v>
      </x:c>
      <x:c r="F1628" s="14" t="n">
        <x:v>0.24</x:v>
      </x:c>
      <x:c r="G1628" s="17" t="n">
        <x:v>0</x:v>
      </x:c>
      <x:c r="H1628" s="14" t="str">
        <x:v>S05-05:A:original_handoff</x:v>
      </x:c>
    </x:row>
    <x:row r="1629" ht="72" customHeight="1">
      <x:c r="A1629" s="14" t="str">
        <x:v>S05-05:A:display_long_report</x:v>
      </x:c>
      <x:c r="B1629" s="14" t="str">
        <x:v>A</x:v>
      </x:c>
      <x:c r="C1629" s="14" t="str">
        <x:v>display_long_report</x:v>
      </x:c>
      <x:c r="D1629" s="14" t="n">
        <x:v>-4.8</x:v>
      </x:c>
      <x:c r="E1629" s="14" t="n">
        <x:v>-4.76</x:v>
      </x:c>
      <x:c r="F1629" s="14" t="n">
        <x:v>0.04</x:v>
      </x:c>
      <x:c r="G1629" s="17" t="n">
        <x:v>1</x:v>
      </x:c>
      <x:c r="H1629" s="14" t="str">
        <x:v>S05-05:A:source_long_report</x:v>
      </x:c>
    </x:row>
    <x:row r="1630" ht="72" customHeight="1">
      <x:c r="A1630" s="14" t="str">
        <x:v>S05-05:A:long_report_first</x:v>
      </x:c>
      <x:c r="B1630" s="14" t="str">
        <x:v>A</x:v>
      </x:c>
      <x:c r="C1630" s="14" t="str">
        <x:v>long_report_first</x:v>
      </x:c>
      <x:c r="D1630" s="14" t="n">
        <x:v>-4.8</x:v>
      </x:c>
      <x:c r="E1630" s="14" t="n">
        <x:v>-4.324666667</x:v>
      </x:c>
      <x:c r="F1630" s="14" t="n">
        <x:v>0.475333333</x:v>
      </x:c>
      <x:c r="G1630" s="17" t="n">
        <x:v>1</x:v>
      </x:c>
      <x:c r="H1630" s="14" t="str">
        <x:v>S05-05:A:source_long_report</x:v>
      </x:c>
    </x:row>
    <x:row r="1631" ht="72" customHeight="1">
      <x:c r="A1631" s="14" t="str">
        <x:v>S05-05:A:long_report_tail</x:v>
      </x:c>
      <x:c r="B1631" s="14" t="str">
        <x:v>A</x:v>
      </x:c>
      <x:c r="C1631" s="14" t="str">
        <x:v>long_report_tail</x:v>
      </x:c>
      <x:c r="D1631" s="14" t="n">
        <x:v>-4.324666667</x:v>
      </x:c>
      <x:c r="E1631" s="14" t="n">
        <x:v>4.623833333</x:v>
      </x:c>
      <x:c r="F1631" s="14" t="n">
        <x:v>8.9485</x:v>
      </x:c>
      <x:c r="G1631" s="17" t="n">
        <x:v>1</x:v>
      </x:c>
      <x:c r="H1631" s="14" t="str">
        <x:v>S05-05:A:long_report_first</x:v>
      </x:c>
    </x:row>
    <x:row r="1632" ht="72" customHeight="1">
      <x:c r="A1632" s="14" t="str">
        <x:v>S05-05:A:source_question</x:v>
      </x:c>
      <x:c r="B1632" s="14" t="str">
        <x:v>A</x:v>
      </x:c>
      <x:c r="C1632" s="14" t="str">
        <x:v>source_question</x:v>
      </x:c>
      <x:c r="D1632" s="14" t="n">
        <x:v>-5.04</x:v>
      </x:c>
      <x:c r="E1632" s="14" t="n">
        <x:v>-0.9</x:v>
      </x:c>
      <x:c r="F1632" s="14" t="n">
        <x:v>4.14</x:v>
      </x:c>
      <x:c r="G1632" s="17" t="n">
        <x:v>0</x:v>
      </x:c>
      <x:c r="H1632" s="14" t="str">
        <x:v>S05-05:A:original_handoff</x:v>
      </x:c>
    </x:row>
    <x:row r="1633" ht="72" customHeight="1">
      <x:c r="A1633" s="14" t="str">
        <x:v>S05-05:A:display_question</x:v>
      </x:c>
      <x:c r="B1633" s="14" t="str">
        <x:v>A</x:v>
      </x:c>
      <x:c r="C1633" s="14" t="str">
        <x:v>display_question</x:v>
      </x:c>
      <x:c r="D1633" s="14" t="n">
        <x:v>-0.9</x:v>
      </x:c>
      <x:c r="E1633" s="14" t="n">
        <x:v>-0.86</x:v>
      </x:c>
      <x:c r="F1633" s="14" t="n">
        <x:v>0.04</x:v>
      </x:c>
      <x:c r="G1633" s="17" t="n">
        <x:v>1</x:v>
      </x:c>
      <x:c r="H1633" s="14" t="str">
        <x:v>S05-05:A:source_question</x:v>
      </x:c>
    </x:row>
    <x:row r="1634" ht="72" customHeight="1">
      <x:c r="A1634" s="14" t="str">
        <x:v>S05-05:A:question_first</x:v>
      </x:c>
      <x:c r="B1634" s="14" t="str">
        <x:v>A</x:v>
      </x:c>
      <x:c r="C1634" s="14" t="str">
        <x:v>question_first</x:v>
      </x:c>
      <x:c r="D1634" s="14" t="n">
        <x:v>-0.9</x:v>
      </x:c>
      <x:c r="E1634" s="14" t="n">
        <x:v>-0.499</x:v>
      </x:c>
      <x:c r="F1634" s="14" t="n">
        <x:v>0.401</x:v>
      </x:c>
      <x:c r="G1634" s="17" t="n">
        <x:v>1</x:v>
      </x:c>
      <x:c r="H1634" s="14" t="str">
        <x:v>S05-05:A:source_question</x:v>
      </x:c>
    </x:row>
    <x:row r="1635" ht="72" customHeight="1">
      <x:c r="A1635" s="14" t="str">
        <x:v>S05-05:A:question_tail</x:v>
      </x:c>
      <x:c r="B1635" s="14" t="str">
        <x:v>A</x:v>
      </x:c>
      <x:c r="C1635" s="14" t="str">
        <x:v>question_tail</x:v>
      </x:c>
      <x:c r="D1635" s="14" t="n">
        <x:v>-0.499</x:v>
      </x:c>
      <x:c r="E1635" s="14" t="n">
        <x:v>0.1495</x:v>
      </x:c>
      <x:c r="F1635" s="14" t="n">
        <x:v>0.6485</x:v>
      </x:c>
      <x:c r="G1635" s="17" t="n">
        <x:v>1</x:v>
      </x:c>
      <x:c r="H1635" s="14" t="str">
        <x:v>S05-05:A:question_first</x:v>
      </x:c>
    </x:row>
    <x:row r="1636" ht="72" customHeight="1">
      <x:c r="A1636" s="14" t="str">
        <x:v>S05-05:A:question_device</x:v>
      </x:c>
      <x:c r="B1636" s="14" t="str">
        <x:v>A</x:v>
      </x:c>
      <x:c r="C1636" s="14" t="str">
        <x:v>question_device</x:v>
      </x:c>
      <x:c r="D1636" s="14" t="n">
        <x:v>0.906666667</x:v>
      </x:c>
      <x:c r="E1636" s="14" t="n">
        <x:v>0.946666667</x:v>
      </x:c>
      <x:c r="F1636" s="14" t="n">
        <x:v>0.04</x:v>
      </x:c>
      <x:c r="G1636" s="17" t="n">
        <x:v>1</x:v>
      </x:c>
      <x:c r="H1636" s="14" t="str">
        <x:v>S05-05:A:apply_relation
S05-05:A:question_first</x:v>
      </x:c>
    </x:row>
    <x:row r="1637" ht="72" customHeight="1">
      <x:c r="A1637" s="14" t="str">
        <x:v>S05-05:A:question_played</x:v>
      </x:c>
      <x:c r="B1637" s="14" t="str">
        <x:v>A</x:v>
      </x:c>
      <x:c r="C1637" s="14" t="str">
        <x:v>question_played</x:v>
      </x:c>
      <x:c r="D1637" s="14" t="n">
        <x:v>0.946666667</x:v>
      </x:c>
      <x:c r="E1637" s="14" t="n">
        <x:v>3.740666667</x:v>
      </x:c>
      <x:c r="F1637" s="14" t="n">
        <x:v>2.794</x:v>
      </x:c>
      <x:c r="G1637" s="17" t="n">
        <x:v>0</x:v>
      </x:c>
      <x:c r="H1637" s="14" t="str">
        <x:v>S05-05:A:question_device</x:v>
      </x:c>
    </x:row>
    <x:row r="1638" ht="72" customHeight="1">
      <x:c r="A1638" s="14" t="str">
        <x:v>S05-05:A:resume_report_device</x:v>
      </x:c>
      <x:c r="B1638" s="14" t="str">
        <x:v>A</x:v>
      </x:c>
      <x:c r="C1638" s="14" t="str">
        <x:v>resume_report_device</x:v>
      </x:c>
      <x:c r="D1638" s="14" t="n">
        <x:v>3.740666667</x:v>
      </x:c>
      <x:c r="E1638" s="14" t="n">
        <x:v>3.780666667</x:v>
      </x:c>
      <x:c r="F1638" s="14" t="n">
        <x:v>0.04</x:v>
      </x:c>
      <x:c r="G1638" s="17" t="n">
        <x:v>1</x:v>
      </x:c>
      <x:c r="H1638" s="14" t="str">
        <x:v>S05-05:A:question_played
S05-05:A:long_report_first</x:v>
      </x:c>
    </x:row>
    <x:row r="1639" ht="72" customHeight="1">
      <x:c r="A1639" s="14" t="str">
        <x:v>S05-05:A:resume_report_played</x:v>
      </x:c>
      <x:c r="B1639" s="14" t="str">
        <x:v>A</x:v>
      </x:c>
      <x:c r="C1639" s="14" t="str">
        <x:v>resume_report_played</x:v>
      </x:c>
      <x:c r="D1639" s="14" t="n">
        <x:v>3.780666667</x:v>
      </x:c>
      <x:c r="E1639" s="14" t="n">
        <x:v>39.01</x:v>
      </x:c>
      <x:c r="F1639" s="14" t="n">
        <x:v>35.229333333</x:v>
      </x:c>
      <x:c r="G1639" s="17" t="n">
        <x:v>0</x:v>
      </x:c>
      <x:c r="H1639" s="14" t="str">
        <x:v>S05-05:A:resume_report_device</x:v>
      </x:c>
    </x:row>
    <x:row r="1640" ht="72" customHeight="1">
      <x:c r="A1640" s="14" t="str">
        <x:v>S05-05:B:origin</x:v>
      </x:c>
      <x:c r="B1640" s="14" t="str">
        <x:v>B</x:v>
      </x:c>
      <x:c r="C1640" s="14" t="str">
        <x:v>origin</x:v>
      </x:c>
      <x:c r="D1640" s="14" t="n">
        <x:v>-6</x:v>
      </x:c>
      <x:c r="E1640" s="14" t="n">
        <x:v>-6</x:v>
      </x:c>
      <x:c r="F1640" s="14" t="n">
        <x:v>0</x:v>
      </x:c>
      <x:c r="G1640" s="17" t="n">
        <x:v>0</x:v>
      </x:c>
      <x:c r="H1640" s="14" t="str"/>
    </x:row>
    <x:row r="1641" ht="72" customHeight="1">
      <x:c r="A1641" s="14" t="str">
        <x:v>S05-05:B:origin_interpretation</x:v>
      </x:c>
      <x:c r="B1641" s="14" t="str">
        <x:v>B</x:v>
      </x:c>
      <x:c r="C1641" s="14" t="str">
        <x:v>origin_interpretation</x:v>
      </x:c>
      <x:c r="D1641" s="14" t="n">
        <x:v>-6</x:v>
      </x:c>
      <x:c r="E1641" s="14" t="n">
        <x:v>-5.16</x:v>
      </x:c>
      <x:c r="F1641" s="14" t="n">
        <x:v>0.84</x:v>
      </x:c>
      <x:c r="G1641" s="17" t="n">
        <x:v>1</x:v>
      </x:c>
      <x:c r="H1641" s="14" t="str">
        <x:v>S05-05:B:origin</x:v>
      </x:c>
    </x:row>
    <x:row r="1642" ht="72" customHeight="1">
      <x:c r="A1642" s="14" t="str">
        <x:v>S05-05:B:original_handoff</x:v>
      </x:c>
      <x:c r="B1642" s="14" t="str">
        <x:v>B</x:v>
      </x:c>
      <x:c r="C1642" s="14" t="str">
        <x:v>original_handoff</x:v>
      </x:c>
      <x:c r="D1642" s="14" t="n">
        <x:v>-5.16</x:v>
      </x:c>
      <x:c r="E1642" s="14" t="n">
        <x:v>-5.04</x:v>
      </x:c>
      <x:c r="F1642" s="14" t="n">
        <x:v>0.12</x:v>
      </x:c>
      <x:c r="G1642" s="17" t="n">
        <x:v>1</x:v>
      </x:c>
      <x:c r="H1642" s="14" t="str">
        <x:v>S05-05:B:origin_interpretation</x:v>
      </x:c>
    </x:row>
    <x:row r="1643" ht="72" customHeight="1">
      <x:c r="A1643" s="14" t="str">
        <x:v>S05-05:B:evaluation_utterance_end</x:v>
      </x:c>
      <x:c r="B1643" s="14" t="str">
        <x:v>B</x:v>
      </x:c>
      <x:c r="C1643" s="14" t="str">
        <x:v>evaluation_utterance_end</x:v>
      </x:c>
      <x:c r="D1643" s="14" t="n">
        <x:v>-6</x:v>
      </x:c>
      <x:c r="E1643" s="14" t="n">
        <x:v>0</x:v>
      </x:c>
      <x:c r="F1643" s="14" t="n">
        <x:v>6</x:v>
      </x:c>
      <x:c r="G1643" s="17" t="n">
        <x:v>0</x:v>
      </x:c>
      <x:c r="H1643" s="14" t="str">
        <x:v>S05-05:B:origin</x:v>
      </x:c>
    </x:row>
    <x:row r="1644" ht="72" customHeight="1">
      <x:c r="A1644" s="14" t="str">
        <x:v>S05-05:B:final_transcript</x:v>
      </x:c>
      <x:c r="B1644" s="14" t="str">
        <x:v>B</x:v>
      </x:c>
      <x:c r="C1644" s="14" t="str">
        <x:v>final_transcript</x:v>
      </x:c>
      <x:c r="D1644" s="14" t="n">
        <x:v>0</x:v>
      </x:c>
      <x:c r="E1644" s="14" t="n">
        <x:v>0.3</x:v>
      </x:c>
      <x:c r="F1644" s="14" t="n">
        <x:v>0.3</x:v>
      </x:c>
      <x:c r="G1644" s="17" t="n">
        <x:v>1</x:v>
      </x:c>
      <x:c r="H1644" s="14" t="str">
        <x:v>S05-05:B:evaluation_utterance_end</x:v>
      </x:c>
    </x:row>
    <x:row r="1645" ht="72" customHeight="1">
      <x:c r="A1645" s="14" t="str">
        <x:v>S05-05:B:meaning_adoption</x:v>
      </x:c>
      <x:c r="B1645" s="14" t="str">
        <x:v>B</x:v>
      </x:c>
      <x:c r="C1645" s="14" t="str">
        <x:v>meaning_adoption</x:v>
      </x:c>
      <x:c r="D1645" s="14" t="n">
        <x:v>0.3</x:v>
      </x:c>
      <x:c r="E1645" s="14" t="n">
        <x:v>0.866666667</x:v>
      </x:c>
      <x:c r="F1645" s="14" t="n">
        <x:v>0.566666667</x:v>
      </x:c>
      <x:c r="G1645" s="17" t="n">
        <x:v>1</x:v>
      </x:c>
      <x:c r="H1645" s="14" t="str">
        <x:v>S05-05:B:final_transcript
S05-05:B:origin_interpretation</x:v>
      </x:c>
    </x:row>
    <x:row r="1646" ht="72" customHeight="1">
      <x:c r="A1646" s="14" t="str">
        <x:v>S05-05:B:apply_relation</x:v>
      </x:c>
      <x:c r="B1646" s="14" t="str">
        <x:v>B</x:v>
      </x:c>
      <x:c r="C1646" s="14" t="str">
        <x:v>apply_relation</x:v>
      </x:c>
      <x:c r="D1646" s="14" t="n">
        <x:v>0.866666667</x:v>
      </x:c>
      <x:c r="E1646" s="14" t="n">
        <x:v>0.906666667</x:v>
      </x:c>
      <x:c r="F1646" s="14" t="n">
        <x:v>0.04</x:v>
      </x:c>
      <x:c r="G1646" s="17" t="n">
        <x:v>1</x:v>
      </x:c>
      <x:c r="H1646" s="14" t="str">
        <x:v>S05-05:B:meaning_adoption</x:v>
      </x:c>
    </x:row>
    <x:row r="1647" ht="72" customHeight="1">
      <x:c r="A1647" s="14" t="str">
        <x:v>S05-05:B:evaluation_first_display</x:v>
      </x:c>
      <x:c r="B1647" s="14" t="str">
        <x:v>B</x:v>
      </x:c>
      <x:c r="C1647" s="14" t="str">
        <x:v>evaluation_first_display</x:v>
      </x:c>
      <x:c r="D1647" s="14" t="n">
        <x:v>0.906666667</x:v>
      </x:c>
      <x:c r="E1647" s="14" t="n">
        <x:v>0.946666667</x:v>
      </x:c>
      <x:c r="F1647" s="14" t="n">
        <x:v>0.04</x:v>
      </x:c>
      <x:c r="G1647" s="17" t="n">
        <x:v>1</x:v>
      </x:c>
      <x:c r="H1647" s="14" t="str">
        <x:v>S05-05:B:apply_relation</x:v>
      </x:c>
    </x:row>
    <x:row r="1648" ht="72" customHeight="1">
      <x:c r="A1648" s="14" t="str">
        <x:v>S05-05:B:source_long_report</x:v>
      </x:c>
      <x:c r="B1648" s="14" t="str">
        <x:v>B</x:v>
      </x:c>
      <x:c r="C1648" s="14" t="str">
        <x:v>source_long_report</x:v>
      </x:c>
      <x:c r="D1648" s="14" t="n">
        <x:v>-5.04</x:v>
      </x:c>
      <x:c r="E1648" s="14" t="n">
        <x:v>-4.8</x:v>
      </x:c>
      <x:c r="F1648" s="14" t="n">
        <x:v>0.24</x:v>
      </x:c>
      <x:c r="G1648" s="17" t="n">
        <x:v>0</x:v>
      </x:c>
      <x:c r="H1648" s="14" t="str">
        <x:v>S05-05:B:original_handoff</x:v>
      </x:c>
    </x:row>
    <x:row r="1649" ht="72" customHeight="1">
      <x:c r="A1649" s="14" t="str">
        <x:v>S05-05:B:display_long_report</x:v>
      </x:c>
      <x:c r="B1649" s="14" t="str">
        <x:v>B</x:v>
      </x:c>
      <x:c r="C1649" s="14" t="str">
        <x:v>display_long_report</x:v>
      </x:c>
      <x:c r="D1649" s="14" t="n">
        <x:v>-4.8</x:v>
      </x:c>
      <x:c r="E1649" s="14" t="n">
        <x:v>-4.76</x:v>
      </x:c>
      <x:c r="F1649" s="14" t="n">
        <x:v>0.04</x:v>
      </x:c>
      <x:c r="G1649" s="17" t="n">
        <x:v>1</x:v>
      </x:c>
      <x:c r="H1649" s="14" t="str">
        <x:v>S05-05:B:source_long_report</x:v>
      </x:c>
    </x:row>
    <x:row r="1650" ht="72" customHeight="1">
      <x:c r="A1650" s="14" t="str">
        <x:v>S05-05:B:long_report_first</x:v>
      </x:c>
      <x:c r="B1650" s="14" t="str">
        <x:v>B</x:v>
      </x:c>
      <x:c r="C1650" s="14" t="str">
        <x:v>long_report_first</x:v>
      </x:c>
      <x:c r="D1650" s="14" t="n">
        <x:v>-4.8</x:v>
      </x:c>
      <x:c r="E1650" s="14" t="n">
        <x:v>-4.324666667</x:v>
      </x:c>
      <x:c r="F1650" s="14" t="n">
        <x:v>0.475333333</x:v>
      </x:c>
      <x:c r="G1650" s="17" t="n">
        <x:v>1</x:v>
      </x:c>
      <x:c r="H1650" s="14" t="str">
        <x:v>S05-05:B:source_long_report</x:v>
      </x:c>
    </x:row>
    <x:row r="1651" ht="72" customHeight="1">
      <x:c r="A1651" s="14" t="str">
        <x:v>S05-05:B:long_report_tail</x:v>
      </x:c>
      <x:c r="B1651" s="14" t="str">
        <x:v>B</x:v>
      </x:c>
      <x:c r="C1651" s="14" t="str">
        <x:v>long_report_tail</x:v>
      </x:c>
      <x:c r="D1651" s="14" t="n">
        <x:v>-4.324666667</x:v>
      </x:c>
      <x:c r="E1651" s="14" t="n">
        <x:v>1.006666667</x:v>
      </x:c>
      <x:c r="F1651" s="14" t="n">
        <x:v>5.331333334</x:v>
      </x:c>
      <x:c r="G1651" s="17" t="n">
        <x:v>1</x:v>
      </x:c>
      <x:c r="H1651" s="14" t="str">
        <x:v>S05-05:B:long_report_first</x:v>
      </x:c>
    </x:row>
    <x:row r="1652" ht="72" customHeight="1">
      <x:c r="A1652" s="14" t="str">
        <x:v>S05-05:B:source_question</x:v>
      </x:c>
      <x:c r="B1652" s="14" t="str">
        <x:v>B</x:v>
      </x:c>
      <x:c r="C1652" s="14" t="str">
        <x:v>source_question</x:v>
      </x:c>
      <x:c r="D1652" s="14" t="n">
        <x:v>-5.04</x:v>
      </x:c>
      <x:c r="E1652" s="14" t="n">
        <x:v>-0.9</x:v>
      </x:c>
      <x:c r="F1652" s="14" t="n">
        <x:v>4.14</x:v>
      </x:c>
      <x:c r="G1652" s="17" t="n">
        <x:v>0</x:v>
      </x:c>
      <x:c r="H1652" s="14" t="str">
        <x:v>S05-05:B:original_handoff</x:v>
      </x:c>
    </x:row>
    <x:row r="1653" ht="72" customHeight="1">
      <x:c r="A1653" s="14" t="str">
        <x:v>S05-05:B:display_question</x:v>
      </x:c>
      <x:c r="B1653" s="14" t="str">
        <x:v>B</x:v>
      </x:c>
      <x:c r="C1653" s="14" t="str">
        <x:v>display_question</x:v>
      </x:c>
      <x:c r="D1653" s="14" t="n">
        <x:v>-0.9</x:v>
      </x:c>
      <x:c r="E1653" s="14" t="n">
        <x:v>-0.86</x:v>
      </x:c>
      <x:c r="F1653" s="14" t="n">
        <x:v>0.04</x:v>
      </x:c>
      <x:c r="G1653" s="17" t="n">
        <x:v>1</x:v>
      </x:c>
      <x:c r="H1653" s="14" t="str">
        <x:v>S05-05:B:source_question</x:v>
      </x:c>
    </x:row>
    <x:row r="1654" ht="72" customHeight="1">
      <x:c r="A1654" s="14" t="str">
        <x:v>S05-05:B:question_first</x:v>
      </x:c>
      <x:c r="B1654" s="14" t="str">
        <x:v>B</x:v>
      </x:c>
      <x:c r="C1654" s="14" t="str">
        <x:v>question_first</x:v>
      </x:c>
      <x:c r="D1654" s="14" t="n">
        <x:v>0.906666667</x:v>
      </x:c>
      <x:c r="E1654" s="14" t="n">
        <x:v>1.307666667</x:v>
      </x:c>
      <x:c r="F1654" s="14" t="n">
        <x:v>0.401</x:v>
      </x:c>
      <x:c r="G1654" s="17" t="n">
        <x:v>1</x:v>
      </x:c>
      <x:c r="H1654" s="14" t="str">
        <x:v>S05-05:B:apply_relation</x:v>
      </x:c>
    </x:row>
    <x:row r="1655" ht="72" customHeight="1">
      <x:c r="A1655" s="14" t="str">
        <x:v>S05-05:B:question_tail</x:v>
      </x:c>
      <x:c r="B1655" s="14" t="str">
        <x:v>B</x:v>
      </x:c>
      <x:c r="C1655" s="14" t="str">
        <x:v>question_tail</x:v>
      </x:c>
      <x:c r="D1655" s="14" t="n">
        <x:v>1.307666667</x:v>
      </x:c>
      <x:c r="E1655" s="14" t="n">
        <x:v>1.956166667</x:v>
      </x:c>
      <x:c r="F1655" s="14" t="n">
        <x:v>0.6485</x:v>
      </x:c>
      <x:c r="G1655" s="17" t="n">
        <x:v>1</x:v>
      </x:c>
      <x:c r="H1655" s="14" t="str">
        <x:v>S05-05:B:question_first</x:v>
      </x:c>
    </x:row>
    <x:row r="1656" ht="72" customHeight="1">
      <x:c r="A1656" s="14" t="str">
        <x:v>S05-05:B:question_device</x:v>
      </x:c>
      <x:c r="B1656" s="14" t="str">
        <x:v>B</x:v>
      </x:c>
      <x:c r="C1656" s="14" t="str">
        <x:v>question_device</x:v>
      </x:c>
      <x:c r="D1656" s="14" t="n">
        <x:v>1.307666667</x:v>
      </x:c>
      <x:c r="E1656" s="14" t="n">
        <x:v>1.347666667</x:v>
      </x:c>
      <x:c r="F1656" s="14" t="n">
        <x:v>0.04</x:v>
      </x:c>
      <x:c r="G1656" s="17" t="n">
        <x:v>1</x:v>
      </x:c>
      <x:c r="H1656" s="14" t="str">
        <x:v>S05-05:B:apply_relation
S05-05:B:question_first</x:v>
      </x:c>
    </x:row>
    <x:row r="1657" ht="72" customHeight="1">
      <x:c r="A1657" s="14" t="str">
        <x:v>S05-05:B:question_played</x:v>
      </x:c>
      <x:c r="B1657" s="14" t="str">
        <x:v>B</x:v>
      </x:c>
      <x:c r="C1657" s="14" t="str">
        <x:v>question_played</x:v>
      </x:c>
      <x:c r="D1657" s="14" t="n">
        <x:v>1.347666667</x:v>
      </x:c>
      <x:c r="E1657" s="14" t="n">
        <x:v>4.141666667</x:v>
      </x:c>
      <x:c r="F1657" s="14" t="n">
        <x:v>2.794</x:v>
      </x:c>
      <x:c r="G1657" s="17" t="n">
        <x:v>0</x:v>
      </x:c>
      <x:c r="H1657" s="14" t="str">
        <x:v>S05-05:B:question_device</x:v>
      </x:c>
    </x:row>
    <x:row r="1658" ht="72" customHeight="1">
      <x:c r="A1658" s="14" t="str">
        <x:v>S05-05:B:resume_cached_device</x:v>
      </x:c>
      <x:c r="B1658" s="14" t="str">
        <x:v>B</x:v>
      </x:c>
      <x:c r="C1658" s="14" t="str">
        <x:v>resume_cached_device</x:v>
      </x:c>
      <x:c r="D1658" s="14" t="n">
        <x:v>4.141666667</x:v>
      </x:c>
      <x:c r="E1658" s="14" t="n">
        <x:v>4.181666667</x:v>
      </x:c>
      <x:c r="F1658" s="14" t="n">
        <x:v>0.04</x:v>
      </x:c>
      <x:c r="G1658" s="17" t="n">
        <x:v>1</x:v>
      </x:c>
      <x:c r="H1658" s="14" t="str">
        <x:v>S05-05:B:question_played
S05-05:B:long_report_first</x:v>
      </x:c>
    </x:row>
    <x:row r="1659" ht="72" customHeight="1">
      <x:c r="A1659" s="14" t="str">
        <x:v>S05-05:B:resume_cached_played</x:v>
      </x:c>
      <x:c r="B1659" s="14" t="str">
        <x:v>B</x:v>
      </x:c>
      <x:c r="C1659" s="14" t="str">
        <x:v>resume_cached_played</x:v>
      </x:c>
      <x:c r="D1659" s="14" t="n">
        <x:v>4.181666667</x:v>
      </x:c>
      <x:c r="E1659" s="14" t="n">
        <x:v>24.942333336</x:v>
      </x:c>
      <x:c r="F1659" s="14" t="n">
        <x:v>20.760666669</x:v>
      </x:c>
      <x:c r="G1659" s="17" t="n">
        <x:v>0</x:v>
      </x:c>
      <x:c r="H1659" s="14" t="str">
        <x:v>S05-05:B:resume_cached_device</x:v>
      </x:c>
    </x:row>
    <x:row r="1660" ht="72" customHeight="1">
      <x:c r="A1660" s="14" t="str">
        <x:v>S05-05:B:resume_suffix_first</x:v>
      </x:c>
      <x:c r="B1660" s="14" t="str">
        <x:v>B</x:v>
      </x:c>
      <x:c r="C1660" s="14" t="str">
        <x:v>resume_suffix_first</x:v>
      </x:c>
      <x:c r="D1660" s="14" t="n">
        <x:v>4.141666667</x:v>
      </x:c>
      <x:c r="E1660" s="14" t="n">
        <x:v>4.657</x:v>
      </x:c>
      <x:c r="F1660" s="14" t="n">
        <x:v>0.515333333</x:v>
      </x:c>
      <x:c r="G1660" s="17" t="n">
        <x:v>1</x:v>
      </x:c>
      <x:c r="H1660" s="14" t="str">
        <x:v>S05-05:B:question_played</x:v>
      </x:c>
    </x:row>
    <x:row r="1661" ht="72" customHeight="1">
      <x:c r="A1661" s="14" t="str">
        <x:v>S05-05:B:resume_suffix_tail</x:v>
      </x:c>
      <x:c r="B1661" s="14" t="str">
        <x:v>B</x:v>
      </x:c>
      <x:c r="C1661" s="14" t="str">
        <x:v>resume_suffix_tail</x:v>
      </x:c>
      <x:c r="D1661" s="14" t="n">
        <x:v>4.657</x:v>
      </x:c>
      <x:c r="E1661" s="14" t="n">
        <x:v>8.224166666</x:v>
      </x:c>
      <x:c r="F1661" s="14" t="n">
        <x:v>3.567166666</x:v>
      </x:c>
      <x:c r="G1661" s="17" t="n">
        <x:v>1</x:v>
      </x:c>
      <x:c r="H1661" s="14" t="str">
        <x:v>S05-05:B:resume_suffix_first</x:v>
      </x:c>
    </x:row>
    <x:row r="1662" ht="72" customHeight="1">
      <x:c r="A1662" s="14" t="str">
        <x:v>S05-05:B:resume_suffix_device</x:v>
      </x:c>
      <x:c r="B1662" s="14" t="str">
        <x:v>B</x:v>
      </x:c>
      <x:c r="C1662" s="14" t="str">
        <x:v>resume_suffix_device</x:v>
      </x:c>
      <x:c r="D1662" s="14" t="n">
        <x:v>24.942333336</x:v>
      </x:c>
      <x:c r="E1662" s="14" t="n">
        <x:v>24.982333336</x:v>
      </x:c>
      <x:c r="F1662" s="14" t="n">
        <x:v>0.04</x:v>
      </x:c>
      <x:c r="G1662" s="17" t="n">
        <x:v>1</x:v>
      </x:c>
      <x:c r="H1662" s="14" t="str">
        <x:v>S05-05:B:resume_cached_played
S05-05:B:resume_suffix_first</x:v>
      </x:c>
    </x:row>
    <x:row r="1663" ht="72" customHeight="1">
      <x:c r="A1663" s="14" t="str">
        <x:v>S05-05:B:resume_suffix_played</x:v>
      </x:c>
      <x:c r="B1663" s="14" t="str">
        <x:v>B</x:v>
      </x:c>
      <x:c r="C1663" s="14" t="str">
        <x:v>resume_suffix_played</x:v>
      </x:c>
      <x:c r="D1663" s="14" t="n">
        <x:v>24.982333336</x:v>
      </x:c>
      <x:c r="E1663" s="14" t="n">
        <x:v>39.451</x:v>
      </x:c>
      <x:c r="F1663" s="14" t="n">
        <x:v>14.468666664</x:v>
      </x:c>
      <x:c r="G1663" s="17" t="n">
        <x:v>0</x:v>
      </x:c>
      <x:c r="H1663" s="14" t="str">
        <x:v>S05-05:B:resume_suffix_device</x:v>
      </x:c>
    </x:row>
    <x:row r="1664" ht="72" customHeight="1">
      <x:c r="A1664" s="14" t="str">
        <x:v>S05-06:A:origin</x:v>
      </x:c>
      <x:c r="B1664" s="14" t="str">
        <x:v>A</x:v>
      </x:c>
      <x:c r="C1664" s="14" t="str">
        <x:v>origin</x:v>
      </x:c>
      <x:c r="D1664" s="14" t="n">
        <x:v>-6</x:v>
      </x:c>
      <x:c r="E1664" s="14" t="n">
        <x:v>-6</x:v>
      </x:c>
      <x:c r="F1664" s="14" t="n">
        <x:v>0</x:v>
      </x:c>
      <x:c r="G1664" s="17" t="n">
        <x:v>0</x:v>
      </x:c>
      <x:c r="H1664" s="14" t="str"/>
    </x:row>
    <x:row r="1665" ht="72" customHeight="1">
      <x:c r="A1665" s="14" t="str">
        <x:v>S05-06:A:origin_interpretation</x:v>
      </x:c>
      <x:c r="B1665" s="14" t="str">
        <x:v>A</x:v>
      </x:c>
      <x:c r="C1665" s="14" t="str">
        <x:v>origin_interpretation</x:v>
      </x:c>
      <x:c r="D1665" s="14" t="n">
        <x:v>-6</x:v>
      </x:c>
      <x:c r="E1665" s="14" t="n">
        <x:v>-5.16</x:v>
      </x:c>
      <x:c r="F1665" s="14" t="n">
        <x:v>0.84</x:v>
      </x:c>
      <x:c r="G1665" s="17" t="n">
        <x:v>1</x:v>
      </x:c>
      <x:c r="H1665" s="14" t="str">
        <x:v>S05-06:A:origin</x:v>
      </x:c>
    </x:row>
    <x:row r="1666" ht="72" customHeight="1">
      <x:c r="A1666" s="14" t="str">
        <x:v>S05-06:A:original_handoff</x:v>
      </x:c>
      <x:c r="B1666" s="14" t="str">
        <x:v>A</x:v>
      </x:c>
      <x:c r="C1666" s="14" t="str">
        <x:v>original_handoff</x:v>
      </x:c>
      <x:c r="D1666" s="14" t="n">
        <x:v>-5.16</x:v>
      </x:c>
      <x:c r="E1666" s="14" t="n">
        <x:v>-5.04</x:v>
      </x:c>
      <x:c r="F1666" s="14" t="n">
        <x:v>0.12</x:v>
      </x:c>
      <x:c r="G1666" s="17" t="n">
        <x:v>1</x:v>
      </x:c>
      <x:c r="H1666" s="14" t="str">
        <x:v>S05-06:A:origin_interpretation</x:v>
      </x:c>
    </x:row>
    <x:row r="1667" ht="72" customHeight="1">
      <x:c r="A1667" s="14" t="str">
        <x:v>S05-06:A:evaluation_utterance_end</x:v>
      </x:c>
      <x:c r="B1667" s="14" t="str">
        <x:v>A</x:v>
      </x:c>
      <x:c r="C1667" s="14" t="str">
        <x:v>evaluation_utterance_end</x:v>
      </x:c>
      <x:c r="D1667" s="14" t="n">
        <x:v>-6</x:v>
      </x:c>
      <x:c r="E1667" s="14" t="n">
        <x:v>0</x:v>
      </x:c>
      <x:c r="F1667" s="14" t="n">
        <x:v>6</x:v>
      </x:c>
      <x:c r="G1667" s="17" t="n">
        <x:v>0</x:v>
      </x:c>
      <x:c r="H1667" s="14" t="str">
        <x:v>S05-06:A:origin</x:v>
      </x:c>
    </x:row>
    <x:row r="1668" ht="72" customHeight="1">
      <x:c r="A1668" s="14" t="str">
        <x:v>S05-06:A:final_transcript</x:v>
      </x:c>
      <x:c r="B1668" s="14" t="str">
        <x:v>A</x:v>
      </x:c>
      <x:c r="C1668" s="14" t="str">
        <x:v>final_transcript</x:v>
      </x:c>
      <x:c r="D1668" s="14" t="n">
        <x:v>0</x:v>
      </x:c>
      <x:c r="E1668" s="14" t="n">
        <x:v>0.3</x:v>
      </x:c>
      <x:c r="F1668" s="14" t="n">
        <x:v>0.3</x:v>
      </x:c>
      <x:c r="G1668" s="17" t="n">
        <x:v>1</x:v>
      </x:c>
      <x:c r="H1668" s="14" t="str">
        <x:v>S05-06:A:evaluation_utterance_end</x:v>
      </x:c>
    </x:row>
    <x:row r="1669" ht="72" customHeight="1">
      <x:c r="A1669" s="14" t="str">
        <x:v>S05-06:A:meaning_adoption</x:v>
      </x:c>
      <x:c r="B1669" s="14" t="str">
        <x:v>A</x:v>
      </x:c>
      <x:c r="C1669" s="14" t="str">
        <x:v>meaning_adoption</x:v>
      </x:c>
      <x:c r="D1669" s="14" t="n">
        <x:v>0.3</x:v>
      </x:c>
      <x:c r="E1669" s="14" t="n">
        <x:v>0.82</x:v>
      </x:c>
      <x:c r="F1669" s="14" t="n">
        <x:v>0.52</x:v>
      </x:c>
      <x:c r="G1669" s="17" t="n">
        <x:v>1</x:v>
      </x:c>
      <x:c r="H1669" s="14" t="str">
        <x:v>S05-06:A:final_transcript
S05-06:A:origin_interpretation</x:v>
      </x:c>
    </x:row>
    <x:row r="1670" ht="72" customHeight="1">
      <x:c r="A1670" s="14" t="str">
        <x:v>S05-06:A:apply_relation</x:v>
      </x:c>
      <x:c r="B1670" s="14" t="str">
        <x:v>A</x:v>
      </x:c>
      <x:c r="C1670" s="14" t="str">
        <x:v>apply_relation</x:v>
      </x:c>
      <x:c r="D1670" s="14" t="n">
        <x:v>0.82</x:v>
      </x:c>
      <x:c r="E1670" s="14" t="n">
        <x:v>0.86</x:v>
      </x:c>
      <x:c r="F1670" s="14" t="n">
        <x:v>0.04</x:v>
      </x:c>
      <x:c r="G1670" s="17" t="n">
        <x:v>1</x:v>
      </x:c>
      <x:c r="H1670" s="14" t="str">
        <x:v>S05-06:A:meaning_adoption</x:v>
      </x:c>
    </x:row>
    <x:row r="1671" ht="72" customHeight="1">
      <x:c r="A1671" s="14" t="str">
        <x:v>S05-06:A:evaluation_first_display</x:v>
      </x:c>
      <x:c r="B1671" s="14" t="str">
        <x:v>A</x:v>
      </x:c>
      <x:c r="C1671" s="14" t="str">
        <x:v>evaluation_first_display</x:v>
      </x:c>
      <x:c r="D1671" s="14" t="n">
        <x:v>0.86</x:v>
      </x:c>
      <x:c r="E1671" s="14" t="n">
        <x:v>0.9</x:v>
      </x:c>
      <x:c r="F1671" s="14" t="n">
        <x:v>0.04</x:v>
      </x:c>
      <x:c r="G1671" s="17" t="n">
        <x:v>1</x:v>
      </x:c>
      <x:c r="H1671" s="14" t="str">
        <x:v>S05-06:A:apply_relation</x:v>
      </x:c>
    </x:row>
    <x:row r="1672" ht="72" customHeight="1">
      <x:c r="A1672" s="14" t="str">
        <x:v>S05-06:A:source_long_report</x:v>
      </x:c>
      <x:c r="B1672" s="14" t="str">
        <x:v>A</x:v>
      </x:c>
      <x:c r="C1672" s="14" t="str">
        <x:v>source_long_report</x:v>
      </x:c>
      <x:c r="D1672" s="14" t="n">
        <x:v>-5.04</x:v>
      </x:c>
      <x:c r="E1672" s="14" t="n">
        <x:v>-4.8</x:v>
      </x:c>
      <x:c r="F1672" s="14" t="n">
        <x:v>0.24</x:v>
      </x:c>
      <x:c r="G1672" s="17" t="n">
        <x:v>0</x:v>
      </x:c>
      <x:c r="H1672" s="14" t="str">
        <x:v>S05-06:A:original_handoff</x:v>
      </x:c>
    </x:row>
    <x:row r="1673" ht="72" customHeight="1">
      <x:c r="A1673" s="14" t="str">
        <x:v>S05-06:A:display_long_report</x:v>
      </x:c>
      <x:c r="B1673" s="14" t="str">
        <x:v>A</x:v>
      </x:c>
      <x:c r="C1673" s="14" t="str">
        <x:v>display_long_report</x:v>
      </x:c>
      <x:c r="D1673" s="14" t="n">
        <x:v>-4.8</x:v>
      </x:c>
      <x:c r="E1673" s="14" t="n">
        <x:v>-4.76</x:v>
      </x:c>
      <x:c r="F1673" s="14" t="n">
        <x:v>0.04</x:v>
      </x:c>
      <x:c r="G1673" s="17" t="n">
        <x:v>1</x:v>
      </x:c>
      <x:c r="H1673" s="14" t="str">
        <x:v>S05-06:A:source_long_report</x:v>
      </x:c>
    </x:row>
    <x:row r="1674" ht="72" customHeight="1">
      <x:c r="A1674" s="14" t="str">
        <x:v>S05-06:A:long_report_first</x:v>
      </x:c>
      <x:c r="B1674" s="14" t="str">
        <x:v>A</x:v>
      </x:c>
      <x:c r="C1674" s="14" t="str">
        <x:v>long_report_first</x:v>
      </x:c>
      <x:c r="D1674" s="14" t="n">
        <x:v>-4.8</x:v>
      </x:c>
      <x:c r="E1674" s="14" t="n">
        <x:v>-4.324666667</x:v>
      </x:c>
      <x:c r="F1674" s="14" t="n">
        <x:v>0.475333333</x:v>
      </x:c>
      <x:c r="G1674" s="17" t="n">
        <x:v>1</x:v>
      </x:c>
      <x:c r="H1674" s="14" t="str">
        <x:v>S05-06:A:source_long_report</x:v>
      </x:c>
    </x:row>
    <x:row r="1675" ht="72" customHeight="1">
      <x:c r="A1675" s="14" t="str">
        <x:v>S05-06:A:long_report_tail</x:v>
      </x:c>
      <x:c r="B1675" s="14" t="str">
        <x:v>A</x:v>
      </x:c>
      <x:c r="C1675" s="14" t="str">
        <x:v>long_report_tail</x:v>
      </x:c>
      <x:c r="D1675" s="14" t="n">
        <x:v>-4.324666667</x:v>
      </x:c>
      <x:c r="E1675" s="14" t="n">
        <x:v>4.626833333</x:v>
      </x:c>
      <x:c r="F1675" s="14" t="n">
        <x:v>8.9515</x:v>
      </x:c>
      <x:c r="G1675" s="17" t="n">
        <x:v>1</x:v>
      </x:c>
      <x:c r="H1675" s="14" t="str">
        <x:v>S05-06:A:long_report_first</x:v>
      </x:c>
    </x:row>
    <x:row r="1676" ht="72" customHeight="1">
      <x:c r="A1676" s="14" t="str">
        <x:v>S05-06:A:source_question</x:v>
      </x:c>
      <x:c r="B1676" s="14" t="str">
        <x:v>A</x:v>
      </x:c>
      <x:c r="C1676" s="14" t="str">
        <x:v>source_question</x:v>
      </x:c>
      <x:c r="D1676" s="14" t="n">
        <x:v>-5.04</x:v>
      </x:c>
      <x:c r="E1676" s="14" t="n">
        <x:v>-0.9</x:v>
      </x:c>
      <x:c r="F1676" s="14" t="n">
        <x:v>4.14</x:v>
      </x:c>
      <x:c r="G1676" s="17" t="n">
        <x:v>0</x:v>
      </x:c>
      <x:c r="H1676" s="14" t="str">
        <x:v>S05-06:A:original_handoff</x:v>
      </x:c>
    </x:row>
    <x:row r="1677" ht="72" customHeight="1">
      <x:c r="A1677" s="14" t="str">
        <x:v>S05-06:A:display_question</x:v>
      </x:c>
      <x:c r="B1677" s="14" t="str">
        <x:v>A</x:v>
      </x:c>
      <x:c r="C1677" s="14" t="str">
        <x:v>display_question</x:v>
      </x:c>
      <x:c r="D1677" s="14" t="n">
        <x:v>-0.9</x:v>
      </x:c>
      <x:c r="E1677" s="14" t="n">
        <x:v>-0.86</x:v>
      </x:c>
      <x:c r="F1677" s="14" t="n">
        <x:v>0.04</x:v>
      </x:c>
      <x:c r="G1677" s="17" t="n">
        <x:v>1</x:v>
      </x:c>
      <x:c r="H1677" s="14" t="str">
        <x:v>S05-06:A:source_question</x:v>
      </x:c>
    </x:row>
    <x:row r="1678" ht="72" customHeight="1">
      <x:c r="A1678" s="14" t="str">
        <x:v>S05-06:A:question_first</x:v>
      </x:c>
      <x:c r="B1678" s="14" t="str">
        <x:v>A</x:v>
      </x:c>
      <x:c r="C1678" s="14" t="str">
        <x:v>question_first</x:v>
      </x:c>
      <x:c r="D1678" s="14" t="n">
        <x:v>-0.9</x:v>
      </x:c>
      <x:c r="E1678" s="14" t="n">
        <x:v>-0.499</x:v>
      </x:c>
      <x:c r="F1678" s="14" t="n">
        <x:v>0.401</x:v>
      </x:c>
      <x:c r="G1678" s="17" t="n">
        <x:v>1</x:v>
      </x:c>
      <x:c r="H1678" s="14" t="str">
        <x:v>S05-06:A:source_question</x:v>
      </x:c>
    </x:row>
    <x:row r="1679" ht="72" customHeight="1">
      <x:c r="A1679" s="14" t="str">
        <x:v>S05-06:A:question_tail</x:v>
      </x:c>
      <x:c r="B1679" s="14" t="str">
        <x:v>A</x:v>
      </x:c>
      <x:c r="C1679" s="14" t="str">
        <x:v>question_tail</x:v>
      </x:c>
      <x:c r="D1679" s="14" t="n">
        <x:v>-0.499</x:v>
      </x:c>
      <x:c r="E1679" s="14" t="n">
        <x:v>0.1525</x:v>
      </x:c>
      <x:c r="F1679" s="14" t="n">
        <x:v>0.6515</x:v>
      </x:c>
      <x:c r="G1679" s="17" t="n">
        <x:v>1</x:v>
      </x:c>
      <x:c r="H1679" s="14" t="str">
        <x:v>S05-06:A:question_first</x:v>
      </x:c>
    </x:row>
    <x:row r="1680" ht="72" customHeight="1">
      <x:c r="A1680" s="14" t="str">
        <x:v>S05-06:A:question_device</x:v>
      </x:c>
      <x:c r="B1680" s="14" t="str">
        <x:v>A</x:v>
      </x:c>
      <x:c r="C1680" s="14" t="str">
        <x:v>question_device</x:v>
      </x:c>
      <x:c r="D1680" s="14" t="n">
        <x:v>0.86</x:v>
      </x:c>
      <x:c r="E1680" s="14" t="n">
        <x:v>0.9</x:v>
      </x:c>
      <x:c r="F1680" s="14" t="n">
        <x:v>0.04</x:v>
      </x:c>
      <x:c r="G1680" s="17" t="n">
        <x:v>1</x:v>
      </x:c>
      <x:c r="H1680" s="14" t="str">
        <x:v>S05-06:A:apply_relation
S05-06:A:question_first</x:v>
      </x:c>
    </x:row>
    <x:row r="1681" ht="72" customHeight="1">
      <x:c r="A1681" s="14" t="str">
        <x:v>S05-06:A:question_played</x:v>
      </x:c>
      <x:c r="B1681" s="14" t="str">
        <x:v>A</x:v>
      </x:c>
      <x:c r="C1681" s="14" t="str">
        <x:v>question_played</x:v>
      </x:c>
      <x:c r="D1681" s="14" t="n">
        <x:v>0.9</x:v>
      </x:c>
      <x:c r="E1681" s="14" t="n">
        <x:v>3.706</x:v>
      </x:c>
      <x:c r="F1681" s="14" t="n">
        <x:v>2.806</x:v>
      </x:c>
      <x:c r="G1681" s="17" t="n">
        <x:v>0</x:v>
      </x:c>
      <x:c r="H1681" s="14" t="str">
        <x:v>S05-06:A:question_device</x:v>
      </x:c>
    </x:row>
    <x:row r="1682" ht="72" customHeight="1">
      <x:c r="A1682" s="14" t="str">
        <x:v>S05-06:A:resume_report_device</x:v>
      </x:c>
      <x:c r="B1682" s="14" t="str">
        <x:v>A</x:v>
      </x:c>
      <x:c r="C1682" s="14" t="str">
        <x:v>resume_report_device</x:v>
      </x:c>
      <x:c r="D1682" s="14" t="n">
        <x:v>3.706</x:v>
      </x:c>
      <x:c r="E1682" s="14" t="n">
        <x:v>3.746</x:v>
      </x:c>
      <x:c r="F1682" s="14" t="n">
        <x:v>0.04</x:v>
      </x:c>
      <x:c r="G1682" s="17" t="n">
        <x:v>1</x:v>
      </x:c>
      <x:c r="H1682" s="14" t="str">
        <x:v>S05-06:A:question_played
S05-06:A:long_report_first</x:v>
      </x:c>
    </x:row>
    <x:row r="1683" ht="72" customHeight="1">
      <x:c r="A1683" s="14" t="str">
        <x:v>S05-06:A:resume_report_played</x:v>
      </x:c>
      <x:c r="B1683" s="14" t="str">
        <x:v>A</x:v>
      </x:c>
      <x:c r="C1683" s="14" t="str">
        <x:v>resume_report_played</x:v>
      </x:c>
      <x:c r="D1683" s="14" t="n">
        <x:v>3.746</x:v>
      </x:c>
      <x:c r="E1683" s="14" t="n">
        <x:v>38.987333333</x:v>
      </x:c>
      <x:c r="F1683" s="14" t="n">
        <x:v>35.241333333</x:v>
      </x:c>
      <x:c r="G1683" s="17" t="n">
        <x:v>0</x:v>
      </x:c>
      <x:c r="H1683" s="14" t="str">
        <x:v>S05-06:A:resume_report_device</x:v>
      </x:c>
    </x:row>
    <x:row r="1684" ht="72" customHeight="1">
      <x:c r="A1684" s="14" t="str">
        <x:v>S05-06:B:origin</x:v>
      </x:c>
      <x:c r="B1684" s="14" t="str">
        <x:v>B</x:v>
      </x:c>
      <x:c r="C1684" s="14" t="str">
        <x:v>origin</x:v>
      </x:c>
      <x:c r="D1684" s="14" t="n">
        <x:v>-6</x:v>
      </x:c>
      <x:c r="E1684" s="14" t="n">
        <x:v>-6</x:v>
      </x:c>
      <x:c r="F1684" s="14" t="n">
        <x:v>0</x:v>
      </x:c>
      <x:c r="G1684" s="17" t="n">
        <x:v>0</x:v>
      </x:c>
      <x:c r="H1684" s="14" t="str"/>
    </x:row>
    <x:row r="1685" ht="72" customHeight="1">
      <x:c r="A1685" s="14" t="str">
        <x:v>S05-06:B:origin_interpretation</x:v>
      </x:c>
      <x:c r="B1685" s="14" t="str">
        <x:v>B</x:v>
      </x:c>
      <x:c r="C1685" s="14" t="str">
        <x:v>origin_interpretation</x:v>
      </x:c>
      <x:c r="D1685" s="14" t="n">
        <x:v>-6</x:v>
      </x:c>
      <x:c r="E1685" s="14" t="n">
        <x:v>-5.16</x:v>
      </x:c>
      <x:c r="F1685" s="14" t="n">
        <x:v>0.84</x:v>
      </x:c>
      <x:c r="G1685" s="17" t="n">
        <x:v>1</x:v>
      </x:c>
      <x:c r="H1685" s="14" t="str">
        <x:v>S05-06:B:origin</x:v>
      </x:c>
    </x:row>
    <x:row r="1686" ht="72" customHeight="1">
      <x:c r="A1686" s="14" t="str">
        <x:v>S05-06:B:original_handoff</x:v>
      </x:c>
      <x:c r="B1686" s="14" t="str">
        <x:v>B</x:v>
      </x:c>
      <x:c r="C1686" s="14" t="str">
        <x:v>original_handoff</x:v>
      </x:c>
      <x:c r="D1686" s="14" t="n">
        <x:v>-5.16</x:v>
      </x:c>
      <x:c r="E1686" s="14" t="n">
        <x:v>-5.04</x:v>
      </x:c>
      <x:c r="F1686" s="14" t="n">
        <x:v>0.12</x:v>
      </x:c>
      <x:c r="G1686" s="17" t="n">
        <x:v>1</x:v>
      </x:c>
      <x:c r="H1686" s="14" t="str">
        <x:v>S05-06:B:origin_interpretation</x:v>
      </x:c>
    </x:row>
    <x:row r="1687" ht="72" customHeight="1">
      <x:c r="A1687" s="14" t="str">
        <x:v>S05-06:B:evaluation_utterance_end</x:v>
      </x:c>
      <x:c r="B1687" s="14" t="str">
        <x:v>B</x:v>
      </x:c>
      <x:c r="C1687" s="14" t="str">
        <x:v>evaluation_utterance_end</x:v>
      </x:c>
      <x:c r="D1687" s="14" t="n">
        <x:v>-6</x:v>
      </x:c>
      <x:c r="E1687" s="14" t="n">
        <x:v>0</x:v>
      </x:c>
      <x:c r="F1687" s="14" t="n">
        <x:v>6</x:v>
      </x:c>
      <x:c r="G1687" s="17" t="n">
        <x:v>0</x:v>
      </x:c>
      <x:c r="H1687" s="14" t="str">
        <x:v>S05-06:B:origin</x:v>
      </x:c>
    </x:row>
    <x:row r="1688" ht="72" customHeight="1">
      <x:c r="A1688" s="14" t="str">
        <x:v>S05-06:B:final_transcript</x:v>
      </x:c>
      <x:c r="B1688" s="14" t="str">
        <x:v>B</x:v>
      </x:c>
      <x:c r="C1688" s="14" t="str">
        <x:v>final_transcript</x:v>
      </x:c>
      <x:c r="D1688" s="14" t="n">
        <x:v>0</x:v>
      </x:c>
      <x:c r="E1688" s="14" t="n">
        <x:v>0.3</x:v>
      </x:c>
      <x:c r="F1688" s="14" t="n">
        <x:v>0.3</x:v>
      </x:c>
      <x:c r="G1688" s="17" t="n">
        <x:v>1</x:v>
      </x:c>
      <x:c r="H1688" s="14" t="str">
        <x:v>S05-06:B:evaluation_utterance_end</x:v>
      </x:c>
    </x:row>
    <x:row r="1689" ht="72" customHeight="1">
      <x:c r="A1689" s="14" t="str">
        <x:v>S05-06:B:meaning_adoption</x:v>
      </x:c>
      <x:c r="B1689" s="14" t="str">
        <x:v>B</x:v>
      </x:c>
      <x:c r="C1689" s="14" t="str">
        <x:v>meaning_adoption</x:v>
      </x:c>
      <x:c r="D1689" s="14" t="n">
        <x:v>0.3</x:v>
      </x:c>
      <x:c r="E1689" s="14" t="n">
        <x:v>0.82</x:v>
      </x:c>
      <x:c r="F1689" s="14" t="n">
        <x:v>0.52</x:v>
      </x:c>
      <x:c r="G1689" s="17" t="n">
        <x:v>1</x:v>
      </x:c>
      <x:c r="H1689" s="14" t="str">
        <x:v>S05-06:B:final_transcript
S05-06:B:origin_interpretation</x:v>
      </x:c>
    </x:row>
    <x:row r="1690" ht="72" customHeight="1">
      <x:c r="A1690" s="14" t="str">
        <x:v>S05-06:B:apply_relation</x:v>
      </x:c>
      <x:c r="B1690" s="14" t="str">
        <x:v>B</x:v>
      </x:c>
      <x:c r="C1690" s="14" t="str">
        <x:v>apply_relation</x:v>
      </x:c>
      <x:c r="D1690" s="14" t="n">
        <x:v>0.82</x:v>
      </x:c>
      <x:c r="E1690" s="14" t="n">
        <x:v>0.86</x:v>
      </x:c>
      <x:c r="F1690" s="14" t="n">
        <x:v>0.04</x:v>
      </x:c>
      <x:c r="G1690" s="17" t="n">
        <x:v>1</x:v>
      </x:c>
      <x:c r="H1690" s="14" t="str">
        <x:v>S05-06:B:meaning_adoption</x:v>
      </x:c>
    </x:row>
    <x:row r="1691" ht="72" customHeight="1">
      <x:c r="A1691" s="14" t="str">
        <x:v>S05-06:B:evaluation_first_display</x:v>
      </x:c>
      <x:c r="B1691" s="14" t="str">
        <x:v>B</x:v>
      </x:c>
      <x:c r="C1691" s="14" t="str">
        <x:v>evaluation_first_display</x:v>
      </x:c>
      <x:c r="D1691" s="14" t="n">
        <x:v>0.86</x:v>
      </x:c>
      <x:c r="E1691" s="14" t="n">
        <x:v>0.9</x:v>
      </x:c>
      <x:c r="F1691" s="14" t="n">
        <x:v>0.04</x:v>
      </x:c>
      <x:c r="G1691" s="17" t="n">
        <x:v>1</x:v>
      </x:c>
      <x:c r="H1691" s="14" t="str">
        <x:v>S05-06:B:apply_relation</x:v>
      </x:c>
    </x:row>
    <x:row r="1692" ht="72" customHeight="1">
      <x:c r="A1692" s="14" t="str">
        <x:v>S05-06:B:source_long_report</x:v>
      </x:c>
      <x:c r="B1692" s="14" t="str">
        <x:v>B</x:v>
      </x:c>
      <x:c r="C1692" s="14" t="str">
        <x:v>source_long_report</x:v>
      </x:c>
      <x:c r="D1692" s="14" t="n">
        <x:v>-5.04</x:v>
      </x:c>
      <x:c r="E1692" s="14" t="n">
        <x:v>-4.8</x:v>
      </x:c>
      <x:c r="F1692" s="14" t="n">
        <x:v>0.24</x:v>
      </x:c>
      <x:c r="G1692" s="17" t="n">
        <x:v>0</x:v>
      </x:c>
      <x:c r="H1692" s="14" t="str">
        <x:v>S05-06:B:original_handoff</x:v>
      </x:c>
    </x:row>
    <x:row r="1693" ht="72" customHeight="1">
      <x:c r="A1693" s="14" t="str">
        <x:v>S05-06:B:display_long_report</x:v>
      </x:c>
      <x:c r="B1693" s="14" t="str">
        <x:v>B</x:v>
      </x:c>
      <x:c r="C1693" s="14" t="str">
        <x:v>display_long_report</x:v>
      </x:c>
      <x:c r="D1693" s="14" t="n">
        <x:v>-4.8</x:v>
      </x:c>
      <x:c r="E1693" s="14" t="n">
        <x:v>-4.76</x:v>
      </x:c>
      <x:c r="F1693" s="14" t="n">
        <x:v>0.04</x:v>
      </x:c>
      <x:c r="G1693" s="17" t="n">
        <x:v>1</x:v>
      </x:c>
      <x:c r="H1693" s="14" t="str">
        <x:v>S05-06:B:source_long_report</x:v>
      </x:c>
    </x:row>
    <x:row r="1694" ht="72" customHeight="1">
      <x:c r="A1694" s="14" t="str">
        <x:v>S05-06:B:long_report_first</x:v>
      </x:c>
      <x:c r="B1694" s="14" t="str">
        <x:v>B</x:v>
      </x:c>
      <x:c r="C1694" s="14" t="str">
        <x:v>long_report_first</x:v>
      </x:c>
      <x:c r="D1694" s="14" t="n">
        <x:v>-4.8</x:v>
      </x:c>
      <x:c r="E1694" s="14" t="n">
        <x:v>-4.324666667</x:v>
      </x:c>
      <x:c r="F1694" s="14" t="n">
        <x:v>0.475333333</x:v>
      </x:c>
      <x:c r="G1694" s="17" t="n">
        <x:v>1</x:v>
      </x:c>
      <x:c r="H1694" s="14" t="str">
        <x:v>S05-06:B:source_long_report</x:v>
      </x:c>
    </x:row>
    <x:row r="1695" ht="72" customHeight="1">
      <x:c r="A1695" s="14" t="str">
        <x:v>S05-06:B:long_report_tail</x:v>
      </x:c>
      <x:c r="B1695" s="14" t="str">
        <x:v>B</x:v>
      </x:c>
      <x:c r="C1695" s="14" t="str">
        <x:v>long_report_tail</x:v>
      </x:c>
      <x:c r="D1695" s="14" t="n">
        <x:v>-4.324666667</x:v>
      </x:c>
      <x:c r="E1695" s="14" t="n">
        <x:v>0.96</x:v>
      </x:c>
      <x:c r="F1695" s="14" t="n">
        <x:v>5.284666667</x:v>
      </x:c>
      <x:c r="G1695" s="17" t="n">
        <x:v>1</x:v>
      </x:c>
      <x:c r="H1695" s="14" t="str">
        <x:v>S05-06:B:long_report_first</x:v>
      </x:c>
    </x:row>
    <x:row r="1696" ht="72" customHeight="1">
      <x:c r="A1696" s="14" t="str">
        <x:v>S05-06:B:source_question</x:v>
      </x:c>
      <x:c r="B1696" s="14" t="str">
        <x:v>B</x:v>
      </x:c>
      <x:c r="C1696" s="14" t="str">
        <x:v>source_question</x:v>
      </x:c>
      <x:c r="D1696" s="14" t="n">
        <x:v>-5.04</x:v>
      </x:c>
      <x:c r="E1696" s="14" t="n">
        <x:v>-0.9</x:v>
      </x:c>
      <x:c r="F1696" s="14" t="n">
        <x:v>4.14</x:v>
      </x:c>
      <x:c r="G1696" s="17" t="n">
        <x:v>0</x:v>
      </x:c>
      <x:c r="H1696" s="14" t="str">
        <x:v>S05-06:B:original_handoff</x:v>
      </x:c>
    </x:row>
    <x:row r="1697" ht="72" customHeight="1">
      <x:c r="A1697" s="14" t="str">
        <x:v>S05-06:B:display_question</x:v>
      </x:c>
      <x:c r="B1697" s="14" t="str">
        <x:v>B</x:v>
      </x:c>
      <x:c r="C1697" s="14" t="str">
        <x:v>display_question</x:v>
      </x:c>
      <x:c r="D1697" s="14" t="n">
        <x:v>-0.9</x:v>
      </x:c>
      <x:c r="E1697" s="14" t="n">
        <x:v>-0.86</x:v>
      </x:c>
      <x:c r="F1697" s="14" t="n">
        <x:v>0.04</x:v>
      </x:c>
      <x:c r="G1697" s="17" t="n">
        <x:v>1</x:v>
      </x:c>
      <x:c r="H1697" s="14" t="str">
        <x:v>S05-06:B:source_question</x:v>
      </x:c>
    </x:row>
    <x:row r="1698" ht="72" customHeight="1">
      <x:c r="A1698" s="14" t="str">
        <x:v>S05-06:B:question_first</x:v>
      </x:c>
      <x:c r="B1698" s="14" t="str">
        <x:v>B</x:v>
      </x:c>
      <x:c r="C1698" s="14" t="str">
        <x:v>question_first</x:v>
      </x:c>
      <x:c r="D1698" s="14" t="n">
        <x:v>0.86</x:v>
      </x:c>
      <x:c r="E1698" s="14" t="n">
        <x:v>1.261</x:v>
      </x:c>
      <x:c r="F1698" s="14" t="n">
        <x:v>0.401</x:v>
      </x:c>
      <x:c r="G1698" s="17" t="n">
        <x:v>1</x:v>
      </x:c>
      <x:c r="H1698" s="14" t="str">
        <x:v>S05-06:B:apply_relation</x:v>
      </x:c>
    </x:row>
    <x:row r="1699" ht="72" customHeight="1">
      <x:c r="A1699" s="14" t="str">
        <x:v>S05-06:B:question_tail</x:v>
      </x:c>
      <x:c r="B1699" s="14" t="str">
        <x:v>B</x:v>
      </x:c>
      <x:c r="C1699" s="14" t="str">
        <x:v>question_tail</x:v>
      </x:c>
      <x:c r="D1699" s="14" t="n">
        <x:v>1.261</x:v>
      </x:c>
      <x:c r="E1699" s="14" t="n">
        <x:v>1.9125</x:v>
      </x:c>
      <x:c r="F1699" s="14" t="n">
        <x:v>0.6515</x:v>
      </x:c>
      <x:c r="G1699" s="17" t="n">
        <x:v>1</x:v>
      </x:c>
      <x:c r="H1699" s="14" t="str">
        <x:v>S05-06:B:question_first</x:v>
      </x:c>
    </x:row>
    <x:row r="1700" ht="72" customHeight="1">
      <x:c r="A1700" s="14" t="str">
        <x:v>S05-06:B:question_device</x:v>
      </x:c>
      <x:c r="B1700" s="14" t="str">
        <x:v>B</x:v>
      </x:c>
      <x:c r="C1700" s="14" t="str">
        <x:v>question_device</x:v>
      </x:c>
      <x:c r="D1700" s="14" t="n">
        <x:v>1.261</x:v>
      </x:c>
      <x:c r="E1700" s="14" t="n">
        <x:v>1.301</x:v>
      </x:c>
      <x:c r="F1700" s="14" t="n">
        <x:v>0.04</x:v>
      </x:c>
      <x:c r="G1700" s="17" t="n">
        <x:v>1</x:v>
      </x:c>
      <x:c r="H1700" s="14" t="str">
        <x:v>S05-06:B:apply_relation
S05-06:B:question_first</x:v>
      </x:c>
    </x:row>
    <x:row r="1701" ht="72" customHeight="1">
      <x:c r="A1701" s="14" t="str">
        <x:v>S05-06:B:question_played</x:v>
      </x:c>
      <x:c r="B1701" s="14" t="str">
        <x:v>B</x:v>
      </x:c>
      <x:c r="C1701" s="14" t="str">
        <x:v>question_played</x:v>
      </x:c>
      <x:c r="D1701" s="14" t="n">
        <x:v>1.301</x:v>
      </x:c>
      <x:c r="E1701" s="14" t="n">
        <x:v>4.107</x:v>
      </x:c>
      <x:c r="F1701" s="14" t="n">
        <x:v>2.806</x:v>
      </x:c>
      <x:c r="G1701" s="17" t="n">
        <x:v>0</x:v>
      </x:c>
      <x:c r="H1701" s="14" t="str">
        <x:v>S05-06:B:question_device</x:v>
      </x:c>
    </x:row>
    <x:row r="1702" ht="72" customHeight="1">
      <x:c r="A1702" s="14" t="str">
        <x:v>S05-06:B:resume_cached_device</x:v>
      </x:c>
      <x:c r="B1702" s="14" t="str">
        <x:v>B</x:v>
      </x:c>
      <x:c r="C1702" s="14" t="str">
        <x:v>resume_cached_device</x:v>
      </x:c>
      <x:c r="D1702" s="14" t="n">
        <x:v>4.107</x:v>
      </x:c>
      <x:c r="E1702" s="14" t="n">
        <x:v>4.147</x:v>
      </x:c>
      <x:c r="F1702" s="14" t="n">
        <x:v>0.04</x:v>
      </x:c>
      <x:c r="G1702" s="17" t="n">
        <x:v>1</x:v>
      </x:c>
      <x:c r="H1702" s="14" t="str">
        <x:v>S05-06:B:question_played
S05-06:B:long_report_first</x:v>
      </x:c>
    </x:row>
    <x:row r="1703" ht="72" customHeight="1">
      <x:c r="A1703" s="14" t="str">
        <x:v>S05-06:B:resume_cached_played</x:v>
      </x:c>
      <x:c r="B1703" s="14" t="str">
        <x:v>B</x:v>
      </x:c>
      <x:c r="C1703" s="14" t="str">
        <x:v>resume_cached_played</x:v>
      </x:c>
      <x:c r="D1703" s="14" t="n">
        <x:v>4.147</x:v>
      </x:c>
      <x:c r="E1703" s="14" t="n">
        <x:v>24.721000001</x:v>
      </x:c>
      <x:c r="F1703" s="14" t="n">
        <x:v>20.574000001</x:v>
      </x:c>
      <x:c r="G1703" s="17" t="n">
        <x:v>0</x:v>
      </x:c>
      <x:c r="H1703" s="14" t="str">
        <x:v>S05-06:B:resume_cached_device</x:v>
      </x:c>
    </x:row>
    <x:row r="1704" ht="72" customHeight="1">
      <x:c r="A1704" s="14" t="str">
        <x:v>S05-06:B:resume_suffix_first</x:v>
      </x:c>
      <x:c r="B1704" s="14" t="str">
        <x:v>B</x:v>
      </x:c>
      <x:c r="C1704" s="14" t="str">
        <x:v>resume_suffix_first</x:v>
      </x:c>
      <x:c r="D1704" s="14" t="n">
        <x:v>4.107</x:v>
      </x:c>
      <x:c r="E1704" s="14" t="n">
        <x:v>4.622333333</x:v>
      </x:c>
      <x:c r="F1704" s="14" t="n">
        <x:v>0.515333333</x:v>
      </x:c>
      <x:c r="G1704" s="17" t="n">
        <x:v>1</x:v>
      </x:c>
      <x:c r="H1704" s="14" t="str">
        <x:v>S05-06:B:question_played</x:v>
      </x:c>
    </x:row>
    <x:row r="1705" ht="72" customHeight="1">
      <x:c r="A1705" s="14" t="str">
        <x:v>S05-06:B:resume_suffix_tail</x:v>
      </x:c>
      <x:c r="B1705" s="14" t="str">
        <x:v>B</x:v>
      </x:c>
      <x:c r="C1705" s="14" t="str">
        <x:v>resume_suffix_tail</x:v>
      </x:c>
      <x:c r="D1705" s="14" t="n">
        <x:v>4.622333333</x:v>
      </x:c>
      <x:c r="E1705" s="14" t="n">
        <x:v>8.239166666</x:v>
      </x:c>
      <x:c r="F1705" s="14" t="n">
        <x:v>3.616833333</x:v>
      </x:c>
      <x:c r="G1705" s="17" t="n">
        <x:v>1</x:v>
      </x:c>
      <x:c r="H1705" s="14" t="str">
        <x:v>S05-06:B:resume_suffix_first</x:v>
      </x:c>
    </x:row>
    <x:row r="1706" ht="72" customHeight="1">
      <x:c r="A1706" s="14" t="str">
        <x:v>S05-06:B:resume_suffix_device</x:v>
      </x:c>
      <x:c r="B1706" s="14" t="str">
        <x:v>B</x:v>
      </x:c>
      <x:c r="C1706" s="14" t="str">
        <x:v>resume_suffix_device</x:v>
      </x:c>
      <x:c r="D1706" s="14" t="n">
        <x:v>24.721000001</x:v>
      </x:c>
      <x:c r="E1706" s="14" t="n">
        <x:v>24.761000001</x:v>
      </x:c>
      <x:c r="F1706" s="14" t="n">
        <x:v>0.04</x:v>
      </x:c>
      <x:c r="G1706" s="17" t="n">
        <x:v>1</x:v>
      </x:c>
      <x:c r="H1706" s="14" t="str">
        <x:v>S05-06:B:resume_cached_played
S05-06:B:resume_suffix_first</x:v>
      </x:c>
    </x:row>
    <x:row r="1707" ht="72" customHeight="1">
      <x:c r="A1707" s="14" t="str">
        <x:v>S05-06:B:resume_suffix_played</x:v>
      </x:c>
      <x:c r="B1707" s="14" t="str">
        <x:v>B</x:v>
      </x:c>
      <x:c r="C1707" s="14" t="str">
        <x:v>resume_suffix_played</x:v>
      </x:c>
      <x:c r="D1707" s="14" t="n">
        <x:v>24.761000001</x:v>
      </x:c>
      <x:c r="E1707" s="14" t="n">
        <x:v>39.428333333</x:v>
      </x:c>
      <x:c r="F1707" s="14" t="n">
        <x:v>14.667333332</x:v>
      </x:c>
      <x:c r="G1707" s="17" t="n">
        <x:v>0</x:v>
      </x:c>
      <x:c r="H1707" s="14" t="str">
        <x:v>S05-06:B:resume_suffix_device</x:v>
      </x:c>
    </x:row>
    <x:row r="1708" ht="72" customHeight="1">
      <x:c r="A1708" s="14" t="str">
        <x:v>S05-07:A:origin</x:v>
      </x:c>
      <x:c r="B1708" s="14" t="str">
        <x:v>A</x:v>
      </x:c>
      <x:c r="C1708" s="14" t="str">
        <x:v>origin</x:v>
      </x:c>
      <x:c r="D1708" s="14" t="n">
        <x:v>-6</x:v>
      </x:c>
      <x:c r="E1708" s="14" t="n">
        <x:v>-6</x:v>
      </x:c>
      <x:c r="F1708" s="14" t="n">
        <x:v>0</x:v>
      </x:c>
      <x:c r="G1708" s="17" t="n">
        <x:v>0</x:v>
      </x:c>
      <x:c r="H1708" s="14" t="str"/>
    </x:row>
    <x:row r="1709" ht="72" customHeight="1">
      <x:c r="A1709" s="14" t="str">
        <x:v>S05-07:A:origin_interpretation</x:v>
      </x:c>
      <x:c r="B1709" s="14" t="str">
        <x:v>A</x:v>
      </x:c>
      <x:c r="C1709" s="14" t="str">
        <x:v>origin_interpretation</x:v>
      </x:c>
      <x:c r="D1709" s="14" t="n">
        <x:v>-6</x:v>
      </x:c>
      <x:c r="E1709" s="14" t="n">
        <x:v>-5.16</x:v>
      </x:c>
      <x:c r="F1709" s="14" t="n">
        <x:v>0.84</x:v>
      </x:c>
      <x:c r="G1709" s="17" t="n">
        <x:v>1</x:v>
      </x:c>
      <x:c r="H1709" s="14" t="str">
        <x:v>S05-07:A:origin</x:v>
      </x:c>
    </x:row>
    <x:row r="1710" ht="72" customHeight="1">
      <x:c r="A1710" s="14" t="str">
        <x:v>S05-07:A:original_handoff</x:v>
      </x:c>
      <x:c r="B1710" s="14" t="str">
        <x:v>A</x:v>
      </x:c>
      <x:c r="C1710" s="14" t="str">
        <x:v>original_handoff</x:v>
      </x:c>
      <x:c r="D1710" s="14" t="n">
        <x:v>-5.16</x:v>
      </x:c>
      <x:c r="E1710" s="14" t="n">
        <x:v>-5.04</x:v>
      </x:c>
      <x:c r="F1710" s="14" t="n">
        <x:v>0.12</x:v>
      </x:c>
      <x:c r="G1710" s="17" t="n">
        <x:v>1</x:v>
      </x:c>
      <x:c r="H1710" s="14" t="str">
        <x:v>S05-07:A:origin_interpretation</x:v>
      </x:c>
    </x:row>
    <x:row r="1711" ht="72" customHeight="1">
      <x:c r="A1711" s="14" t="str">
        <x:v>S05-07:A:evaluation_utterance_end</x:v>
      </x:c>
      <x:c r="B1711" s="14" t="str">
        <x:v>A</x:v>
      </x:c>
      <x:c r="C1711" s="14" t="str">
        <x:v>evaluation_utterance_end</x:v>
      </x:c>
      <x:c r="D1711" s="14" t="n">
        <x:v>-6</x:v>
      </x:c>
      <x:c r="E1711" s="14" t="n">
        <x:v>0</x:v>
      </x:c>
      <x:c r="F1711" s="14" t="n">
        <x:v>6</x:v>
      </x:c>
      <x:c r="G1711" s="17" t="n">
        <x:v>0</x:v>
      </x:c>
      <x:c r="H1711" s="14" t="str">
        <x:v>S05-07:A:origin</x:v>
      </x:c>
    </x:row>
    <x:row r="1712" ht="72" customHeight="1">
      <x:c r="A1712" s="14" t="str">
        <x:v>S05-07:A:final_transcript</x:v>
      </x:c>
      <x:c r="B1712" s="14" t="str">
        <x:v>A</x:v>
      </x:c>
      <x:c r="C1712" s="14" t="str">
        <x:v>final_transcript</x:v>
      </x:c>
      <x:c r="D1712" s="14" t="n">
        <x:v>0</x:v>
      </x:c>
      <x:c r="E1712" s="14" t="n">
        <x:v>0.3</x:v>
      </x:c>
      <x:c r="F1712" s="14" t="n">
        <x:v>0.3</x:v>
      </x:c>
      <x:c r="G1712" s="17" t="n">
        <x:v>1</x:v>
      </x:c>
      <x:c r="H1712" s="14" t="str">
        <x:v>S05-07:A:evaluation_utterance_end</x:v>
      </x:c>
    </x:row>
    <x:row r="1713" ht="72" customHeight="1">
      <x:c r="A1713" s="14" t="str">
        <x:v>S05-07:A:meaning_adoption</x:v>
      </x:c>
      <x:c r="B1713" s="14" t="str">
        <x:v>A</x:v>
      </x:c>
      <x:c r="C1713" s="14" t="str">
        <x:v>meaning_adoption</x:v>
      </x:c>
      <x:c r="D1713" s="14" t="n">
        <x:v>0.3</x:v>
      </x:c>
      <x:c r="E1713" s="14" t="n">
        <x:v>0.848333333</x:v>
      </x:c>
      <x:c r="F1713" s="14" t="n">
        <x:v>0.548333333</x:v>
      </x:c>
      <x:c r="G1713" s="17" t="n">
        <x:v>1</x:v>
      </x:c>
      <x:c r="H1713" s="14" t="str">
        <x:v>S05-07:A:final_transcript
S05-07:A:origin_interpretation</x:v>
      </x:c>
    </x:row>
    <x:row r="1714" ht="72" customHeight="1">
      <x:c r="A1714" s="14" t="str">
        <x:v>S05-07:A:apply_relation</x:v>
      </x:c>
      <x:c r="B1714" s="14" t="str">
        <x:v>A</x:v>
      </x:c>
      <x:c r="C1714" s="14" t="str">
        <x:v>apply_relation</x:v>
      </x:c>
      <x:c r="D1714" s="14" t="n">
        <x:v>0.848333333</x:v>
      </x:c>
      <x:c r="E1714" s="14" t="n">
        <x:v>0.888333333</x:v>
      </x:c>
      <x:c r="F1714" s="14" t="n">
        <x:v>0.04</x:v>
      </x:c>
      <x:c r="G1714" s="17" t="n">
        <x:v>1</x:v>
      </x:c>
      <x:c r="H1714" s="14" t="str">
        <x:v>S05-07:A:meaning_adoption</x:v>
      </x:c>
    </x:row>
    <x:row r="1715" ht="72" customHeight="1">
      <x:c r="A1715" s="14" t="str">
        <x:v>S05-07:A:evaluation_first_display</x:v>
      </x:c>
      <x:c r="B1715" s="14" t="str">
        <x:v>A</x:v>
      </x:c>
      <x:c r="C1715" s="14" t="str">
        <x:v>evaluation_first_display</x:v>
      </x:c>
      <x:c r="D1715" s="14" t="n">
        <x:v>0.888333333</x:v>
      </x:c>
      <x:c r="E1715" s="14" t="n">
        <x:v>0.928333333</x:v>
      </x:c>
      <x:c r="F1715" s="14" t="n">
        <x:v>0.04</x:v>
      </x:c>
      <x:c r="G1715" s="17" t="n">
        <x:v>1</x:v>
      </x:c>
      <x:c r="H1715" s="14" t="str">
        <x:v>S05-07:A:apply_relation</x:v>
      </x:c>
    </x:row>
    <x:row r="1716" ht="72" customHeight="1">
      <x:c r="A1716" s="14" t="str">
        <x:v>S05-07:A:source_long_report</x:v>
      </x:c>
      <x:c r="B1716" s="14" t="str">
        <x:v>A</x:v>
      </x:c>
      <x:c r="C1716" s="14" t="str">
        <x:v>source_long_report</x:v>
      </x:c>
      <x:c r="D1716" s="14" t="n">
        <x:v>-5.04</x:v>
      </x:c>
      <x:c r="E1716" s="14" t="n">
        <x:v>-4.8</x:v>
      </x:c>
      <x:c r="F1716" s="14" t="n">
        <x:v>0.24</x:v>
      </x:c>
      <x:c r="G1716" s="17" t="n">
        <x:v>0</x:v>
      </x:c>
      <x:c r="H1716" s="14" t="str">
        <x:v>S05-07:A:original_handoff</x:v>
      </x:c>
    </x:row>
    <x:row r="1717" ht="72" customHeight="1">
      <x:c r="A1717" s="14" t="str">
        <x:v>S05-07:A:display_long_report</x:v>
      </x:c>
      <x:c r="B1717" s="14" t="str">
        <x:v>A</x:v>
      </x:c>
      <x:c r="C1717" s="14" t="str">
        <x:v>display_long_report</x:v>
      </x:c>
      <x:c r="D1717" s="14" t="n">
        <x:v>-4.8</x:v>
      </x:c>
      <x:c r="E1717" s="14" t="n">
        <x:v>-4.76</x:v>
      </x:c>
      <x:c r="F1717" s="14" t="n">
        <x:v>0.04</x:v>
      </x:c>
      <x:c r="G1717" s="17" t="n">
        <x:v>1</x:v>
      </x:c>
      <x:c r="H1717" s="14" t="str">
        <x:v>S05-07:A:source_long_report</x:v>
      </x:c>
    </x:row>
    <x:row r="1718" ht="72" customHeight="1">
      <x:c r="A1718" s="14" t="str">
        <x:v>S05-07:A:long_report_first</x:v>
      </x:c>
      <x:c r="B1718" s="14" t="str">
        <x:v>A</x:v>
      </x:c>
      <x:c r="C1718" s="14" t="str">
        <x:v>long_report_first</x:v>
      </x:c>
      <x:c r="D1718" s="14" t="n">
        <x:v>-4.8</x:v>
      </x:c>
      <x:c r="E1718" s="14" t="n">
        <x:v>-4.324666667</x:v>
      </x:c>
      <x:c r="F1718" s="14" t="n">
        <x:v>0.475333333</x:v>
      </x:c>
      <x:c r="G1718" s="17" t="n">
        <x:v>1</x:v>
      </x:c>
      <x:c r="H1718" s="14" t="str">
        <x:v>S05-07:A:source_long_report</x:v>
      </x:c>
    </x:row>
    <x:row r="1719" ht="72" customHeight="1">
      <x:c r="A1719" s="14" t="str">
        <x:v>S05-07:A:long_report_tail</x:v>
      </x:c>
      <x:c r="B1719" s="14" t="str">
        <x:v>A</x:v>
      </x:c>
      <x:c r="C1719" s="14" t="str">
        <x:v>long_report_tail</x:v>
      </x:c>
      <x:c r="D1719" s="14" t="n">
        <x:v>-4.324666667</x:v>
      </x:c>
      <x:c r="E1719" s="14" t="n">
        <x:v>4.629833333</x:v>
      </x:c>
      <x:c r="F1719" s="14" t="n">
        <x:v>8.9545</x:v>
      </x:c>
      <x:c r="G1719" s="17" t="n">
        <x:v>1</x:v>
      </x:c>
      <x:c r="H1719" s="14" t="str">
        <x:v>S05-07:A:long_report_first</x:v>
      </x:c>
    </x:row>
    <x:row r="1720" ht="72" customHeight="1">
      <x:c r="A1720" s="14" t="str">
        <x:v>S05-07:A:source_question</x:v>
      </x:c>
      <x:c r="B1720" s="14" t="str">
        <x:v>A</x:v>
      </x:c>
      <x:c r="C1720" s="14" t="str">
        <x:v>source_question</x:v>
      </x:c>
      <x:c r="D1720" s="14" t="n">
        <x:v>-5.04</x:v>
      </x:c>
      <x:c r="E1720" s="14" t="n">
        <x:v>-0.9</x:v>
      </x:c>
      <x:c r="F1720" s="14" t="n">
        <x:v>4.14</x:v>
      </x:c>
      <x:c r="G1720" s="17" t="n">
        <x:v>0</x:v>
      </x:c>
      <x:c r="H1720" s="14" t="str">
        <x:v>S05-07:A:original_handoff</x:v>
      </x:c>
    </x:row>
    <x:row r="1721" ht="72" customHeight="1">
      <x:c r="A1721" s="14" t="str">
        <x:v>S05-07:A:display_question</x:v>
      </x:c>
      <x:c r="B1721" s="14" t="str">
        <x:v>A</x:v>
      </x:c>
      <x:c r="C1721" s="14" t="str">
        <x:v>display_question</x:v>
      </x:c>
      <x:c r="D1721" s="14" t="n">
        <x:v>-0.9</x:v>
      </x:c>
      <x:c r="E1721" s="14" t="n">
        <x:v>-0.86</x:v>
      </x:c>
      <x:c r="F1721" s="14" t="n">
        <x:v>0.04</x:v>
      </x:c>
      <x:c r="G1721" s="17" t="n">
        <x:v>1</x:v>
      </x:c>
      <x:c r="H1721" s="14" t="str">
        <x:v>S05-07:A:source_question</x:v>
      </x:c>
    </x:row>
    <x:row r="1722" ht="72" customHeight="1">
      <x:c r="A1722" s="14" t="str">
        <x:v>S05-07:A:question_first</x:v>
      </x:c>
      <x:c r="B1722" s="14" t="str">
        <x:v>A</x:v>
      </x:c>
      <x:c r="C1722" s="14" t="str">
        <x:v>question_first</x:v>
      </x:c>
      <x:c r="D1722" s="14" t="n">
        <x:v>-0.9</x:v>
      </x:c>
      <x:c r="E1722" s="14" t="n">
        <x:v>-0.499</x:v>
      </x:c>
      <x:c r="F1722" s="14" t="n">
        <x:v>0.401</x:v>
      </x:c>
      <x:c r="G1722" s="17" t="n">
        <x:v>1</x:v>
      </x:c>
      <x:c r="H1722" s="14" t="str">
        <x:v>S05-07:A:source_question</x:v>
      </x:c>
    </x:row>
    <x:row r="1723" ht="72" customHeight="1">
      <x:c r="A1723" s="14" t="str">
        <x:v>S05-07:A:question_tail</x:v>
      </x:c>
      <x:c r="B1723" s="14" t="str">
        <x:v>A</x:v>
      </x:c>
      <x:c r="C1723" s="14" t="str">
        <x:v>question_tail</x:v>
      </x:c>
      <x:c r="D1723" s="14" t="n">
        <x:v>-0.499</x:v>
      </x:c>
      <x:c r="E1723" s="14" t="n">
        <x:v>0.1555</x:v>
      </x:c>
      <x:c r="F1723" s="14" t="n">
        <x:v>0.6545</x:v>
      </x:c>
      <x:c r="G1723" s="17" t="n">
        <x:v>1</x:v>
      </x:c>
      <x:c r="H1723" s="14" t="str">
        <x:v>S05-07:A:question_first</x:v>
      </x:c>
    </x:row>
    <x:row r="1724" ht="72" customHeight="1">
      <x:c r="A1724" s="14" t="str">
        <x:v>S05-07:A:question_device</x:v>
      </x:c>
      <x:c r="B1724" s="14" t="str">
        <x:v>A</x:v>
      </x:c>
      <x:c r="C1724" s="14" t="str">
        <x:v>question_device</x:v>
      </x:c>
      <x:c r="D1724" s="14" t="n">
        <x:v>0.888333333</x:v>
      </x:c>
      <x:c r="E1724" s="14" t="n">
        <x:v>0.928333333</x:v>
      </x:c>
      <x:c r="F1724" s="14" t="n">
        <x:v>0.04</x:v>
      </x:c>
      <x:c r="G1724" s="17" t="n">
        <x:v>1</x:v>
      </x:c>
      <x:c r="H1724" s="14" t="str">
        <x:v>S05-07:A:apply_relation
S05-07:A:question_first</x:v>
      </x:c>
    </x:row>
    <x:row r="1725" ht="72" customHeight="1">
      <x:c r="A1725" s="14" t="str">
        <x:v>S05-07:A:question_played</x:v>
      </x:c>
      <x:c r="B1725" s="14" t="str">
        <x:v>A</x:v>
      </x:c>
      <x:c r="C1725" s="14" t="str">
        <x:v>question_played</x:v>
      </x:c>
      <x:c r="D1725" s="14" t="n">
        <x:v>0.928333333</x:v>
      </x:c>
      <x:c r="E1725" s="14" t="n">
        <x:v>3.746333333</x:v>
      </x:c>
      <x:c r="F1725" s="14" t="n">
        <x:v>2.818</x:v>
      </x:c>
      <x:c r="G1725" s="17" t="n">
        <x:v>0</x:v>
      </x:c>
      <x:c r="H1725" s="14" t="str">
        <x:v>S05-07:A:question_device</x:v>
      </x:c>
    </x:row>
    <x:row r="1726" ht="72" customHeight="1">
      <x:c r="A1726" s="14" t="str">
        <x:v>S05-07:A:resume_report_device</x:v>
      </x:c>
      <x:c r="B1726" s="14" t="str">
        <x:v>A</x:v>
      </x:c>
      <x:c r="C1726" s="14" t="str">
        <x:v>resume_report_device</x:v>
      </x:c>
      <x:c r="D1726" s="14" t="n">
        <x:v>3.746333333</x:v>
      </x:c>
      <x:c r="E1726" s="14" t="n">
        <x:v>3.786333333</x:v>
      </x:c>
      <x:c r="F1726" s="14" t="n">
        <x:v>0.04</x:v>
      </x:c>
      <x:c r="G1726" s="17" t="n">
        <x:v>1</x:v>
      </x:c>
      <x:c r="H1726" s="14" t="str">
        <x:v>S05-07:A:question_played
S05-07:A:long_report_first</x:v>
      </x:c>
    </x:row>
    <x:row r="1727" ht="72" customHeight="1">
      <x:c r="A1727" s="14" t="str">
        <x:v>S05-07:A:resume_report_played</x:v>
      </x:c>
      <x:c r="B1727" s="14" t="str">
        <x:v>A</x:v>
      </x:c>
      <x:c r="C1727" s="14" t="str">
        <x:v>resume_report_played</x:v>
      </x:c>
      <x:c r="D1727" s="14" t="n">
        <x:v>3.786333333</x:v>
      </x:c>
      <x:c r="E1727" s="14" t="n">
        <x:v>39.039666666</x:v>
      </x:c>
      <x:c r="F1727" s="14" t="n">
        <x:v>35.253333333</x:v>
      </x:c>
      <x:c r="G1727" s="17" t="n">
        <x:v>0</x:v>
      </x:c>
      <x:c r="H1727" s="14" t="str">
        <x:v>S05-07:A:resume_report_device</x:v>
      </x:c>
    </x:row>
    <x:row r="1728" ht="72" customHeight="1">
      <x:c r="A1728" s="14" t="str">
        <x:v>S05-07:B:origin</x:v>
      </x:c>
      <x:c r="B1728" s="14" t="str">
        <x:v>B</x:v>
      </x:c>
      <x:c r="C1728" s="14" t="str">
        <x:v>origin</x:v>
      </x:c>
      <x:c r="D1728" s="14" t="n">
        <x:v>-6</x:v>
      </x:c>
      <x:c r="E1728" s="14" t="n">
        <x:v>-6</x:v>
      </x:c>
      <x:c r="F1728" s="14" t="n">
        <x:v>0</x:v>
      </x:c>
      <x:c r="G1728" s="17" t="n">
        <x:v>0</x:v>
      </x:c>
      <x:c r="H1728" s="14" t="str"/>
    </x:row>
    <x:row r="1729" ht="72" customHeight="1">
      <x:c r="A1729" s="14" t="str">
        <x:v>S05-07:B:origin_interpretation</x:v>
      </x:c>
      <x:c r="B1729" s="14" t="str">
        <x:v>B</x:v>
      </x:c>
      <x:c r="C1729" s="14" t="str">
        <x:v>origin_interpretation</x:v>
      </x:c>
      <x:c r="D1729" s="14" t="n">
        <x:v>-6</x:v>
      </x:c>
      <x:c r="E1729" s="14" t="n">
        <x:v>-5.16</x:v>
      </x:c>
      <x:c r="F1729" s="14" t="n">
        <x:v>0.84</x:v>
      </x:c>
      <x:c r="G1729" s="17" t="n">
        <x:v>1</x:v>
      </x:c>
      <x:c r="H1729" s="14" t="str">
        <x:v>S05-07:B:origin</x:v>
      </x:c>
    </x:row>
    <x:row r="1730" ht="72" customHeight="1">
      <x:c r="A1730" s="14" t="str">
        <x:v>S05-07:B:original_handoff</x:v>
      </x:c>
      <x:c r="B1730" s="14" t="str">
        <x:v>B</x:v>
      </x:c>
      <x:c r="C1730" s="14" t="str">
        <x:v>original_handoff</x:v>
      </x:c>
      <x:c r="D1730" s="14" t="n">
        <x:v>-5.16</x:v>
      </x:c>
      <x:c r="E1730" s="14" t="n">
        <x:v>-5.04</x:v>
      </x:c>
      <x:c r="F1730" s="14" t="n">
        <x:v>0.12</x:v>
      </x:c>
      <x:c r="G1730" s="17" t="n">
        <x:v>1</x:v>
      </x:c>
      <x:c r="H1730" s="14" t="str">
        <x:v>S05-07:B:origin_interpretation</x:v>
      </x:c>
    </x:row>
    <x:row r="1731" ht="72" customHeight="1">
      <x:c r="A1731" s="14" t="str">
        <x:v>S05-07:B:evaluation_utterance_end</x:v>
      </x:c>
      <x:c r="B1731" s="14" t="str">
        <x:v>B</x:v>
      </x:c>
      <x:c r="C1731" s="14" t="str">
        <x:v>evaluation_utterance_end</x:v>
      </x:c>
      <x:c r="D1731" s="14" t="n">
        <x:v>-6</x:v>
      </x:c>
      <x:c r="E1731" s="14" t="n">
        <x:v>0</x:v>
      </x:c>
      <x:c r="F1731" s="14" t="n">
        <x:v>6</x:v>
      </x:c>
      <x:c r="G1731" s="17" t="n">
        <x:v>0</x:v>
      </x:c>
      <x:c r="H1731" s="14" t="str">
        <x:v>S05-07:B:origin</x:v>
      </x:c>
    </x:row>
    <x:row r="1732" ht="72" customHeight="1">
      <x:c r="A1732" s="14" t="str">
        <x:v>S05-07:B:final_transcript</x:v>
      </x:c>
      <x:c r="B1732" s="14" t="str">
        <x:v>B</x:v>
      </x:c>
      <x:c r="C1732" s="14" t="str">
        <x:v>final_transcript</x:v>
      </x:c>
      <x:c r="D1732" s="14" t="n">
        <x:v>0</x:v>
      </x:c>
      <x:c r="E1732" s="14" t="n">
        <x:v>0.3</x:v>
      </x:c>
      <x:c r="F1732" s="14" t="n">
        <x:v>0.3</x:v>
      </x:c>
      <x:c r="G1732" s="17" t="n">
        <x:v>1</x:v>
      </x:c>
      <x:c r="H1732" s="14" t="str">
        <x:v>S05-07:B:evaluation_utterance_end</x:v>
      </x:c>
    </x:row>
    <x:row r="1733" ht="72" customHeight="1">
      <x:c r="A1733" s="14" t="str">
        <x:v>S05-07:B:meaning_adoption</x:v>
      </x:c>
      <x:c r="B1733" s="14" t="str">
        <x:v>B</x:v>
      </x:c>
      <x:c r="C1733" s="14" t="str">
        <x:v>meaning_adoption</x:v>
      </x:c>
      <x:c r="D1733" s="14" t="n">
        <x:v>0.3</x:v>
      </x:c>
      <x:c r="E1733" s="14" t="n">
        <x:v>0.848333333</x:v>
      </x:c>
      <x:c r="F1733" s="14" t="n">
        <x:v>0.548333333</x:v>
      </x:c>
      <x:c r="G1733" s="17" t="n">
        <x:v>1</x:v>
      </x:c>
      <x:c r="H1733" s="14" t="str">
        <x:v>S05-07:B:final_transcript
S05-07:B:origin_interpretation</x:v>
      </x:c>
    </x:row>
    <x:row r="1734" ht="72" customHeight="1">
      <x:c r="A1734" s="14" t="str">
        <x:v>S05-07:B:apply_relation</x:v>
      </x:c>
      <x:c r="B1734" s="14" t="str">
        <x:v>B</x:v>
      </x:c>
      <x:c r="C1734" s="14" t="str">
        <x:v>apply_relation</x:v>
      </x:c>
      <x:c r="D1734" s="14" t="n">
        <x:v>0.848333333</x:v>
      </x:c>
      <x:c r="E1734" s="14" t="n">
        <x:v>0.888333333</x:v>
      </x:c>
      <x:c r="F1734" s="14" t="n">
        <x:v>0.04</x:v>
      </x:c>
      <x:c r="G1734" s="17" t="n">
        <x:v>1</x:v>
      </x:c>
      <x:c r="H1734" s="14" t="str">
        <x:v>S05-07:B:meaning_adoption</x:v>
      </x:c>
    </x:row>
    <x:row r="1735" ht="72" customHeight="1">
      <x:c r="A1735" s="14" t="str">
        <x:v>S05-07:B:evaluation_first_display</x:v>
      </x:c>
      <x:c r="B1735" s="14" t="str">
        <x:v>B</x:v>
      </x:c>
      <x:c r="C1735" s="14" t="str">
        <x:v>evaluation_first_display</x:v>
      </x:c>
      <x:c r="D1735" s="14" t="n">
        <x:v>0.888333333</x:v>
      </x:c>
      <x:c r="E1735" s="14" t="n">
        <x:v>0.928333333</x:v>
      </x:c>
      <x:c r="F1735" s="14" t="n">
        <x:v>0.04</x:v>
      </x:c>
      <x:c r="G1735" s="17" t="n">
        <x:v>1</x:v>
      </x:c>
      <x:c r="H1735" s="14" t="str">
        <x:v>S05-07:B:apply_relation</x:v>
      </x:c>
    </x:row>
    <x:row r="1736" ht="72" customHeight="1">
      <x:c r="A1736" s="14" t="str">
        <x:v>S05-07:B:source_long_report</x:v>
      </x:c>
      <x:c r="B1736" s="14" t="str">
        <x:v>B</x:v>
      </x:c>
      <x:c r="C1736" s="14" t="str">
        <x:v>source_long_report</x:v>
      </x:c>
      <x:c r="D1736" s="14" t="n">
        <x:v>-5.04</x:v>
      </x:c>
      <x:c r="E1736" s="14" t="n">
        <x:v>-4.8</x:v>
      </x:c>
      <x:c r="F1736" s="14" t="n">
        <x:v>0.24</x:v>
      </x:c>
      <x:c r="G1736" s="17" t="n">
        <x:v>0</x:v>
      </x:c>
      <x:c r="H1736" s="14" t="str">
        <x:v>S05-07:B:original_handoff</x:v>
      </x:c>
    </x:row>
    <x:row r="1737" ht="72" customHeight="1">
      <x:c r="A1737" s="14" t="str">
        <x:v>S05-07:B:display_long_report</x:v>
      </x:c>
      <x:c r="B1737" s="14" t="str">
        <x:v>B</x:v>
      </x:c>
      <x:c r="C1737" s="14" t="str">
        <x:v>display_long_report</x:v>
      </x:c>
      <x:c r="D1737" s="14" t="n">
        <x:v>-4.8</x:v>
      </x:c>
      <x:c r="E1737" s="14" t="n">
        <x:v>-4.76</x:v>
      </x:c>
      <x:c r="F1737" s="14" t="n">
        <x:v>0.04</x:v>
      </x:c>
      <x:c r="G1737" s="17" t="n">
        <x:v>1</x:v>
      </x:c>
      <x:c r="H1737" s="14" t="str">
        <x:v>S05-07:B:source_long_report</x:v>
      </x:c>
    </x:row>
    <x:row r="1738" ht="72" customHeight="1">
      <x:c r="A1738" s="14" t="str">
        <x:v>S05-07:B:long_report_first</x:v>
      </x:c>
      <x:c r="B1738" s="14" t="str">
        <x:v>B</x:v>
      </x:c>
      <x:c r="C1738" s="14" t="str">
        <x:v>long_report_first</x:v>
      </x:c>
      <x:c r="D1738" s="14" t="n">
        <x:v>-4.8</x:v>
      </x:c>
      <x:c r="E1738" s="14" t="n">
        <x:v>-4.324666667</x:v>
      </x:c>
      <x:c r="F1738" s="14" t="n">
        <x:v>0.475333333</x:v>
      </x:c>
      <x:c r="G1738" s="17" t="n">
        <x:v>1</x:v>
      </x:c>
      <x:c r="H1738" s="14" t="str">
        <x:v>S05-07:B:source_long_report</x:v>
      </x:c>
    </x:row>
    <x:row r="1739" ht="72" customHeight="1">
      <x:c r="A1739" s="14" t="str">
        <x:v>S05-07:B:long_report_tail</x:v>
      </x:c>
      <x:c r="B1739" s="14" t="str">
        <x:v>B</x:v>
      </x:c>
      <x:c r="C1739" s="14" t="str">
        <x:v>long_report_tail</x:v>
      </x:c>
      <x:c r="D1739" s="14" t="n">
        <x:v>-4.324666667</x:v>
      </x:c>
      <x:c r="E1739" s="14" t="n">
        <x:v>0.988333333</x:v>
      </x:c>
      <x:c r="F1739" s="14" t="n">
        <x:v>5.313</x:v>
      </x:c>
      <x:c r="G1739" s="17" t="n">
        <x:v>1</x:v>
      </x:c>
      <x:c r="H1739" s="14" t="str">
        <x:v>S05-07:B:long_report_first</x:v>
      </x:c>
    </x:row>
    <x:row r="1740" ht="72" customHeight="1">
      <x:c r="A1740" s="14" t="str">
        <x:v>S05-07:B:source_question</x:v>
      </x:c>
      <x:c r="B1740" s="14" t="str">
        <x:v>B</x:v>
      </x:c>
      <x:c r="C1740" s="14" t="str">
        <x:v>source_question</x:v>
      </x:c>
      <x:c r="D1740" s="14" t="n">
        <x:v>-5.04</x:v>
      </x:c>
      <x:c r="E1740" s="14" t="n">
        <x:v>-0.9</x:v>
      </x:c>
      <x:c r="F1740" s="14" t="n">
        <x:v>4.14</x:v>
      </x:c>
      <x:c r="G1740" s="17" t="n">
        <x:v>0</x:v>
      </x:c>
      <x:c r="H1740" s="14" t="str">
        <x:v>S05-07:B:original_handoff</x:v>
      </x:c>
    </x:row>
    <x:row r="1741" ht="72" customHeight="1">
      <x:c r="A1741" s="14" t="str">
        <x:v>S05-07:B:display_question</x:v>
      </x:c>
      <x:c r="B1741" s="14" t="str">
        <x:v>B</x:v>
      </x:c>
      <x:c r="C1741" s="14" t="str">
        <x:v>display_question</x:v>
      </x:c>
      <x:c r="D1741" s="14" t="n">
        <x:v>-0.9</x:v>
      </x:c>
      <x:c r="E1741" s="14" t="n">
        <x:v>-0.86</x:v>
      </x:c>
      <x:c r="F1741" s="14" t="n">
        <x:v>0.04</x:v>
      </x:c>
      <x:c r="G1741" s="17" t="n">
        <x:v>1</x:v>
      </x:c>
      <x:c r="H1741" s="14" t="str">
        <x:v>S05-07:B:source_question</x:v>
      </x:c>
    </x:row>
    <x:row r="1742" ht="72" customHeight="1">
      <x:c r="A1742" s="14" t="str">
        <x:v>S05-07:B:question_first</x:v>
      </x:c>
      <x:c r="B1742" s="14" t="str">
        <x:v>B</x:v>
      </x:c>
      <x:c r="C1742" s="14" t="str">
        <x:v>question_first</x:v>
      </x:c>
      <x:c r="D1742" s="14" t="n">
        <x:v>0.888333333</x:v>
      </x:c>
      <x:c r="E1742" s="14" t="n">
        <x:v>1.289333333</x:v>
      </x:c>
      <x:c r="F1742" s="14" t="n">
        <x:v>0.401</x:v>
      </x:c>
      <x:c r="G1742" s="17" t="n">
        <x:v>1</x:v>
      </x:c>
      <x:c r="H1742" s="14" t="str">
        <x:v>S05-07:B:apply_relation</x:v>
      </x:c>
    </x:row>
    <x:row r="1743" ht="72" customHeight="1">
      <x:c r="A1743" s="14" t="str">
        <x:v>S05-07:B:question_tail</x:v>
      </x:c>
      <x:c r="B1743" s="14" t="str">
        <x:v>B</x:v>
      </x:c>
      <x:c r="C1743" s="14" t="str">
        <x:v>question_tail</x:v>
      </x:c>
      <x:c r="D1743" s="14" t="n">
        <x:v>1.289333333</x:v>
      </x:c>
      <x:c r="E1743" s="14" t="n">
        <x:v>1.943833333</x:v>
      </x:c>
      <x:c r="F1743" s="14" t="n">
        <x:v>0.6545</x:v>
      </x:c>
      <x:c r="G1743" s="17" t="n">
        <x:v>1</x:v>
      </x:c>
      <x:c r="H1743" s="14" t="str">
        <x:v>S05-07:B:question_first</x:v>
      </x:c>
    </x:row>
    <x:row r="1744" ht="72" customHeight="1">
      <x:c r="A1744" s="14" t="str">
        <x:v>S05-07:B:question_device</x:v>
      </x:c>
      <x:c r="B1744" s="14" t="str">
        <x:v>B</x:v>
      </x:c>
      <x:c r="C1744" s="14" t="str">
        <x:v>question_device</x:v>
      </x:c>
      <x:c r="D1744" s="14" t="n">
        <x:v>1.289333333</x:v>
      </x:c>
      <x:c r="E1744" s="14" t="n">
        <x:v>1.329333333</x:v>
      </x:c>
      <x:c r="F1744" s="14" t="n">
        <x:v>0.04</x:v>
      </x:c>
      <x:c r="G1744" s="17" t="n">
        <x:v>1</x:v>
      </x:c>
      <x:c r="H1744" s="14" t="str">
        <x:v>S05-07:B:apply_relation
S05-07:B:question_first</x:v>
      </x:c>
    </x:row>
    <x:row r="1745" ht="72" customHeight="1">
      <x:c r="A1745" s="14" t="str">
        <x:v>S05-07:B:question_played</x:v>
      </x:c>
      <x:c r="B1745" s="14" t="str">
        <x:v>B</x:v>
      </x:c>
      <x:c r="C1745" s="14" t="str">
        <x:v>question_played</x:v>
      </x:c>
      <x:c r="D1745" s="14" t="n">
        <x:v>1.329333333</x:v>
      </x:c>
      <x:c r="E1745" s="14" t="n">
        <x:v>4.147333333</x:v>
      </x:c>
      <x:c r="F1745" s="14" t="n">
        <x:v>2.818</x:v>
      </x:c>
      <x:c r="G1745" s="17" t="n">
        <x:v>0</x:v>
      </x:c>
      <x:c r="H1745" s="14" t="str">
        <x:v>S05-07:B:question_device</x:v>
      </x:c>
    </x:row>
    <x:row r="1746" ht="72" customHeight="1">
      <x:c r="A1746" s="14" t="str">
        <x:v>S05-07:B:resume_cached_device</x:v>
      </x:c>
      <x:c r="B1746" s="14" t="str">
        <x:v>B</x:v>
      </x:c>
      <x:c r="C1746" s="14" t="str">
        <x:v>resume_cached_device</x:v>
      </x:c>
      <x:c r="D1746" s="14" t="n">
        <x:v>4.147333333</x:v>
      </x:c>
      <x:c r="E1746" s="14" t="n">
        <x:v>4.187333333</x:v>
      </x:c>
      <x:c r="F1746" s="14" t="n">
        <x:v>0.04</x:v>
      </x:c>
      <x:c r="G1746" s="17" t="n">
        <x:v>1</x:v>
      </x:c>
      <x:c r="H1746" s="14" t="str">
        <x:v>S05-07:B:question_played
S05-07:B:long_report_first</x:v>
      </x:c>
    </x:row>
    <x:row r="1747" ht="72" customHeight="1">
      <x:c r="A1747" s="14" t="str">
        <x:v>S05-07:B:resume_cached_played</x:v>
      </x:c>
      <x:c r="B1747" s="14" t="str">
        <x:v>B</x:v>
      </x:c>
      <x:c r="C1747" s="14" t="str">
        <x:v>resume_cached_played</x:v>
      </x:c>
      <x:c r="D1747" s="14" t="n">
        <x:v>4.187333333</x:v>
      </x:c>
      <x:c r="E1747" s="14" t="n">
        <x:v>24.874666666</x:v>
      </x:c>
      <x:c r="F1747" s="14" t="n">
        <x:v>20.687333333</x:v>
      </x:c>
      <x:c r="G1747" s="17" t="n">
        <x:v>0</x:v>
      </x:c>
      <x:c r="H1747" s="14" t="str">
        <x:v>S05-07:B:resume_cached_device</x:v>
      </x:c>
    </x:row>
    <x:row r="1748" ht="72" customHeight="1">
      <x:c r="A1748" s="14" t="str">
        <x:v>S05-07:B:resume_suffix_first</x:v>
      </x:c>
      <x:c r="B1748" s="14" t="str">
        <x:v>B</x:v>
      </x:c>
      <x:c r="C1748" s="14" t="str">
        <x:v>resume_suffix_first</x:v>
      </x:c>
      <x:c r="D1748" s="14" t="n">
        <x:v>4.147333333</x:v>
      </x:c>
      <x:c r="E1748" s="14" t="n">
        <x:v>4.662666666</x:v>
      </x:c>
      <x:c r="F1748" s="14" t="n">
        <x:v>0.515333333</x:v>
      </x:c>
      <x:c r="G1748" s="17" t="n">
        <x:v>1</x:v>
      </x:c>
      <x:c r="H1748" s="14" t="str">
        <x:v>S05-07:B:question_played</x:v>
      </x:c>
    </x:row>
    <x:row r="1749" ht="72" customHeight="1">
      <x:c r="A1749" s="14" t="str">
        <x:v>S05-07:B:resume_suffix_tail</x:v>
      </x:c>
      <x:c r="B1749" s="14" t="str">
        <x:v>B</x:v>
      </x:c>
      <x:c r="C1749" s="14" t="str">
        <x:v>resume_suffix_tail</x:v>
      </x:c>
      <x:c r="D1749" s="14" t="n">
        <x:v>4.662666666</x:v>
      </x:c>
      <x:c r="E1749" s="14" t="n">
        <x:v>8.254166666</x:v>
      </x:c>
      <x:c r="F1749" s="14" t="n">
        <x:v>3.5915</x:v>
      </x:c>
      <x:c r="G1749" s="17" t="n">
        <x:v>1</x:v>
      </x:c>
      <x:c r="H1749" s="14" t="str">
        <x:v>S05-07:B:resume_suffix_first</x:v>
      </x:c>
    </x:row>
    <x:row r="1750" ht="72" customHeight="1">
      <x:c r="A1750" s="14" t="str">
        <x:v>S05-07:B:resume_suffix_device</x:v>
      </x:c>
      <x:c r="B1750" s="14" t="str">
        <x:v>B</x:v>
      </x:c>
      <x:c r="C1750" s="14" t="str">
        <x:v>resume_suffix_device</x:v>
      </x:c>
      <x:c r="D1750" s="14" t="n">
        <x:v>24.874666666</x:v>
      </x:c>
      <x:c r="E1750" s="14" t="n">
        <x:v>24.914666666</x:v>
      </x:c>
      <x:c r="F1750" s="14" t="n">
        <x:v>0.04</x:v>
      </x:c>
      <x:c r="G1750" s="17" t="n">
        <x:v>1</x:v>
      </x:c>
      <x:c r="H1750" s="14" t="str">
        <x:v>S05-07:B:resume_cached_played
S05-07:B:resume_suffix_first</x:v>
      </x:c>
    </x:row>
    <x:row r="1751" ht="72" customHeight="1">
      <x:c r="A1751" s="14" t="str">
        <x:v>S05-07:B:resume_suffix_played</x:v>
      </x:c>
      <x:c r="B1751" s="14" t="str">
        <x:v>B</x:v>
      </x:c>
      <x:c r="C1751" s="14" t="str">
        <x:v>resume_suffix_played</x:v>
      </x:c>
      <x:c r="D1751" s="14" t="n">
        <x:v>24.914666666</x:v>
      </x:c>
      <x:c r="E1751" s="14" t="n">
        <x:v>39.480666666</x:v>
      </x:c>
      <x:c r="F1751" s="14" t="n">
        <x:v>14.566</x:v>
      </x:c>
      <x:c r="G1751" s="17" t="n">
        <x:v>0</x:v>
      </x:c>
      <x:c r="H1751" s="14" t="str">
        <x:v>S05-07:B:resume_suffix_device</x:v>
      </x:c>
    </x:row>
    <x:row r="1752" ht="72" customHeight="1">
      <x:c r="A1752" s="14" t="str">
        <x:v>S05-08:A:origin</x:v>
      </x:c>
      <x:c r="B1752" s="14" t="str">
        <x:v>A</x:v>
      </x:c>
      <x:c r="C1752" s="14" t="str">
        <x:v>origin</x:v>
      </x:c>
      <x:c r="D1752" s="14" t="n">
        <x:v>-6</x:v>
      </x:c>
      <x:c r="E1752" s="14" t="n">
        <x:v>-6</x:v>
      </x:c>
      <x:c r="F1752" s="14" t="n">
        <x:v>0</x:v>
      </x:c>
      <x:c r="G1752" s="17" t="n">
        <x:v>0</x:v>
      </x:c>
      <x:c r="H1752" s="14" t="str"/>
    </x:row>
    <x:row r="1753" ht="72" customHeight="1">
      <x:c r="A1753" s="14" t="str">
        <x:v>S05-08:A:origin_interpretation</x:v>
      </x:c>
      <x:c r="B1753" s="14" t="str">
        <x:v>A</x:v>
      </x:c>
      <x:c r="C1753" s="14" t="str">
        <x:v>origin_interpretation</x:v>
      </x:c>
      <x:c r="D1753" s="14" t="n">
        <x:v>-6</x:v>
      </x:c>
      <x:c r="E1753" s="14" t="n">
        <x:v>-5.16</x:v>
      </x:c>
      <x:c r="F1753" s="14" t="n">
        <x:v>0.84</x:v>
      </x:c>
      <x:c r="G1753" s="17" t="n">
        <x:v>1</x:v>
      </x:c>
      <x:c r="H1753" s="14" t="str">
        <x:v>S05-08:A:origin</x:v>
      </x:c>
    </x:row>
    <x:row r="1754" ht="72" customHeight="1">
      <x:c r="A1754" s="14" t="str">
        <x:v>S05-08:A:original_handoff</x:v>
      </x:c>
      <x:c r="B1754" s="14" t="str">
        <x:v>A</x:v>
      </x:c>
      <x:c r="C1754" s="14" t="str">
        <x:v>original_handoff</x:v>
      </x:c>
      <x:c r="D1754" s="14" t="n">
        <x:v>-5.16</x:v>
      </x:c>
      <x:c r="E1754" s="14" t="n">
        <x:v>-5.04</x:v>
      </x:c>
      <x:c r="F1754" s="14" t="n">
        <x:v>0.12</x:v>
      </x:c>
      <x:c r="G1754" s="17" t="n">
        <x:v>1</x:v>
      </x:c>
      <x:c r="H1754" s="14" t="str">
        <x:v>S05-08:A:origin_interpretation</x:v>
      </x:c>
    </x:row>
    <x:row r="1755" ht="72" customHeight="1">
      <x:c r="A1755" s="14" t="str">
        <x:v>S05-08:A:evaluation_utterance_end</x:v>
      </x:c>
      <x:c r="B1755" s="14" t="str">
        <x:v>A</x:v>
      </x:c>
      <x:c r="C1755" s="14" t="str">
        <x:v>evaluation_utterance_end</x:v>
      </x:c>
      <x:c r="D1755" s="14" t="n">
        <x:v>-6</x:v>
      </x:c>
      <x:c r="E1755" s="14" t="n">
        <x:v>0</x:v>
      </x:c>
      <x:c r="F1755" s="14" t="n">
        <x:v>6</x:v>
      </x:c>
      <x:c r="G1755" s="17" t="n">
        <x:v>0</x:v>
      </x:c>
      <x:c r="H1755" s="14" t="str">
        <x:v>S05-08:A:origin</x:v>
      </x:c>
    </x:row>
    <x:row r="1756" ht="72" customHeight="1">
      <x:c r="A1756" s="14" t="str">
        <x:v>S05-08:A:final_transcript</x:v>
      </x:c>
      <x:c r="B1756" s="14" t="str">
        <x:v>A</x:v>
      </x:c>
      <x:c r="C1756" s="14" t="str">
        <x:v>final_transcript</x:v>
      </x:c>
      <x:c r="D1756" s="14" t="n">
        <x:v>0</x:v>
      </x:c>
      <x:c r="E1756" s="14" t="n">
        <x:v>0.3</x:v>
      </x:c>
      <x:c r="F1756" s="14" t="n">
        <x:v>0.3</x:v>
      </x:c>
      <x:c r="G1756" s="17" t="n">
        <x:v>1</x:v>
      </x:c>
      <x:c r="H1756" s="14" t="str">
        <x:v>S05-08:A:evaluation_utterance_end</x:v>
      </x:c>
    </x:row>
    <x:row r="1757" ht="72" customHeight="1">
      <x:c r="A1757" s="14" t="str">
        <x:v>S05-08:A:meaning_adoption</x:v>
      </x:c>
      <x:c r="B1757" s="14" t="str">
        <x:v>A</x:v>
      </x:c>
      <x:c r="C1757" s="14" t="str">
        <x:v>meaning_adoption</x:v>
      </x:c>
      <x:c r="D1757" s="14" t="n">
        <x:v>0.3</x:v>
      </x:c>
      <x:c r="E1757" s="14" t="n">
        <x:v>0.876666667</x:v>
      </x:c>
      <x:c r="F1757" s="14" t="n">
        <x:v>0.576666667</x:v>
      </x:c>
      <x:c r="G1757" s="17" t="n">
        <x:v>1</x:v>
      </x:c>
      <x:c r="H1757" s="14" t="str">
        <x:v>S05-08:A:final_transcript
S05-08:A:origin_interpretation</x:v>
      </x:c>
    </x:row>
    <x:row r="1758" ht="72" customHeight="1">
      <x:c r="A1758" s="14" t="str">
        <x:v>S05-08:A:apply_relation</x:v>
      </x:c>
      <x:c r="B1758" s="14" t="str">
        <x:v>A</x:v>
      </x:c>
      <x:c r="C1758" s="14" t="str">
        <x:v>apply_relation</x:v>
      </x:c>
      <x:c r="D1758" s="14" t="n">
        <x:v>0.876666667</x:v>
      </x:c>
      <x:c r="E1758" s="14" t="n">
        <x:v>0.916666667</x:v>
      </x:c>
      <x:c r="F1758" s="14" t="n">
        <x:v>0.04</x:v>
      </x:c>
      <x:c r="G1758" s="17" t="n">
        <x:v>1</x:v>
      </x:c>
      <x:c r="H1758" s="14" t="str">
        <x:v>S05-08:A:meaning_adoption</x:v>
      </x:c>
    </x:row>
    <x:row r="1759" ht="72" customHeight="1">
      <x:c r="A1759" s="14" t="str">
        <x:v>S05-08:A:evaluation_first_display</x:v>
      </x:c>
      <x:c r="B1759" s="14" t="str">
        <x:v>A</x:v>
      </x:c>
      <x:c r="C1759" s="14" t="str">
        <x:v>evaluation_first_display</x:v>
      </x:c>
      <x:c r="D1759" s="14" t="n">
        <x:v>0.916666667</x:v>
      </x:c>
      <x:c r="E1759" s="14" t="n">
        <x:v>0.956666667</x:v>
      </x:c>
      <x:c r="F1759" s="14" t="n">
        <x:v>0.04</x:v>
      </x:c>
      <x:c r="G1759" s="17" t="n">
        <x:v>1</x:v>
      </x:c>
      <x:c r="H1759" s="14" t="str">
        <x:v>S05-08:A:apply_relation</x:v>
      </x:c>
    </x:row>
    <x:row r="1760" ht="72" customHeight="1">
      <x:c r="A1760" s="14" t="str">
        <x:v>S05-08:A:source_long_report</x:v>
      </x:c>
      <x:c r="B1760" s="14" t="str">
        <x:v>A</x:v>
      </x:c>
      <x:c r="C1760" s="14" t="str">
        <x:v>source_long_report</x:v>
      </x:c>
      <x:c r="D1760" s="14" t="n">
        <x:v>-5.04</x:v>
      </x:c>
      <x:c r="E1760" s="14" t="n">
        <x:v>-4.8</x:v>
      </x:c>
      <x:c r="F1760" s="14" t="n">
        <x:v>0.24</x:v>
      </x:c>
      <x:c r="G1760" s="17" t="n">
        <x:v>0</x:v>
      </x:c>
      <x:c r="H1760" s="14" t="str">
        <x:v>S05-08:A:original_handoff</x:v>
      </x:c>
    </x:row>
    <x:row r="1761" ht="72" customHeight="1">
      <x:c r="A1761" s="14" t="str">
        <x:v>S05-08:A:display_long_report</x:v>
      </x:c>
      <x:c r="B1761" s="14" t="str">
        <x:v>A</x:v>
      </x:c>
      <x:c r="C1761" s="14" t="str">
        <x:v>display_long_report</x:v>
      </x:c>
      <x:c r="D1761" s="14" t="n">
        <x:v>-4.8</x:v>
      </x:c>
      <x:c r="E1761" s="14" t="n">
        <x:v>-4.76</x:v>
      </x:c>
      <x:c r="F1761" s="14" t="n">
        <x:v>0.04</x:v>
      </x:c>
      <x:c r="G1761" s="17" t="n">
        <x:v>1</x:v>
      </x:c>
      <x:c r="H1761" s="14" t="str">
        <x:v>S05-08:A:source_long_report</x:v>
      </x:c>
    </x:row>
    <x:row r="1762" ht="72" customHeight="1">
      <x:c r="A1762" s="14" t="str">
        <x:v>S05-08:A:long_report_first</x:v>
      </x:c>
      <x:c r="B1762" s="14" t="str">
        <x:v>A</x:v>
      </x:c>
      <x:c r="C1762" s="14" t="str">
        <x:v>long_report_first</x:v>
      </x:c>
      <x:c r="D1762" s="14" t="n">
        <x:v>-4.8</x:v>
      </x:c>
      <x:c r="E1762" s="14" t="n">
        <x:v>-4.324666667</x:v>
      </x:c>
      <x:c r="F1762" s="14" t="n">
        <x:v>0.475333333</x:v>
      </x:c>
      <x:c r="G1762" s="17" t="n">
        <x:v>1</x:v>
      </x:c>
      <x:c r="H1762" s="14" t="str">
        <x:v>S05-08:A:source_long_report</x:v>
      </x:c>
    </x:row>
    <x:row r="1763" ht="72" customHeight="1">
      <x:c r="A1763" s="14" t="str">
        <x:v>S05-08:A:long_report_tail</x:v>
      </x:c>
      <x:c r="B1763" s="14" t="str">
        <x:v>A</x:v>
      </x:c>
      <x:c r="C1763" s="14" t="str">
        <x:v>long_report_tail</x:v>
      </x:c>
      <x:c r="D1763" s="14" t="n">
        <x:v>-4.324666667</x:v>
      </x:c>
      <x:c r="E1763" s="14" t="n">
        <x:v>4.632833333</x:v>
      </x:c>
      <x:c r="F1763" s="14" t="n">
        <x:v>8.9575</x:v>
      </x:c>
      <x:c r="G1763" s="17" t="n">
        <x:v>1</x:v>
      </x:c>
      <x:c r="H1763" s="14" t="str">
        <x:v>S05-08:A:long_report_first</x:v>
      </x:c>
    </x:row>
    <x:row r="1764" ht="72" customHeight="1">
      <x:c r="A1764" s="14" t="str">
        <x:v>S05-08:A:source_question</x:v>
      </x:c>
      <x:c r="B1764" s="14" t="str">
        <x:v>A</x:v>
      </x:c>
      <x:c r="C1764" s="14" t="str">
        <x:v>source_question</x:v>
      </x:c>
      <x:c r="D1764" s="14" t="n">
        <x:v>-5.04</x:v>
      </x:c>
      <x:c r="E1764" s="14" t="n">
        <x:v>-0.9</x:v>
      </x:c>
      <x:c r="F1764" s="14" t="n">
        <x:v>4.14</x:v>
      </x:c>
      <x:c r="G1764" s="17" t="n">
        <x:v>0</x:v>
      </x:c>
      <x:c r="H1764" s="14" t="str">
        <x:v>S05-08:A:original_handoff</x:v>
      </x:c>
    </x:row>
    <x:row r="1765" ht="72" customHeight="1">
      <x:c r="A1765" s="14" t="str">
        <x:v>S05-08:A:display_question</x:v>
      </x:c>
      <x:c r="B1765" s="14" t="str">
        <x:v>A</x:v>
      </x:c>
      <x:c r="C1765" s="14" t="str">
        <x:v>display_question</x:v>
      </x:c>
      <x:c r="D1765" s="14" t="n">
        <x:v>-0.9</x:v>
      </x:c>
      <x:c r="E1765" s="14" t="n">
        <x:v>-0.86</x:v>
      </x:c>
      <x:c r="F1765" s="14" t="n">
        <x:v>0.04</x:v>
      </x:c>
      <x:c r="G1765" s="17" t="n">
        <x:v>1</x:v>
      </x:c>
      <x:c r="H1765" s="14" t="str">
        <x:v>S05-08:A:source_question</x:v>
      </x:c>
    </x:row>
    <x:row r="1766" ht="72" customHeight="1">
      <x:c r="A1766" s="14" t="str">
        <x:v>S05-08:A:question_first</x:v>
      </x:c>
      <x:c r="B1766" s="14" t="str">
        <x:v>A</x:v>
      </x:c>
      <x:c r="C1766" s="14" t="str">
        <x:v>question_first</x:v>
      </x:c>
      <x:c r="D1766" s="14" t="n">
        <x:v>-0.9</x:v>
      </x:c>
      <x:c r="E1766" s="14" t="n">
        <x:v>-0.499</x:v>
      </x:c>
      <x:c r="F1766" s="14" t="n">
        <x:v>0.401</x:v>
      </x:c>
      <x:c r="G1766" s="17" t="n">
        <x:v>1</x:v>
      </x:c>
      <x:c r="H1766" s="14" t="str">
        <x:v>S05-08:A:source_question</x:v>
      </x:c>
    </x:row>
    <x:row r="1767" ht="72" customHeight="1">
      <x:c r="A1767" s="14" t="str">
        <x:v>S05-08:A:question_tail</x:v>
      </x:c>
      <x:c r="B1767" s="14" t="str">
        <x:v>A</x:v>
      </x:c>
      <x:c r="C1767" s="14" t="str">
        <x:v>question_tail</x:v>
      </x:c>
      <x:c r="D1767" s="14" t="n">
        <x:v>-0.499</x:v>
      </x:c>
      <x:c r="E1767" s="14" t="n">
        <x:v>0.1585</x:v>
      </x:c>
      <x:c r="F1767" s="14" t="n">
        <x:v>0.6575</x:v>
      </x:c>
      <x:c r="G1767" s="17" t="n">
        <x:v>1</x:v>
      </x:c>
      <x:c r="H1767" s="14" t="str">
        <x:v>S05-08:A:question_first</x:v>
      </x:c>
    </x:row>
    <x:row r="1768" ht="72" customHeight="1">
      <x:c r="A1768" s="14" t="str">
        <x:v>S05-08:A:question_device</x:v>
      </x:c>
      <x:c r="B1768" s="14" t="str">
        <x:v>A</x:v>
      </x:c>
      <x:c r="C1768" s="14" t="str">
        <x:v>question_device</x:v>
      </x:c>
      <x:c r="D1768" s="14" t="n">
        <x:v>0.916666667</x:v>
      </x:c>
      <x:c r="E1768" s="14" t="n">
        <x:v>0.956666667</x:v>
      </x:c>
      <x:c r="F1768" s="14" t="n">
        <x:v>0.04</x:v>
      </x:c>
      <x:c r="G1768" s="17" t="n">
        <x:v>1</x:v>
      </x:c>
      <x:c r="H1768" s="14" t="str">
        <x:v>S05-08:A:apply_relation
S05-08:A:question_first</x:v>
      </x:c>
    </x:row>
    <x:row r="1769" ht="72" customHeight="1">
      <x:c r="A1769" s="14" t="str">
        <x:v>S05-08:A:question_played</x:v>
      </x:c>
      <x:c r="B1769" s="14" t="str">
        <x:v>A</x:v>
      </x:c>
      <x:c r="C1769" s="14" t="str">
        <x:v>question_played</x:v>
      </x:c>
      <x:c r="D1769" s="14" t="n">
        <x:v>0.956666667</x:v>
      </x:c>
      <x:c r="E1769" s="14" t="n">
        <x:v>3.786666667</x:v>
      </x:c>
      <x:c r="F1769" s="14" t="n">
        <x:v>2.83</x:v>
      </x:c>
      <x:c r="G1769" s="17" t="n">
        <x:v>0</x:v>
      </x:c>
      <x:c r="H1769" s="14" t="str">
        <x:v>S05-08:A:question_device</x:v>
      </x:c>
    </x:row>
    <x:row r="1770" ht="72" customHeight="1">
      <x:c r="A1770" s="14" t="str">
        <x:v>S05-08:A:resume_report_device</x:v>
      </x:c>
      <x:c r="B1770" s="14" t="str">
        <x:v>A</x:v>
      </x:c>
      <x:c r="C1770" s="14" t="str">
        <x:v>resume_report_device</x:v>
      </x:c>
      <x:c r="D1770" s="14" t="n">
        <x:v>3.786666667</x:v>
      </x:c>
      <x:c r="E1770" s="14" t="n">
        <x:v>3.826666667</x:v>
      </x:c>
      <x:c r="F1770" s="14" t="n">
        <x:v>0.04</x:v>
      </x:c>
      <x:c r="G1770" s="17" t="n">
        <x:v>1</x:v>
      </x:c>
      <x:c r="H1770" s="14" t="str">
        <x:v>S05-08:A:question_played
S05-08:A:long_report_first</x:v>
      </x:c>
    </x:row>
    <x:row r="1771" ht="72" customHeight="1">
      <x:c r="A1771" s="14" t="str">
        <x:v>S05-08:A:resume_report_played</x:v>
      </x:c>
      <x:c r="B1771" s="14" t="str">
        <x:v>A</x:v>
      </x:c>
      <x:c r="C1771" s="14" t="str">
        <x:v>resume_report_played</x:v>
      </x:c>
      <x:c r="D1771" s="14" t="n">
        <x:v>3.826666667</x:v>
      </x:c>
      <x:c r="E1771" s="14" t="n">
        <x:v>39.092</x:v>
      </x:c>
      <x:c r="F1771" s="14" t="n">
        <x:v>35.265333333</x:v>
      </x:c>
      <x:c r="G1771" s="17" t="n">
        <x:v>0</x:v>
      </x:c>
      <x:c r="H1771" s="14" t="str">
        <x:v>S05-08:A:resume_report_device</x:v>
      </x:c>
    </x:row>
    <x:row r="1772" ht="72" customHeight="1">
      <x:c r="A1772" s="14" t="str">
        <x:v>S05-08:B:origin</x:v>
      </x:c>
      <x:c r="B1772" s="14" t="str">
        <x:v>B</x:v>
      </x:c>
      <x:c r="C1772" s="14" t="str">
        <x:v>origin</x:v>
      </x:c>
      <x:c r="D1772" s="14" t="n">
        <x:v>-6</x:v>
      </x:c>
      <x:c r="E1772" s="14" t="n">
        <x:v>-6</x:v>
      </x:c>
      <x:c r="F1772" s="14" t="n">
        <x:v>0</x:v>
      </x:c>
      <x:c r="G1772" s="17" t="n">
        <x:v>0</x:v>
      </x:c>
      <x:c r="H1772" s="14" t="str"/>
    </x:row>
    <x:row r="1773" ht="72" customHeight="1">
      <x:c r="A1773" s="14" t="str">
        <x:v>S05-08:B:origin_interpretation</x:v>
      </x:c>
      <x:c r="B1773" s="14" t="str">
        <x:v>B</x:v>
      </x:c>
      <x:c r="C1773" s="14" t="str">
        <x:v>origin_interpretation</x:v>
      </x:c>
      <x:c r="D1773" s="14" t="n">
        <x:v>-6</x:v>
      </x:c>
      <x:c r="E1773" s="14" t="n">
        <x:v>-5.16</x:v>
      </x:c>
      <x:c r="F1773" s="14" t="n">
        <x:v>0.84</x:v>
      </x:c>
      <x:c r="G1773" s="17" t="n">
        <x:v>1</x:v>
      </x:c>
      <x:c r="H1773" s="14" t="str">
        <x:v>S05-08:B:origin</x:v>
      </x:c>
    </x:row>
    <x:row r="1774" ht="72" customHeight="1">
      <x:c r="A1774" s="14" t="str">
        <x:v>S05-08:B:original_handoff</x:v>
      </x:c>
      <x:c r="B1774" s="14" t="str">
        <x:v>B</x:v>
      </x:c>
      <x:c r="C1774" s="14" t="str">
        <x:v>original_handoff</x:v>
      </x:c>
      <x:c r="D1774" s="14" t="n">
        <x:v>-5.16</x:v>
      </x:c>
      <x:c r="E1774" s="14" t="n">
        <x:v>-5.04</x:v>
      </x:c>
      <x:c r="F1774" s="14" t="n">
        <x:v>0.12</x:v>
      </x:c>
      <x:c r="G1774" s="17" t="n">
        <x:v>1</x:v>
      </x:c>
      <x:c r="H1774" s="14" t="str">
        <x:v>S05-08:B:origin_interpretation</x:v>
      </x:c>
    </x:row>
    <x:row r="1775" ht="72" customHeight="1">
      <x:c r="A1775" s="14" t="str">
        <x:v>S05-08:B:evaluation_utterance_end</x:v>
      </x:c>
      <x:c r="B1775" s="14" t="str">
        <x:v>B</x:v>
      </x:c>
      <x:c r="C1775" s="14" t="str">
        <x:v>evaluation_utterance_end</x:v>
      </x:c>
      <x:c r="D1775" s="14" t="n">
        <x:v>-6</x:v>
      </x:c>
      <x:c r="E1775" s="14" t="n">
        <x:v>0</x:v>
      </x:c>
      <x:c r="F1775" s="14" t="n">
        <x:v>6</x:v>
      </x:c>
      <x:c r="G1775" s="17" t="n">
        <x:v>0</x:v>
      </x:c>
      <x:c r="H1775" s="14" t="str">
        <x:v>S05-08:B:origin</x:v>
      </x:c>
    </x:row>
    <x:row r="1776" ht="72" customHeight="1">
      <x:c r="A1776" s="14" t="str">
        <x:v>S05-08:B:final_transcript</x:v>
      </x:c>
      <x:c r="B1776" s="14" t="str">
        <x:v>B</x:v>
      </x:c>
      <x:c r="C1776" s="14" t="str">
        <x:v>final_transcript</x:v>
      </x:c>
      <x:c r="D1776" s="14" t="n">
        <x:v>0</x:v>
      </x:c>
      <x:c r="E1776" s="14" t="n">
        <x:v>0.3</x:v>
      </x:c>
      <x:c r="F1776" s="14" t="n">
        <x:v>0.3</x:v>
      </x:c>
      <x:c r="G1776" s="17" t="n">
        <x:v>1</x:v>
      </x:c>
      <x:c r="H1776" s="14" t="str">
        <x:v>S05-08:B:evaluation_utterance_end</x:v>
      </x:c>
    </x:row>
    <x:row r="1777" ht="72" customHeight="1">
      <x:c r="A1777" s="14" t="str">
        <x:v>S05-08:B:meaning_adoption</x:v>
      </x:c>
      <x:c r="B1777" s="14" t="str">
        <x:v>B</x:v>
      </x:c>
      <x:c r="C1777" s="14" t="str">
        <x:v>meaning_adoption</x:v>
      </x:c>
      <x:c r="D1777" s="14" t="n">
        <x:v>0.3</x:v>
      </x:c>
      <x:c r="E1777" s="14" t="n">
        <x:v>0.876666667</x:v>
      </x:c>
      <x:c r="F1777" s="14" t="n">
        <x:v>0.576666667</x:v>
      </x:c>
      <x:c r="G1777" s="17" t="n">
        <x:v>1</x:v>
      </x:c>
      <x:c r="H1777" s="14" t="str">
        <x:v>S05-08:B:final_transcript
S05-08:B:origin_interpretation</x:v>
      </x:c>
    </x:row>
    <x:row r="1778" ht="72" customHeight="1">
      <x:c r="A1778" s="14" t="str">
        <x:v>S05-08:B:apply_relation</x:v>
      </x:c>
      <x:c r="B1778" s="14" t="str">
        <x:v>B</x:v>
      </x:c>
      <x:c r="C1778" s="14" t="str">
        <x:v>apply_relation</x:v>
      </x:c>
      <x:c r="D1778" s="14" t="n">
        <x:v>0.876666667</x:v>
      </x:c>
      <x:c r="E1778" s="14" t="n">
        <x:v>0.916666667</x:v>
      </x:c>
      <x:c r="F1778" s="14" t="n">
        <x:v>0.04</x:v>
      </x:c>
      <x:c r="G1778" s="17" t="n">
        <x:v>1</x:v>
      </x:c>
      <x:c r="H1778" s="14" t="str">
        <x:v>S05-08:B:meaning_adoption</x:v>
      </x:c>
    </x:row>
    <x:row r="1779" ht="72" customHeight="1">
      <x:c r="A1779" s="14" t="str">
        <x:v>S05-08:B:evaluation_first_display</x:v>
      </x:c>
      <x:c r="B1779" s="14" t="str">
        <x:v>B</x:v>
      </x:c>
      <x:c r="C1779" s="14" t="str">
        <x:v>evaluation_first_display</x:v>
      </x:c>
      <x:c r="D1779" s="14" t="n">
        <x:v>0.916666667</x:v>
      </x:c>
      <x:c r="E1779" s="14" t="n">
        <x:v>0.956666667</x:v>
      </x:c>
      <x:c r="F1779" s="14" t="n">
        <x:v>0.04</x:v>
      </x:c>
      <x:c r="G1779" s="17" t="n">
        <x:v>1</x:v>
      </x:c>
      <x:c r="H1779" s="14" t="str">
        <x:v>S05-08:B:apply_relation</x:v>
      </x:c>
    </x:row>
    <x:row r="1780" ht="72" customHeight="1">
      <x:c r="A1780" s="14" t="str">
        <x:v>S05-08:B:source_long_report</x:v>
      </x:c>
      <x:c r="B1780" s="14" t="str">
        <x:v>B</x:v>
      </x:c>
      <x:c r="C1780" s="14" t="str">
        <x:v>source_long_report</x:v>
      </x:c>
      <x:c r="D1780" s="14" t="n">
        <x:v>-5.04</x:v>
      </x:c>
      <x:c r="E1780" s="14" t="n">
        <x:v>-4.8</x:v>
      </x:c>
      <x:c r="F1780" s="14" t="n">
        <x:v>0.24</x:v>
      </x:c>
      <x:c r="G1780" s="17" t="n">
        <x:v>0</x:v>
      </x:c>
      <x:c r="H1780" s="14" t="str">
        <x:v>S05-08:B:original_handoff</x:v>
      </x:c>
    </x:row>
    <x:row r="1781" ht="72" customHeight="1">
      <x:c r="A1781" s="14" t="str">
        <x:v>S05-08:B:display_long_report</x:v>
      </x:c>
      <x:c r="B1781" s="14" t="str">
        <x:v>B</x:v>
      </x:c>
      <x:c r="C1781" s="14" t="str">
        <x:v>display_long_report</x:v>
      </x:c>
      <x:c r="D1781" s="14" t="n">
        <x:v>-4.8</x:v>
      </x:c>
      <x:c r="E1781" s="14" t="n">
        <x:v>-4.76</x:v>
      </x:c>
      <x:c r="F1781" s="14" t="n">
        <x:v>0.04</x:v>
      </x:c>
      <x:c r="G1781" s="17" t="n">
        <x:v>1</x:v>
      </x:c>
      <x:c r="H1781" s="14" t="str">
        <x:v>S05-08:B:source_long_report</x:v>
      </x:c>
    </x:row>
    <x:row r="1782" ht="72" customHeight="1">
      <x:c r="A1782" s="14" t="str">
        <x:v>S05-08:B:long_report_first</x:v>
      </x:c>
      <x:c r="B1782" s="14" t="str">
        <x:v>B</x:v>
      </x:c>
      <x:c r="C1782" s="14" t="str">
        <x:v>long_report_first</x:v>
      </x:c>
      <x:c r="D1782" s="14" t="n">
        <x:v>-4.8</x:v>
      </x:c>
      <x:c r="E1782" s="14" t="n">
        <x:v>-4.324666667</x:v>
      </x:c>
      <x:c r="F1782" s="14" t="n">
        <x:v>0.475333333</x:v>
      </x:c>
      <x:c r="G1782" s="17" t="n">
        <x:v>1</x:v>
      </x:c>
      <x:c r="H1782" s="14" t="str">
        <x:v>S05-08:B:source_long_report</x:v>
      </x:c>
    </x:row>
    <x:row r="1783" ht="72" customHeight="1">
      <x:c r="A1783" s="14" t="str">
        <x:v>S05-08:B:long_report_tail</x:v>
      </x:c>
      <x:c r="B1783" s="14" t="str">
        <x:v>B</x:v>
      </x:c>
      <x:c r="C1783" s="14" t="str">
        <x:v>long_report_tail</x:v>
      </x:c>
      <x:c r="D1783" s="14" t="n">
        <x:v>-4.324666667</x:v>
      </x:c>
      <x:c r="E1783" s="14" t="n">
        <x:v>1.016666667</x:v>
      </x:c>
      <x:c r="F1783" s="14" t="n">
        <x:v>5.341333334</x:v>
      </x:c>
      <x:c r="G1783" s="17" t="n">
        <x:v>1</x:v>
      </x:c>
      <x:c r="H1783" s="14" t="str">
        <x:v>S05-08:B:long_report_first</x:v>
      </x:c>
    </x:row>
    <x:row r="1784" ht="72" customHeight="1">
      <x:c r="A1784" s="14" t="str">
        <x:v>S05-08:B:source_question</x:v>
      </x:c>
      <x:c r="B1784" s="14" t="str">
        <x:v>B</x:v>
      </x:c>
      <x:c r="C1784" s="14" t="str">
        <x:v>source_question</x:v>
      </x:c>
      <x:c r="D1784" s="14" t="n">
        <x:v>-5.04</x:v>
      </x:c>
      <x:c r="E1784" s="14" t="n">
        <x:v>-0.9</x:v>
      </x:c>
      <x:c r="F1784" s="14" t="n">
        <x:v>4.14</x:v>
      </x:c>
      <x:c r="G1784" s="17" t="n">
        <x:v>0</x:v>
      </x:c>
      <x:c r="H1784" s="14" t="str">
        <x:v>S05-08:B:original_handoff</x:v>
      </x:c>
    </x:row>
    <x:row r="1785" ht="72" customHeight="1">
      <x:c r="A1785" s="14" t="str">
        <x:v>S05-08:B:display_question</x:v>
      </x:c>
      <x:c r="B1785" s="14" t="str">
        <x:v>B</x:v>
      </x:c>
      <x:c r="C1785" s="14" t="str">
        <x:v>display_question</x:v>
      </x:c>
      <x:c r="D1785" s="14" t="n">
        <x:v>-0.9</x:v>
      </x:c>
      <x:c r="E1785" s="14" t="n">
        <x:v>-0.86</x:v>
      </x:c>
      <x:c r="F1785" s="14" t="n">
        <x:v>0.04</x:v>
      </x:c>
      <x:c r="G1785" s="17" t="n">
        <x:v>1</x:v>
      </x:c>
      <x:c r="H1785" s="14" t="str">
        <x:v>S05-08:B:source_question</x:v>
      </x:c>
    </x:row>
    <x:row r="1786" ht="72" customHeight="1">
      <x:c r="A1786" s="14" t="str">
        <x:v>S05-08:B:question_first</x:v>
      </x:c>
      <x:c r="B1786" s="14" t="str">
        <x:v>B</x:v>
      </x:c>
      <x:c r="C1786" s="14" t="str">
        <x:v>question_first</x:v>
      </x:c>
      <x:c r="D1786" s="14" t="n">
        <x:v>0.916666667</x:v>
      </x:c>
      <x:c r="E1786" s="14" t="n">
        <x:v>1.317666667</x:v>
      </x:c>
      <x:c r="F1786" s="14" t="n">
        <x:v>0.401</x:v>
      </x:c>
      <x:c r="G1786" s="17" t="n">
        <x:v>1</x:v>
      </x:c>
      <x:c r="H1786" s="14" t="str">
        <x:v>S05-08:B:apply_relation</x:v>
      </x:c>
    </x:row>
    <x:row r="1787" ht="72" customHeight="1">
      <x:c r="A1787" s="14" t="str">
        <x:v>S05-08:B:question_tail</x:v>
      </x:c>
      <x:c r="B1787" s="14" t="str">
        <x:v>B</x:v>
      </x:c>
      <x:c r="C1787" s="14" t="str">
        <x:v>question_tail</x:v>
      </x:c>
      <x:c r="D1787" s="14" t="n">
        <x:v>1.317666667</x:v>
      </x:c>
      <x:c r="E1787" s="14" t="n">
        <x:v>1.975166667</x:v>
      </x:c>
      <x:c r="F1787" s="14" t="n">
        <x:v>0.6575</x:v>
      </x:c>
      <x:c r="G1787" s="17" t="n">
        <x:v>1</x:v>
      </x:c>
      <x:c r="H1787" s="14" t="str">
        <x:v>S05-08:B:question_first</x:v>
      </x:c>
    </x:row>
    <x:row r="1788" ht="72" customHeight="1">
      <x:c r="A1788" s="14" t="str">
        <x:v>S05-08:B:question_device</x:v>
      </x:c>
      <x:c r="B1788" s="14" t="str">
        <x:v>B</x:v>
      </x:c>
      <x:c r="C1788" s="14" t="str">
        <x:v>question_device</x:v>
      </x:c>
      <x:c r="D1788" s="14" t="n">
        <x:v>1.317666667</x:v>
      </x:c>
      <x:c r="E1788" s="14" t="n">
        <x:v>1.357666667</x:v>
      </x:c>
      <x:c r="F1788" s="14" t="n">
        <x:v>0.04</x:v>
      </x:c>
      <x:c r="G1788" s="17" t="n">
        <x:v>1</x:v>
      </x:c>
      <x:c r="H1788" s="14" t="str">
        <x:v>S05-08:B:apply_relation
S05-08:B:question_first</x:v>
      </x:c>
    </x:row>
    <x:row r="1789" ht="72" customHeight="1">
      <x:c r="A1789" s="14" t="str">
        <x:v>S05-08:B:question_played</x:v>
      </x:c>
      <x:c r="B1789" s="14" t="str">
        <x:v>B</x:v>
      </x:c>
      <x:c r="C1789" s="14" t="str">
        <x:v>question_played</x:v>
      </x:c>
      <x:c r="D1789" s="14" t="n">
        <x:v>1.357666667</x:v>
      </x:c>
      <x:c r="E1789" s="14" t="n">
        <x:v>4.187666667</x:v>
      </x:c>
      <x:c r="F1789" s="14" t="n">
        <x:v>2.83</x:v>
      </x:c>
      <x:c r="G1789" s="17" t="n">
        <x:v>0</x:v>
      </x:c>
      <x:c r="H1789" s="14" t="str">
        <x:v>S05-08:B:question_device</x:v>
      </x:c>
    </x:row>
    <x:row r="1790" ht="72" customHeight="1">
      <x:c r="A1790" s="14" t="str">
        <x:v>S05-08:B:resume_cached_device</x:v>
      </x:c>
      <x:c r="B1790" s="14" t="str">
        <x:v>B</x:v>
      </x:c>
      <x:c r="C1790" s="14" t="str">
        <x:v>resume_cached_device</x:v>
      </x:c>
      <x:c r="D1790" s="14" t="n">
        <x:v>4.187666667</x:v>
      </x:c>
      <x:c r="E1790" s="14" t="n">
        <x:v>4.227666667</x:v>
      </x:c>
      <x:c r="F1790" s="14" t="n">
        <x:v>0.04</x:v>
      </x:c>
      <x:c r="G1790" s="17" t="n">
        <x:v>1</x:v>
      </x:c>
      <x:c r="H1790" s="14" t="str">
        <x:v>S05-08:B:question_played
S05-08:B:long_report_first</x:v>
      </x:c>
    </x:row>
    <x:row r="1791" ht="72" customHeight="1">
      <x:c r="A1791" s="14" t="str">
        <x:v>S05-08:B:resume_cached_played</x:v>
      </x:c>
      <x:c r="B1791" s="14" t="str">
        <x:v>B</x:v>
      </x:c>
      <x:c r="C1791" s="14" t="str">
        <x:v>resume_cached_played</x:v>
      </x:c>
      <x:c r="D1791" s="14" t="n">
        <x:v>4.227666667</x:v>
      </x:c>
      <x:c r="E1791" s="14" t="n">
        <x:v>25.028333336</x:v>
      </x:c>
      <x:c r="F1791" s="14" t="n">
        <x:v>20.800666669</x:v>
      </x:c>
      <x:c r="G1791" s="17" t="n">
        <x:v>0</x:v>
      </x:c>
      <x:c r="H1791" s="14" t="str">
        <x:v>S05-08:B:resume_cached_device</x:v>
      </x:c>
    </x:row>
    <x:row r="1792" ht="72" customHeight="1">
      <x:c r="A1792" s="14" t="str">
        <x:v>S05-08:B:resume_suffix_first</x:v>
      </x:c>
      <x:c r="B1792" s="14" t="str">
        <x:v>B</x:v>
      </x:c>
      <x:c r="C1792" s="14" t="str">
        <x:v>resume_suffix_first</x:v>
      </x:c>
      <x:c r="D1792" s="14" t="n">
        <x:v>4.187666667</x:v>
      </x:c>
      <x:c r="E1792" s="14" t="n">
        <x:v>4.703</x:v>
      </x:c>
      <x:c r="F1792" s="14" t="n">
        <x:v>0.515333333</x:v>
      </x:c>
      <x:c r="G1792" s="17" t="n">
        <x:v>1</x:v>
      </x:c>
      <x:c r="H1792" s="14" t="str">
        <x:v>S05-08:B:question_played</x:v>
      </x:c>
    </x:row>
    <x:row r="1793" ht="72" customHeight="1">
      <x:c r="A1793" s="14" t="str">
        <x:v>S05-08:B:resume_suffix_tail</x:v>
      </x:c>
      <x:c r="B1793" s="14" t="str">
        <x:v>B</x:v>
      </x:c>
      <x:c r="C1793" s="14" t="str">
        <x:v>resume_suffix_tail</x:v>
      </x:c>
      <x:c r="D1793" s="14" t="n">
        <x:v>4.703</x:v>
      </x:c>
      <x:c r="E1793" s="14" t="n">
        <x:v>8.269166666</x:v>
      </x:c>
      <x:c r="F1793" s="14" t="n">
        <x:v>3.566166666</x:v>
      </x:c>
      <x:c r="G1793" s="17" t="n">
        <x:v>1</x:v>
      </x:c>
      <x:c r="H1793" s="14" t="str">
        <x:v>S05-08:B:resume_suffix_first</x:v>
      </x:c>
    </x:row>
    <x:row r="1794" ht="72" customHeight="1">
      <x:c r="A1794" s="14" t="str">
        <x:v>S05-08:B:resume_suffix_device</x:v>
      </x:c>
      <x:c r="B1794" s="14" t="str">
        <x:v>B</x:v>
      </x:c>
      <x:c r="C1794" s="14" t="str">
        <x:v>resume_suffix_device</x:v>
      </x:c>
      <x:c r="D1794" s="14" t="n">
        <x:v>25.028333336</x:v>
      </x:c>
      <x:c r="E1794" s="14" t="n">
        <x:v>25.068333336</x:v>
      </x:c>
      <x:c r="F1794" s="14" t="n">
        <x:v>0.04</x:v>
      </x:c>
      <x:c r="G1794" s="17" t="n">
        <x:v>1</x:v>
      </x:c>
      <x:c r="H1794" s="14" t="str">
        <x:v>S05-08:B:resume_cached_played
S05-08:B:resume_suffix_first</x:v>
      </x:c>
    </x:row>
    <x:row r="1795" ht="72" customHeight="1">
      <x:c r="A1795" s="14" t="str">
        <x:v>S05-08:B:resume_suffix_played</x:v>
      </x:c>
      <x:c r="B1795" s="14" t="str">
        <x:v>B</x:v>
      </x:c>
      <x:c r="C1795" s="14" t="str">
        <x:v>resume_suffix_played</x:v>
      </x:c>
      <x:c r="D1795" s="14" t="n">
        <x:v>25.068333336</x:v>
      </x:c>
      <x:c r="E1795" s="14" t="n">
        <x:v>39.533</x:v>
      </x:c>
      <x:c r="F1795" s="14" t="n">
        <x:v>14.464666664</x:v>
      </x:c>
      <x:c r="G1795" s="17" t="n">
        <x:v>0</x:v>
      </x:c>
      <x:c r="H1795" s="14" t="str">
        <x:v>S05-08:B:resume_suffix_device</x:v>
      </x:c>
    </x:row>
    <x:row r="1796" ht="72" customHeight="1">
      <x:c r="A1796" s="14" t="str">
        <x:v>S05-09:A:origin</x:v>
      </x:c>
      <x:c r="B1796" s="14" t="str">
        <x:v>A</x:v>
      </x:c>
      <x:c r="C1796" s="14" t="str">
        <x:v>origin</x:v>
      </x:c>
      <x:c r="D1796" s="14" t="n">
        <x:v>-6</x:v>
      </x:c>
      <x:c r="E1796" s="14" t="n">
        <x:v>-6</x:v>
      </x:c>
      <x:c r="F1796" s="14" t="n">
        <x:v>0</x:v>
      </x:c>
      <x:c r="G1796" s="17" t="n">
        <x:v>0</x:v>
      </x:c>
      <x:c r="H1796" s="14" t="str"/>
    </x:row>
    <x:row r="1797" ht="72" customHeight="1">
      <x:c r="A1797" s="14" t="str">
        <x:v>S05-09:A:origin_interpretation</x:v>
      </x:c>
      <x:c r="B1797" s="14" t="str">
        <x:v>A</x:v>
      </x:c>
      <x:c r="C1797" s="14" t="str">
        <x:v>origin_interpretation</x:v>
      </x:c>
      <x:c r="D1797" s="14" t="n">
        <x:v>-6</x:v>
      </x:c>
      <x:c r="E1797" s="14" t="n">
        <x:v>-5.16</x:v>
      </x:c>
      <x:c r="F1797" s="14" t="n">
        <x:v>0.84</x:v>
      </x:c>
      <x:c r="G1797" s="17" t="n">
        <x:v>1</x:v>
      </x:c>
      <x:c r="H1797" s="14" t="str">
        <x:v>S05-09:A:origin</x:v>
      </x:c>
    </x:row>
    <x:row r="1798" ht="72" customHeight="1">
      <x:c r="A1798" s="14" t="str">
        <x:v>S05-09:A:original_handoff</x:v>
      </x:c>
      <x:c r="B1798" s="14" t="str">
        <x:v>A</x:v>
      </x:c>
      <x:c r="C1798" s="14" t="str">
        <x:v>original_handoff</x:v>
      </x:c>
      <x:c r="D1798" s="14" t="n">
        <x:v>-5.16</x:v>
      </x:c>
      <x:c r="E1798" s="14" t="n">
        <x:v>-5.04</x:v>
      </x:c>
      <x:c r="F1798" s="14" t="n">
        <x:v>0.12</x:v>
      </x:c>
      <x:c r="G1798" s="17" t="n">
        <x:v>1</x:v>
      </x:c>
      <x:c r="H1798" s="14" t="str">
        <x:v>S05-09:A:origin_interpretation</x:v>
      </x:c>
    </x:row>
    <x:row r="1799" ht="72" customHeight="1">
      <x:c r="A1799" s="14" t="str">
        <x:v>S05-09:A:evaluation_utterance_end</x:v>
      </x:c>
      <x:c r="B1799" s="14" t="str">
        <x:v>A</x:v>
      </x:c>
      <x:c r="C1799" s="14" t="str">
        <x:v>evaluation_utterance_end</x:v>
      </x:c>
      <x:c r="D1799" s="14" t="n">
        <x:v>-6</x:v>
      </x:c>
      <x:c r="E1799" s="14" t="n">
        <x:v>0</x:v>
      </x:c>
      <x:c r="F1799" s="14" t="n">
        <x:v>6</x:v>
      </x:c>
      <x:c r="G1799" s="17" t="n">
        <x:v>0</x:v>
      </x:c>
      <x:c r="H1799" s="14" t="str">
        <x:v>S05-09:A:origin</x:v>
      </x:c>
    </x:row>
    <x:row r="1800" ht="72" customHeight="1">
      <x:c r="A1800" s="14" t="str">
        <x:v>S05-09:A:final_transcript</x:v>
      </x:c>
      <x:c r="B1800" s="14" t="str">
        <x:v>A</x:v>
      </x:c>
      <x:c r="C1800" s="14" t="str">
        <x:v>final_transcript</x:v>
      </x:c>
      <x:c r="D1800" s="14" t="n">
        <x:v>0</x:v>
      </x:c>
      <x:c r="E1800" s="14" t="n">
        <x:v>0.3</x:v>
      </x:c>
      <x:c r="F1800" s="14" t="n">
        <x:v>0.3</x:v>
      </x:c>
      <x:c r="G1800" s="17" t="n">
        <x:v>1</x:v>
      </x:c>
      <x:c r="H1800" s="14" t="str">
        <x:v>S05-09:A:evaluation_utterance_end</x:v>
      </x:c>
    </x:row>
    <x:row r="1801" ht="72" customHeight="1">
      <x:c r="A1801" s="14" t="str">
        <x:v>S05-09:A:meaning_adoption</x:v>
      </x:c>
      <x:c r="B1801" s="14" t="str">
        <x:v>A</x:v>
      </x:c>
      <x:c r="C1801" s="14" t="str">
        <x:v>meaning_adoption</x:v>
      </x:c>
      <x:c r="D1801" s="14" t="n">
        <x:v>0.3</x:v>
      </x:c>
      <x:c r="E1801" s="14" t="n">
        <x:v>0.83</x:v>
      </x:c>
      <x:c r="F1801" s="14" t="n">
        <x:v>0.53</x:v>
      </x:c>
      <x:c r="G1801" s="17" t="n">
        <x:v>1</x:v>
      </x:c>
      <x:c r="H1801" s="14" t="str">
        <x:v>S05-09:A:final_transcript
S05-09:A:origin_interpretation</x:v>
      </x:c>
    </x:row>
    <x:row r="1802" ht="72" customHeight="1">
      <x:c r="A1802" s="14" t="str">
        <x:v>S05-09:A:apply_relation</x:v>
      </x:c>
      <x:c r="B1802" s="14" t="str">
        <x:v>A</x:v>
      </x:c>
      <x:c r="C1802" s="14" t="str">
        <x:v>apply_relation</x:v>
      </x:c>
      <x:c r="D1802" s="14" t="n">
        <x:v>0.83</x:v>
      </x:c>
      <x:c r="E1802" s="14" t="n">
        <x:v>0.87</x:v>
      </x:c>
      <x:c r="F1802" s="14" t="n">
        <x:v>0.04</x:v>
      </x:c>
      <x:c r="G1802" s="17" t="n">
        <x:v>1</x:v>
      </x:c>
      <x:c r="H1802" s="14" t="str">
        <x:v>S05-09:A:meaning_adoption</x:v>
      </x:c>
    </x:row>
    <x:row r="1803" ht="72" customHeight="1">
      <x:c r="A1803" s="14" t="str">
        <x:v>S05-09:A:evaluation_first_display</x:v>
      </x:c>
      <x:c r="B1803" s="14" t="str">
        <x:v>A</x:v>
      </x:c>
      <x:c r="C1803" s="14" t="str">
        <x:v>evaluation_first_display</x:v>
      </x:c>
      <x:c r="D1803" s="14" t="n">
        <x:v>0.87</x:v>
      </x:c>
      <x:c r="E1803" s="14" t="n">
        <x:v>0.91</x:v>
      </x:c>
      <x:c r="F1803" s="14" t="n">
        <x:v>0.04</x:v>
      </x:c>
      <x:c r="G1803" s="17" t="n">
        <x:v>1</x:v>
      </x:c>
      <x:c r="H1803" s="14" t="str">
        <x:v>S05-09:A:apply_relation</x:v>
      </x:c>
    </x:row>
    <x:row r="1804" ht="72" customHeight="1">
      <x:c r="A1804" s="14" t="str">
        <x:v>S05-09:A:source_long_report</x:v>
      </x:c>
      <x:c r="B1804" s="14" t="str">
        <x:v>A</x:v>
      </x:c>
      <x:c r="C1804" s="14" t="str">
        <x:v>source_long_report</x:v>
      </x:c>
      <x:c r="D1804" s="14" t="n">
        <x:v>-5.04</x:v>
      </x:c>
      <x:c r="E1804" s="14" t="n">
        <x:v>-4.8</x:v>
      </x:c>
      <x:c r="F1804" s="14" t="n">
        <x:v>0.24</x:v>
      </x:c>
      <x:c r="G1804" s="17" t="n">
        <x:v>0</x:v>
      </x:c>
      <x:c r="H1804" s="14" t="str">
        <x:v>S05-09:A:original_handoff</x:v>
      </x:c>
    </x:row>
    <x:row r="1805" ht="72" customHeight="1">
      <x:c r="A1805" s="14" t="str">
        <x:v>S05-09:A:display_long_report</x:v>
      </x:c>
      <x:c r="B1805" s="14" t="str">
        <x:v>A</x:v>
      </x:c>
      <x:c r="C1805" s="14" t="str">
        <x:v>display_long_report</x:v>
      </x:c>
      <x:c r="D1805" s="14" t="n">
        <x:v>-4.8</x:v>
      </x:c>
      <x:c r="E1805" s="14" t="n">
        <x:v>-4.76</x:v>
      </x:c>
      <x:c r="F1805" s="14" t="n">
        <x:v>0.04</x:v>
      </x:c>
      <x:c r="G1805" s="17" t="n">
        <x:v>1</x:v>
      </x:c>
      <x:c r="H1805" s="14" t="str">
        <x:v>S05-09:A:source_long_report</x:v>
      </x:c>
    </x:row>
    <x:row r="1806" ht="72" customHeight="1">
      <x:c r="A1806" s="14" t="str">
        <x:v>S05-09:A:long_report_first</x:v>
      </x:c>
      <x:c r="B1806" s="14" t="str">
        <x:v>A</x:v>
      </x:c>
      <x:c r="C1806" s="14" t="str">
        <x:v>long_report_first</x:v>
      </x:c>
      <x:c r="D1806" s="14" t="n">
        <x:v>-4.8</x:v>
      </x:c>
      <x:c r="E1806" s="14" t="n">
        <x:v>-4.324666667</x:v>
      </x:c>
      <x:c r="F1806" s="14" t="n">
        <x:v>0.475333333</x:v>
      </x:c>
      <x:c r="G1806" s="17" t="n">
        <x:v>1</x:v>
      </x:c>
      <x:c r="H1806" s="14" t="str">
        <x:v>S05-09:A:source_long_report</x:v>
      </x:c>
    </x:row>
    <x:row r="1807" ht="72" customHeight="1">
      <x:c r="A1807" s="14" t="str">
        <x:v>S05-09:A:long_report_tail</x:v>
      </x:c>
      <x:c r="B1807" s="14" t="str">
        <x:v>A</x:v>
      </x:c>
      <x:c r="C1807" s="14" t="str">
        <x:v>long_report_tail</x:v>
      </x:c>
      <x:c r="D1807" s="14" t="n">
        <x:v>-4.324666667</x:v>
      </x:c>
      <x:c r="E1807" s="14" t="n">
        <x:v>4.635833333</x:v>
      </x:c>
      <x:c r="F1807" s="14" t="n">
        <x:v>8.9605</x:v>
      </x:c>
      <x:c r="G1807" s="17" t="n">
        <x:v>1</x:v>
      </x:c>
      <x:c r="H1807" s="14" t="str">
        <x:v>S05-09:A:long_report_first</x:v>
      </x:c>
    </x:row>
    <x:row r="1808" ht="72" customHeight="1">
      <x:c r="A1808" s="14" t="str">
        <x:v>S05-09:A:source_question</x:v>
      </x:c>
      <x:c r="B1808" s="14" t="str">
        <x:v>A</x:v>
      </x:c>
      <x:c r="C1808" s="14" t="str">
        <x:v>source_question</x:v>
      </x:c>
      <x:c r="D1808" s="14" t="n">
        <x:v>-5.04</x:v>
      </x:c>
      <x:c r="E1808" s="14" t="n">
        <x:v>-0.9</x:v>
      </x:c>
      <x:c r="F1808" s="14" t="n">
        <x:v>4.14</x:v>
      </x:c>
      <x:c r="G1808" s="17" t="n">
        <x:v>0</x:v>
      </x:c>
      <x:c r="H1808" s="14" t="str">
        <x:v>S05-09:A:original_handoff</x:v>
      </x:c>
    </x:row>
    <x:row r="1809" ht="72" customHeight="1">
      <x:c r="A1809" s="14" t="str">
        <x:v>S05-09:A:display_question</x:v>
      </x:c>
      <x:c r="B1809" s="14" t="str">
        <x:v>A</x:v>
      </x:c>
      <x:c r="C1809" s="14" t="str">
        <x:v>display_question</x:v>
      </x:c>
      <x:c r="D1809" s="14" t="n">
        <x:v>-0.9</x:v>
      </x:c>
      <x:c r="E1809" s="14" t="n">
        <x:v>-0.86</x:v>
      </x:c>
      <x:c r="F1809" s="14" t="n">
        <x:v>0.04</x:v>
      </x:c>
      <x:c r="G1809" s="17" t="n">
        <x:v>1</x:v>
      </x:c>
      <x:c r="H1809" s="14" t="str">
        <x:v>S05-09:A:source_question</x:v>
      </x:c>
    </x:row>
    <x:row r="1810" ht="72" customHeight="1">
      <x:c r="A1810" s="14" t="str">
        <x:v>S05-09:A:question_first</x:v>
      </x:c>
      <x:c r="B1810" s="14" t="str">
        <x:v>A</x:v>
      </x:c>
      <x:c r="C1810" s="14" t="str">
        <x:v>question_first</x:v>
      </x:c>
      <x:c r="D1810" s="14" t="n">
        <x:v>-0.9</x:v>
      </x:c>
      <x:c r="E1810" s="14" t="n">
        <x:v>-0.499</x:v>
      </x:c>
      <x:c r="F1810" s="14" t="n">
        <x:v>0.401</x:v>
      </x:c>
      <x:c r="G1810" s="17" t="n">
        <x:v>1</x:v>
      </x:c>
      <x:c r="H1810" s="14" t="str">
        <x:v>S05-09:A:source_question</x:v>
      </x:c>
    </x:row>
    <x:row r="1811" ht="72" customHeight="1">
      <x:c r="A1811" s="14" t="str">
        <x:v>S05-09:A:question_tail</x:v>
      </x:c>
      <x:c r="B1811" s="14" t="str">
        <x:v>A</x:v>
      </x:c>
      <x:c r="C1811" s="14" t="str">
        <x:v>question_tail</x:v>
      </x:c>
      <x:c r="D1811" s="14" t="n">
        <x:v>-0.499</x:v>
      </x:c>
      <x:c r="E1811" s="14" t="n">
        <x:v>0.1615</x:v>
      </x:c>
      <x:c r="F1811" s="14" t="n">
        <x:v>0.6605</x:v>
      </x:c>
      <x:c r="G1811" s="17" t="n">
        <x:v>1</x:v>
      </x:c>
      <x:c r="H1811" s="14" t="str">
        <x:v>S05-09:A:question_first</x:v>
      </x:c>
    </x:row>
    <x:row r="1812" ht="72" customHeight="1">
      <x:c r="A1812" s="14" t="str">
        <x:v>S05-09:A:question_device</x:v>
      </x:c>
      <x:c r="B1812" s="14" t="str">
        <x:v>A</x:v>
      </x:c>
      <x:c r="C1812" s="14" t="str">
        <x:v>question_device</x:v>
      </x:c>
      <x:c r="D1812" s="14" t="n">
        <x:v>0.87</x:v>
      </x:c>
      <x:c r="E1812" s="14" t="n">
        <x:v>0.91</x:v>
      </x:c>
      <x:c r="F1812" s="14" t="n">
        <x:v>0.04</x:v>
      </x:c>
      <x:c r="G1812" s="17" t="n">
        <x:v>1</x:v>
      </x:c>
      <x:c r="H1812" s="14" t="str">
        <x:v>S05-09:A:apply_relation
S05-09:A:question_first</x:v>
      </x:c>
    </x:row>
    <x:row r="1813" ht="72" customHeight="1">
      <x:c r="A1813" s="14" t="str">
        <x:v>S05-09:A:question_played</x:v>
      </x:c>
      <x:c r="B1813" s="14" t="str">
        <x:v>A</x:v>
      </x:c>
      <x:c r="C1813" s="14" t="str">
        <x:v>question_played</x:v>
      </x:c>
      <x:c r="D1813" s="14" t="n">
        <x:v>0.91</x:v>
      </x:c>
      <x:c r="E1813" s="14" t="n">
        <x:v>3.752</x:v>
      </x:c>
      <x:c r="F1813" s="14" t="n">
        <x:v>2.842</x:v>
      </x:c>
      <x:c r="G1813" s="17" t="n">
        <x:v>0</x:v>
      </x:c>
      <x:c r="H1813" s="14" t="str">
        <x:v>S05-09:A:question_device</x:v>
      </x:c>
    </x:row>
    <x:row r="1814" ht="72" customHeight="1">
      <x:c r="A1814" s="14" t="str">
        <x:v>S05-09:A:resume_report_device</x:v>
      </x:c>
      <x:c r="B1814" s="14" t="str">
        <x:v>A</x:v>
      </x:c>
      <x:c r="C1814" s="14" t="str">
        <x:v>resume_report_device</x:v>
      </x:c>
      <x:c r="D1814" s="14" t="n">
        <x:v>3.752</x:v>
      </x:c>
      <x:c r="E1814" s="14" t="n">
        <x:v>3.792</x:v>
      </x:c>
      <x:c r="F1814" s="14" t="n">
        <x:v>0.04</x:v>
      </x:c>
      <x:c r="G1814" s="17" t="n">
        <x:v>1</x:v>
      </x:c>
      <x:c r="H1814" s="14" t="str">
        <x:v>S05-09:A:question_played
S05-09:A:long_report_first</x:v>
      </x:c>
    </x:row>
    <x:row r="1815" ht="72" customHeight="1">
      <x:c r="A1815" s="14" t="str">
        <x:v>S05-09:A:resume_report_played</x:v>
      </x:c>
      <x:c r="B1815" s="14" t="str">
        <x:v>A</x:v>
      </x:c>
      <x:c r="C1815" s="14" t="str">
        <x:v>resume_report_played</x:v>
      </x:c>
      <x:c r="D1815" s="14" t="n">
        <x:v>3.792</x:v>
      </x:c>
      <x:c r="E1815" s="14" t="n">
        <x:v>39.069333333</x:v>
      </x:c>
      <x:c r="F1815" s="14" t="n">
        <x:v>35.277333333</x:v>
      </x:c>
      <x:c r="G1815" s="17" t="n">
        <x:v>0</x:v>
      </x:c>
      <x:c r="H1815" s="14" t="str">
        <x:v>S05-09:A:resume_report_device</x:v>
      </x:c>
    </x:row>
    <x:row r="1816" ht="72" customHeight="1">
      <x:c r="A1816" s="14" t="str">
        <x:v>S05-09:B:origin</x:v>
      </x:c>
      <x:c r="B1816" s="14" t="str">
        <x:v>B</x:v>
      </x:c>
      <x:c r="C1816" s="14" t="str">
        <x:v>origin</x:v>
      </x:c>
      <x:c r="D1816" s="14" t="n">
        <x:v>-6</x:v>
      </x:c>
      <x:c r="E1816" s="14" t="n">
        <x:v>-6</x:v>
      </x:c>
      <x:c r="F1816" s="14" t="n">
        <x:v>0</x:v>
      </x:c>
      <x:c r="G1816" s="17" t="n">
        <x:v>0</x:v>
      </x:c>
      <x:c r="H1816" s="14" t="str"/>
    </x:row>
    <x:row r="1817" ht="72" customHeight="1">
      <x:c r="A1817" s="14" t="str">
        <x:v>S05-09:B:origin_interpretation</x:v>
      </x:c>
      <x:c r="B1817" s="14" t="str">
        <x:v>B</x:v>
      </x:c>
      <x:c r="C1817" s="14" t="str">
        <x:v>origin_interpretation</x:v>
      </x:c>
      <x:c r="D1817" s="14" t="n">
        <x:v>-6</x:v>
      </x:c>
      <x:c r="E1817" s="14" t="n">
        <x:v>-5.16</x:v>
      </x:c>
      <x:c r="F1817" s="14" t="n">
        <x:v>0.84</x:v>
      </x:c>
      <x:c r="G1817" s="17" t="n">
        <x:v>1</x:v>
      </x:c>
      <x:c r="H1817" s="14" t="str">
        <x:v>S05-09:B:origin</x:v>
      </x:c>
    </x:row>
    <x:row r="1818" ht="72" customHeight="1">
      <x:c r="A1818" s="14" t="str">
        <x:v>S05-09:B:original_handoff</x:v>
      </x:c>
      <x:c r="B1818" s="14" t="str">
        <x:v>B</x:v>
      </x:c>
      <x:c r="C1818" s="14" t="str">
        <x:v>original_handoff</x:v>
      </x:c>
      <x:c r="D1818" s="14" t="n">
        <x:v>-5.16</x:v>
      </x:c>
      <x:c r="E1818" s="14" t="n">
        <x:v>-5.04</x:v>
      </x:c>
      <x:c r="F1818" s="14" t="n">
        <x:v>0.12</x:v>
      </x:c>
      <x:c r="G1818" s="17" t="n">
        <x:v>1</x:v>
      </x:c>
      <x:c r="H1818" s="14" t="str">
        <x:v>S05-09:B:origin_interpretation</x:v>
      </x:c>
    </x:row>
    <x:row r="1819" ht="72" customHeight="1">
      <x:c r="A1819" s="14" t="str">
        <x:v>S05-09:B:evaluation_utterance_end</x:v>
      </x:c>
      <x:c r="B1819" s="14" t="str">
        <x:v>B</x:v>
      </x:c>
      <x:c r="C1819" s="14" t="str">
        <x:v>evaluation_utterance_end</x:v>
      </x:c>
      <x:c r="D1819" s="14" t="n">
        <x:v>-6</x:v>
      </x:c>
      <x:c r="E1819" s="14" t="n">
        <x:v>0</x:v>
      </x:c>
      <x:c r="F1819" s="14" t="n">
        <x:v>6</x:v>
      </x:c>
      <x:c r="G1819" s="17" t="n">
        <x:v>0</x:v>
      </x:c>
      <x:c r="H1819" s="14" t="str">
        <x:v>S05-09:B:origin</x:v>
      </x:c>
    </x:row>
    <x:row r="1820" ht="72" customHeight="1">
      <x:c r="A1820" s="14" t="str">
        <x:v>S05-09:B:final_transcript</x:v>
      </x:c>
      <x:c r="B1820" s="14" t="str">
        <x:v>B</x:v>
      </x:c>
      <x:c r="C1820" s="14" t="str">
        <x:v>final_transcript</x:v>
      </x:c>
      <x:c r="D1820" s="14" t="n">
        <x:v>0</x:v>
      </x:c>
      <x:c r="E1820" s="14" t="n">
        <x:v>0.3</x:v>
      </x:c>
      <x:c r="F1820" s="14" t="n">
        <x:v>0.3</x:v>
      </x:c>
      <x:c r="G1820" s="17" t="n">
        <x:v>1</x:v>
      </x:c>
      <x:c r="H1820" s="14" t="str">
        <x:v>S05-09:B:evaluation_utterance_end</x:v>
      </x:c>
    </x:row>
    <x:row r="1821" ht="72" customHeight="1">
      <x:c r="A1821" s="14" t="str">
        <x:v>S05-09:B:meaning_adoption</x:v>
      </x:c>
      <x:c r="B1821" s="14" t="str">
        <x:v>B</x:v>
      </x:c>
      <x:c r="C1821" s="14" t="str">
        <x:v>meaning_adoption</x:v>
      </x:c>
      <x:c r="D1821" s="14" t="n">
        <x:v>0.3</x:v>
      </x:c>
      <x:c r="E1821" s="14" t="n">
        <x:v>0.83</x:v>
      </x:c>
      <x:c r="F1821" s="14" t="n">
        <x:v>0.53</x:v>
      </x:c>
      <x:c r="G1821" s="17" t="n">
        <x:v>1</x:v>
      </x:c>
      <x:c r="H1821" s="14" t="str">
        <x:v>S05-09:B:final_transcript
S05-09:B:origin_interpretation</x:v>
      </x:c>
    </x:row>
    <x:row r="1822" ht="72" customHeight="1">
      <x:c r="A1822" s="14" t="str">
        <x:v>S05-09:B:apply_relation</x:v>
      </x:c>
      <x:c r="B1822" s="14" t="str">
        <x:v>B</x:v>
      </x:c>
      <x:c r="C1822" s="14" t="str">
        <x:v>apply_relation</x:v>
      </x:c>
      <x:c r="D1822" s="14" t="n">
        <x:v>0.83</x:v>
      </x:c>
      <x:c r="E1822" s="14" t="n">
        <x:v>0.87</x:v>
      </x:c>
      <x:c r="F1822" s="14" t="n">
        <x:v>0.04</x:v>
      </x:c>
      <x:c r="G1822" s="17" t="n">
        <x:v>1</x:v>
      </x:c>
      <x:c r="H1822" s="14" t="str">
        <x:v>S05-09:B:meaning_adoption</x:v>
      </x:c>
    </x:row>
    <x:row r="1823" ht="72" customHeight="1">
      <x:c r="A1823" s="14" t="str">
        <x:v>S05-09:B:evaluation_first_display</x:v>
      </x:c>
      <x:c r="B1823" s="14" t="str">
        <x:v>B</x:v>
      </x:c>
      <x:c r="C1823" s="14" t="str">
        <x:v>evaluation_first_display</x:v>
      </x:c>
      <x:c r="D1823" s="14" t="n">
        <x:v>0.87</x:v>
      </x:c>
      <x:c r="E1823" s="14" t="n">
        <x:v>0.91</x:v>
      </x:c>
      <x:c r="F1823" s="14" t="n">
        <x:v>0.04</x:v>
      </x:c>
      <x:c r="G1823" s="17" t="n">
        <x:v>1</x:v>
      </x:c>
      <x:c r="H1823" s="14" t="str">
        <x:v>S05-09:B:apply_relation</x:v>
      </x:c>
    </x:row>
    <x:row r="1824" ht="72" customHeight="1">
      <x:c r="A1824" s="14" t="str">
        <x:v>S05-09:B:source_long_report</x:v>
      </x:c>
      <x:c r="B1824" s="14" t="str">
        <x:v>B</x:v>
      </x:c>
      <x:c r="C1824" s="14" t="str">
        <x:v>source_long_report</x:v>
      </x:c>
      <x:c r="D1824" s="14" t="n">
        <x:v>-5.04</x:v>
      </x:c>
      <x:c r="E1824" s="14" t="n">
        <x:v>-4.8</x:v>
      </x:c>
      <x:c r="F1824" s="14" t="n">
        <x:v>0.24</x:v>
      </x:c>
      <x:c r="G1824" s="17" t="n">
        <x:v>0</x:v>
      </x:c>
      <x:c r="H1824" s="14" t="str">
        <x:v>S05-09:B:original_handoff</x:v>
      </x:c>
    </x:row>
    <x:row r="1825" ht="72" customHeight="1">
      <x:c r="A1825" s="14" t="str">
        <x:v>S05-09:B:display_long_report</x:v>
      </x:c>
      <x:c r="B1825" s="14" t="str">
        <x:v>B</x:v>
      </x:c>
      <x:c r="C1825" s="14" t="str">
        <x:v>display_long_report</x:v>
      </x:c>
      <x:c r="D1825" s="14" t="n">
        <x:v>-4.8</x:v>
      </x:c>
      <x:c r="E1825" s="14" t="n">
        <x:v>-4.76</x:v>
      </x:c>
      <x:c r="F1825" s="14" t="n">
        <x:v>0.04</x:v>
      </x:c>
      <x:c r="G1825" s="17" t="n">
        <x:v>1</x:v>
      </x:c>
      <x:c r="H1825" s="14" t="str">
        <x:v>S05-09:B:source_long_report</x:v>
      </x:c>
    </x:row>
    <x:row r="1826" ht="72" customHeight="1">
      <x:c r="A1826" s="14" t="str">
        <x:v>S05-09:B:long_report_first</x:v>
      </x:c>
      <x:c r="B1826" s="14" t="str">
        <x:v>B</x:v>
      </x:c>
      <x:c r="C1826" s="14" t="str">
        <x:v>long_report_first</x:v>
      </x:c>
      <x:c r="D1826" s="14" t="n">
        <x:v>-4.8</x:v>
      </x:c>
      <x:c r="E1826" s="14" t="n">
        <x:v>-4.324666667</x:v>
      </x:c>
      <x:c r="F1826" s="14" t="n">
        <x:v>0.475333333</x:v>
      </x:c>
      <x:c r="G1826" s="17" t="n">
        <x:v>1</x:v>
      </x:c>
      <x:c r="H1826" s="14" t="str">
        <x:v>S05-09:B:source_long_report</x:v>
      </x:c>
    </x:row>
    <x:row r="1827" ht="72" customHeight="1">
      <x:c r="A1827" s="14" t="str">
        <x:v>S05-09:B:long_report_tail</x:v>
      </x:c>
      <x:c r="B1827" s="14" t="str">
        <x:v>B</x:v>
      </x:c>
      <x:c r="C1827" s="14" t="str">
        <x:v>long_report_tail</x:v>
      </x:c>
      <x:c r="D1827" s="14" t="n">
        <x:v>-4.324666667</x:v>
      </x:c>
      <x:c r="E1827" s="14" t="n">
        <x:v>0.97</x:v>
      </x:c>
      <x:c r="F1827" s="14" t="n">
        <x:v>5.294666667</x:v>
      </x:c>
      <x:c r="G1827" s="17" t="n">
        <x:v>1</x:v>
      </x:c>
      <x:c r="H1827" s="14" t="str">
        <x:v>S05-09:B:long_report_first</x:v>
      </x:c>
    </x:row>
    <x:row r="1828" ht="72" customHeight="1">
      <x:c r="A1828" s="14" t="str">
        <x:v>S05-09:B:source_question</x:v>
      </x:c>
      <x:c r="B1828" s="14" t="str">
        <x:v>B</x:v>
      </x:c>
      <x:c r="C1828" s="14" t="str">
        <x:v>source_question</x:v>
      </x:c>
      <x:c r="D1828" s="14" t="n">
        <x:v>-5.04</x:v>
      </x:c>
      <x:c r="E1828" s="14" t="n">
        <x:v>-0.9</x:v>
      </x:c>
      <x:c r="F1828" s="14" t="n">
        <x:v>4.14</x:v>
      </x:c>
      <x:c r="G1828" s="17" t="n">
        <x:v>0</x:v>
      </x:c>
      <x:c r="H1828" s="14" t="str">
        <x:v>S05-09:B:original_handoff</x:v>
      </x:c>
    </x:row>
    <x:row r="1829" ht="72" customHeight="1">
      <x:c r="A1829" s="14" t="str">
        <x:v>S05-09:B:display_question</x:v>
      </x:c>
      <x:c r="B1829" s="14" t="str">
        <x:v>B</x:v>
      </x:c>
      <x:c r="C1829" s="14" t="str">
        <x:v>display_question</x:v>
      </x:c>
      <x:c r="D1829" s="14" t="n">
        <x:v>-0.9</x:v>
      </x:c>
      <x:c r="E1829" s="14" t="n">
        <x:v>-0.86</x:v>
      </x:c>
      <x:c r="F1829" s="14" t="n">
        <x:v>0.04</x:v>
      </x:c>
      <x:c r="G1829" s="17" t="n">
        <x:v>1</x:v>
      </x:c>
      <x:c r="H1829" s="14" t="str">
        <x:v>S05-09:B:source_question</x:v>
      </x:c>
    </x:row>
    <x:row r="1830" ht="72" customHeight="1">
      <x:c r="A1830" s="14" t="str">
        <x:v>S05-09:B:question_first</x:v>
      </x:c>
      <x:c r="B1830" s="14" t="str">
        <x:v>B</x:v>
      </x:c>
      <x:c r="C1830" s="14" t="str">
        <x:v>question_first</x:v>
      </x:c>
      <x:c r="D1830" s="14" t="n">
        <x:v>0.87</x:v>
      </x:c>
      <x:c r="E1830" s="14" t="n">
        <x:v>1.271</x:v>
      </x:c>
      <x:c r="F1830" s="14" t="n">
        <x:v>0.401</x:v>
      </x:c>
      <x:c r="G1830" s="17" t="n">
        <x:v>1</x:v>
      </x:c>
      <x:c r="H1830" s="14" t="str">
        <x:v>S05-09:B:apply_relation</x:v>
      </x:c>
    </x:row>
    <x:row r="1831" ht="72" customHeight="1">
      <x:c r="A1831" s="14" t="str">
        <x:v>S05-09:B:question_tail</x:v>
      </x:c>
      <x:c r="B1831" s="14" t="str">
        <x:v>B</x:v>
      </x:c>
      <x:c r="C1831" s="14" t="str">
        <x:v>question_tail</x:v>
      </x:c>
      <x:c r="D1831" s="14" t="n">
        <x:v>1.271</x:v>
      </x:c>
      <x:c r="E1831" s="14" t="n">
        <x:v>1.9315</x:v>
      </x:c>
      <x:c r="F1831" s="14" t="n">
        <x:v>0.6605</x:v>
      </x:c>
      <x:c r="G1831" s="17" t="n">
        <x:v>1</x:v>
      </x:c>
      <x:c r="H1831" s="14" t="str">
        <x:v>S05-09:B:question_first</x:v>
      </x:c>
    </x:row>
    <x:row r="1832" ht="72" customHeight="1">
      <x:c r="A1832" s="14" t="str">
        <x:v>S05-09:B:question_device</x:v>
      </x:c>
      <x:c r="B1832" s="14" t="str">
        <x:v>B</x:v>
      </x:c>
      <x:c r="C1832" s="14" t="str">
        <x:v>question_device</x:v>
      </x:c>
      <x:c r="D1832" s="14" t="n">
        <x:v>1.271</x:v>
      </x:c>
      <x:c r="E1832" s="14" t="n">
        <x:v>1.311</x:v>
      </x:c>
      <x:c r="F1832" s="14" t="n">
        <x:v>0.04</x:v>
      </x:c>
      <x:c r="G1832" s="17" t="n">
        <x:v>1</x:v>
      </x:c>
      <x:c r="H1832" s="14" t="str">
        <x:v>S05-09:B:apply_relation
S05-09:B:question_first</x:v>
      </x:c>
    </x:row>
    <x:row r="1833" ht="72" customHeight="1">
      <x:c r="A1833" s="14" t="str">
        <x:v>S05-09:B:question_played</x:v>
      </x:c>
      <x:c r="B1833" s="14" t="str">
        <x:v>B</x:v>
      </x:c>
      <x:c r="C1833" s="14" t="str">
        <x:v>question_played</x:v>
      </x:c>
      <x:c r="D1833" s="14" t="n">
        <x:v>1.311</x:v>
      </x:c>
      <x:c r="E1833" s="14" t="n">
        <x:v>4.153</x:v>
      </x:c>
      <x:c r="F1833" s="14" t="n">
        <x:v>2.842</x:v>
      </x:c>
      <x:c r="G1833" s="17" t="n">
        <x:v>0</x:v>
      </x:c>
      <x:c r="H1833" s="14" t="str">
        <x:v>S05-09:B:question_device</x:v>
      </x:c>
    </x:row>
    <x:row r="1834" ht="72" customHeight="1">
      <x:c r="A1834" s="14" t="str">
        <x:v>S05-09:B:resume_cached_device</x:v>
      </x:c>
      <x:c r="B1834" s="14" t="str">
        <x:v>B</x:v>
      </x:c>
      <x:c r="C1834" s="14" t="str">
        <x:v>resume_cached_device</x:v>
      </x:c>
      <x:c r="D1834" s="14" t="n">
        <x:v>4.153</x:v>
      </x:c>
      <x:c r="E1834" s="14" t="n">
        <x:v>4.193</x:v>
      </x:c>
      <x:c r="F1834" s="14" t="n">
        <x:v>0.04</x:v>
      </x:c>
      <x:c r="G1834" s="17" t="n">
        <x:v>1</x:v>
      </x:c>
      <x:c r="H1834" s="14" t="str">
        <x:v>S05-09:B:question_played
S05-09:B:long_report_first</x:v>
      </x:c>
    </x:row>
    <x:row r="1835" ht="72" customHeight="1">
      <x:c r="A1835" s="14" t="str">
        <x:v>S05-09:B:resume_cached_played</x:v>
      </x:c>
      <x:c r="B1835" s="14" t="str">
        <x:v>B</x:v>
      </x:c>
      <x:c r="C1835" s="14" t="str">
        <x:v>resume_cached_played</x:v>
      </x:c>
      <x:c r="D1835" s="14" t="n">
        <x:v>4.193</x:v>
      </x:c>
      <x:c r="E1835" s="14" t="n">
        <x:v>24.807000001</x:v>
      </x:c>
      <x:c r="F1835" s="14" t="n">
        <x:v>20.614000001</x:v>
      </x:c>
      <x:c r="G1835" s="17" t="n">
        <x:v>0</x:v>
      </x:c>
      <x:c r="H1835" s="14" t="str">
        <x:v>S05-09:B:resume_cached_device</x:v>
      </x:c>
    </x:row>
    <x:row r="1836" ht="72" customHeight="1">
      <x:c r="A1836" s="14" t="str">
        <x:v>S05-09:B:resume_suffix_first</x:v>
      </x:c>
      <x:c r="B1836" s="14" t="str">
        <x:v>B</x:v>
      </x:c>
      <x:c r="C1836" s="14" t="str">
        <x:v>resume_suffix_first</x:v>
      </x:c>
      <x:c r="D1836" s="14" t="n">
        <x:v>4.153</x:v>
      </x:c>
      <x:c r="E1836" s="14" t="n">
        <x:v>4.668333333</x:v>
      </x:c>
      <x:c r="F1836" s="14" t="n">
        <x:v>0.515333333</x:v>
      </x:c>
      <x:c r="G1836" s="17" t="n">
        <x:v>1</x:v>
      </x:c>
      <x:c r="H1836" s="14" t="str">
        <x:v>S05-09:B:question_played</x:v>
      </x:c>
    </x:row>
    <x:row r="1837" ht="72" customHeight="1">
      <x:c r="A1837" s="14" t="str">
        <x:v>S05-09:B:resume_suffix_tail</x:v>
      </x:c>
      <x:c r="B1837" s="14" t="str">
        <x:v>B</x:v>
      </x:c>
      <x:c r="C1837" s="14" t="str">
        <x:v>resume_suffix_tail</x:v>
      </x:c>
      <x:c r="D1837" s="14" t="n">
        <x:v>4.668333333</x:v>
      </x:c>
      <x:c r="E1837" s="14" t="n">
        <x:v>8.284166666</x:v>
      </x:c>
      <x:c r="F1837" s="14" t="n">
        <x:v>3.615833333</x:v>
      </x:c>
      <x:c r="G1837" s="17" t="n">
        <x:v>1</x:v>
      </x:c>
      <x:c r="H1837" s="14" t="str">
        <x:v>S05-09:B:resume_suffix_first</x:v>
      </x:c>
    </x:row>
    <x:row r="1838" ht="72" customHeight="1">
      <x:c r="A1838" s="14" t="str">
        <x:v>S05-09:B:resume_suffix_device</x:v>
      </x:c>
      <x:c r="B1838" s="14" t="str">
        <x:v>B</x:v>
      </x:c>
      <x:c r="C1838" s="14" t="str">
        <x:v>resume_suffix_device</x:v>
      </x:c>
      <x:c r="D1838" s="14" t="n">
        <x:v>24.807000001</x:v>
      </x:c>
      <x:c r="E1838" s="14" t="n">
        <x:v>24.847000001</x:v>
      </x:c>
      <x:c r="F1838" s="14" t="n">
        <x:v>0.04</x:v>
      </x:c>
      <x:c r="G1838" s="17" t="n">
        <x:v>1</x:v>
      </x:c>
      <x:c r="H1838" s="14" t="str">
        <x:v>S05-09:B:resume_cached_played
S05-09:B:resume_suffix_first</x:v>
      </x:c>
    </x:row>
    <x:row r="1839" ht="72" customHeight="1">
      <x:c r="A1839" s="14" t="str">
        <x:v>S05-09:B:resume_suffix_played</x:v>
      </x:c>
      <x:c r="B1839" s="14" t="str">
        <x:v>B</x:v>
      </x:c>
      <x:c r="C1839" s="14" t="str">
        <x:v>resume_suffix_played</x:v>
      </x:c>
      <x:c r="D1839" s="14" t="n">
        <x:v>24.847000001</x:v>
      </x:c>
      <x:c r="E1839" s="14" t="n">
        <x:v>39.510333333</x:v>
      </x:c>
      <x:c r="F1839" s="14" t="n">
        <x:v>14.663333332</x:v>
      </x:c>
      <x:c r="G1839" s="17" t="n">
        <x:v>0</x:v>
      </x:c>
      <x:c r="H1839" s="14" t="str">
        <x:v>S05-09:B:resume_suffix_device</x:v>
      </x:c>
    </x:row>
    <x:row r="1840" ht="72" customHeight="1">
      <x:c r="A1840" s="14" t="str">
        <x:v>S05-10:A:origin</x:v>
      </x:c>
      <x:c r="B1840" s="14" t="str">
        <x:v>A</x:v>
      </x:c>
      <x:c r="C1840" s="14" t="str">
        <x:v>origin</x:v>
      </x:c>
      <x:c r="D1840" s="14" t="n">
        <x:v>-6</x:v>
      </x:c>
      <x:c r="E1840" s="14" t="n">
        <x:v>-6</x:v>
      </x:c>
      <x:c r="F1840" s="14" t="n">
        <x:v>0</x:v>
      </x:c>
      <x:c r="G1840" s="17" t="n">
        <x:v>0</x:v>
      </x:c>
      <x:c r="H1840" s="14" t="str"/>
    </x:row>
    <x:row r="1841" ht="72" customHeight="1">
      <x:c r="A1841" s="14" t="str">
        <x:v>S05-10:A:origin_interpretation</x:v>
      </x:c>
      <x:c r="B1841" s="14" t="str">
        <x:v>A</x:v>
      </x:c>
      <x:c r="C1841" s="14" t="str">
        <x:v>origin_interpretation</x:v>
      </x:c>
      <x:c r="D1841" s="14" t="n">
        <x:v>-6</x:v>
      </x:c>
      <x:c r="E1841" s="14" t="n">
        <x:v>-5.16</x:v>
      </x:c>
      <x:c r="F1841" s="14" t="n">
        <x:v>0.84</x:v>
      </x:c>
      <x:c r="G1841" s="17" t="n">
        <x:v>1</x:v>
      </x:c>
      <x:c r="H1841" s="14" t="str">
        <x:v>S05-10:A:origin</x:v>
      </x:c>
    </x:row>
    <x:row r="1842" ht="72" customHeight="1">
      <x:c r="A1842" s="14" t="str">
        <x:v>S05-10:A:original_handoff</x:v>
      </x:c>
      <x:c r="B1842" s="14" t="str">
        <x:v>A</x:v>
      </x:c>
      <x:c r="C1842" s="14" t="str">
        <x:v>original_handoff</x:v>
      </x:c>
      <x:c r="D1842" s="14" t="n">
        <x:v>-5.16</x:v>
      </x:c>
      <x:c r="E1842" s="14" t="n">
        <x:v>-5.04</x:v>
      </x:c>
      <x:c r="F1842" s="14" t="n">
        <x:v>0.12</x:v>
      </x:c>
      <x:c r="G1842" s="17" t="n">
        <x:v>1</x:v>
      </x:c>
      <x:c r="H1842" s="14" t="str">
        <x:v>S05-10:A:origin_interpretation</x:v>
      </x:c>
    </x:row>
    <x:row r="1843" ht="72" customHeight="1">
      <x:c r="A1843" s="14" t="str">
        <x:v>S05-10:A:evaluation_utterance_end</x:v>
      </x:c>
      <x:c r="B1843" s="14" t="str">
        <x:v>A</x:v>
      </x:c>
      <x:c r="C1843" s="14" t="str">
        <x:v>evaluation_utterance_end</x:v>
      </x:c>
      <x:c r="D1843" s="14" t="n">
        <x:v>-6</x:v>
      </x:c>
      <x:c r="E1843" s="14" t="n">
        <x:v>0</x:v>
      </x:c>
      <x:c r="F1843" s="14" t="n">
        <x:v>6</x:v>
      </x:c>
      <x:c r="G1843" s="17" t="n">
        <x:v>0</x:v>
      </x:c>
      <x:c r="H1843" s="14" t="str">
        <x:v>S05-10:A:origin</x:v>
      </x:c>
    </x:row>
    <x:row r="1844" ht="72" customHeight="1">
      <x:c r="A1844" s="14" t="str">
        <x:v>S05-10:A:final_transcript</x:v>
      </x:c>
      <x:c r="B1844" s="14" t="str">
        <x:v>A</x:v>
      </x:c>
      <x:c r="C1844" s="14" t="str">
        <x:v>final_transcript</x:v>
      </x:c>
      <x:c r="D1844" s="14" t="n">
        <x:v>0</x:v>
      </x:c>
      <x:c r="E1844" s="14" t="n">
        <x:v>0.3</x:v>
      </x:c>
      <x:c r="F1844" s="14" t="n">
        <x:v>0.3</x:v>
      </x:c>
      <x:c r="G1844" s="17" t="n">
        <x:v>1</x:v>
      </x:c>
      <x:c r="H1844" s="14" t="str">
        <x:v>S05-10:A:evaluation_utterance_end</x:v>
      </x:c>
    </x:row>
    <x:row r="1845" ht="72" customHeight="1">
      <x:c r="A1845" s="14" t="str">
        <x:v>S05-10:A:meaning_adoption</x:v>
      </x:c>
      <x:c r="B1845" s="14" t="str">
        <x:v>A</x:v>
      </x:c>
      <x:c r="C1845" s="14" t="str">
        <x:v>meaning_adoption</x:v>
      </x:c>
      <x:c r="D1845" s="14" t="n">
        <x:v>0.3</x:v>
      </x:c>
      <x:c r="E1845" s="14" t="n">
        <x:v>0.858333333</x:v>
      </x:c>
      <x:c r="F1845" s="14" t="n">
        <x:v>0.558333333</x:v>
      </x:c>
      <x:c r="G1845" s="17" t="n">
        <x:v>1</x:v>
      </x:c>
      <x:c r="H1845" s="14" t="str">
        <x:v>S05-10:A:final_transcript
S05-10:A:origin_interpretation</x:v>
      </x:c>
    </x:row>
    <x:row r="1846" ht="72" customHeight="1">
      <x:c r="A1846" s="14" t="str">
        <x:v>S05-10:A:apply_relation</x:v>
      </x:c>
      <x:c r="B1846" s="14" t="str">
        <x:v>A</x:v>
      </x:c>
      <x:c r="C1846" s="14" t="str">
        <x:v>apply_relation</x:v>
      </x:c>
      <x:c r="D1846" s="14" t="n">
        <x:v>0.858333333</x:v>
      </x:c>
      <x:c r="E1846" s="14" t="n">
        <x:v>0.898333333</x:v>
      </x:c>
      <x:c r="F1846" s="14" t="n">
        <x:v>0.04</x:v>
      </x:c>
      <x:c r="G1846" s="17" t="n">
        <x:v>1</x:v>
      </x:c>
      <x:c r="H1846" s="14" t="str">
        <x:v>S05-10:A:meaning_adoption</x:v>
      </x:c>
    </x:row>
    <x:row r="1847" ht="72" customHeight="1">
      <x:c r="A1847" s="14" t="str">
        <x:v>S05-10:A:evaluation_first_display</x:v>
      </x:c>
      <x:c r="B1847" s="14" t="str">
        <x:v>A</x:v>
      </x:c>
      <x:c r="C1847" s="14" t="str">
        <x:v>evaluation_first_display</x:v>
      </x:c>
      <x:c r="D1847" s="14" t="n">
        <x:v>0.898333333</x:v>
      </x:c>
      <x:c r="E1847" s="14" t="n">
        <x:v>0.938333333</x:v>
      </x:c>
      <x:c r="F1847" s="14" t="n">
        <x:v>0.04</x:v>
      </x:c>
      <x:c r="G1847" s="17" t="n">
        <x:v>1</x:v>
      </x:c>
      <x:c r="H1847" s="14" t="str">
        <x:v>S05-10:A:apply_relation</x:v>
      </x:c>
    </x:row>
    <x:row r="1848" ht="72" customHeight="1">
      <x:c r="A1848" s="14" t="str">
        <x:v>S05-10:A:source_long_report</x:v>
      </x:c>
      <x:c r="B1848" s="14" t="str">
        <x:v>A</x:v>
      </x:c>
      <x:c r="C1848" s="14" t="str">
        <x:v>source_long_report</x:v>
      </x:c>
      <x:c r="D1848" s="14" t="n">
        <x:v>-5.04</x:v>
      </x:c>
      <x:c r="E1848" s="14" t="n">
        <x:v>-4.8</x:v>
      </x:c>
      <x:c r="F1848" s="14" t="n">
        <x:v>0.24</x:v>
      </x:c>
      <x:c r="G1848" s="17" t="n">
        <x:v>0</x:v>
      </x:c>
      <x:c r="H1848" s="14" t="str">
        <x:v>S05-10:A:original_handoff</x:v>
      </x:c>
    </x:row>
    <x:row r="1849" ht="72" customHeight="1">
      <x:c r="A1849" s="14" t="str">
        <x:v>S05-10:A:display_long_report</x:v>
      </x:c>
      <x:c r="B1849" s="14" t="str">
        <x:v>A</x:v>
      </x:c>
      <x:c r="C1849" s="14" t="str">
        <x:v>display_long_report</x:v>
      </x:c>
      <x:c r="D1849" s="14" t="n">
        <x:v>-4.8</x:v>
      </x:c>
      <x:c r="E1849" s="14" t="n">
        <x:v>-4.76</x:v>
      </x:c>
      <x:c r="F1849" s="14" t="n">
        <x:v>0.04</x:v>
      </x:c>
      <x:c r="G1849" s="17" t="n">
        <x:v>1</x:v>
      </x:c>
      <x:c r="H1849" s="14" t="str">
        <x:v>S05-10:A:source_long_report</x:v>
      </x:c>
    </x:row>
    <x:row r="1850" ht="72" customHeight="1">
      <x:c r="A1850" s="14" t="str">
        <x:v>S05-10:A:long_report_first</x:v>
      </x:c>
      <x:c r="B1850" s="14" t="str">
        <x:v>A</x:v>
      </x:c>
      <x:c r="C1850" s="14" t="str">
        <x:v>long_report_first</x:v>
      </x:c>
      <x:c r="D1850" s="14" t="n">
        <x:v>-4.8</x:v>
      </x:c>
      <x:c r="E1850" s="14" t="n">
        <x:v>-4.324666667</x:v>
      </x:c>
      <x:c r="F1850" s="14" t="n">
        <x:v>0.475333333</x:v>
      </x:c>
      <x:c r="G1850" s="17" t="n">
        <x:v>1</x:v>
      </x:c>
      <x:c r="H1850" s="14" t="str">
        <x:v>S05-10:A:source_long_report</x:v>
      </x:c>
    </x:row>
    <x:row r="1851" ht="72" customHeight="1">
      <x:c r="A1851" s="14" t="str">
        <x:v>S05-10:A:long_report_tail</x:v>
      </x:c>
      <x:c r="B1851" s="14" t="str">
        <x:v>A</x:v>
      </x:c>
      <x:c r="C1851" s="14" t="str">
        <x:v>long_report_tail</x:v>
      </x:c>
      <x:c r="D1851" s="14" t="n">
        <x:v>-4.324666667</x:v>
      </x:c>
      <x:c r="E1851" s="14" t="n">
        <x:v>4.638833333</x:v>
      </x:c>
      <x:c r="F1851" s="14" t="n">
        <x:v>8.9635</x:v>
      </x:c>
      <x:c r="G1851" s="17" t="n">
        <x:v>1</x:v>
      </x:c>
      <x:c r="H1851" s="14" t="str">
        <x:v>S05-10:A:long_report_first</x:v>
      </x:c>
    </x:row>
    <x:row r="1852" ht="72" customHeight="1">
      <x:c r="A1852" s="14" t="str">
        <x:v>S05-10:A:source_question</x:v>
      </x:c>
      <x:c r="B1852" s="14" t="str">
        <x:v>A</x:v>
      </x:c>
      <x:c r="C1852" s="14" t="str">
        <x:v>source_question</x:v>
      </x:c>
      <x:c r="D1852" s="14" t="n">
        <x:v>-5.04</x:v>
      </x:c>
      <x:c r="E1852" s="14" t="n">
        <x:v>-0.9</x:v>
      </x:c>
      <x:c r="F1852" s="14" t="n">
        <x:v>4.14</x:v>
      </x:c>
      <x:c r="G1852" s="17" t="n">
        <x:v>0</x:v>
      </x:c>
      <x:c r="H1852" s="14" t="str">
        <x:v>S05-10:A:original_handoff</x:v>
      </x:c>
    </x:row>
    <x:row r="1853" ht="72" customHeight="1">
      <x:c r="A1853" s="14" t="str">
        <x:v>S05-10:A:display_question</x:v>
      </x:c>
      <x:c r="B1853" s="14" t="str">
        <x:v>A</x:v>
      </x:c>
      <x:c r="C1853" s="14" t="str">
        <x:v>display_question</x:v>
      </x:c>
      <x:c r="D1853" s="14" t="n">
        <x:v>-0.9</x:v>
      </x:c>
      <x:c r="E1853" s="14" t="n">
        <x:v>-0.86</x:v>
      </x:c>
      <x:c r="F1853" s="14" t="n">
        <x:v>0.04</x:v>
      </x:c>
      <x:c r="G1853" s="17" t="n">
        <x:v>1</x:v>
      </x:c>
      <x:c r="H1853" s="14" t="str">
        <x:v>S05-10:A:source_question</x:v>
      </x:c>
    </x:row>
    <x:row r="1854" ht="72" customHeight="1">
      <x:c r="A1854" s="14" t="str">
        <x:v>S05-10:A:question_first</x:v>
      </x:c>
      <x:c r="B1854" s="14" t="str">
        <x:v>A</x:v>
      </x:c>
      <x:c r="C1854" s="14" t="str">
        <x:v>question_first</x:v>
      </x:c>
      <x:c r="D1854" s="14" t="n">
        <x:v>-0.9</x:v>
      </x:c>
      <x:c r="E1854" s="14" t="n">
        <x:v>-0.499</x:v>
      </x:c>
      <x:c r="F1854" s="14" t="n">
        <x:v>0.401</x:v>
      </x:c>
      <x:c r="G1854" s="17" t="n">
        <x:v>1</x:v>
      </x:c>
      <x:c r="H1854" s="14" t="str">
        <x:v>S05-10:A:source_question</x:v>
      </x:c>
    </x:row>
    <x:row r="1855" ht="72" customHeight="1">
      <x:c r="A1855" s="14" t="str">
        <x:v>S05-10:A:question_tail</x:v>
      </x:c>
      <x:c r="B1855" s="14" t="str">
        <x:v>A</x:v>
      </x:c>
      <x:c r="C1855" s="14" t="str">
        <x:v>question_tail</x:v>
      </x:c>
      <x:c r="D1855" s="14" t="n">
        <x:v>-0.499</x:v>
      </x:c>
      <x:c r="E1855" s="14" t="n">
        <x:v>0.1645</x:v>
      </x:c>
      <x:c r="F1855" s="14" t="n">
        <x:v>0.6635</x:v>
      </x:c>
      <x:c r="G1855" s="17" t="n">
        <x:v>1</x:v>
      </x:c>
      <x:c r="H1855" s="14" t="str">
        <x:v>S05-10:A:question_first</x:v>
      </x:c>
    </x:row>
    <x:row r="1856" ht="72" customHeight="1">
      <x:c r="A1856" s="14" t="str">
        <x:v>S05-10:A:question_device</x:v>
      </x:c>
      <x:c r="B1856" s="14" t="str">
        <x:v>A</x:v>
      </x:c>
      <x:c r="C1856" s="14" t="str">
        <x:v>question_device</x:v>
      </x:c>
      <x:c r="D1856" s="14" t="n">
        <x:v>0.898333333</x:v>
      </x:c>
      <x:c r="E1856" s="14" t="n">
        <x:v>0.938333333</x:v>
      </x:c>
      <x:c r="F1856" s="14" t="n">
        <x:v>0.04</x:v>
      </x:c>
      <x:c r="G1856" s="17" t="n">
        <x:v>1</x:v>
      </x:c>
      <x:c r="H1856" s="14" t="str">
        <x:v>S05-10:A:apply_relation
S05-10:A:question_first</x:v>
      </x:c>
    </x:row>
    <x:row r="1857" ht="72" customHeight="1">
      <x:c r="A1857" s="14" t="str">
        <x:v>S05-10:A:question_played</x:v>
      </x:c>
      <x:c r="B1857" s="14" t="str">
        <x:v>A</x:v>
      </x:c>
      <x:c r="C1857" s="14" t="str">
        <x:v>question_played</x:v>
      </x:c>
      <x:c r="D1857" s="14" t="n">
        <x:v>0.938333333</x:v>
      </x:c>
      <x:c r="E1857" s="14" t="n">
        <x:v>3.792333333</x:v>
      </x:c>
      <x:c r="F1857" s="14" t="n">
        <x:v>2.854</x:v>
      </x:c>
      <x:c r="G1857" s="17" t="n">
        <x:v>0</x:v>
      </x:c>
      <x:c r="H1857" s="14" t="str">
        <x:v>S05-10:A:question_device</x:v>
      </x:c>
    </x:row>
    <x:row r="1858" ht="72" customHeight="1">
      <x:c r="A1858" s="14" t="str">
        <x:v>S05-10:A:resume_report_device</x:v>
      </x:c>
      <x:c r="B1858" s="14" t="str">
        <x:v>A</x:v>
      </x:c>
      <x:c r="C1858" s="14" t="str">
        <x:v>resume_report_device</x:v>
      </x:c>
      <x:c r="D1858" s="14" t="n">
        <x:v>3.792333333</x:v>
      </x:c>
      <x:c r="E1858" s="14" t="n">
        <x:v>3.832333333</x:v>
      </x:c>
      <x:c r="F1858" s="14" t="n">
        <x:v>0.04</x:v>
      </x:c>
      <x:c r="G1858" s="17" t="n">
        <x:v>1</x:v>
      </x:c>
      <x:c r="H1858" s="14" t="str">
        <x:v>S05-10:A:question_played
S05-10:A:long_report_first</x:v>
      </x:c>
    </x:row>
    <x:row r="1859" ht="72" customHeight="1">
      <x:c r="A1859" s="14" t="str">
        <x:v>S05-10:A:resume_report_played</x:v>
      </x:c>
      <x:c r="B1859" s="14" t="str">
        <x:v>A</x:v>
      </x:c>
      <x:c r="C1859" s="14" t="str">
        <x:v>resume_report_played</x:v>
      </x:c>
      <x:c r="D1859" s="14" t="n">
        <x:v>3.832333333</x:v>
      </x:c>
      <x:c r="E1859" s="14" t="n">
        <x:v>39.121666666</x:v>
      </x:c>
      <x:c r="F1859" s="14" t="n">
        <x:v>35.289333333</x:v>
      </x:c>
      <x:c r="G1859" s="17" t="n">
        <x:v>0</x:v>
      </x:c>
      <x:c r="H1859" s="14" t="str">
        <x:v>S05-10:A:resume_report_device</x:v>
      </x:c>
    </x:row>
    <x:row r="1860" ht="72" customHeight="1">
      <x:c r="A1860" s="14" t="str">
        <x:v>S05-10:B:origin</x:v>
      </x:c>
      <x:c r="B1860" s="14" t="str">
        <x:v>B</x:v>
      </x:c>
      <x:c r="C1860" s="14" t="str">
        <x:v>origin</x:v>
      </x:c>
      <x:c r="D1860" s="14" t="n">
        <x:v>-6</x:v>
      </x:c>
      <x:c r="E1860" s="14" t="n">
        <x:v>-6</x:v>
      </x:c>
      <x:c r="F1860" s="14" t="n">
        <x:v>0</x:v>
      </x:c>
      <x:c r="G1860" s="17" t="n">
        <x:v>0</x:v>
      </x:c>
      <x:c r="H1860" s="14" t="str"/>
    </x:row>
    <x:row r="1861" ht="72" customHeight="1">
      <x:c r="A1861" s="14" t="str">
        <x:v>S05-10:B:origin_interpretation</x:v>
      </x:c>
      <x:c r="B1861" s="14" t="str">
        <x:v>B</x:v>
      </x:c>
      <x:c r="C1861" s="14" t="str">
        <x:v>origin_interpretation</x:v>
      </x:c>
      <x:c r="D1861" s="14" t="n">
        <x:v>-6</x:v>
      </x:c>
      <x:c r="E1861" s="14" t="n">
        <x:v>-5.16</x:v>
      </x:c>
      <x:c r="F1861" s="14" t="n">
        <x:v>0.84</x:v>
      </x:c>
      <x:c r="G1861" s="17" t="n">
        <x:v>1</x:v>
      </x:c>
      <x:c r="H1861" s="14" t="str">
        <x:v>S05-10:B:origin</x:v>
      </x:c>
    </x:row>
    <x:row r="1862" ht="72" customHeight="1">
      <x:c r="A1862" s="14" t="str">
        <x:v>S05-10:B:original_handoff</x:v>
      </x:c>
      <x:c r="B1862" s="14" t="str">
        <x:v>B</x:v>
      </x:c>
      <x:c r="C1862" s="14" t="str">
        <x:v>original_handoff</x:v>
      </x:c>
      <x:c r="D1862" s="14" t="n">
        <x:v>-5.16</x:v>
      </x:c>
      <x:c r="E1862" s="14" t="n">
        <x:v>-5.04</x:v>
      </x:c>
      <x:c r="F1862" s="14" t="n">
        <x:v>0.12</x:v>
      </x:c>
      <x:c r="G1862" s="17" t="n">
        <x:v>1</x:v>
      </x:c>
      <x:c r="H1862" s="14" t="str">
        <x:v>S05-10:B:origin_interpretation</x:v>
      </x:c>
    </x:row>
    <x:row r="1863" ht="72" customHeight="1">
      <x:c r="A1863" s="14" t="str">
        <x:v>S05-10:B:evaluation_utterance_end</x:v>
      </x:c>
      <x:c r="B1863" s="14" t="str">
        <x:v>B</x:v>
      </x:c>
      <x:c r="C1863" s="14" t="str">
        <x:v>evaluation_utterance_end</x:v>
      </x:c>
      <x:c r="D1863" s="14" t="n">
        <x:v>-6</x:v>
      </x:c>
      <x:c r="E1863" s="14" t="n">
        <x:v>0</x:v>
      </x:c>
      <x:c r="F1863" s="14" t="n">
        <x:v>6</x:v>
      </x:c>
      <x:c r="G1863" s="17" t="n">
        <x:v>0</x:v>
      </x:c>
      <x:c r="H1863" s="14" t="str">
        <x:v>S05-10:B:origin</x:v>
      </x:c>
    </x:row>
    <x:row r="1864" ht="72" customHeight="1">
      <x:c r="A1864" s="14" t="str">
        <x:v>S05-10:B:final_transcript</x:v>
      </x:c>
      <x:c r="B1864" s="14" t="str">
        <x:v>B</x:v>
      </x:c>
      <x:c r="C1864" s="14" t="str">
        <x:v>final_transcript</x:v>
      </x:c>
      <x:c r="D1864" s="14" t="n">
        <x:v>0</x:v>
      </x:c>
      <x:c r="E1864" s="14" t="n">
        <x:v>0.3</x:v>
      </x:c>
      <x:c r="F1864" s="14" t="n">
        <x:v>0.3</x:v>
      </x:c>
      <x:c r="G1864" s="17" t="n">
        <x:v>1</x:v>
      </x:c>
      <x:c r="H1864" s="14" t="str">
        <x:v>S05-10:B:evaluation_utterance_end</x:v>
      </x:c>
    </x:row>
    <x:row r="1865" ht="72" customHeight="1">
      <x:c r="A1865" s="14" t="str">
        <x:v>S05-10:B:meaning_adoption</x:v>
      </x:c>
      <x:c r="B1865" s="14" t="str">
        <x:v>B</x:v>
      </x:c>
      <x:c r="C1865" s="14" t="str">
        <x:v>meaning_adoption</x:v>
      </x:c>
      <x:c r="D1865" s="14" t="n">
        <x:v>0.3</x:v>
      </x:c>
      <x:c r="E1865" s="14" t="n">
        <x:v>0.858333333</x:v>
      </x:c>
      <x:c r="F1865" s="14" t="n">
        <x:v>0.558333333</x:v>
      </x:c>
      <x:c r="G1865" s="17" t="n">
        <x:v>1</x:v>
      </x:c>
      <x:c r="H1865" s="14" t="str">
        <x:v>S05-10:B:final_transcript
S05-10:B:origin_interpretation</x:v>
      </x:c>
    </x:row>
    <x:row r="1866" ht="72" customHeight="1">
      <x:c r="A1866" s="14" t="str">
        <x:v>S05-10:B:apply_relation</x:v>
      </x:c>
      <x:c r="B1866" s="14" t="str">
        <x:v>B</x:v>
      </x:c>
      <x:c r="C1866" s="14" t="str">
        <x:v>apply_relation</x:v>
      </x:c>
      <x:c r="D1866" s="14" t="n">
        <x:v>0.858333333</x:v>
      </x:c>
      <x:c r="E1866" s="14" t="n">
        <x:v>0.898333333</x:v>
      </x:c>
      <x:c r="F1866" s="14" t="n">
        <x:v>0.04</x:v>
      </x:c>
      <x:c r="G1866" s="17" t="n">
        <x:v>1</x:v>
      </x:c>
      <x:c r="H1866" s="14" t="str">
        <x:v>S05-10:B:meaning_adoption</x:v>
      </x:c>
    </x:row>
    <x:row r="1867" ht="72" customHeight="1">
      <x:c r="A1867" s="14" t="str">
        <x:v>S05-10:B:evaluation_first_display</x:v>
      </x:c>
      <x:c r="B1867" s="14" t="str">
        <x:v>B</x:v>
      </x:c>
      <x:c r="C1867" s="14" t="str">
        <x:v>evaluation_first_display</x:v>
      </x:c>
      <x:c r="D1867" s="14" t="n">
        <x:v>0.898333333</x:v>
      </x:c>
      <x:c r="E1867" s="14" t="n">
        <x:v>0.938333333</x:v>
      </x:c>
      <x:c r="F1867" s="14" t="n">
        <x:v>0.04</x:v>
      </x:c>
      <x:c r="G1867" s="17" t="n">
        <x:v>1</x:v>
      </x:c>
      <x:c r="H1867" s="14" t="str">
        <x:v>S05-10:B:apply_relation</x:v>
      </x:c>
    </x:row>
    <x:row r="1868" ht="72" customHeight="1">
      <x:c r="A1868" s="14" t="str">
        <x:v>S05-10:B:source_long_report</x:v>
      </x:c>
      <x:c r="B1868" s="14" t="str">
        <x:v>B</x:v>
      </x:c>
      <x:c r="C1868" s="14" t="str">
        <x:v>source_long_report</x:v>
      </x:c>
      <x:c r="D1868" s="14" t="n">
        <x:v>-5.04</x:v>
      </x:c>
      <x:c r="E1868" s="14" t="n">
        <x:v>-4.8</x:v>
      </x:c>
      <x:c r="F1868" s="14" t="n">
        <x:v>0.24</x:v>
      </x:c>
      <x:c r="G1868" s="17" t="n">
        <x:v>0</x:v>
      </x:c>
      <x:c r="H1868" s="14" t="str">
        <x:v>S05-10:B:original_handoff</x:v>
      </x:c>
    </x:row>
    <x:row r="1869" ht="72" customHeight="1">
      <x:c r="A1869" s="14" t="str">
        <x:v>S05-10:B:display_long_report</x:v>
      </x:c>
      <x:c r="B1869" s="14" t="str">
        <x:v>B</x:v>
      </x:c>
      <x:c r="C1869" s="14" t="str">
        <x:v>display_long_report</x:v>
      </x:c>
      <x:c r="D1869" s="14" t="n">
        <x:v>-4.8</x:v>
      </x:c>
      <x:c r="E1869" s="14" t="n">
        <x:v>-4.76</x:v>
      </x:c>
      <x:c r="F1869" s="14" t="n">
        <x:v>0.04</x:v>
      </x:c>
      <x:c r="G1869" s="17" t="n">
        <x:v>1</x:v>
      </x:c>
      <x:c r="H1869" s="14" t="str">
        <x:v>S05-10:B:source_long_report</x:v>
      </x:c>
    </x:row>
    <x:row r="1870" ht="72" customHeight="1">
      <x:c r="A1870" s="14" t="str">
        <x:v>S05-10:B:long_report_first</x:v>
      </x:c>
      <x:c r="B1870" s="14" t="str">
        <x:v>B</x:v>
      </x:c>
      <x:c r="C1870" s="14" t="str">
        <x:v>long_report_first</x:v>
      </x:c>
      <x:c r="D1870" s="14" t="n">
        <x:v>-4.8</x:v>
      </x:c>
      <x:c r="E1870" s="14" t="n">
        <x:v>-4.324666667</x:v>
      </x:c>
      <x:c r="F1870" s="14" t="n">
        <x:v>0.475333333</x:v>
      </x:c>
      <x:c r="G1870" s="17" t="n">
        <x:v>1</x:v>
      </x:c>
      <x:c r="H1870" s="14" t="str">
        <x:v>S05-10:B:source_long_report</x:v>
      </x:c>
    </x:row>
    <x:row r="1871" ht="72" customHeight="1">
      <x:c r="A1871" s="14" t="str">
        <x:v>S05-10:B:long_report_tail</x:v>
      </x:c>
      <x:c r="B1871" s="14" t="str">
        <x:v>B</x:v>
      </x:c>
      <x:c r="C1871" s="14" t="str">
        <x:v>long_report_tail</x:v>
      </x:c>
      <x:c r="D1871" s="14" t="n">
        <x:v>-4.324666667</x:v>
      </x:c>
      <x:c r="E1871" s="14" t="n">
        <x:v>0.998333333</x:v>
      </x:c>
      <x:c r="F1871" s="14" t="n">
        <x:v>5.323</x:v>
      </x:c>
      <x:c r="G1871" s="17" t="n">
        <x:v>1</x:v>
      </x:c>
      <x:c r="H1871" s="14" t="str">
        <x:v>S05-10:B:long_report_first</x:v>
      </x:c>
    </x:row>
    <x:row r="1872" ht="72" customHeight="1">
      <x:c r="A1872" s="14" t="str">
        <x:v>S05-10:B:source_question</x:v>
      </x:c>
      <x:c r="B1872" s="14" t="str">
        <x:v>B</x:v>
      </x:c>
      <x:c r="C1872" s="14" t="str">
        <x:v>source_question</x:v>
      </x:c>
      <x:c r="D1872" s="14" t="n">
        <x:v>-5.04</x:v>
      </x:c>
      <x:c r="E1872" s="14" t="n">
        <x:v>-0.9</x:v>
      </x:c>
      <x:c r="F1872" s="14" t="n">
        <x:v>4.14</x:v>
      </x:c>
      <x:c r="G1872" s="17" t="n">
        <x:v>0</x:v>
      </x:c>
      <x:c r="H1872" s="14" t="str">
        <x:v>S05-10:B:original_handoff</x:v>
      </x:c>
    </x:row>
    <x:row r="1873" ht="72" customHeight="1">
      <x:c r="A1873" s="14" t="str">
        <x:v>S05-10:B:display_question</x:v>
      </x:c>
      <x:c r="B1873" s="14" t="str">
        <x:v>B</x:v>
      </x:c>
      <x:c r="C1873" s="14" t="str">
        <x:v>display_question</x:v>
      </x:c>
      <x:c r="D1873" s="14" t="n">
        <x:v>-0.9</x:v>
      </x:c>
      <x:c r="E1873" s="14" t="n">
        <x:v>-0.86</x:v>
      </x:c>
      <x:c r="F1873" s="14" t="n">
        <x:v>0.04</x:v>
      </x:c>
      <x:c r="G1873" s="17" t="n">
        <x:v>1</x:v>
      </x:c>
      <x:c r="H1873" s="14" t="str">
        <x:v>S05-10:B:source_question</x:v>
      </x:c>
    </x:row>
    <x:row r="1874" ht="72" customHeight="1">
      <x:c r="A1874" s="14" t="str">
        <x:v>S05-10:B:question_first</x:v>
      </x:c>
      <x:c r="B1874" s="14" t="str">
        <x:v>B</x:v>
      </x:c>
      <x:c r="C1874" s="14" t="str">
        <x:v>question_first</x:v>
      </x:c>
      <x:c r="D1874" s="14" t="n">
        <x:v>0.898333333</x:v>
      </x:c>
      <x:c r="E1874" s="14" t="n">
        <x:v>1.299333333</x:v>
      </x:c>
      <x:c r="F1874" s="14" t="n">
        <x:v>0.401</x:v>
      </x:c>
      <x:c r="G1874" s="17" t="n">
        <x:v>1</x:v>
      </x:c>
      <x:c r="H1874" s="14" t="str">
        <x:v>S05-10:B:apply_relation</x:v>
      </x:c>
    </x:row>
    <x:row r="1875" ht="72" customHeight="1">
      <x:c r="A1875" s="14" t="str">
        <x:v>S05-10:B:question_tail</x:v>
      </x:c>
      <x:c r="B1875" s="14" t="str">
        <x:v>B</x:v>
      </x:c>
      <x:c r="C1875" s="14" t="str">
        <x:v>question_tail</x:v>
      </x:c>
      <x:c r="D1875" s="14" t="n">
        <x:v>1.299333333</x:v>
      </x:c>
      <x:c r="E1875" s="14" t="n">
        <x:v>1.962833333</x:v>
      </x:c>
      <x:c r="F1875" s="14" t="n">
        <x:v>0.6635</x:v>
      </x:c>
      <x:c r="G1875" s="17" t="n">
        <x:v>1</x:v>
      </x:c>
      <x:c r="H1875" s="14" t="str">
        <x:v>S05-10:B:question_first</x:v>
      </x:c>
    </x:row>
    <x:row r="1876" ht="72" customHeight="1">
      <x:c r="A1876" s="14" t="str">
        <x:v>S05-10:B:question_device</x:v>
      </x:c>
      <x:c r="B1876" s="14" t="str">
        <x:v>B</x:v>
      </x:c>
      <x:c r="C1876" s="14" t="str">
        <x:v>question_device</x:v>
      </x:c>
      <x:c r="D1876" s="14" t="n">
        <x:v>1.299333333</x:v>
      </x:c>
      <x:c r="E1876" s="14" t="n">
        <x:v>1.339333333</x:v>
      </x:c>
      <x:c r="F1876" s="14" t="n">
        <x:v>0.04</x:v>
      </x:c>
      <x:c r="G1876" s="17" t="n">
        <x:v>1</x:v>
      </x:c>
      <x:c r="H1876" s="14" t="str">
        <x:v>S05-10:B:apply_relation
S05-10:B:question_first</x:v>
      </x:c>
    </x:row>
    <x:row r="1877" ht="72" customHeight="1">
      <x:c r="A1877" s="14" t="str">
        <x:v>S05-10:B:question_played</x:v>
      </x:c>
      <x:c r="B1877" s="14" t="str">
        <x:v>B</x:v>
      </x:c>
      <x:c r="C1877" s="14" t="str">
        <x:v>question_played</x:v>
      </x:c>
      <x:c r="D1877" s="14" t="n">
        <x:v>1.339333333</x:v>
      </x:c>
      <x:c r="E1877" s="14" t="n">
        <x:v>4.193333333</x:v>
      </x:c>
      <x:c r="F1877" s="14" t="n">
        <x:v>2.854</x:v>
      </x:c>
      <x:c r="G1877" s="17" t="n">
        <x:v>0</x:v>
      </x:c>
      <x:c r="H1877" s="14" t="str">
        <x:v>S05-10:B:question_device</x:v>
      </x:c>
    </x:row>
    <x:row r="1878" ht="72" customHeight="1">
      <x:c r="A1878" s="14" t="str">
        <x:v>S05-10:B:resume_cached_device</x:v>
      </x:c>
      <x:c r="B1878" s="14" t="str">
        <x:v>B</x:v>
      </x:c>
      <x:c r="C1878" s="14" t="str">
        <x:v>resume_cached_device</x:v>
      </x:c>
      <x:c r="D1878" s="14" t="n">
        <x:v>4.193333333</x:v>
      </x:c>
      <x:c r="E1878" s="14" t="n">
        <x:v>4.233333333</x:v>
      </x:c>
      <x:c r="F1878" s="14" t="n">
        <x:v>0.04</x:v>
      </x:c>
      <x:c r="G1878" s="17" t="n">
        <x:v>1</x:v>
      </x:c>
      <x:c r="H1878" s="14" t="str">
        <x:v>S05-10:B:question_played
S05-10:B:long_report_first</x:v>
      </x:c>
    </x:row>
    <x:row r="1879" ht="72" customHeight="1">
      <x:c r="A1879" s="14" t="str">
        <x:v>S05-10:B:resume_cached_played</x:v>
      </x:c>
      <x:c r="B1879" s="14" t="str">
        <x:v>B</x:v>
      </x:c>
      <x:c r="C1879" s="14" t="str">
        <x:v>resume_cached_played</x:v>
      </x:c>
      <x:c r="D1879" s="14" t="n">
        <x:v>4.233333333</x:v>
      </x:c>
      <x:c r="E1879" s="14" t="n">
        <x:v>24.960666666</x:v>
      </x:c>
      <x:c r="F1879" s="14" t="n">
        <x:v>20.727333333</x:v>
      </x:c>
      <x:c r="G1879" s="17" t="n">
        <x:v>0</x:v>
      </x:c>
      <x:c r="H1879" s="14" t="str">
        <x:v>S05-10:B:resume_cached_device</x:v>
      </x:c>
    </x:row>
    <x:row r="1880" ht="72" customHeight="1">
      <x:c r="A1880" s="14" t="str">
        <x:v>S05-10:B:resume_suffix_first</x:v>
      </x:c>
      <x:c r="B1880" s="14" t="str">
        <x:v>B</x:v>
      </x:c>
      <x:c r="C1880" s="14" t="str">
        <x:v>resume_suffix_first</x:v>
      </x:c>
      <x:c r="D1880" s="14" t="n">
        <x:v>4.193333333</x:v>
      </x:c>
      <x:c r="E1880" s="14" t="n">
        <x:v>4.708666666</x:v>
      </x:c>
      <x:c r="F1880" s="14" t="n">
        <x:v>0.515333333</x:v>
      </x:c>
      <x:c r="G1880" s="17" t="n">
        <x:v>1</x:v>
      </x:c>
      <x:c r="H1880" s="14" t="str">
        <x:v>S05-10:B:question_played</x:v>
      </x:c>
    </x:row>
    <x:row r="1881" ht="72" customHeight="1">
      <x:c r="A1881" s="14" t="str">
        <x:v>S05-10:B:resume_suffix_tail</x:v>
      </x:c>
      <x:c r="B1881" s="14" t="str">
        <x:v>B</x:v>
      </x:c>
      <x:c r="C1881" s="14" t="str">
        <x:v>resume_suffix_tail</x:v>
      </x:c>
      <x:c r="D1881" s="14" t="n">
        <x:v>4.708666666</x:v>
      </x:c>
      <x:c r="E1881" s="14" t="n">
        <x:v>8.299166666</x:v>
      </x:c>
      <x:c r="F1881" s="14" t="n">
        <x:v>3.5905</x:v>
      </x:c>
      <x:c r="G1881" s="17" t="n">
        <x:v>1</x:v>
      </x:c>
      <x:c r="H1881" s="14" t="str">
        <x:v>S05-10:B:resume_suffix_first</x:v>
      </x:c>
    </x:row>
    <x:row r="1882" ht="72" customHeight="1">
      <x:c r="A1882" s="14" t="str">
        <x:v>S05-10:B:resume_suffix_device</x:v>
      </x:c>
      <x:c r="B1882" s="14" t="str">
        <x:v>B</x:v>
      </x:c>
      <x:c r="C1882" s="14" t="str">
        <x:v>resume_suffix_device</x:v>
      </x:c>
      <x:c r="D1882" s="14" t="n">
        <x:v>24.960666666</x:v>
      </x:c>
      <x:c r="E1882" s="14" t="n">
        <x:v>25.000666666</x:v>
      </x:c>
      <x:c r="F1882" s="14" t="n">
        <x:v>0.04</x:v>
      </x:c>
      <x:c r="G1882" s="17" t="n">
        <x:v>1</x:v>
      </x:c>
      <x:c r="H1882" s="14" t="str">
        <x:v>S05-10:B:resume_cached_played
S05-10:B:resume_suffix_first</x:v>
      </x:c>
    </x:row>
    <x:row r="1883" ht="72" customHeight="1">
      <x:c r="A1883" s="14" t="str">
        <x:v>S05-10:B:resume_suffix_played</x:v>
      </x:c>
      <x:c r="B1883" s="14" t="str">
        <x:v>B</x:v>
      </x:c>
      <x:c r="C1883" s="14" t="str">
        <x:v>resume_suffix_played</x:v>
      </x:c>
      <x:c r="D1883" s="14" t="n">
        <x:v>25.000666666</x:v>
      </x:c>
      <x:c r="E1883" s="14" t="n">
        <x:v>39.562666666</x:v>
      </x:c>
      <x:c r="F1883" s="14" t="n">
        <x:v>14.562</x:v>
      </x:c>
      <x:c r="G1883" s="17" t="n">
        <x:v>0</x:v>
      </x:c>
      <x:c r="H1883" s="14" t="str">
        <x:v>S05-10:B:resume_suffix_device</x:v>
      </x:c>
    </x:row>
    <x:row r="1884" ht="72" customHeight="1">
      <x:c r="A1884" s="14" t="str">
        <x:v>S06-01:A:origin</x:v>
      </x:c>
      <x:c r="B1884" s="14" t="str">
        <x:v>A</x:v>
      </x:c>
      <x:c r="C1884" s="14" t="str">
        <x:v>origin</x:v>
      </x:c>
      <x:c r="D1884" s="14" t="n">
        <x:v>-6</x:v>
      </x:c>
      <x:c r="E1884" s="14" t="n">
        <x:v>-6</x:v>
      </x:c>
      <x:c r="F1884" s="14" t="n">
        <x:v>0</x:v>
      </x:c>
      <x:c r="G1884" s="17" t="n">
        <x:v>0</x:v>
      </x:c>
      <x:c r="H1884" s="14" t="str"/>
    </x:row>
    <x:row r="1885" ht="72" customHeight="1">
      <x:c r="A1885" s="14" t="str">
        <x:v>S06-01:A:origin_interpretation</x:v>
      </x:c>
      <x:c r="B1885" s="14" t="str">
        <x:v>A</x:v>
      </x:c>
      <x:c r="C1885" s="14" t="str">
        <x:v>origin_interpretation</x:v>
      </x:c>
      <x:c r="D1885" s="14" t="n">
        <x:v>-6</x:v>
      </x:c>
      <x:c r="E1885" s="14" t="n">
        <x:v>-5.16</x:v>
      </x:c>
      <x:c r="F1885" s="14" t="n">
        <x:v>0.84</x:v>
      </x:c>
      <x:c r="G1885" s="17" t="n">
        <x:v>1</x:v>
      </x:c>
      <x:c r="H1885" s="14" t="str">
        <x:v>S06-01:A:origin</x:v>
      </x:c>
    </x:row>
    <x:row r="1886" ht="72" customHeight="1">
      <x:c r="A1886" s="14" t="str">
        <x:v>S06-01:A:original_handoff</x:v>
      </x:c>
      <x:c r="B1886" s="14" t="str">
        <x:v>A</x:v>
      </x:c>
      <x:c r="C1886" s="14" t="str">
        <x:v>original_handoff</x:v>
      </x:c>
      <x:c r="D1886" s="14" t="n">
        <x:v>-5.16</x:v>
      </x:c>
      <x:c r="E1886" s="14" t="n">
        <x:v>-5.04</x:v>
      </x:c>
      <x:c r="F1886" s="14" t="n">
        <x:v>0.12</x:v>
      </x:c>
      <x:c r="G1886" s="17" t="n">
        <x:v>1</x:v>
      </x:c>
      <x:c r="H1886" s="14" t="str">
        <x:v>S06-01:A:origin_interpretation</x:v>
      </x:c>
    </x:row>
    <x:row r="1887" ht="72" customHeight="1">
      <x:c r="A1887" s="14" t="str">
        <x:v>S06-01:A:evaluation_utterance_end</x:v>
      </x:c>
      <x:c r="B1887" s="14" t="str">
        <x:v>A</x:v>
      </x:c>
      <x:c r="C1887" s="14" t="str">
        <x:v>evaluation_utterance_end</x:v>
      </x:c>
      <x:c r="D1887" s="14" t="n">
        <x:v>-6</x:v>
      </x:c>
      <x:c r="E1887" s="14" t="n">
        <x:v>0</x:v>
      </x:c>
      <x:c r="F1887" s="14" t="n">
        <x:v>6</x:v>
      </x:c>
      <x:c r="G1887" s="17" t="n">
        <x:v>0</x:v>
      </x:c>
      <x:c r="H1887" s="14" t="str">
        <x:v>S06-01:A:origin</x:v>
      </x:c>
    </x:row>
    <x:row r="1888" ht="72" customHeight="1">
      <x:c r="A1888" s="14" t="str">
        <x:v>S06-01:A:final_transcript</x:v>
      </x:c>
      <x:c r="B1888" s="14" t="str">
        <x:v>A</x:v>
      </x:c>
      <x:c r="C1888" s="14" t="str">
        <x:v>final_transcript</x:v>
      </x:c>
      <x:c r="D1888" s="14" t="n">
        <x:v>0</x:v>
      </x:c>
      <x:c r="E1888" s="14" t="n">
        <x:v>0.3</x:v>
      </x:c>
      <x:c r="F1888" s="14" t="n">
        <x:v>0.3</x:v>
      </x:c>
      <x:c r="G1888" s="17" t="n">
        <x:v>1</x:v>
      </x:c>
      <x:c r="H1888" s="14" t="str">
        <x:v>S06-01:A:evaluation_utterance_end</x:v>
      </x:c>
    </x:row>
    <x:row r="1889" ht="72" customHeight="1">
      <x:c r="A1889" s="14" t="str">
        <x:v>S06-01:A:meaning_adoption</x:v>
      </x:c>
      <x:c r="B1889" s="14" t="str">
        <x:v>A</x:v>
      </x:c>
      <x:c r="C1889" s="14" t="str">
        <x:v>meaning_adoption</x:v>
      </x:c>
      <x:c r="D1889" s="14" t="n">
        <x:v>0.3</x:v>
      </x:c>
      <x:c r="E1889" s="14" t="n">
        <x:v>0.828333333</x:v>
      </x:c>
      <x:c r="F1889" s="14" t="n">
        <x:v>0.528333333</x:v>
      </x:c>
      <x:c r="G1889" s="17" t="n">
        <x:v>1</x:v>
      </x:c>
      <x:c r="H1889" s="14" t="str">
        <x:v>S06-01:A:final_transcript
S06-01:A:origin_interpretation</x:v>
      </x:c>
    </x:row>
    <x:row r="1890" ht="72" customHeight="1">
      <x:c r="A1890" s="14" t="str">
        <x:v>S06-01:A:apply_relation</x:v>
      </x:c>
      <x:c r="B1890" s="14" t="str">
        <x:v>A</x:v>
      </x:c>
      <x:c r="C1890" s="14" t="str">
        <x:v>apply_relation</x:v>
      </x:c>
      <x:c r="D1890" s="14" t="n">
        <x:v>0.828333333</x:v>
      </x:c>
      <x:c r="E1890" s="14" t="n">
        <x:v>0.868333333</x:v>
      </x:c>
      <x:c r="F1890" s="14" t="n">
        <x:v>0.04</x:v>
      </x:c>
      <x:c r="G1890" s="17" t="n">
        <x:v>1</x:v>
      </x:c>
      <x:c r="H1890" s="14" t="str">
        <x:v>S06-01:A:meaning_adoption</x:v>
      </x:c>
    </x:row>
    <x:row r="1891" ht="72" customHeight="1">
      <x:c r="A1891" s="14" t="str">
        <x:v>S06-01:A:evaluation_first_display</x:v>
      </x:c>
      <x:c r="B1891" s="14" t="str">
        <x:v>A</x:v>
      </x:c>
      <x:c r="C1891" s="14" t="str">
        <x:v>evaluation_first_display</x:v>
      </x:c>
      <x:c r="D1891" s="14" t="n">
        <x:v>0.868333333</x:v>
      </x:c>
      <x:c r="E1891" s="14" t="n">
        <x:v>0.908333333</x:v>
      </x:c>
      <x:c r="F1891" s="14" t="n">
        <x:v>0.04</x:v>
      </x:c>
      <x:c r="G1891" s="17" t="n">
        <x:v>1</x:v>
      </x:c>
      <x:c r="H1891" s="14" t="str">
        <x:v>S06-01:A:apply_relation</x:v>
      </x:c>
    </x:row>
    <x:row r="1892" ht="72" customHeight="1">
      <x:c r="A1892" s="14" t="str">
        <x:v>S06-01:A:source_explanation</x:v>
      </x:c>
      <x:c r="B1892" s="14" t="str">
        <x:v>A</x:v>
      </x:c>
      <x:c r="C1892" s="14" t="str">
        <x:v>source_explanation</x:v>
      </x:c>
      <x:c r="D1892" s="14" t="n">
        <x:v>-5.04</x:v>
      </x:c>
      <x:c r="E1892" s="14" t="n">
        <x:v>-4</x:v>
      </x:c>
      <x:c r="F1892" s="14" t="n">
        <x:v>1.04</x:v>
      </x:c>
      <x:c r="G1892" s="17" t="n">
        <x:v>0</x:v>
      </x:c>
      <x:c r="H1892" s="14" t="str">
        <x:v>S06-01:A:original_handoff</x:v>
      </x:c>
    </x:row>
    <x:row r="1893" ht="72" customHeight="1">
      <x:c r="A1893" s="14" t="str">
        <x:v>S06-01:A:display_explanation</x:v>
      </x:c>
      <x:c r="B1893" s="14" t="str">
        <x:v>A</x:v>
      </x:c>
      <x:c r="C1893" s="14" t="str">
        <x:v>display_explanation</x:v>
      </x:c>
      <x:c r="D1893" s="14" t="n">
        <x:v>-4</x:v>
      </x:c>
      <x:c r="E1893" s="14" t="n">
        <x:v>-3.96</x:v>
      </x:c>
      <x:c r="F1893" s="14" t="n">
        <x:v>0.04</x:v>
      </x:c>
      <x:c r="G1893" s="17" t="n">
        <x:v>1</x:v>
      </x:c>
      <x:c r="H1893" s="14" t="str">
        <x:v>S06-01:A:source_explanation</x:v>
      </x:c>
    </x:row>
    <x:row r="1894" ht="72" customHeight="1">
      <x:c r="A1894" s="14" t="str">
        <x:v>S06-01:A:explanation_first</x:v>
      </x:c>
      <x:c r="B1894" s="14" t="str">
        <x:v>A</x:v>
      </x:c>
      <x:c r="C1894" s="14" t="str">
        <x:v>explanation_first</x:v>
      </x:c>
      <x:c r="D1894" s="14" t="n">
        <x:v>-4</x:v>
      </x:c>
      <x:c r="E1894" s="14" t="n">
        <x:v>-3.594333333</x:v>
      </x:c>
      <x:c r="F1894" s="14" t="n">
        <x:v>0.405666667</x:v>
      </x:c>
      <x:c r="G1894" s="17" t="n">
        <x:v>1</x:v>
      </x:c>
      <x:c r="H1894" s="14" t="str">
        <x:v>S06-01:A:source_explanation</x:v>
      </x:c>
    </x:row>
    <x:row r="1895" ht="72" customHeight="1">
      <x:c r="A1895" s="14" t="str">
        <x:v>S06-01:A:explanation_tail</x:v>
      </x:c>
      <x:c r="B1895" s="14" t="str">
        <x:v>A</x:v>
      </x:c>
      <x:c r="C1895" s="14" t="str">
        <x:v>explanation_tail</x:v>
      </x:c>
      <x:c r="D1895" s="14" t="n">
        <x:v>-3.594333333</x:v>
      </x:c>
      <x:c r="E1895" s="14" t="n">
        <x:v>-1.657833333</x:v>
      </x:c>
      <x:c r="F1895" s="14" t="n">
        <x:v>1.9365</x:v>
      </x:c>
      <x:c r="G1895" s="17" t="n">
        <x:v>1</x:v>
      </x:c>
      <x:c r="H1895" s="14" t="str">
        <x:v>S06-01:A:explanation_first</x:v>
      </x:c>
    </x:row>
    <x:row r="1896" ht="72" customHeight="1">
      <x:c r="A1896" s="14" t="str">
        <x:v>S06-01:A:continue_device</x:v>
      </x:c>
      <x:c r="B1896" s="14" t="str">
        <x:v>A</x:v>
      </x:c>
      <x:c r="C1896" s="14" t="str">
        <x:v>continue_device</x:v>
      </x:c>
      <x:c r="D1896" s="14" t="n">
        <x:v>0.868333333</x:v>
      </x:c>
      <x:c r="E1896" s="14" t="n">
        <x:v>0.908333333</x:v>
      </x:c>
      <x:c r="F1896" s="14" t="n">
        <x:v>0.04</x:v>
      </x:c>
      <x:c r="G1896" s="17" t="n">
        <x:v>1</x:v>
      </x:c>
      <x:c r="H1896" s="14" t="str">
        <x:v>S06-01:A:apply_relation
S06-01:A:explanation_first</x:v>
      </x:c>
    </x:row>
    <x:row r="1897" ht="72" customHeight="1">
      <x:c r="A1897" s="14" t="str">
        <x:v>S06-01:A:continue_part1</x:v>
      </x:c>
      <x:c r="B1897" s="14" t="str">
        <x:v>A</x:v>
      </x:c>
      <x:c r="C1897" s="14" t="str">
        <x:v>continue_part1</x:v>
      </x:c>
      <x:c r="D1897" s="14" t="n">
        <x:v>0.908333333</x:v>
      </x:c>
      <x:c r="E1897" s="14" t="n">
        <x:v>1.508333333</x:v>
      </x:c>
      <x:c r="F1897" s="14" t="n">
        <x:v>0.6</x:v>
      </x:c>
      <x:c r="G1897" s="17" t="n">
        <x:v>0</x:v>
      </x:c>
      <x:c r="H1897" s="14" t="str">
        <x:v>S06-01:A:continue_device</x:v>
      </x:c>
    </x:row>
    <x:row r="1898" ht="72" customHeight="1">
      <x:c r="A1898" s="14" t="str">
        <x:v>S06-01:A:continue_false_trigger_hold</x:v>
      </x:c>
      <x:c r="B1898" s="14" t="str">
        <x:v>A</x:v>
      </x:c>
      <x:c r="C1898" s="14" t="str">
        <x:v>continue_false_trigger_hold</x:v>
      </x:c>
      <x:c r="D1898" s="14" t="n">
        <x:v>1.508333333</x:v>
      </x:c>
      <x:c r="E1898" s="14" t="n">
        <x:v>1.808333333</x:v>
      </x:c>
      <x:c r="F1898" s="14" t="n">
        <x:v>0.3</x:v>
      </x:c>
      <x:c r="G1898" s="17" t="n">
        <x:v>0</x:v>
      </x:c>
      <x:c r="H1898" s="14" t="str">
        <x:v>S06-01:A:continue_part1</x:v>
      </x:c>
    </x:row>
    <x:row r="1899" ht="72" customHeight="1">
      <x:c r="A1899" s="14" t="str">
        <x:v>S06-01:A:continue_part2</x:v>
      </x:c>
      <x:c r="B1899" s="14" t="str">
        <x:v>A</x:v>
      </x:c>
      <x:c r="C1899" s="14" t="str">
        <x:v>continue_part2</x:v>
      </x:c>
      <x:c r="D1899" s="14" t="n">
        <x:v>1.808333333</x:v>
      </x:c>
      <x:c r="E1899" s="14" t="n">
        <x:v>8.154333332</x:v>
      </x:c>
      <x:c r="F1899" s="14" t="n">
        <x:v>6.345999999</x:v>
      </x:c>
      <x:c r="G1899" s="17" t="n">
        <x:v>0</x:v>
      </x:c>
      <x:c r="H1899" s="14" t="str">
        <x:v>S06-01:A:continue_false_trigger_hold</x:v>
      </x:c>
    </x:row>
    <x:row r="1900" ht="72" customHeight="1">
      <x:c r="A1900" s="14" t="str">
        <x:v>S06-01:B:origin</x:v>
      </x:c>
      <x:c r="B1900" s="14" t="str">
        <x:v>B</x:v>
      </x:c>
      <x:c r="C1900" s="14" t="str">
        <x:v>origin</x:v>
      </x:c>
      <x:c r="D1900" s="14" t="n">
        <x:v>-6</x:v>
      </x:c>
      <x:c r="E1900" s="14" t="n">
        <x:v>-6</x:v>
      </x:c>
      <x:c r="F1900" s="14" t="n">
        <x:v>0</x:v>
      </x:c>
      <x:c r="G1900" s="17" t="n">
        <x:v>0</x:v>
      </x:c>
      <x:c r="H1900" s="14" t="str"/>
    </x:row>
    <x:row r="1901" ht="72" customHeight="1">
      <x:c r="A1901" s="14" t="str">
        <x:v>S06-01:B:origin_interpretation</x:v>
      </x:c>
      <x:c r="B1901" s="14" t="str">
        <x:v>B</x:v>
      </x:c>
      <x:c r="C1901" s="14" t="str">
        <x:v>origin_interpretation</x:v>
      </x:c>
      <x:c r="D1901" s="14" t="n">
        <x:v>-6</x:v>
      </x:c>
      <x:c r="E1901" s="14" t="n">
        <x:v>-5.16</x:v>
      </x:c>
      <x:c r="F1901" s="14" t="n">
        <x:v>0.84</x:v>
      </x:c>
      <x:c r="G1901" s="17" t="n">
        <x:v>1</x:v>
      </x:c>
      <x:c r="H1901" s="14" t="str">
        <x:v>S06-01:B:origin</x:v>
      </x:c>
    </x:row>
    <x:row r="1902" ht="72" customHeight="1">
      <x:c r="A1902" s="14" t="str">
        <x:v>S06-01:B:original_handoff</x:v>
      </x:c>
      <x:c r="B1902" s="14" t="str">
        <x:v>B</x:v>
      </x:c>
      <x:c r="C1902" s="14" t="str">
        <x:v>original_handoff</x:v>
      </x:c>
      <x:c r="D1902" s="14" t="n">
        <x:v>-5.16</x:v>
      </x:c>
      <x:c r="E1902" s="14" t="n">
        <x:v>-5.04</x:v>
      </x:c>
      <x:c r="F1902" s="14" t="n">
        <x:v>0.12</x:v>
      </x:c>
      <x:c r="G1902" s="17" t="n">
        <x:v>1</x:v>
      </x:c>
      <x:c r="H1902" s="14" t="str">
        <x:v>S06-01:B:origin_interpretation</x:v>
      </x:c>
    </x:row>
    <x:row r="1903" ht="72" customHeight="1">
      <x:c r="A1903" s="14" t="str">
        <x:v>S06-01:B:evaluation_utterance_end</x:v>
      </x:c>
      <x:c r="B1903" s="14" t="str">
        <x:v>B</x:v>
      </x:c>
      <x:c r="C1903" s="14" t="str">
        <x:v>evaluation_utterance_end</x:v>
      </x:c>
      <x:c r="D1903" s="14" t="n">
        <x:v>-6</x:v>
      </x:c>
      <x:c r="E1903" s="14" t="n">
        <x:v>0</x:v>
      </x:c>
      <x:c r="F1903" s="14" t="n">
        <x:v>6</x:v>
      </x:c>
      <x:c r="G1903" s="17" t="n">
        <x:v>0</x:v>
      </x:c>
      <x:c r="H1903" s="14" t="str">
        <x:v>S06-01:B:origin</x:v>
      </x:c>
    </x:row>
    <x:row r="1904" ht="72" customHeight="1">
      <x:c r="A1904" s="14" t="str">
        <x:v>S06-01:B:final_transcript</x:v>
      </x:c>
      <x:c r="B1904" s="14" t="str">
        <x:v>B</x:v>
      </x:c>
      <x:c r="C1904" s="14" t="str">
        <x:v>final_transcript</x:v>
      </x:c>
      <x:c r="D1904" s="14" t="n">
        <x:v>0</x:v>
      </x:c>
      <x:c r="E1904" s="14" t="n">
        <x:v>0.3</x:v>
      </x:c>
      <x:c r="F1904" s="14" t="n">
        <x:v>0.3</x:v>
      </x:c>
      <x:c r="G1904" s="17" t="n">
        <x:v>1</x:v>
      </x:c>
      <x:c r="H1904" s="14" t="str">
        <x:v>S06-01:B:evaluation_utterance_end</x:v>
      </x:c>
    </x:row>
    <x:row r="1905" ht="72" customHeight="1">
      <x:c r="A1905" s="14" t="str">
        <x:v>S06-01:B:meaning_adoption</x:v>
      </x:c>
      <x:c r="B1905" s="14" t="str">
        <x:v>B</x:v>
      </x:c>
      <x:c r="C1905" s="14" t="str">
        <x:v>meaning_adoption</x:v>
      </x:c>
      <x:c r="D1905" s="14" t="n">
        <x:v>0.3</x:v>
      </x:c>
      <x:c r="E1905" s="14" t="n">
        <x:v>0.828333333</x:v>
      </x:c>
      <x:c r="F1905" s="14" t="n">
        <x:v>0.528333333</x:v>
      </x:c>
      <x:c r="G1905" s="17" t="n">
        <x:v>1</x:v>
      </x:c>
      <x:c r="H1905" s="14" t="str">
        <x:v>S06-01:B:final_transcript
S06-01:B:origin_interpretation</x:v>
      </x:c>
    </x:row>
    <x:row r="1906" ht="72" customHeight="1">
      <x:c r="A1906" s="14" t="str">
        <x:v>S06-01:B:apply_relation</x:v>
      </x:c>
      <x:c r="B1906" s="14" t="str">
        <x:v>B</x:v>
      </x:c>
      <x:c r="C1906" s="14" t="str">
        <x:v>apply_relation</x:v>
      </x:c>
      <x:c r="D1906" s="14" t="n">
        <x:v>0.828333333</x:v>
      </x:c>
      <x:c r="E1906" s="14" t="n">
        <x:v>0.868333333</x:v>
      </x:c>
      <x:c r="F1906" s="14" t="n">
        <x:v>0.04</x:v>
      </x:c>
      <x:c r="G1906" s="17" t="n">
        <x:v>1</x:v>
      </x:c>
      <x:c r="H1906" s="14" t="str">
        <x:v>S06-01:B:meaning_adoption</x:v>
      </x:c>
    </x:row>
    <x:row r="1907" ht="72" customHeight="1">
      <x:c r="A1907" s="14" t="str">
        <x:v>S06-01:B:evaluation_first_display</x:v>
      </x:c>
      <x:c r="B1907" s="14" t="str">
        <x:v>B</x:v>
      </x:c>
      <x:c r="C1907" s="14" t="str">
        <x:v>evaluation_first_display</x:v>
      </x:c>
      <x:c r="D1907" s="14" t="n">
        <x:v>0.868333333</x:v>
      </x:c>
      <x:c r="E1907" s="14" t="n">
        <x:v>0.908333333</x:v>
      </x:c>
      <x:c r="F1907" s="14" t="n">
        <x:v>0.04</x:v>
      </x:c>
      <x:c r="G1907" s="17" t="n">
        <x:v>1</x:v>
      </x:c>
      <x:c r="H1907" s="14" t="str">
        <x:v>S06-01:B:apply_relation</x:v>
      </x:c>
    </x:row>
    <x:row r="1908" ht="72" customHeight="1">
      <x:c r="A1908" s="14" t="str">
        <x:v>S06-01:B:source_explanation</x:v>
      </x:c>
      <x:c r="B1908" s="14" t="str">
        <x:v>B</x:v>
      </x:c>
      <x:c r="C1908" s="14" t="str">
        <x:v>source_explanation</x:v>
      </x:c>
      <x:c r="D1908" s="14" t="n">
        <x:v>-5.04</x:v>
      </x:c>
      <x:c r="E1908" s="14" t="n">
        <x:v>-4</x:v>
      </x:c>
      <x:c r="F1908" s="14" t="n">
        <x:v>1.04</x:v>
      </x:c>
      <x:c r="G1908" s="17" t="n">
        <x:v>0</x:v>
      </x:c>
      <x:c r="H1908" s="14" t="str">
        <x:v>S06-01:B:original_handoff</x:v>
      </x:c>
    </x:row>
    <x:row r="1909" ht="72" customHeight="1">
      <x:c r="A1909" s="14" t="str">
        <x:v>S06-01:B:display_explanation</x:v>
      </x:c>
      <x:c r="B1909" s="14" t="str">
        <x:v>B</x:v>
      </x:c>
      <x:c r="C1909" s="14" t="str">
        <x:v>display_explanation</x:v>
      </x:c>
      <x:c r="D1909" s="14" t="n">
        <x:v>-4</x:v>
      </x:c>
      <x:c r="E1909" s="14" t="n">
        <x:v>-3.96</x:v>
      </x:c>
      <x:c r="F1909" s="14" t="n">
        <x:v>0.04</x:v>
      </x:c>
      <x:c r="G1909" s="17" t="n">
        <x:v>1</x:v>
      </x:c>
      <x:c r="H1909" s="14" t="str">
        <x:v>S06-01:B:source_explanation</x:v>
      </x:c>
    </x:row>
    <x:row r="1910" ht="72" customHeight="1">
      <x:c r="A1910" s="14" t="str">
        <x:v>S06-01:B:explanation_first</x:v>
      </x:c>
      <x:c r="B1910" s="14" t="str">
        <x:v>B</x:v>
      </x:c>
      <x:c r="C1910" s="14" t="str">
        <x:v>explanation_first</x:v>
      </x:c>
      <x:c r="D1910" s="14" t="n">
        <x:v>-4</x:v>
      </x:c>
      <x:c r="E1910" s="14" t="n">
        <x:v>-3.594333333</x:v>
      </x:c>
      <x:c r="F1910" s="14" t="n">
        <x:v>0.405666667</x:v>
      </x:c>
      <x:c r="G1910" s="17" t="n">
        <x:v>1</x:v>
      </x:c>
      <x:c r="H1910" s="14" t="str">
        <x:v>S06-01:B:source_explanation</x:v>
      </x:c>
    </x:row>
    <x:row r="1911" ht="72" customHeight="1">
      <x:c r="A1911" s="14" t="str">
        <x:v>S06-01:B:explanation_tail</x:v>
      </x:c>
      <x:c r="B1911" s="14" t="str">
        <x:v>B</x:v>
      </x:c>
      <x:c r="C1911" s="14" t="str">
        <x:v>explanation_tail</x:v>
      </x:c>
      <x:c r="D1911" s="14" t="n">
        <x:v>-3.594333333</x:v>
      </x:c>
      <x:c r="E1911" s="14" t="n">
        <x:v>-1.657833333</x:v>
      </x:c>
      <x:c r="F1911" s="14" t="n">
        <x:v>1.9365</x:v>
      </x:c>
      <x:c r="G1911" s="17" t="n">
        <x:v>1</x:v>
      </x:c>
      <x:c r="H1911" s="14" t="str">
        <x:v>S06-01:B:explanation_first</x:v>
      </x:c>
    </x:row>
    <x:row r="1912" ht="72" customHeight="1">
      <x:c r="A1912" s="14" t="str">
        <x:v>S06-01:B:continue_device</x:v>
      </x:c>
      <x:c r="B1912" s="14" t="str">
        <x:v>B</x:v>
      </x:c>
      <x:c r="C1912" s="14" t="str">
        <x:v>continue_device</x:v>
      </x:c>
      <x:c r="D1912" s="14" t="n">
        <x:v>0.868333333</x:v>
      </x:c>
      <x:c r="E1912" s="14" t="n">
        <x:v>0.908333333</x:v>
      </x:c>
      <x:c r="F1912" s="14" t="n">
        <x:v>0.04</x:v>
      </x:c>
      <x:c r="G1912" s="17" t="n">
        <x:v>1</x:v>
      </x:c>
      <x:c r="H1912" s="14" t="str">
        <x:v>S06-01:B:apply_relation
S06-01:B:explanation_first</x:v>
      </x:c>
    </x:row>
    <x:row r="1913" ht="72" customHeight="1">
      <x:c r="A1913" s="14" t="str">
        <x:v>S06-01:B:continue_part1</x:v>
      </x:c>
      <x:c r="B1913" s="14" t="str">
        <x:v>B</x:v>
      </x:c>
      <x:c r="C1913" s="14" t="str">
        <x:v>continue_part1</x:v>
      </x:c>
      <x:c r="D1913" s="14" t="n">
        <x:v>0.908333333</x:v>
      </x:c>
      <x:c r="E1913" s="14" t="n">
        <x:v>1.508333333</x:v>
      </x:c>
      <x:c r="F1913" s="14" t="n">
        <x:v>0.6</x:v>
      </x:c>
      <x:c r="G1913" s="17" t="n">
        <x:v>0</x:v>
      </x:c>
      <x:c r="H1913" s="14" t="str">
        <x:v>S06-01:B:continue_device</x:v>
      </x:c>
    </x:row>
    <x:row r="1914" ht="72" customHeight="1">
      <x:c r="A1914" s="14" t="str">
        <x:v>S06-01:B:continue_false_trigger_hold</x:v>
      </x:c>
      <x:c r="B1914" s="14" t="str">
        <x:v>B</x:v>
      </x:c>
      <x:c r="C1914" s="14" t="str">
        <x:v>continue_false_trigger_hold</x:v>
      </x:c>
      <x:c r="D1914" s="14" t="n">
        <x:v>1.508333333</x:v>
      </x:c>
      <x:c r="E1914" s="14" t="n">
        <x:v>1.808333333</x:v>
      </x:c>
      <x:c r="F1914" s="14" t="n">
        <x:v>0.3</x:v>
      </x:c>
      <x:c r="G1914" s="17" t="n">
        <x:v>0</x:v>
      </x:c>
      <x:c r="H1914" s="14" t="str">
        <x:v>S06-01:B:continue_part1</x:v>
      </x:c>
    </x:row>
    <x:row r="1915" ht="72" customHeight="1">
      <x:c r="A1915" s="14" t="str">
        <x:v>S06-01:B:continue_part2</x:v>
      </x:c>
      <x:c r="B1915" s="14" t="str">
        <x:v>B</x:v>
      </x:c>
      <x:c r="C1915" s="14" t="str">
        <x:v>continue_part2</x:v>
      </x:c>
      <x:c r="D1915" s="14" t="n">
        <x:v>1.808333333</x:v>
      </x:c>
      <x:c r="E1915" s="14" t="n">
        <x:v>8.154333332</x:v>
      </x:c>
      <x:c r="F1915" s="14" t="n">
        <x:v>6.345999999</x:v>
      </x:c>
      <x:c r="G1915" s="17" t="n">
        <x:v>0</x:v>
      </x:c>
      <x:c r="H1915" s="14" t="str">
        <x:v>S06-01:B:continue_false_trigger_hold</x:v>
      </x:c>
    </x:row>
    <x:row r="1916" ht="72" customHeight="1">
      <x:c r="A1916" s="14" t="str">
        <x:v>S06-02:A:origin</x:v>
      </x:c>
      <x:c r="B1916" s="14" t="str">
        <x:v>A</x:v>
      </x:c>
      <x:c r="C1916" s="14" t="str">
        <x:v>origin</x:v>
      </x:c>
      <x:c r="D1916" s="14" t="n">
        <x:v>-6</x:v>
      </x:c>
      <x:c r="E1916" s="14" t="n">
        <x:v>-6</x:v>
      </x:c>
      <x:c r="F1916" s="14" t="n">
        <x:v>0</x:v>
      </x:c>
      <x:c r="G1916" s="17" t="n">
        <x:v>0</x:v>
      </x:c>
      <x:c r="H1916" s="14" t="str"/>
    </x:row>
    <x:row r="1917" ht="72" customHeight="1">
      <x:c r="A1917" s="14" t="str">
        <x:v>S06-02:A:origin_interpretation</x:v>
      </x:c>
      <x:c r="B1917" s="14" t="str">
        <x:v>A</x:v>
      </x:c>
      <x:c r="C1917" s="14" t="str">
        <x:v>origin_interpretation</x:v>
      </x:c>
      <x:c r="D1917" s="14" t="n">
        <x:v>-6</x:v>
      </x:c>
      <x:c r="E1917" s="14" t="n">
        <x:v>-5.16</x:v>
      </x:c>
      <x:c r="F1917" s="14" t="n">
        <x:v>0.84</x:v>
      </x:c>
      <x:c r="G1917" s="17" t="n">
        <x:v>1</x:v>
      </x:c>
      <x:c r="H1917" s="14" t="str">
        <x:v>S06-02:A:origin</x:v>
      </x:c>
    </x:row>
    <x:row r="1918" ht="72" customHeight="1">
      <x:c r="A1918" s="14" t="str">
        <x:v>S06-02:A:original_handoff</x:v>
      </x:c>
      <x:c r="B1918" s="14" t="str">
        <x:v>A</x:v>
      </x:c>
      <x:c r="C1918" s="14" t="str">
        <x:v>original_handoff</x:v>
      </x:c>
      <x:c r="D1918" s="14" t="n">
        <x:v>-5.16</x:v>
      </x:c>
      <x:c r="E1918" s="14" t="n">
        <x:v>-5.04</x:v>
      </x:c>
      <x:c r="F1918" s="14" t="n">
        <x:v>0.12</x:v>
      </x:c>
      <x:c r="G1918" s="17" t="n">
        <x:v>1</x:v>
      </x:c>
      <x:c r="H1918" s="14" t="str">
        <x:v>S06-02:A:origin_interpretation</x:v>
      </x:c>
    </x:row>
    <x:row r="1919" ht="72" customHeight="1">
      <x:c r="A1919" s="14" t="str">
        <x:v>S06-02:A:evaluation_utterance_end</x:v>
      </x:c>
      <x:c r="B1919" s="14" t="str">
        <x:v>A</x:v>
      </x:c>
      <x:c r="C1919" s="14" t="str">
        <x:v>evaluation_utterance_end</x:v>
      </x:c>
      <x:c r="D1919" s="14" t="n">
        <x:v>-6</x:v>
      </x:c>
      <x:c r="E1919" s="14" t="n">
        <x:v>0</x:v>
      </x:c>
      <x:c r="F1919" s="14" t="n">
        <x:v>6</x:v>
      </x:c>
      <x:c r="G1919" s="17" t="n">
        <x:v>0</x:v>
      </x:c>
      <x:c r="H1919" s="14" t="str">
        <x:v>S06-02:A:origin</x:v>
      </x:c>
    </x:row>
    <x:row r="1920" ht="72" customHeight="1">
      <x:c r="A1920" s="14" t="str">
        <x:v>S06-02:A:final_transcript</x:v>
      </x:c>
      <x:c r="B1920" s="14" t="str">
        <x:v>A</x:v>
      </x:c>
      <x:c r="C1920" s="14" t="str">
        <x:v>final_transcript</x:v>
      </x:c>
      <x:c r="D1920" s="14" t="n">
        <x:v>0</x:v>
      </x:c>
      <x:c r="E1920" s="14" t="n">
        <x:v>0.3</x:v>
      </x:c>
      <x:c r="F1920" s="14" t="n">
        <x:v>0.3</x:v>
      </x:c>
      <x:c r="G1920" s="17" t="n">
        <x:v>1</x:v>
      </x:c>
      <x:c r="H1920" s="14" t="str">
        <x:v>S06-02:A:evaluation_utterance_end</x:v>
      </x:c>
    </x:row>
    <x:row r="1921" ht="72" customHeight="1">
      <x:c r="A1921" s="14" t="str">
        <x:v>S06-02:A:meaning_adoption</x:v>
      </x:c>
      <x:c r="B1921" s="14" t="str">
        <x:v>A</x:v>
      </x:c>
      <x:c r="C1921" s="14" t="str">
        <x:v>meaning_adoption</x:v>
      </x:c>
      <x:c r="D1921" s="14" t="n">
        <x:v>0.3</x:v>
      </x:c>
      <x:c r="E1921" s="14" t="n">
        <x:v>0.856666667</x:v>
      </x:c>
      <x:c r="F1921" s="14" t="n">
        <x:v>0.556666667</x:v>
      </x:c>
      <x:c r="G1921" s="17" t="n">
        <x:v>1</x:v>
      </x:c>
      <x:c r="H1921" s="14" t="str">
        <x:v>S06-02:A:final_transcript
S06-02:A:origin_interpretation</x:v>
      </x:c>
    </x:row>
    <x:row r="1922" ht="72" customHeight="1">
      <x:c r="A1922" s="14" t="str">
        <x:v>S06-02:A:apply_relation</x:v>
      </x:c>
      <x:c r="B1922" s="14" t="str">
        <x:v>A</x:v>
      </x:c>
      <x:c r="C1922" s="14" t="str">
        <x:v>apply_relation</x:v>
      </x:c>
      <x:c r="D1922" s="14" t="n">
        <x:v>0.856666667</x:v>
      </x:c>
      <x:c r="E1922" s="14" t="n">
        <x:v>0.896666667</x:v>
      </x:c>
      <x:c r="F1922" s="14" t="n">
        <x:v>0.04</x:v>
      </x:c>
      <x:c r="G1922" s="17" t="n">
        <x:v>1</x:v>
      </x:c>
      <x:c r="H1922" s="14" t="str">
        <x:v>S06-02:A:meaning_adoption</x:v>
      </x:c>
    </x:row>
    <x:row r="1923" ht="72" customHeight="1">
      <x:c r="A1923" s="14" t="str">
        <x:v>S06-02:A:evaluation_first_display</x:v>
      </x:c>
      <x:c r="B1923" s="14" t="str">
        <x:v>A</x:v>
      </x:c>
      <x:c r="C1923" s="14" t="str">
        <x:v>evaluation_first_display</x:v>
      </x:c>
      <x:c r="D1923" s="14" t="n">
        <x:v>0.896666667</x:v>
      </x:c>
      <x:c r="E1923" s="14" t="n">
        <x:v>0.936666667</x:v>
      </x:c>
      <x:c r="F1923" s="14" t="n">
        <x:v>0.04</x:v>
      </x:c>
      <x:c r="G1923" s="17" t="n">
        <x:v>1</x:v>
      </x:c>
      <x:c r="H1923" s="14" t="str">
        <x:v>S06-02:A:apply_relation</x:v>
      </x:c>
    </x:row>
    <x:row r="1924" ht="72" customHeight="1">
      <x:c r="A1924" s="14" t="str">
        <x:v>S06-02:A:source_explanation</x:v>
      </x:c>
      <x:c r="B1924" s="14" t="str">
        <x:v>A</x:v>
      </x:c>
      <x:c r="C1924" s="14" t="str">
        <x:v>source_explanation</x:v>
      </x:c>
      <x:c r="D1924" s="14" t="n">
        <x:v>-5.04</x:v>
      </x:c>
      <x:c r="E1924" s="14" t="n">
        <x:v>-4</x:v>
      </x:c>
      <x:c r="F1924" s="14" t="n">
        <x:v>1.04</x:v>
      </x:c>
      <x:c r="G1924" s="17" t="n">
        <x:v>0</x:v>
      </x:c>
      <x:c r="H1924" s="14" t="str">
        <x:v>S06-02:A:original_handoff</x:v>
      </x:c>
    </x:row>
    <x:row r="1925" ht="72" customHeight="1">
      <x:c r="A1925" s="14" t="str">
        <x:v>S06-02:A:display_explanation</x:v>
      </x:c>
      <x:c r="B1925" s="14" t="str">
        <x:v>A</x:v>
      </x:c>
      <x:c r="C1925" s="14" t="str">
        <x:v>display_explanation</x:v>
      </x:c>
      <x:c r="D1925" s="14" t="n">
        <x:v>-4</x:v>
      </x:c>
      <x:c r="E1925" s="14" t="n">
        <x:v>-3.96</x:v>
      </x:c>
      <x:c r="F1925" s="14" t="n">
        <x:v>0.04</x:v>
      </x:c>
      <x:c r="G1925" s="17" t="n">
        <x:v>1</x:v>
      </x:c>
      <x:c r="H1925" s="14" t="str">
        <x:v>S06-02:A:source_explanation</x:v>
      </x:c>
    </x:row>
    <x:row r="1926" ht="72" customHeight="1">
      <x:c r="A1926" s="14" t="str">
        <x:v>S06-02:A:explanation_first</x:v>
      </x:c>
      <x:c r="B1926" s="14" t="str">
        <x:v>A</x:v>
      </x:c>
      <x:c r="C1926" s="14" t="str">
        <x:v>explanation_first</x:v>
      </x:c>
      <x:c r="D1926" s="14" t="n">
        <x:v>-4</x:v>
      </x:c>
      <x:c r="E1926" s="14" t="n">
        <x:v>-3.594333333</x:v>
      </x:c>
      <x:c r="F1926" s="14" t="n">
        <x:v>0.405666667</x:v>
      </x:c>
      <x:c r="G1926" s="17" t="n">
        <x:v>1</x:v>
      </x:c>
      <x:c r="H1926" s="14" t="str">
        <x:v>S06-02:A:source_explanation</x:v>
      </x:c>
    </x:row>
    <x:row r="1927" ht="72" customHeight="1">
      <x:c r="A1927" s="14" t="str">
        <x:v>S06-02:A:explanation_tail</x:v>
      </x:c>
      <x:c r="B1927" s="14" t="str">
        <x:v>A</x:v>
      </x:c>
      <x:c r="C1927" s="14" t="str">
        <x:v>explanation_tail</x:v>
      </x:c>
      <x:c r="D1927" s="14" t="n">
        <x:v>-3.594333333</x:v>
      </x:c>
      <x:c r="E1927" s="14" t="n">
        <x:v>-1.654833333</x:v>
      </x:c>
      <x:c r="F1927" s="14" t="n">
        <x:v>1.9395</x:v>
      </x:c>
      <x:c r="G1927" s="17" t="n">
        <x:v>1</x:v>
      </x:c>
      <x:c r="H1927" s="14" t="str">
        <x:v>S06-02:A:explanation_first</x:v>
      </x:c>
    </x:row>
    <x:row r="1928" ht="72" customHeight="1">
      <x:c r="A1928" s="14" t="str">
        <x:v>S06-02:A:continue_device</x:v>
      </x:c>
      <x:c r="B1928" s="14" t="str">
        <x:v>A</x:v>
      </x:c>
      <x:c r="C1928" s="14" t="str">
        <x:v>continue_device</x:v>
      </x:c>
      <x:c r="D1928" s="14" t="n">
        <x:v>0.896666667</x:v>
      </x:c>
      <x:c r="E1928" s="14" t="n">
        <x:v>0.936666667</x:v>
      </x:c>
      <x:c r="F1928" s="14" t="n">
        <x:v>0.04</x:v>
      </x:c>
      <x:c r="G1928" s="17" t="n">
        <x:v>1</x:v>
      </x:c>
      <x:c r="H1928" s="14" t="str">
        <x:v>S06-02:A:apply_relation
S06-02:A:explanation_first</x:v>
      </x:c>
    </x:row>
    <x:row r="1929" ht="72" customHeight="1">
      <x:c r="A1929" s="14" t="str">
        <x:v>S06-02:A:continue_part1</x:v>
      </x:c>
      <x:c r="B1929" s="14" t="str">
        <x:v>A</x:v>
      </x:c>
      <x:c r="C1929" s="14" t="str">
        <x:v>continue_part1</x:v>
      </x:c>
      <x:c r="D1929" s="14" t="n">
        <x:v>0.936666667</x:v>
      </x:c>
      <x:c r="E1929" s="14" t="n">
        <x:v>1.536666667</x:v>
      </x:c>
      <x:c r="F1929" s="14" t="n">
        <x:v>0.6</x:v>
      </x:c>
      <x:c r="G1929" s="17" t="n">
        <x:v>0</x:v>
      </x:c>
      <x:c r="H1929" s="14" t="str">
        <x:v>S06-02:A:continue_device</x:v>
      </x:c>
    </x:row>
    <x:row r="1930" ht="72" customHeight="1">
      <x:c r="A1930" s="14" t="str">
        <x:v>S06-02:A:continue_false_trigger_hold</x:v>
      </x:c>
      <x:c r="B1930" s="14" t="str">
        <x:v>A</x:v>
      </x:c>
      <x:c r="C1930" s="14" t="str">
        <x:v>continue_false_trigger_hold</x:v>
      </x:c>
      <x:c r="D1930" s="14" t="n">
        <x:v>1.536666667</x:v>
      </x:c>
      <x:c r="E1930" s="14" t="n">
        <x:v>1.836666667</x:v>
      </x:c>
      <x:c r="F1930" s="14" t="n">
        <x:v>0.3</x:v>
      </x:c>
      <x:c r="G1930" s="17" t="n">
        <x:v>0</x:v>
      </x:c>
      <x:c r="H1930" s="14" t="str">
        <x:v>S06-02:A:continue_part1</x:v>
      </x:c>
    </x:row>
    <x:row r="1931" ht="72" customHeight="1">
      <x:c r="A1931" s="14" t="str">
        <x:v>S06-02:A:continue_part2</x:v>
      </x:c>
      <x:c r="B1931" s="14" t="str">
        <x:v>A</x:v>
      </x:c>
      <x:c r="C1931" s="14" t="str">
        <x:v>continue_part2</x:v>
      </x:c>
      <x:c r="D1931" s="14" t="n">
        <x:v>1.836666667</x:v>
      </x:c>
      <x:c r="E1931" s="14" t="n">
        <x:v>8.194666666</x:v>
      </x:c>
      <x:c r="F1931" s="14" t="n">
        <x:v>6.357999999</x:v>
      </x:c>
      <x:c r="G1931" s="17" t="n">
        <x:v>0</x:v>
      </x:c>
      <x:c r="H1931" s="14" t="str">
        <x:v>S06-02:A:continue_false_trigger_hold</x:v>
      </x:c>
    </x:row>
    <x:row r="1932" ht="72" customHeight="1">
      <x:c r="A1932" s="14" t="str">
        <x:v>S06-02:B:origin</x:v>
      </x:c>
      <x:c r="B1932" s="14" t="str">
        <x:v>B</x:v>
      </x:c>
      <x:c r="C1932" s="14" t="str">
        <x:v>origin</x:v>
      </x:c>
      <x:c r="D1932" s="14" t="n">
        <x:v>-6</x:v>
      </x:c>
      <x:c r="E1932" s="14" t="n">
        <x:v>-6</x:v>
      </x:c>
      <x:c r="F1932" s="14" t="n">
        <x:v>0</x:v>
      </x:c>
      <x:c r="G1932" s="17" t="n">
        <x:v>0</x:v>
      </x:c>
      <x:c r="H1932" s="14" t="str"/>
    </x:row>
    <x:row r="1933" ht="72" customHeight="1">
      <x:c r="A1933" s="14" t="str">
        <x:v>S06-02:B:origin_interpretation</x:v>
      </x:c>
      <x:c r="B1933" s="14" t="str">
        <x:v>B</x:v>
      </x:c>
      <x:c r="C1933" s="14" t="str">
        <x:v>origin_interpretation</x:v>
      </x:c>
      <x:c r="D1933" s="14" t="n">
        <x:v>-6</x:v>
      </x:c>
      <x:c r="E1933" s="14" t="n">
        <x:v>-5.16</x:v>
      </x:c>
      <x:c r="F1933" s="14" t="n">
        <x:v>0.84</x:v>
      </x:c>
      <x:c r="G1933" s="17" t="n">
        <x:v>1</x:v>
      </x:c>
      <x:c r="H1933" s="14" t="str">
        <x:v>S06-02:B:origin</x:v>
      </x:c>
    </x:row>
    <x:row r="1934" ht="72" customHeight="1">
      <x:c r="A1934" s="14" t="str">
        <x:v>S06-02:B:original_handoff</x:v>
      </x:c>
      <x:c r="B1934" s="14" t="str">
        <x:v>B</x:v>
      </x:c>
      <x:c r="C1934" s="14" t="str">
        <x:v>original_handoff</x:v>
      </x:c>
      <x:c r="D1934" s="14" t="n">
        <x:v>-5.16</x:v>
      </x:c>
      <x:c r="E1934" s="14" t="n">
        <x:v>-5.04</x:v>
      </x:c>
      <x:c r="F1934" s="14" t="n">
        <x:v>0.12</x:v>
      </x:c>
      <x:c r="G1934" s="17" t="n">
        <x:v>1</x:v>
      </x:c>
      <x:c r="H1934" s="14" t="str">
        <x:v>S06-02:B:origin_interpretation</x:v>
      </x:c>
    </x:row>
    <x:row r="1935" ht="72" customHeight="1">
      <x:c r="A1935" s="14" t="str">
        <x:v>S06-02:B:evaluation_utterance_end</x:v>
      </x:c>
      <x:c r="B1935" s="14" t="str">
        <x:v>B</x:v>
      </x:c>
      <x:c r="C1935" s="14" t="str">
        <x:v>evaluation_utterance_end</x:v>
      </x:c>
      <x:c r="D1935" s="14" t="n">
        <x:v>-6</x:v>
      </x:c>
      <x:c r="E1935" s="14" t="n">
        <x:v>0</x:v>
      </x:c>
      <x:c r="F1935" s="14" t="n">
        <x:v>6</x:v>
      </x:c>
      <x:c r="G1935" s="17" t="n">
        <x:v>0</x:v>
      </x:c>
      <x:c r="H1935" s="14" t="str">
        <x:v>S06-02:B:origin</x:v>
      </x:c>
    </x:row>
    <x:row r="1936" ht="72" customHeight="1">
      <x:c r="A1936" s="14" t="str">
        <x:v>S06-02:B:final_transcript</x:v>
      </x:c>
      <x:c r="B1936" s="14" t="str">
        <x:v>B</x:v>
      </x:c>
      <x:c r="C1936" s="14" t="str">
        <x:v>final_transcript</x:v>
      </x:c>
      <x:c r="D1936" s="14" t="n">
        <x:v>0</x:v>
      </x:c>
      <x:c r="E1936" s="14" t="n">
        <x:v>0.3</x:v>
      </x:c>
      <x:c r="F1936" s="14" t="n">
        <x:v>0.3</x:v>
      </x:c>
      <x:c r="G1936" s="17" t="n">
        <x:v>1</x:v>
      </x:c>
      <x:c r="H1936" s="14" t="str">
        <x:v>S06-02:B:evaluation_utterance_end</x:v>
      </x:c>
    </x:row>
    <x:row r="1937" ht="72" customHeight="1">
      <x:c r="A1937" s="14" t="str">
        <x:v>S06-02:B:meaning_adoption</x:v>
      </x:c>
      <x:c r="B1937" s="14" t="str">
        <x:v>B</x:v>
      </x:c>
      <x:c r="C1937" s="14" t="str">
        <x:v>meaning_adoption</x:v>
      </x:c>
      <x:c r="D1937" s="14" t="n">
        <x:v>0.3</x:v>
      </x:c>
      <x:c r="E1937" s="14" t="n">
        <x:v>0.856666667</x:v>
      </x:c>
      <x:c r="F1937" s="14" t="n">
        <x:v>0.556666667</x:v>
      </x:c>
      <x:c r="G1937" s="17" t="n">
        <x:v>1</x:v>
      </x:c>
      <x:c r="H1937" s="14" t="str">
        <x:v>S06-02:B:final_transcript
S06-02:B:origin_interpretation</x:v>
      </x:c>
    </x:row>
    <x:row r="1938" ht="72" customHeight="1">
      <x:c r="A1938" s="14" t="str">
        <x:v>S06-02:B:apply_relation</x:v>
      </x:c>
      <x:c r="B1938" s="14" t="str">
        <x:v>B</x:v>
      </x:c>
      <x:c r="C1938" s="14" t="str">
        <x:v>apply_relation</x:v>
      </x:c>
      <x:c r="D1938" s="14" t="n">
        <x:v>0.856666667</x:v>
      </x:c>
      <x:c r="E1938" s="14" t="n">
        <x:v>0.896666667</x:v>
      </x:c>
      <x:c r="F1938" s="14" t="n">
        <x:v>0.04</x:v>
      </x:c>
      <x:c r="G1938" s="17" t="n">
        <x:v>1</x:v>
      </x:c>
      <x:c r="H1938" s="14" t="str">
        <x:v>S06-02:B:meaning_adoption</x:v>
      </x:c>
    </x:row>
    <x:row r="1939" ht="72" customHeight="1">
      <x:c r="A1939" s="14" t="str">
        <x:v>S06-02:B:evaluation_first_display</x:v>
      </x:c>
      <x:c r="B1939" s="14" t="str">
        <x:v>B</x:v>
      </x:c>
      <x:c r="C1939" s="14" t="str">
        <x:v>evaluation_first_display</x:v>
      </x:c>
      <x:c r="D1939" s="14" t="n">
        <x:v>0.896666667</x:v>
      </x:c>
      <x:c r="E1939" s="14" t="n">
        <x:v>0.936666667</x:v>
      </x:c>
      <x:c r="F1939" s="14" t="n">
        <x:v>0.04</x:v>
      </x:c>
      <x:c r="G1939" s="17" t="n">
        <x:v>1</x:v>
      </x:c>
      <x:c r="H1939" s="14" t="str">
        <x:v>S06-02:B:apply_relation</x:v>
      </x:c>
    </x:row>
    <x:row r="1940" ht="72" customHeight="1">
      <x:c r="A1940" s="14" t="str">
        <x:v>S06-02:B:source_explanation</x:v>
      </x:c>
      <x:c r="B1940" s="14" t="str">
        <x:v>B</x:v>
      </x:c>
      <x:c r="C1940" s="14" t="str">
        <x:v>source_explanation</x:v>
      </x:c>
      <x:c r="D1940" s="14" t="n">
        <x:v>-5.04</x:v>
      </x:c>
      <x:c r="E1940" s="14" t="n">
        <x:v>-4</x:v>
      </x:c>
      <x:c r="F1940" s="14" t="n">
        <x:v>1.04</x:v>
      </x:c>
      <x:c r="G1940" s="17" t="n">
        <x:v>0</x:v>
      </x:c>
      <x:c r="H1940" s="14" t="str">
        <x:v>S06-02:B:original_handoff</x:v>
      </x:c>
    </x:row>
    <x:row r="1941" ht="72" customHeight="1">
      <x:c r="A1941" s="14" t="str">
        <x:v>S06-02:B:display_explanation</x:v>
      </x:c>
      <x:c r="B1941" s="14" t="str">
        <x:v>B</x:v>
      </x:c>
      <x:c r="C1941" s="14" t="str">
        <x:v>display_explanation</x:v>
      </x:c>
      <x:c r="D1941" s="14" t="n">
        <x:v>-4</x:v>
      </x:c>
      <x:c r="E1941" s="14" t="n">
        <x:v>-3.96</x:v>
      </x:c>
      <x:c r="F1941" s="14" t="n">
        <x:v>0.04</x:v>
      </x:c>
      <x:c r="G1941" s="17" t="n">
        <x:v>1</x:v>
      </x:c>
      <x:c r="H1941" s="14" t="str">
        <x:v>S06-02:B:source_explanation</x:v>
      </x:c>
    </x:row>
    <x:row r="1942" ht="72" customHeight="1">
      <x:c r="A1942" s="14" t="str">
        <x:v>S06-02:B:explanation_first</x:v>
      </x:c>
      <x:c r="B1942" s="14" t="str">
        <x:v>B</x:v>
      </x:c>
      <x:c r="C1942" s="14" t="str">
        <x:v>explanation_first</x:v>
      </x:c>
      <x:c r="D1942" s="14" t="n">
        <x:v>-4</x:v>
      </x:c>
      <x:c r="E1942" s="14" t="n">
        <x:v>-3.594333333</x:v>
      </x:c>
      <x:c r="F1942" s="14" t="n">
        <x:v>0.405666667</x:v>
      </x:c>
      <x:c r="G1942" s="17" t="n">
        <x:v>1</x:v>
      </x:c>
      <x:c r="H1942" s="14" t="str">
        <x:v>S06-02:B:source_explanation</x:v>
      </x:c>
    </x:row>
    <x:row r="1943" ht="72" customHeight="1">
      <x:c r="A1943" s="14" t="str">
        <x:v>S06-02:B:explanation_tail</x:v>
      </x:c>
      <x:c r="B1943" s="14" t="str">
        <x:v>B</x:v>
      </x:c>
      <x:c r="C1943" s="14" t="str">
        <x:v>explanation_tail</x:v>
      </x:c>
      <x:c r="D1943" s="14" t="n">
        <x:v>-3.594333333</x:v>
      </x:c>
      <x:c r="E1943" s="14" t="n">
        <x:v>-1.654833333</x:v>
      </x:c>
      <x:c r="F1943" s="14" t="n">
        <x:v>1.9395</x:v>
      </x:c>
      <x:c r="G1943" s="17" t="n">
        <x:v>1</x:v>
      </x:c>
      <x:c r="H1943" s="14" t="str">
        <x:v>S06-02:B:explanation_first</x:v>
      </x:c>
    </x:row>
    <x:row r="1944" ht="72" customHeight="1">
      <x:c r="A1944" s="14" t="str">
        <x:v>S06-02:B:continue_device</x:v>
      </x:c>
      <x:c r="B1944" s="14" t="str">
        <x:v>B</x:v>
      </x:c>
      <x:c r="C1944" s="14" t="str">
        <x:v>continue_device</x:v>
      </x:c>
      <x:c r="D1944" s="14" t="n">
        <x:v>0.896666667</x:v>
      </x:c>
      <x:c r="E1944" s="14" t="n">
        <x:v>0.936666667</x:v>
      </x:c>
      <x:c r="F1944" s="14" t="n">
        <x:v>0.04</x:v>
      </x:c>
      <x:c r="G1944" s="17" t="n">
        <x:v>1</x:v>
      </x:c>
      <x:c r="H1944" s="14" t="str">
        <x:v>S06-02:B:apply_relation
S06-02:B:explanation_first</x:v>
      </x:c>
    </x:row>
    <x:row r="1945" ht="72" customHeight="1">
      <x:c r="A1945" s="14" t="str">
        <x:v>S06-02:B:continue_part1</x:v>
      </x:c>
      <x:c r="B1945" s="14" t="str">
        <x:v>B</x:v>
      </x:c>
      <x:c r="C1945" s="14" t="str">
        <x:v>continue_part1</x:v>
      </x:c>
      <x:c r="D1945" s="14" t="n">
        <x:v>0.936666667</x:v>
      </x:c>
      <x:c r="E1945" s="14" t="n">
        <x:v>1.536666667</x:v>
      </x:c>
      <x:c r="F1945" s="14" t="n">
        <x:v>0.6</x:v>
      </x:c>
      <x:c r="G1945" s="17" t="n">
        <x:v>0</x:v>
      </x:c>
      <x:c r="H1945" s="14" t="str">
        <x:v>S06-02:B:continue_device</x:v>
      </x:c>
    </x:row>
    <x:row r="1946" ht="72" customHeight="1">
      <x:c r="A1946" s="14" t="str">
        <x:v>S06-02:B:continue_false_trigger_hold</x:v>
      </x:c>
      <x:c r="B1946" s="14" t="str">
        <x:v>B</x:v>
      </x:c>
      <x:c r="C1946" s="14" t="str">
        <x:v>continue_false_trigger_hold</x:v>
      </x:c>
      <x:c r="D1946" s="14" t="n">
        <x:v>1.536666667</x:v>
      </x:c>
      <x:c r="E1946" s="14" t="n">
        <x:v>1.836666667</x:v>
      </x:c>
      <x:c r="F1946" s="14" t="n">
        <x:v>0.3</x:v>
      </x:c>
      <x:c r="G1946" s="17" t="n">
        <x:v>0</x:v>
      </x:c>
      <x:c r="H1946" s="14" t="str">
        <x:v>S06-02:B:continue_part1</x:v>
      </x:c>
    </x:row>
    <x:row r="1947" ht="72" customHeight="1">
      <x:c r="A1947" s="14" t="str">
        <x:v>S06-02:B:continue_part2</x:v>
      </x:c>
      <x:c r="B1947" s="14" t="str">
        <x:v>B</x:v>
      </x:c>
      <x:c r="C1947" s="14" t="str">
        <x:v>continue_part2</x:v>
      </x:c>
      <x:c r="D1947" s="14" t="n">
        <x:v>1.836666667</x:v>
      </x:c>
      <x:c r="E1947" s="14" t="n">
        <x:v>8.194666666</x:v>
      </x:c>
      <x:c r="F1947" s="14" t="n">
        <x:v>6.357999999</x:v>
      </x:c>
      <x:c r="G1947" s="17" t="n">
        <x:v>0</x:v>
      </x:c>
      <x:c r="H1947" s="14" t="str">
        <x:v>S06-02:B:continue_false_trigger_hold</x:v>
      </x:c>
    </x:row>
    <x:row r="1948" ht="72" customHeight="1">
      <x:c r="A1948" s="14" t="str">
        <x:v>S06-03:A:origin</x:v>
      </x:c>
      <x:c r="B1948" s="14" t="str">
        <x:v>A</x:v>
      </x:c>
      <x:c r="C1948" s="14" t="str">
        <x:v>origin</x:v>
      </x:c>
      <x:c r="D1948" s="14" t="n">
        <x:v>-6</x:v>
      </x:c>
      <x:c r="E1948" s="14" t="n">
        <x:v>-6</x:v>
      </x:c>
      <x:c r="F1948" s="14" t="n">
        <x:v>0</x:v>
      </x:c>
      <x:c r="G1948" s="17" t="n">
        <x:v>0</x:v>
      </x:c>
      <x:c r="H1948" s="14" t="str"/>
    </x:row>
    <x:row r="1949" ht="72" customHeight="1">
      <x:c r="A1949" s="14" t="str">
        <x:v>S06-03:A:origin_interpretation</x:v>
      </x:c>
      <x:c r="B1949" s="14" t="str">
        <x:v>A</x:v>
      </x:c>
      <x:c r="C1949" s="14" t="str">
        <x:v>origin_interpretation</x:v>
      </x:c>
      <x:c r="D1949" s="14" t="n">
        <x:v>-6</x:v>
      </x:c>
      <x:c r="E1949" s="14" t="n">
        <x:v>-5.16</x:v>
      </x:c>
      <x:c r="F1949" s="14" t="n">
        <x:v>0.84</x:v>
      </x:c>
      <x:c r="G1949" s="17" t="n">
        <x:v>1</x:v>
      </x:c>
      <x:c r="H1949" s="14" t="str">
        <x:v>S06-03:A:origin</x:v>
      </x:c>
    </x:row>
    <x:row r="1950" ht="72" customHeight="1">
      <x:c r="A1950" s="14" t="str">
        <x:v>S06-03:A:original_handoff</x:v>
      </x:c>
      <x:c r="B1950" s="14" t="str">
        <x:v>A</x:v>
      </x:c>
      <x:c r="C1950" s="14" t="str">
        <x:v>original_handoff</x:v>
      </x:c>
      <x:c r="D1950" s="14" t="n">
        <x:v>-5.16</x:v>
      </x:c>
      <x:c r="E1950" s="14" t="n">
        <x:v>-5.04</x:v>
      </x:c>
      <x:c r="F1950" s="14" t="n">
        <x:v>0.12</x:v>
      </x:c>
      <x:c r="G1950" s="17" t="n">
        <x:v>1</x:v>
      </x:c>
      <x:c r="H1950" s="14" t="str">
        <x:v>S06-03:A:origin_interpretation</x:v>
      </x:c>
    </x:row>
    <x:row r="1951" ht="72" customHeight="1">
      <x:c r="A1951" s="14" t="str">
        <x:v>S06-03:A:evaluation_utterance_end</x:v>
      </x:c>
      <x:c r="B1951" s="14" t="str">
        <x:v>A</x:v>
      </x:c>
      <x:c r="C1951" s="14" t="str">
        <x:v>evaluation_utterance_end</x:v>
      </x:c>
      <x:c r="D1951" s="14" t="n">
        <x:v>-6</x:v>
      </x:c>
      <x:c r="E1951" s="14" t="n">
        <x:v>0</x:v>
      </x:c>
      <x:c r="F1951" s="14" t="n">
        <x:v>6</x:v>
      </x:c>
      <x:c r="G1951" s="17" t="n">
        <x:v>0</x:v>
      </x:c>
      <x:c r="H1951" s="14" t="str">
        <x:v>S06-03:A:origin</x:v>
      </x:c>
    </x:row>
    <x:row r="1952" ht="72" customHeight="1">
      <x:c r="A1952" s="14" t="str">
        <x:v>S06-03:A:final_transcript</x:v>
      </x:c>
      <x:c r="B1952" s="14" t="str">
        <x:v>A</x:v>
      </x:c>
      <x:c r="C1952" s="14" t="str">
        <x:v>final_transcript</x:v>
      </x:c>
      <x:c r="D1952" s="14" t="n">
        <x:v>0</x:v>
      </x:c>
      <x:c r="E1952" s="14" t="n">
        <x:v>0.3</x:v>
      </x:c>
      <x:c r="F1952" s="14" t="n">
        <x:v>0.3</x:v>
      </x:c>
      <x:c r="G1952" s="17" t="n">
        <x:v>1</x:v>
      </x:c>
      <x:c r="H1952" s="14" t="str">
        <x:v>S06-03:A:evaluation_utterance_end</x:v>
      </x:c>
    </x:row>
    <x:row r="1953" ht="72" customHeight="1">
      <x:c r="A1953" s="14" t="str">
        <x:v>S06-03:A:meaning_adoption</x:v>
      </x:c>
      <x:c r="B1953" s="14" t="str">
        <x:v>A</x:v>
      </x:c>
      <x:c r="C1953" s="14" t="str">
        <x:v>meaning_adoption</x:v>
      </x:c>
      <x:c r="D1953" s="14" t="n">
        <x:v>0.3</x:v>
      </x:c>
      <x:c r="E1953" s="14" t="n">
        <x:v>0.81</x:v>
      </x:c>
      <x:c r="F1953" s="14" t="n">
        <x:v>0.51</x:v>
      </x:c>
      <x:c r="G1953" s="17" t="n">
        <x:v>1</x:v>
      </x:c>
      <x:c r="H1953" s="14" t="str">
        <x:v>S06-03:A:final_transcript
S06-03:A:origin_interpretation</x:v>
      </x:c>
    </x:row>
    <x:row r="1954" ht="72" customHeight="1">
      <x:c r="A1954" s="14" t="str">
        <x:v>S06-03:A:apply_relation</x:v>
      </x:c>
      <x:c r="B1954" s="14" t="str">
        <x:v>A</x:v>
      </x:c>
      <x:c r="C1954" s="14" t="str">
        <x:v>apply_relation</x:v>
      </x:c>
      <x:c r="D1954" s="14" t="n">
        <x:v>0.81</x:v>
      </x:c>
      <x:c r="E1954" s="14" t="n">
        <x:v>0.85</x:v>
      </x:c>
      <x:c r="F1954" s="14" t="n">
        <x:v>0.04</x:v>
      </x:c>
      <x:c r="G1954" s="17" t="n">
        <x:v>1</x:v>
      </x:c>
      <x:c r="H1954" s="14" t="str">
        <x:v>S06-03:A:meaning_adoption</x:v>
      </x:c>
    </x:row>
    <x:row r="1955" ht="72" customHeight="1">
      <x:c r="A1955" s="14" t="str">
        <x:v>S06-03:A:evaluation_first_display</x:v>
      </x:c>
      <x:c r="B1955" s="14" t="str">
        <x:v>A</x:v>
      </x:c>
      <x:c r="C1955" s="14" t="str">
        <x:v>evaluation_first_display</x:v>
      </x:c>
      <x:c r="D1955" s="14" t="n">
        <x:v>0.85</x:v>
      </x:c>
      <x:c r="E1955" s="14" t="n">
        <x:v>0.89</x:v>
      </x:c>
      <x:c r="F1955" s="14" t="n">
        <x:v>0.04</x:v>
      </x:c>
      <x:c r="G1955" s="17" t="n">
        <x:v>1</x:v>
      </x:c>
      <x:c r="H1955" s="14" t="str">
        <x:v>S06-03:A:apply_relation</x:v>
      </x:c>
    </x:row>
    <x:row r="1956" ht="72" customHeight="1">
      <x:c r="A1956" s="14" t="str">
        <x:v>S06-03:A:source_explanation</x:v>
      </x:c>
      <x:c r="B1956" s="14" t="str">
        <x:v>A</x:v>
      </x:c>
      <x:c r="C1956" s="14" t="str">
        <x:v>source_explanation</x:v>
      </x:c>
      <x:c r="D1956" s="14" t="n">
        <x:v>-5.04</x:v>
      </x:c>
      <x:c r="E1956" s="14" t="n">
        <x:v>-4</x:v>
      </x:c>
      <x:c r="F1956" s="14" t="n">
        <x:v>1.04</x:v>
      </x:c>
      <x:c r="G1956" s="17" t="n">
        <x:v>0</x:v>
      </x:c>
      <x:c r="H1956" s="14" t="str">
        <x:v>S06-03:A:original_handoff</x:v>
      </x:c>
    </x:row>
    <x:row r="1957" ht="72" customHeight="1">
      <x:c r="A1957" s="14" t="str">
        <x:v>S06-03:A:display_explanation</x:v>
      </x:c>
      <x:c r="B1957" s="14" t="str">
        <x:v>A</x:v>
      </x:c>
      <x:c r="C1957" s="14" t="str">
        <x:v>display_explanation</x:v>
      </x:c>
      <x:c r="D1957" s="14" t="n">
        <x:v>-4</x:v>
      </x:c>
      <x:c r="E1957" s="14" t="n">
        <x:v>-3.96</x:v>
      </x:c>
      <x:c r="F1957" s="14" t="n">
        <x:v>0.04</x:v>
      </x:c>
      <x:c r="G1957" s="17" t="n">
        <x:v>1</x:v>
      </x:c>
      <x:c r="H1957" s="14" t="str">
        <x:v>S06-03:A:source_explanation</x:v>
      </x:c>
    </x:row>
    <x:row r="1958" ht="72" customHeight="1">
      <x:c r="A1958" s="14" t="str">
        <x:v>S06-03:A:explanation_first</x:v>
      </x:c>
      <x:c r="B1958" s="14" t="str">
        <x:v>A</x:v>
      </x:c>
      <x:c r="C1958" s="14" t="str">
        <x:v>explanation_first</x:v>
      </x:c>
      <x:c r="D1958" s="14" t="n">
        <x:v>-4</x:v>
      </x:c>
      <x:c r="E1958" s="14" t="n">
        <x:v>-3.594333333</x:v>
      </x:c>
      <x:c r="F1958" s="14" t="n">
        <x:v>0.405666667</x:v>
      </x:c>
      <x:c r="G1958" s="17" t="n">
        <x:v>1</x:v>
      </x:c>
      <x:c r="H1958" s="14" t="str">
        <x:v>S06-03:A:source_explanation</x:v>
      </x:c>
    </x:row>
    <x:row r="1959" ht="72" customHeight="1">
      <x:c r="A1959" s="14" t="str">
        <x:v>S06-03:A:explanation_tail</x:v>
      </x:c>
      <x:c r="B1959" s="14" t="str">
        <x:v>A</x:v>
      </x:c>
      <x:c r="C1959" s="14" t="str">
        <x:v>explanation_tail</x:v>
      </x:c>
      <x:c r="D1959" s="14" t="n">
        <x:v>-3.594333333</x:v>
      </x:c>
      <x:c r="E1959" s="14" t="n">
        <x:v>-1.651833333</x:v>
      </x:c>
      <x:c r="F1959" s="14" t="n">
        <x:v>1.9425</x:v>
      </x:c>
      <x:c r="G1959" s="17" t="n">
        <x:v>1</x:v>
      </x:c>
      <x:c r="H1959" s="14" t="str">
        <x:v>S06-03:A:explanation_first</x:v>
      </x:c>
    </x:row>
    <x:row r="1960" ht="72" customHeight="1">
      <x:c r="A1960" s="14" t="str">
        <x:v>S06-03:A:continue_device</x:v>
      </x:c>
      <x:c r="B1960" s="14" t="str">
        <x:v>A</x:v>
      </x:c>
      <x:c r="C1960" s="14" t="str">
        <x:v>continue_device</x:v>
      </x:c>
      <x:c r="D1960" s="14" t="n">
        <x:v>0.85</x:v>
      </x:c>
      <x:c r="E1960" s="14" t="n">
        <x:v>0.89</x:v>
      </x:c>
      <x:c r="F1960" s="14" t="n">
        <x:v>0.04</x:v>
      </x:c>
      <x:c r="G1960" s="17" t="n">
        <x:v>1</x:v>
      </x:c>
      <x:c r="H1960" s="14" t="str">
        <x:v>S06-03:A:apply_relation
S06-03:A:explanation_first</x:v>
      </x:c>
    </x:row>
    <x:row r="1961" ht="72" customHeight="1">
      <x:c r="A1961" s="14" t="str">
        <x:v>S06-03:A:continue_part1</x:v>
      </x:c>
      <x:c r="B1961" s="14" t="str">
        <x:v>A</x:v>
      </x:c>
      <x:c r="C1961" s="14" t="str">
        <x:v>continue_part1</x:v>
      </x:c>
      <x:c r="D1961" s="14" t="n">
        <x:v>0.89</x:v>
      </x:c>
      <x:c r="E1961" s="14" t="n">
        <x:v>1.49</x:v>
      </x:c>
      <x:c r="F1961" s="14" t="n">
        <x:v>0.6</x:v>
      </x:c>
      <x:c r="G1961" s="17" t="n">
        <x:v>0</x:v>
      </x:c>
      <x:c r="H1961" s="14" t="str">
        <x:v>S06-03:A:continue_device</x:v>
      </x:c>
    </x:row>
    <x:row r="1962" ht="72" customHeight="1">
      <x:c r="A1962" s="14" t="str">
        <x:v>S06-03:A:continue_false_trigger_hold</x:v>
      </x:c>
      <x:c r="B1962" s="14" t="str">
        <x:v>A</x:v>
      </x:c>
      <x:c r="C1962" s="14" t="str">
        <x:v>continue_false_trigger_hold</x:v>
      </x:c>
      <x:c r="D1962" s="14" t="n">
        <x:v>1.49</x:v>
      </x:c>
      <x:c r="E1962" s="14" t="n">
        <x:v>1.79</x:v>
      </x:c>
      <x:c r="F1962" s="14" t="n">
        <x:v>0.3</x:v>
      </x:c>
      <x:c r="G1962" s="17" t="n">
        <x:v>0</x:v>
      </x:c>
      <x:c r="H1962" s="14" t="str">
        <x:v>S06-03:A:continue_part1</x:v>
      </x:c>
    </x:row>
    <x:row r="1963" ht="72" customHeight="1">
      <x:c r="A1963" s="14" t="str">
        <x:v>S06-03:A:continue_part2</x:v>
      </x:c>
      <x:c r="B1963" s="14" t="str">
        <x:v>A</x:v>
      </x:c>
      <x:c r="C1963" s="14" t="str">
        <x:v>continue_part2</x:v>
      </x:c>
      <x:c r="D1963" s="14" t="n">
        <x:v>1.79</x:v>
      </x:c>
      <x:c r="E1963" s="14" t="n">
        <x:v>8.159999999</x:v>
      </x:c>
      <x:c r="F1963" s="14" t="n">
        <x:v>6.369999999</x:v>
      </x:c>
      <x:c r="G1963" s="17" t="n">
        <x:v>0</x:v>
      </x:c>
      <x:c r="H1963" s="14" t="str">
        <x:v>S06-03:A:continue_false_trigger_hold</x:v>
      </x:c>
    </x:row>
    <x:row r="1964" ht="72" customHeight="1">
      <x:c r="A1964" s="14" t="str">
        <x:v>S06-03:B:origin</x:v>
      </x:c>
      <x:c r="B1964" s="14" t="str">
        <x:v>B</x:v>
      </x:c>
      <x:c r="C1964" s="14" t="str">
        <x:v>origin</x:v>
      </x:c>
      <x:c r="D1964" s="14" t="n">
        <x:v>-6</x:v>
      </x:c>
      <x:c r="E1964" s="14" t="n">
        <x:v>-6</x:v>
      </x:c>
      <x:c r="F1964" s="14" t="n">
        <x:v>0</x:v>
      </x:c>
      <x:c r="G1964" s="17" t="n">
        <x:v>0</x:v>
      </x:c>
      <x:c r="H1964" s="14" t="str"/>
    </x:row>
    <x:row r="1965" ht="72" customHeight="1">
      <x:c r="A1965" s="14" t="str">
        <x:v>S06-03:B:origin_interpretation</x:v>
      </x:c>
      <x:c r="B1965" s="14" t="str">
        <x:v>B</x:v>
      </x:c>
      <x:c r="C1965" s="14" t="str">
        <x:v>origin_interpretation</x:v>
      </x:c>
      <x:c r="D1965" s="14" t="n">
        <x:v>-6</x:v>
      </x:c>
      <x:c r="E1965" s="14" t="n">
        <x:v>-5.16</x:v>
      </x:c>
      <x:c r="F1965" s="14" t="n">
        <x:v>0.84</x:v>
      </x:c>
      <x:c r="G1965" s="17" t="n">
        <x:v>1</x:v>
      </x:c>
      <x:c r="H1965" s="14" t="str">
        <x:v>S06-03:B:origin</x:v>
      </x:c>
    </x:row>
    <x:row r="1966" ht="72" customHeight="1">
      <x:c r="A1966" s="14" t="str">
        <x:v>S06-03:B:original_handoff</x:v>
      </x:c>
      <x:c r="B1966" s="14" t="str">
        <x:v>B</x:v>
      </x:c>
      <x:c r="C1966" s="14" t="str">
        <x:v>original_handoff</x:v>
      </x:c>
      <x:c r="D1966" s="14" t="n">
        <x:v>-5.16</x:v>
      </x:c>
      <x:c r="E1966" s="14" t="n">
        <x:v>-5.04</x:v>
      </x:c>
      <x:c r="F1966" s="14" t="n">
        <x:v>0.12</x:v>
      </x:c>
      <x:c r="G1966" s="17" t="n">
        <x:v>1</x:v>
      </x:c>
      <x:c r="H1966" s="14" t="str">
        <x:v>S06-03:B:origin_interpretation</x:v>
      </x:c>
    </x:row>
    <x:row r="1967" ht="72" customHeight="1">
      <x:c r="A1967" s="14" t="str">
        <x:v>S06-03:B:evaluation_utterance_end</x:v>
      </x:c>
      <x:c r="B1967" s="14" t="str">
        <x:v>B</x:v>
      </x:c>
      <x:c r="C1967" s="14" t="str">
        <x:v>evaluation_utterance_end</x:v>
      </x:c>
      <x:c r="D1967" s="14" t="n">
        <x:v>-6</x:v>
      </x:c>
      <x:c r="E1967" s="14" t="n">
        <x:v>0</x:v>
      </x:c>
      <x:c r="F1967" s="14" t="n">
        <x:v>6</x:v>
      </x:c>
      <x:c r="G1967" s="17" t="n">
        <x:v>0</x:v>
      </x:c>
      <x:c r="H1967" s="14" t="str">
        <x:v>S06-03:B:origin</x:v>
      </x:c>
    </x:row>
    <x:row r="1968" ht="72" customHeight="1">
      <x:c r="A1968" s="14" t="str">
        <x:v>S06-03:B:final_transcript</x:v>
      </x:c>
      <x:c r="B1968" s="14" t="str">
        <x:v>B</x:v>
      </x:c>
      <x:c r="C1968" s="14" t="str">
        <x:v>final_transcript</x:v>
      </x:c>
      <x:c r="D1968" s="14" t="n">
        <x:v>0</x:v>
      </x:c>
      <x:c r="E1968" s="14" t="n">
        <x:v>0.3</x:v>
      </x:c>
      <x:c r="F1968" s="14" t="n">
        <x:v>0.3</x:v>
      </x:c>
      <x:c r="G1968" s="17" t="n">
        <x:v>1</x:v>
      </x:c>
      <x:c r="H1968" s="14" t="str">
        <x:v>S06-03:B:evaluation_utterance_end</x:v>
      </x:c>
    </x:row>
    <x:row r="1969" ht="72" customHeight="1">
      <x:c r="A1969" s="14" t="str">
        <x:v>S06-03:B:meaning_adoption</x:v>
      </x:c>
      <x:c r="B1969" s="14" t="str">
        <x:v>B</x:v>
      </x:c>
      <x:c r="C1969" s="14" t="str">
        <x:v>meaning_adoption</x:v>
      </x:c>
      <x:c r="D1969" s="14" t="n">
        <x:v>0.3</x:v>
      </x:c>
      <x:c r="E1969" s="14" t="n">
        <x:v>0.81</x:v>
      </x:c>
      <x:c r="F1969" s="14" t="n">
        <x:v>0.51</x:v>
      </x:c>
      <x:c r="G1969" s="17" t="n">
        <x:v>1</x:v>
      </x:c>
      <x:c r="H1969" s="14" t="str">
        <x:v>S06-03:B:final_transcript
S06-03:B:origin_interpretation</x:v>
      </x:c>
    </x:row>
    <x:row r="1970" ht="72" customHeight="1">
      <x:c r="A1970" s="14" t="str">
        <x:v>S06-03:B:apply_relation</x:v>
      </x:c>
      <x:c r="B1970" s="14" t="str">
        <x:v>B</x:v>
      </x:c>
      <x:c r="C1970" s="14" t="str">
        <x:v>apply_relation</x:v>
      </x:c>
      <x:c r="D1970" s="14" t="n">
        <x:v>0.81</x:v>
      </x:c>
      <x:c r="E1970" s="14" t="n">
        <x:v>0.85</x:v>
      </x:c>
      <x:c r="F1970" s="14" t="n">
        <x:v>0.04</x:v>
      </x:c>
      <x:c r="G1970" s="17" t="n">
        <x:v>1</x:v>
      </x:c>
      <x:c r="H1970" s="14" t="str">
        <x:v>S06-03:B:meaning_adoption</x:v>
      </x:c>
    </x:row>
    <x:row r="1971" ht="72" customHeight="1">
      <x:c r="A1971" s="14" t="str">
        <x:v>S06-03:B:evaluation_first_display</x:v>
      </x:c>
      <x:c r="B1971" s="14" t="str">
        <x:v>B</x:v>
      </x:c>
      <x:c r="C1971" s="14" t="str">
        <x:v>evaluation_first_display</x:v>
      </x:c>
      <x:c r="D1971" s="14" t="n">
        <x:v>0.85</x:v>
      </x:c>
      <x:c r="E1971" s="14" t="n">
        <x:v>0.89</x:v>
      </x:c>
      <x:c r="F1971" s="14" t="n">
        <x:v>0.04</x:v>
      </x:c>
      <x:c r="G1971" s="17" t="n">
        <x:v>1</x:v>
      </x:c>
      <x:c r="H1971" s="14" t="str">
        <x:v>S06-03:B:apply_relation</x:v>
      </x:c>
    </x:row>
    <x:row r="1972" ht="72" customHeight="1">
      <x:c r="A1972" s="14" t="str">
        <x:v>S06-03:B:source_explanation</x:v>
      </x:c>
      <x:c r="B1972" s="14" t="str">
        <x:v>B</x:v>
      </x:c>
      <x:c r="C1972" s="14" t="str">
        <x:v>source_explanation</x:v>
      </x:c>
      <x:c r="D1972" s="14" t="n">
        <x:v>-5.04</x:v>
      </x:c>
      <x:c r="E1972" s="14" t="n">
        <x:v>-4</x:v>
      </x:c>
      <x:c r="F1972" s="14" t="n">
        <x:v>1.04</x:v>
      </x:c>
      <x:c r="G1972" s="17" t="n">
        <x:v>0</x:v>
      </x:c>
      <x:c r="H1972" s="14" t="str">
        <x:v>S06-03:B:original_handoff</x:v>
      </x:c>
    </x:row>
    <x:row r="1973" ht="72" customHeight="1">
      <x:c r="A1973" s="14" t="str">
        <x:v>S06-03:B:display_explanation</x:v>
      </x:c>
      <x:c r="B1973" s="14" t="str">
        <x:v>B</x:v>
      </x:c>
      <x:c r="C1973" s="14" t="str">
        <x:v>display_explanation</x:v>
      </x:c>
      <x:c r="D1973" s="14" t="n">
        <x:v>-4</x:v>
      </x:c>
      <x:c r="E1973" s="14" t="n">
        <x:v>-3.96</x:v>
      </x:c>
      <x:c r="F1973" s="14" t="n">
        <x:v>0.04</x:v>
      </x:c>
      <x:c r="G1973" s="17" t="n">
        <x:v>1</x:v>
      </x:c>
      <x:c r="H1973" s="14" t="str">
        <x:v>S06-03:B:source_explanation</x:v>
      </x:c>
    </x:row>
    <x:row r="1974" ht="72" customHeight="1">
      <x:c r="A1974" s="14" t="str">
        <x:v>S06-03:B:explanation_first</x:v>
      </x:c>
      <x:c r="B1974" s="14" t="str">
        <x:v>B</x:v>
      </x:c>
      <x:c r="C1974" s="14" t="str">
        <x:v>explanation_first</x:v>
      </x:c>
      <x:c r="D1974" s="14" t="n">
        <x:v>-4</x:v>
      </x:c>
      <x:c r="E1974" s="14" t="n">
        <x:v>-3.594333333</x:v>
      </x:c>
      <x:c r="F1974" s="14" t="n">
        <x:v>0.405666667</x:v>
      </x:c>
      <x:c r="G1974" s="17" t="n">
        <x:v>1</x:v>
      </x:c>
      <x:c r="H1974" s="14" t="str">
        <x:v>S06-03:B:source_explanation</x:v>
      </x:c>
    </x:row>
    <x:row r="1975" ht="72" customHeight="1">
      <x:c r="A1975" s="14" t="str">
        <x:v>S06-03:B:explanation_tail</x:v>
      </x:c>
      <x:c r="B1975" s="14" t="str">
        <x:v>B</x:v>
      </x:c>
      <x:c r="C1975" s="14" t="str">
        <x:v>explanation_tail</x:v>
      </x:c>
      <x:c r="D1975" s="14" t="n">
        <x:v>-3.594333333</x:v>
      </x:c>
      <x:c r="E1975" s="14" t="n">
        <x:v>-1.651833333</x:v>
      </x:c>
      <x:c r="F1975" s="14" t="n">
        <x:v>1.9425</x:v>
      </x:c>
      <x:c r="G1975" s="17" t="n">
        <x:v>1</x:v>
      </x:c>
      <x:c r="H1975" s="14" t="str">
        <x:v>S06-03:B:explanation_first</x:v>
      </x:c>
    </x:row>
    <x:row r="1976" ht="72" customHeight="1">
      <x:c r="A1976" s="14" t="str">
        <x:v>S06-03:B:continue_device</x:v>
      </x:c>
      <x:c r="B1976" s="14" t="str">
        <x:v>B</x:v>
      </x:c>
      <x:c r="C1976" s="14" t="str">
        <x:v>continue_device</x:v>
      </x:c>
      <x:c r="D1976" s="14" t="n">
        <x:v>0.85</x:v>
      </x:c>
      <x:c r="E1976" s="14" t="n">
        <x:v>0.89</x:v>
      </x:c>
      <x:c r="F1976" s="14" t="n">
        <x:v>0.04</x:v>
      </x:c>
      <x:c r="G1976" s="17" t="n">
        <x:v>1</x:v>
      </x:c>
      <x:c r="H1976" s="14" t="str">
        <x:v>S06-03:B:apply_relation
S06-03:B:explanation_first</x:v>
      </x:c>
    </x:row>
    <x:row r="1977" ht="72" customHeight="1">
      <x:c r="A1977" s="14" t="str">
        <x:v>S06-03:B:continue_part1</x:v>
      </x:c>
      <x:c r="B1977" s="14" t="str">
        <x:v>B</x:v>
      </x:c>
      <x:c r="C1977" s="14" t="str">
        <x:v>continue_part1</x:v>
      </x:c>
      <x:c r="D1977" s="14" t="n">
        <x:v>0.89</x:v>
      </x:c>
      <x:c r="E1977" s="14" t="n">
        <x:v>1.49</x:v>
      </x:c>
      <x:c r="F1977" s="14" t="n">
        <x:v>0.6</x:v>
      </x:c>
      <x:c r="G1977" s="17" t="n">
        <x:v>0</x:v>
      </x:c>
      <x:c r="H1977" s="14" t="str">
        <x:v>S06-03:B:continue_device</x:v>
      </x:c>
    </x:row>
    <x:row r="1978" ht="72" customHeight="1">
      <x:c r="A1978" s="14" t="str">
        <x:v>S06-03:B:continue_false_trigger_hold</x:v>
      </x:c>
      <x:c r="B1978" s="14" t="str">
        <x:v>B</x:v>
      </x:c>
      <x:c r="C1978" s="14" t="str">
        <x:v>continue_false_trigger_hold</x:v>
      </x:c>
      <x:c r="D1978" s="14" t="n">
        <x:v>1.49</x:v>
      </x:c>
      <x:c r="E1978" s="14" t="n">
        <x:v>1.79</x:v>
      </x:c>
      <x:c r="F1978" s="14" t="n">
        <x:v>0.3</x:v>
      </x:c>
      <x:c r="G1978" s="17" t="n">
        <x:v>0</x:v>
      </x:c>
      <x:c r="H1978" s="14" t="str">
        <x:v>S06-03:B:continue_part1</x:v>
      </x:c>
    </x:row>
    <x:row r="1979" ht="72" customHeight="1">
      <x:c r="A1979" s="14" t="str">
        <x:v>S06-03:B:continue_part2</x:v>
      </x:c>
      <x:c r="B1979" s="14" t="str">
        <x:v>B</x:v>
      </x:c>
      <x:c r="C1979" s="14" t="str">
        <x:v>continue_part2</x:v>
      </x:c>
      <x:c r="D1979" s="14" t="n">
        <x:v>1.79</x:v>
      </x:c>
      <x:c r="E1979" s="14" t="n">
        <x:v>8.159999999</x:v>
      </x:c>
      <x:c r="F1979" s="14" t="n">
        <x:v>6.369999999</x:v>
      </x:c>
      <x:c r="G1979" s="17" t="n">
        <x:v>0</x:v>
      </x:c>
      <x:c r="H1979" s="14" t="str">
        <x:v>S06-03:B:continue_false_trigger_hold</x:v>
      </x:c>
    </x:row>
    <x:row r="1980" ht="72" customHeight="1">
      <x:c r="A1980" s="14" t="str">
        <x:v>S06-04:A:origin</x:v>
      </x:c>
      <x:c r="B1980" s="14" t="str">
        <x:v>A</x:v>
      </x:c>
      <x:c r="C1980" s="14" t="str">
        <x:v>origin</x:v>
      </x:c>
      <x:c r="D1980" s="14" t="n">
        <x:v>-6</x:v>
      </x:c>
      <x:c r="E1980" s="14" t="n">
        <x:v>-6</x:v>
      </x:c>
      <x:c r="F1980" s="14" t="n">
        <x:v>0</x:v>
      </x:c>
      <x:c r="G1980" s="17" t="n">
        <x:v>0</x:v>
      </x:c>
      <x:c r="H1980" s="14" t="str"/>
    </x:row>
    <x:row r="1981" ht="72" customHeight="1">
      <x:c r="A1981" s="14" t="str">
        <x:v>S06-04:A:origin_interpretation</x:v>
      </x:c>
      <x:c r="B1981" s="14" t="str">
        <x:v>A</x:v>
      </x:c>
      <x:c r="C1981" s="14" t="str">
        <x:v>origin_interpretation</x:v>
      </x:c>
      <x:c r="D1981" s="14" t="n">
        <x:v>-6</x:v>
      </x:c>
      <x:c r="E1981" s="14" t="n">
        <x:v>-5.16</x:v>
      </x:c>
      <x:c r="F1981" s="14" t="n">
        <x:v>0.84</x:v>
      </x:c>
      <x:c r="G1981" s="17" t="n">
        <x:v>1</x:v>
      </x:c>
      <x:c r="H1981" s="14" t="str">
        <x:v>S06-04:A:origin</x:v>
      </x:c>
    </x:row>
    <x:row r="1982" ht="72" customHeight="1">
      <x:c r="A1982" s="14" t="str">
        <x:v>S06-04:A:original_handoff</x:v>
      </x:c>
      <x:c r="B1982" s="14" t="str">
        <x:v>A</x:v>
      </x:c>
      <x:c r="C1982" s="14" t="str">
        <x:v>original_handoff</x:v>
      </x:c>
      <x:c r="D1982" s="14" t="n">
        <x:v>-5.16</x:v>
      </x:c>
      <x:c r="E1982" s="14" t="n">
        <x:v>-5.04</x:v>
      </x:c>
      <x:c r="F1982" s="14" t="n">
        <x:v>0.12</x:v>
      </x:c>
      <x:c r="G1982" s="17" t="n">
        <x:v>1</x:v>
      </x:c>
      <x:c r="H1982" s="14" t="str">
        <x:v>S06-04:A:origin_interpretation</x:v>
      </x:c>
    </x:row>
    <x:row r="1983" ht="72" customHeight="1">
      <x:c r="A1983" s="14" t="str">
        <x:v>S06-04:A:evaluation_utterance_end</x:v>
      </x:c>
      <x:c r="B1983" s="14" t="str">
        <x:v>A</x:v>
      </x:c>
      <x:c r="C1983" s="14" t="str">
        <x:v>evaluation_utterance_end</x:v>
      </x:c>
      <x:c r="D1983" s="14" t="n">
        <x:v>-6</x:v>
      </x:c>
      <x:c r="E1983" s="14" t="n">
        <x:v>0</x:v>
      </x:c>
      <x:c r="F1983" s="14" t="n">
        <x:v>6</x:v>
      </x:c>
      <x:c r="G1983" s="17" t="n">
        <x:v>0</x:v>
      </x:c>
      <x:c r="H1983" s="14" t="str">
        <x:v>S06-04:A:origin</x:v>
      </x:c>
    </x:row>
    <x:row r="1984" ht="72" customHeight="1">
      <x:c r="A1984" s="14" t="str">
        <x:v>S06-04:A:final_transcript</x:v>
      </x:c>
      <x:c r="B1984" s="14" t="str">
        <x:v>A</x:v>
      </x:c>
      <x:c r="C1984" s="14" t="str">
        <x:v>final_transcript</x:v>
      </x:c>
      <x:c r="D1984" s="14" t="n">
        <x:v>0</x:v>
      </x:c>
      <x:c r="E1984" s="14" t="n">
        <x:v>0.3</x:v>
      </x:c>
      <x:c r="F1984" s="14" t="n">
        <x:v>0.3</x:v>
      </x:c>
      <x:c r="G1984" s="17" t="n">
        <x:v>1</x:v>
      </x:c>
      <x:c r="H1984" s="14" t="str">
        <x:v>S06-04:A:evaluation_utterance_end</x:v>
      </x:c>
    </x:row>
    <x:row r="1985" ht="72" customHeight="1">
      <x:c r="A1985" s="14" t="str">
        <x:v>S06-04:A:meaning_adoption</x:v>
      </x:c>
      <x:c r="B1985" s="14" t="str">
        <x:v>A</x:v>
      </x:c>
      <x:c r="C1985" s="14" t="str">
        <x:v>meaning_adoption</x:v>
      </x:c>
      <x:c r="D1985" s="14" t="n">
        <x:v>0.3</x:v>
      </x:c>
      <x:c r="E1985" s="14" t="n">
        <x:v>0.838333333</x:v>
      </x:c>
      <x:c r="F1985" s="14" t="n">
        <x:v>0.538333333</x:v>
      </x:c>
      <x:c r="G1985" s="17" t="n">
        <x:v>1</x:v>
      </x:c>
      <x:c r="H1985" s="14" t="str">
        <x:v>S06-04:A:final_transcript
S06-04:A:origin_interpretation</x:v>
      </x:c>
    </x:row>
    <x:row r="1986" ht="72" customHeight="1">
      <x:c r="A1986" s="14" t="str">
        <x:v>S06-04:A:apply_relation</x:v>
      </x:c>
      <x:c r="B1986" s="14" t="str">
        <x:v>A</x:v>
      </x:c>
      <x:c r="C1986" s="14" t="str">
        <x:v>apply_relation</x:v>
      </x:c>
      <x:c r="D1986" s="14" t="n">
        <x:v>0.838333333</x:v>
      </x:c>
      <x:c r="E1986" s="14" t="n">
        <x:v>0.878333333</x:v>
      </x:c>
      <x:c r="F1986" s="14" t="n">
        <x:v>0.04</x:v>
      </x:c>
      <x:c r="G1986" s="17" t="n">
        <x:v>1</x:v>
      </x:c>
      <x:c r="H1986" s="14" t="str">
        <x:v>S06-04:A:meaning_adoption</x:v>
      </x:c>
    </x:row>
    <x:row r="1987" ht="72" customHeight="1">
      <x:c r="A1987" s="14" t="str">
        <x:v>S06-04:A:evaluation_first_display</x:v>
      </x:c>
      <x:c r="B1987" s="14" t="str">
        <x:v>A</x:v>
      </x:c>
      <x:c r="C1987" s="14" t="str">
        <x:v>evaluation_first_display</x:v>
      </x:c>
      <x:c r="D1987" s="14" t="n">
        <x:v>0.878333333</x:v>
      </x:c>
      <x:c r="E1987" s="14" t="n">
        <x:v>0.918333333</x:v>
      </x:c>
      <x:c r="F1987" s="14" t="n">
        <x:v>0.04</x:v>
      </x:c>
      <x:c r="G1987" s="17" t="n">
        <x:v>1</x:v>
      </x:c>
      <x:c r="H1987" s="14" t="str">
        <x:v>S06-04:A:apply_relation</x:v>
      </x:c>
    </x:row>
    <x:row r="1988" ht="72" customHeight="1">
      <x:c r="A1988" s="14" t="str">
        <x:v>S06-04:A:source_explanation</x:v>
      </x:c>
      <x:c r="B1988" s="14" t="str">
        <x:v>A</x:v>
      </x:c>
      <x:c r="C1988" s="14" t="str">
        <x:v>source_explanation</x:v>
      </x:c>
      <x:c r="D1988" s="14" t="n">
        <x:v>-5.04</x:v>
      </x:c>
      <x:c r="E1988" s="14" t="n">
        <x:v>-4</x:v>
      </x:c>
      <x:c r="F1988" s="14" t="n">
        <x:v>1.04</x:v>
      </x:c>
      <x:c r="G1988" s="17" t="n">
        <x:v>0</x:v>
      </x:c>
      <x:c r="H1988" s="14" t="str">
        <x:v>S06-04:A:original_handoff</x:v>
      </x:c>
    </x:row>
    <x:row r="1989" ht="72" customHeight="1">
      <x:c r="A1989" s="14" t="str">
        <x:v>S06-04:A:display_explanation</x:v>
      </x:c>
      <x:c r="B1989" s="14" t="str">
        <x:v>A</x:v>
      </x:c>
      <x:c r="C1989" s="14" t="str">
        <x:v>display_explanation</x:v>
      </x:c>
      <x:c r="D1989" s="14" t="n">
        <x:v>-4</x:v>
      </x:c>
      <x:c r="E1989" s="14" t="n">
        <x:v>-3.96</x:v>
      </x:c>
      <x:c r="F1989" s="14" t="n">
        <x:v>0.04</x:v>
      </x:c>
      <x:c r="G1989" s="17" t="n">
        <x:v>1</x:v>
      </x:c>
      <x:c r="H1989" s="14" t="str">
        <x:v>S06-04:A:source_explanation</x:v>
      </x:c>
    </x:row>
    <x:row r="1990" ht="72" customHeight="1">
      <x:c r="A1990" s="14" t="str">
        <x:v>S06-04:A:explanation_first</x:v>
      </x:c>
      <x:c r="B1990" s="14" t="str">
        <x:v>A</x:v>
      </x:c>
      <x:c r="C1990" s="14" t="str">
        <x:v>explanation_first</x:v>
      </x:c>
      <x:c r="D1990" s="14" t="n">
        <x:v>-4</x:v>
      </x:c>
      <x:c r="E1990" s="14" t="n">
        <x:v>-3.594333333</x:v>
      </x:c>
      <x:c r="F1990" s="14" t="n">
        <x:v>0.405666667</x:v>
      </x:c>
      <x:c r="G1990" s="17" t="n">
        <x:v>1</x:v>
      </x:c>
      <x:c r="H1990" s="14" t="str">
        <x:v>S06-04:A:source_explanation</x:v>
      </x:c>
    </x:row>
    <x:row r="1991" ht="72" customHeight="1">
      <x:c r="A1991" s="14" t="str">
        <x:v>S06-04:A:explanation_tail</x:v>
      </x:c>
      <x:c r="B1991" s="14" t="str">
        <x:v>A</x:v>
      </x:c>
      <x:c r="C1991" s="14" t="str">
        <x:v>explanation_tail</x:v>
      </x:c>
      <x:c r="D1991" s="14" t="n">
        <x:v>-3.594333333</x:v>
      </x:c>
      <x:c r="E1991" s="14" t="n">
        <x:v>-1.648833333</x:v>
      </x:c>
      <x:c r="F1991" s="14" t="n">
        <x:v>1.9455</x:v>
      </x:c>
      <x:c r="G1991" s="17" t="n">
        <x:v>1</x:v>
      </x:c>
      <x:c r="H1991" s="14" t="str">
        <x:v>S06-04:A:explanation_first</x:v>
      </x:c>
    </x:row>
    <x:row r="1992" ht="72" customHeight="1">
      <x:c r="A1992" s="14" t="str">
        <x:v>S06-04:A:continue_device</x:v>
      </x:c>
      <x:c r="B1992" s="14" t="str">
        <x:v>A</x:v>
      </x:c>
      <x:c r="C1992" s="14" t="str">
        <x:v>continue_device</x:v>
      </x:c>
      <x:c r="D1992" s="14" t="n">
        <x:v>0.878333333</x:v>
      </x:c>
      <x:c r="E1992" s="14" t="n">
        <x:v>0.918333333</x:v>
      </x:c>
      <x:c r="F1992" s="14" t="n">
        <x:v>0.04</x:v>
      </x:c>
      <x:c r="G1992" s="17" t="n">
        <x:v>1</x:v>
      </x:c>
      <x:c r="H1992" s="14" t="str">
        <x:v>S06-04:A:apply_relation
S06-04:A:explanation_first</x:v>
      </x:c>
    </x:row>
    <x:row r="1993" ht="72" customHeight="1">
      <x:c r="A1993" s="14" t="str">
        <x:v>S06-04:A:continue_part1</x:v>
      </x:c>
      <x:c r="B1993" s="14" t="str">
        <x:v>A</x:v>
      </x:c>
      <x:c r="C1993" s="14" t="str">
        <x:v>continue_part1</x:v>
      </x:c>
      <x:c r="D1993" s="14" t="n">
        <x:v>0.918333333</x:v>
      </x:c>
      <x:c r="E1993" s="14" t="n">
        <x:v>1.518333333</x:v>
      </x:c>
      <x:c r="F1993" s="14" t="n">
        <x:v>0.6</x:v>
      </x:c>
      <x:c r="G1993" s="17" t="n">
        <x:v>0</x:v>
      </x:c>
      <x:c r="H1993" s="14" t="str">
        <x:v>S06-04:A:continue_device</x:v>
      </x:c>
    </x:row>
    <x:row r="1994" ht="72" customHeight="1">
      <x:c r="A1994" s="14" t="str">
        <x:v>S06-04:A:continue_false_trigger_hold</x:v>
      </x:c>
      <x:c r="B1994" s="14" t="str">
        <x:v>A</x:v>
      </x:c>
      <x:c r="C1994" s="14" t="str">
        <x:v>continue_false_trigger_hold</x:v>
      </x:c>
      <x:c r="D1994" s="14" t="n">
        <x:v>1.518333333</x:v>
      </x:c>
      <x:c r="E1994" s="14" t="n">
        <x:v>1.818333333</x:v>
      </x:c>
      <x:c r="F1994" s="14" t="n">
        <x:v>0.3</x:v>
      </x:c>
      <x:c r="G1994" s="17" t="n">
        <x:v>0</x:v>
      </x:c>
      <x:c r="H1994" s="14" t="str">
        <x:v>S06-04:A:continue_part1</x:v>
      </x:c>
    </x:row>
    <x:row r="1995" ht="72" customHeight="1">
      <x:c r="A1995" s="14" t="str">
        <x:v>S06-04:A:continue_part2</x:v>
      </x:c>
      <x:c r="B1995" s="14" t="str">
        <x:v>A</x:v>
      </x:c>
      <x:c r="C1995" s="14" t="str">
        <x:v>continue_part2</x:v>
      </x:c>
      <x:c r="D1995" s="14" t="n">
        <x:v>1.818333333</x:v>
      </x:c>
      <x:c r="E1995" s="14" t="n">
        <x:v>8.200333332</x:v>
      </x:c>
      <x:c r="F1995" s="14" t="n">
        <x:v>6.381999999</x:v>
      </x:c>
      <x:c r="G1995" s="17" t="n">
        <x:v>0</x:v>
      </x:c>
      <x:c r="H1995" s="14" t="str">
        <x:v>S06-04:A:continue_false_trigger_hold</x:v>
      </x:c>
    </x:row>
    <x:row r="1996" ht="72" customHeight="1">
      <x:c r="A1996" s="14" t="str">
        <x:v>S06-04:B:origin</x:v>
      </x:c>
      <x:c r="B1996" s="14" t="str">
        <x:v>B</x:v>
      </x:c>
      <x:c r="C1996" s="14" t="str">
        <x:v>origin</x:v>
      </x:c>
      <x:c r="D1996" s="14" t="n">
        <x:v>-6</x:v>
      </x:c>
      <x:c r="E1996" s="14" t="n">
        <x:v>-6</x:v>
      </x:c>
      <x:c r="F1996" s="14" t="n">
        <x:v>0</x:v>
      </x:c>
      <x:c r="G1996" s="17" t="n">
        <x:v>0</x:v>
      </x:c>
      <x:c r="H1996" s="14" t="str"/>
    </x:row>
    <x:row r="1997" ht="72" customHeight="1">
      <x:c r="A1997" s="14" t="str">
        <x:v>S06-04:B:origin_interpretation</x:v>
      </x:c>
      <x:c r="B1997" s="14" t="str">
        <x:v>B</x:v>
      </x:c>
      <x:c r="C1997" s="14" t="str">
        <x:v>origin_interpretation</x:v>
      </x:c>
      <x:c r="D1997" s="14" t="n">
        <x:v>-6</x:v>
      </x:c>
      <x:c r="E1997" s="14" t="n">
        <x:v>-5.16</x:v>
      </x:c>
      <x:c r="F1997" s="14" t="n">
        <x:v>0.84</x:v>
      </x:c>
      <x:c r="G1997" s="17" t="n">
        <x:v>1</x:v>
      </x:c>
      <x:c r="H1997" s="14" t="str">
        <x:v>S06-04:B:origin</x:v>
      </x:c>
    </x:row>
    <x:row r="1998" ht="72" customHeight="1">
      <x:c r="A1998" s="14" t="str">
        <x:v>S06-04:B:original_handoff</x:v>
      </x:c>
      <x:c r="B1998" s="14" t="str">
        <x:v>B</x:v>
      </x:c>
      <x:c r="C1998" s="14" t="str">
        <x:v>original_handoff</x:v>
      </x:c>
      <x:c r="D1998" s="14" t="n">
        <x:v>-5.16</x:v>
      </x:c>
      <x:c r="E1998" s="14" t="n">
        <x:v>-5.04</x:v>
      </x:c>
      <x:c r="F1998" s="14" t="n">
        <x:v>0.12</x:v>
      </x:c>
      <x:c r="G1998" s="17" t="n">
        <x:v>1</x:v>
      </x:c>
      <x:c r="H1998" s="14" t="str">
        <x:v>S06-04:B:origin_interpretation</x:v>
      </x:c>
    </x:row>
    <x:row r="1999" ht="72" customHeight="1">
      <x:c r="A1999" s="14" t="str">
        <x:v>S06-04:B:evaluation_utterance_end</x:v>
      </x:c>
      <x:c r="B1999" s="14" t="str">
        <x:v>B</x:v>
      </x:c>
      <x:c r="C1999" s="14" t="str">
        <x:v>evaluation_utterance_end</x:v>
      </x:c>
      <x:c r="D1999" s="14" t="n">
        <x:v>-6</x:v>
      </x:c>
      <x:c r="E1999" s="14" t="n">
        <x:v>0</x:v>
      </x:c>
      <x:c r="F1999" s="14" t="n">
        <x:v>6</x:v>
      </x:c>
      <x:c r="G1999" s="17" t="n">
        <x:v>0</x:v>
      </x:c>
      <x:c r="H1999" s="14" t="str">
        <x:v>S06-04:B:origin</x:v>
      </x:c>
    </x:row>
    <x:row r="2000" ht="72" customHeight="1">
      <x:c r="A2000" s="14" t="str">
        <x:v>S06-04:B:final_transcript</x:v>
      </x:c>
      <x:c r="B2000" s="14" t="str">
        <x:v>B</x:v>
      </x:c>
      <x:c r="C2000" s="14" t="str">
        <x:v>final_transcript</x:v>
      </x:c>
      <x:c r="D2000" s="14" t="n">
        <x:v>0</x:v>
      </x:c>
      <x:c r="E2000" s="14" t="n">
        <x:v>0.3</x:v>
      </x:c>
      <x:c r="F2000" s="14" t="n">
        <x:v>0.3</x:v>
      </x:c>
      <x:c r="G2000" s="17" t="n">
        <x:v>1</x:v>
      </x:c>
      <x:c r="H2000" s="14" t="str">
        <x:v>S06-04:B:evaluation_utterance_end</x:v>
      </x:c>
    </x:row>
    <x:row r="2001" ht="72" customHeight="1">
      <x:c r="A2001" s="14" t="str">
        <x:v>S06-04:B:meaning_adoption</x:v>
      </x:c>
      <x:c r="B2001" s="14" t="str">
        <x:v>B</x:v>
      </x:c>
      <x:c r="C2001" s="14" t="str">
        <x:v>meaning_adoption</x:v>
      </x:c>
      <x:c r="D2001" s="14" t="n">
        <x:v>0.3</x:v>
      </x:c>
      <x:c r="E2001" s="14" t="n">
        <x:v>0.838333333</x:v>
      </x:c>
      <x:c r="F2001" s="14" t="n">
        <x:v>0.538333333</x:v>
      </x:c>
      <x:c r="G2001" s="17" t="n">
        <x:v>1</x:v>
      </x:c>
      <x:c r="H2001" s="14" t="str">
        <x:v>S06-04:B:final_transcript
S06-04:B:origin_interpretation</x:v>
      </x:c>
    </x:row>
    <x:row r="2002" ht="72" customHeight="1">
      <x:c r="A2002" s="14" t="str">
        <x:v>S06-04:B:apply_relation</x:v>
      </x:c>
      <x:c r="B2002" s="14" t="str">
        <x:v>B</x:v>
      </x:c>
      <x:c r="C2002" s="14" t="str">
        <x:v>apply_relation</x:v>
      </x:c>
      <x:c r="D2002" s="14" t="n">
        <x:v>0.838333333</x:v>
      </x:c>
      <x:c r="E2002" s="14" t="n">
        <x:v>0.878333333</x:v>
      </x:c>
      <x:c r="F2002" s="14" t="n">
        <x:v>0.04</x:v>
      </x:c>
      <x:c r="G2002" s="17" t="n">
        <x:v>1</x:v>
      </x:c>
      <x:c r="H2002" s="14" t="str">
        <x:v>S06-04:B:meaning_adoption</x:v>
      </x:c>
    </x:row>
    <x:row r="2003" ht="72" customHeight="1">
      <x:c r="A2003" s="14" t="str">
        <x:v>S06-04:B:evaluation_first_display</x:v>
      </x:c>
      <x:c r="B2003" s="14" t="str">
        <x:v>B</x:v>
      </x:c>
      <x:c r="C2003" s="14" t="str">
        <x:v>evaluation_first_display</x:v>
      </x:c>
      <x:c r="D2003" s="14" t="n">
        <x:v>0.878333333</x:v>
      </x:c>
      <x:c r="E2003" s="14" t="n">
        <x:v>0.918333333</x:v>
      </x:c>
      <x:c r="F2003" s="14" t="n">
        <x:v>0.04</x:v>
      </x:c>
      <x:c r="G2003" s="17" t="n">
        <x:v>1</x:v>
      </x:c>
      <x:c r="H2003" s="14" t="str">
        <x:v>S06-04:B:apply_relation</x:v>
      </x:c>
    </x:row>
    <x:row r="2004" ht="72" customHeight="1">
      <x:c r="A2004" s="14" t="str">
        <x:v>S06-04:B:source_explanation</x:v>
      </x:c>
      <x:c r="B2004" s="14" t="str">
        <x:v>B</x:v>
      </x:c>
      <x:c r="C2004" s="14" t="str">
        <x:v>source_explanation</x:v>
      </x:c>
      <x:c r="D2004" s="14" t="n">
        <x:v>-5.04</x:v>
      </x:c>
      <x:c r="E2004" s="14" t="n">
        <x:v>-4</x:v>
      </x:c>
      <x:c r="F2004" s="14" t="n">
        <x:v>1.04</x:v>
      </x:c>
      <x:c r="G2004" s="17" t="n">
        <x:v>0</x:v>
      </x:c>
      <x:c r="H2004" s="14" t="str">
        <x:v>S06-04:B:original_handoff</x:v>
      </x:c>
    </x:row>
    <x:row r="2005" ht="72" customHeight="1">
      <x:c r="A2005" s="14" t="str">
        <x:v>S06-04:B:display_explanation</x:v>
      </x:c>
      <x:c r="B2005" s="14" t="str">
        <x:v>B</x:v>
      </x:c>
      <x:c r="C2005" s="14" t="str">
        <x:v>display_explanation</x:v>
      </x:c>
      <x:c r="D2005" s="14" t="n">
        <x:v>-4</x:v>
      </x:c>
      <x:c r="E2005" s="14" t="n">
        <x:v>-3.96</x:v>
      </x:c>
      <x:c r="F2005" s="14" t="n">
        <x:v>0.04</x:v>
      </x:c>
      <x:c r="G2005" s="17" t="n">
        <x:v>1</x:v>
      </x:c>
      <x:c r="H2005" s="14" t="str">
        <x:v>S06-04:B:source_explanation</x:v>
      </x:c>
    </x:row>
    <x:row r="2006" ht="72" customHeight="1">
      <x:c r="A2006" s="14" t="str">
        <x:v>S06-04:B:explanation_first</x:v>
      </x:c>
      <x:c r="B2006" s="14" t="str">
        <x:v>B</x:v>
      </x:c>
      <x:c r="C2006" s="14" t="str">
        <x:v>explanation_first</x:v>
      </x:c>
      <x:c r="D2006" s="14" t="n">
        <x:v>-4</x:v>
      </x:c>
      <x:c r="E2006" s="14" t="n">
        <x:v>-3.594333333</x:v>
      </x:c>
      <x:c r="F2006" s="14" t="n">
        <x:v>0.405666667</x:v>
      </x:c>
      <x:c r="G2006" s="17" t="n">
        <x:v>1</x:v>
      </x:c>
      <x:c r="H2006" s="14" t="str">
        <x:v>S06-04:B:source_explanation</x:v>
      </x:c>
    </x:row>
    <x:row r="2007" ht="72" customHeight="1">
      <x:c r="A2007" s="14" t="str">
        <x:v>S06-04:B:explanation_tail</x:v>
      </x:c>
      <x:c r="B2007" s="14" t="str">
        <x:v>B</x:v>
      </x:c>
      <x:c r="C2007" s="14" t="str">
        <x:v>explanation_tail</x:v>
      </x:c>
      <x:c r="D2007" s="14" t="n">
        <x:v>-3.594333333</x:v>
      </x:c>
      <x:c r="E2007" s="14" t="n">
        <x:v>-1.648833333</x:v>
      </x:c>
      <x:c r="F2007" s="14" t="n">
        <x:v>1.9455</x:v>
      </x:c>
      <x:c r="G2007" s="17" t="n">
        <x:v>1</x:v>
      </x:c>
      <x:c r="H2007" s="14" t="str">
        <x:v>S06-04:B:explanation_first</x:v>
      </x:c>
    </x:row>
    <x:row r="2008" ht="72" customHeight="1">
      <x:c r="A2008" s="14" t="str">
        <x:v>S06-04:B:continue_device</x:v>
      </x:c>
      <x:c r="B2008" s="14" t="str">
        <x:v>B</x:v>
      </x:c>
      <x:c r="C2008" s="14" t="str">
        <x:v>continue_device</x:v>
      </x:c>
      <x:c r="D2008" s="14" t="n">
        <x:v>0.878333333</x:v>
      </x:c>
      <x:c r="E2008" s="14" t="n">
        <x:v>0.918333333</x:v>
      </x:c>
      <x:c r="F2008" s="14" t="n">
        <x:v>0.04</x:v>
      </x:c>
      <x:c r="G2008" s="17" t="n">
        <x:v>1</x:v>
      </x:c>
      <x:c r="H2008" s="14" t="str">
        <x:v>S06-04:B:apply_relation
S06-04:B:explanation_first</x:v>
      </x:c>
    </x:row>
    <x:row r="2009" ht="72" customHeight="1">
      <x:c r="A2009" s="14" t="str">
        <x:v>S06-04:B:continue_part1</x:v>
      </x:c>
      <x:c r="B2009" s="14" t="str">
        <x:v>B</x:v>
      </x:c>
      <x:c r="C2009" s="14" t="str">
        <x:v>continue_part1</x:v>
      </x:c>
      <x:c r="D2009" s="14" t="n">
        <x:v>0.918333333</x:v>
      </x:c>
      <x:c r="E2009" s="14" t="n">
        <x:v>1.518333333</x:v>
      </x:c>
      <x:c r="F2009" s="14" t="n">
        <x:v>0.6</x:v>
      </x:c>
      <x:c r="G2009" s="17" t="n">
        <x:v>0</x:v>
      </x:c>
      <x:c r="H2009" s="14" t="str">
        <x:v>S06-04:B:continue_device</x:v>
      </x:c>
    </x:row>
    <x:row r="2010" ht="72" customHeight="1">
      <x:c r="A2010" s="14" t="str">
        <x:v>S06-04:B:continue_false_trigger_hold</x:v>
      </x:c>
      <x:c r="B2010" s="14" t="str">
        <x:v>B</x:v>
      </x:c>
      <x:c r="C2010" s="14" t="str">
        <x:v>continue_false_trigger_hold</x:v>
      </x:c>
      <x:c r="D2010" s="14" t="n">
        <x:v>1.518333333</x:v>
      </x:c>
      <x:c r="E2010" s="14" t="n">
        <x:v>1.818333333</x:v>
      </x:c>
      <x:c r="F2010" s="14" t="n">
        <x:v>0.3</x:v>
      </x:c>
      <x:c r="G2010" s="17" t="n">
        <x:v>0</x:v>
      </x:c>
      <x:c r="H2010" s="14" t="str">
        <x:v>S06-04:B:continue_part1</x:v>
      </x:c>
    </x:row>
    <x:row r="2011" ht="72" customHeight="1">
      <x:c r="A2011" s="14" t="str">
        <x:v>S06-04:B:continue_part2</x:v>
      </x:c>
      <x:c r="B2011" s="14" t="str">
        <x:v>B</x:v>
      </x:c>
      <x:c r="C2011" s="14" t="str">
        <x:v>continue_part2</x:v>
      </x:c>
      <x:c r="D2011" s="14" t="n">
        <x:v>1.818333333</x:v>
      </x:c>
      <x:c r="E2011" s="14" t="n">
        <x:v>8.200333332</x:v>
      </x:c>
      <x:c r="F2011" s="14" t="n">
        <x:v>6.381999999</x:v>
      </x:c>
      <x:c r="G2011" s="17" t="n">
        <x:v>0</x:v>
      </x:c>
      <x:c r="H2011" s="14" t="str">
        <x:v>S06-04:B:continue_false_trigger_hold</x:v>
      </x:c>
    </x:row>
    <x:row r="2012" ht="72" customHeight="1">
      <x:c r="A2012" s="14" t="str">
        <x:v>S06-05:A:origin</x:v>
      </x:c>
      <x:c r="B2012" s="14" t="str">
        <x:v>A</x:v>
      </x:c>
      <x:c r="C2012" s="14" t="str">
        <x:v>origin</x:v>
      </x:c>
      <x:c r="D2012" s="14" t="n">
        <x:v>-6</x:v>
      </x:c>
      <x:c r="E2012" s="14" t="n">
        <x:v>-6</x:v>
      </x:c>
      <x:c r="F2012" s="14" t="n">
        <x:v>0</x:v>
      </x:c>
      <x:c r="G2012" s="17" t="n">
        <x:v>0</x:v>
      </x:c>
      <x:c r="H2012" s="14" t="str"/>
    </x:row>
    <x:row r="2013" ht="72" customHeight="1">
      <x:c r="A2013" s="14" t="str">
        <x:v>S06-05:A:origin_interpretation</x:v>
      </x:c>
      <x:c r="B2013" s="14" t="str">
        <x:v>A</x:v>
      </x:c>
      <x:c r="C2013" s="14" t="str">
        <x:v>origin_interpretation</x:v>
      </x:c>
      <x:c r="D2013" s="14" t="n">
        <x:v>-6</x:v>
      </x:c>
      <x:c r="E2013" s="14" t="n">
        <x:v>-5.16</x:v>
      </x:c>
      <x:c r="F2013" s="14" t="n">
        <x:v>0.84</x:v>
      </x:c>
      <x:c r="G2013" s="17" t="n">
        <x:v>1</x:v>
      </x:c>
      <x:c r="H2013" s="14" t="str">
        <x:v>S06-05:A:origin</x:v>
      </x:c>
    </x:row>
    <x:row r="2014" ht="72" customHeight="1">
      <x:c r="A2014" s="14" t="str">
        <x:v>S06-05:A:original_handoff</x:v>
      </x:c>
      <x:c r="B2014" s="14" t="str">
        <x:v>A</x:v>
      </x:c>
      <x:c r="C2014" s="14" t="str">
        <x:v>original_handoff</x:v>
      </x:c>
      <x:c r="D2014" s="14" t="n">
        <x:v>-5.16</x:v>
      </x:c>
      <x:c r="E2014" s="14" t="n">
        <x:v>-5.04</x:v>
      </x:c>
      <x:c r="F2014" s="14" t="n">
        <x:v>0.12</x:v>
      </x:c>
      <x:c r="G2014" s="17" t="n">
        <x:v>1</x:v>
      </x:c>
      <x:c r="H2014" s="14" t="str">
        <x:v>S06-05:A:origin_interpretation</x:v>
      </x:c>
    </x:row>
    <x:row r="2015" ht="72" customHeight="1">
      <x:c r="A2015" s="14" t="str">
        <x:v>S06-05:A:evaluation_utterance_end</x:v>
      </x:c>
      <x:c r="B2015" s="14" t="str">
        <x:v>A</x:v>
      </x:c>
      <x:c r="C2015" s="14" t="str">
        <x:v>evaluation_utterance_end</x:v>
      </x:c>
      <x:c r="D2015" s="14" t="n">
        <x:v>-6</x:v>
      </x:c>
      <x:c r="E2015" s="14" t="n">
        <x:v>0</x:v>
      </x:c>
      <x:c r="F2015" s="14" t="n">
        <x:v>6</x:v>
      </x:c>
      <x:c r="G2015" s="17" t="n">
        <x:v>0</x:v>
      </x:c>
      <x:c r="H2015" s="14" t="str">
        <x:v>S06-05:A:origin</x:v>
      </x:c>
    </x:row>
    <x:row r="2016" ht="72" customHeight="1">
      <x:c r="A2016" s="14" t="str">
        <x:v>S06-05:A:final_transcript</x:v>
      </x:c>
      <x:c r="B2016" s="14" t="str">
        <x:v>A</x:v>
      </x:c>
      <x:c r="C2016" s="14" t="str">
        <x:v>final_transcript</x:v>
      </x:c>
      <x:c r="D2016" s="14" t="n">
        <x:v>0</x:v>
      </x:c>
      <x:c r="E2016" s="14" t="n">
        <x:v>0.3</x:v>
      </x:c>
      <x:c r="F2016" s="14" t="n">
        <x:v>0.3</x:v>
      </x:c>
      <x:c r="G2016" s="17" t="n">
        <x:v>1</x:v>
      </x:c>
      <x:c r="H2016" s="14" t="str">
        <x:v>S06-05:A:evaluation_utterance_end</x:v>
      </x:c>
    </x:row>
    <x:row r="2017" ht="72" customHeight="1">
      <x:c r="A2017" s="14" t="str">
        <x:v>S06-05:A:meaning_adoption</x:v>
      </x:c>
      <x:c r="B2017" s="14" t="str">
        <x:v>A</x:v>
      </x:c>
      <x:c r="C2017" s="14" t="str">
        <x:v>meaning_adoption</x:v>
      </x:c>
      <x:c r="D2017" s="14" t="n">
        <x:v>0.3</x:v>
      </x:c>
      <x:c r="E2017" s="14" t="n">
        <x:v>0.866666667</x:v>
      </x:c>
      <x:c r="F2017" s="14" t="n">
        <x:v>0.566666667</x:v>
      </x:c>
      <x:c r="G2017" s="17" t="n">
        <x:v>1</x:v>
      </x:c>
      <x:c r="H2017" s="14" t="str">
        <x:v>S06-05:A:final_transcript
S06-05:A:origin_interpretation</x:v>
      </x:c>
    </x:row>
    <x:row r="2018" ht="72" customHeight="1">
      <x:c r="A2018" s="14" t="str">
        <x:v>S06-05:A:apply_relation</x:v>
      </x:c>
      <x:c r="B2018" s="14" t="str">
        <x:v>A</x:v>
      </x:c>
      <x:c r="C2018" s="14" t="str">
        <x:v>apply_relation</x:v>
      </x:c>
      <x:c r="D2018" s="14" t="n">
        <x:v>0.866666667</x:v>
      </x:c>
      <x:c r="E2018" s="14" t="n">
        <x:v>0.906666667</x:v>
      </x:c>
      <x:c r="F2018" s="14" t="n">
        <x:v>0.04</x:v>
      </x:c>
      <x:c r="G2018" s="17" t="n">
        <x:v>1</x:v>
      </x:c>
      <x:c r="H2018" s="14" t="str">
        <x:v>S06-05:A:meaning_adoption</x:v>
      </x:c>
    </x:row>
    <x:row r="2019" ht="72" customHeight="1">
      <x:c r="A2019" s="14" t="str">
        <x:v>S06-05:A:evaluation_first_display</x:v>
      </x:c>
      <x:c r="B2019" s="14" t="str">
        <x:v>A</x:v>
      </x:c>
      <x:c r="C2019" s="14" t="str">
        <x:v>evaluation_first_display</x:v>
      </x:c>
      <x:c r="D2019" s="14" t="n">
        <x:v>0.906666667</x:v>
      </x:c>
      <x:c r="E2019" s="14" t="n">
        <x:v>0.946666667</x:v>
      </x:c>
      <x:c r="F2019" s="14" t="n">
        <x:v>0.04</x:v>
      </x:c>
      <x:c r="G2019" s="17" t="n">
        <x:v>1</x:v>
      </x:c>
      <x:c r="H2019" s="14" t="str">
        <x:v>S06-05:A:apply_relation</x:v>
      </x:c>
    </x:row>
    <x:row r="2020" ht="72" customHeight="1">
      <x:c r="A2020" s="14" t="str">
        <x:v>S06-05:A:source_explanation</x:v>
      </x:c>
      <x:c r="B2020" s="14" t="str">
        <x:v>A</x:v>
      </x:c>
      <x:c r="C2020" s="14" t="str">
        <x:v>source_explanation</x:v>
      </x:c>
      <x:c r="D2020" s="14" t="n">
        <x:v>-5.04</x:v>
      </x:c>
      <x:c r="E2020" s="14" t="n">
        <x:v>-4</x:v>
      </x:c>
      <x:c r="F2020" s="14" t="n">
        <x:v>1.04</x:v>
      </x:c>
      <x:c r="G2020" s="17" t="n">
        <x:v>0</x:v>
      </x:c>
      <x:c r="H2020" s="14" t="str">
        <x:v>S06-05:A:original_handoff</x:v>
      </x:c>
    </x:row>
    <x:row r="2021" ht="72" customHeight="1">
      <x:c r="A2021" s="14" t="str">
        <x:v>S06-05:A:display_explanation</x:v>
      </x:c>
      <x:c r="B2021" s="14" t="str">
        <x:v>A</x:v>
      </x:c>
      <x:c r="C2021" s="14" t="str">
        <x:v>display_explanation</x:v>
      </x:c>
      <x:c r="D2021" s="14" t="n">
        <x:v>-4</x:v>
      </x:c>
      <x:c r="E2021" s="14" t="n">
        <x:v>-3.96</x:v>
      </x:c>
      <x:c r="F2021" s="14" t="n">
        <x:v>0.04</x:v>
      </x:c>
      <x:c r="G2021" s="17" t="n">
        <x:v>1</x:v>
      </x:c>
      <x:c r="H2021" s="14" t="str">
        <x:v>S06-05:A:source_explanation</x:v>
      </x:c>
    </x:row>
    <x:row r="2022" ht="72" customHeight="1">
      <x:c r="A2022" s="14" t="str">
        <x:v>S06-05:A:explanation_first</x:v>
      </x:c>
      <x:c r="B2022" s="14" t="str">
        <x:v>A</x:v>
      </x:c>
      <x:c r="C2022" s="14" t="str">
        <x:v>explanation_first</x:v>
      </x:c>
      <x:c r="D2022" s="14" t="n">
        <x:v>-4</x:v>
      </x:c>
      <x:c r="E2022" s="14" t="n">
        <x:v>-3.594333333</x:v>
      </x:c>
      <x:c r="F2022" s="14" t="n">
        <x:v>0.405666667</x:v>
      </x:c>
      <x:c r="G2022" s="17" t="n">
        <x:v>1</x:v>
      </x:c>
      <x:c r="H2022" s="14" t="str">
        <x:v>S06-05:A:source_explanation</x:v>
      </x:c>
    </x:row>
    <x:row r="2023" ht="72" customHeight="1">
      <x:c r="A2023" s="14" t="str">
        <x:v>S06-05:A:explanation_tail</x:v>
      </x:c>
      <x:c r="B2023" s="14" t="str">
        <x:v>A</x:v>
      </x:c>
      <x:c r="C2023" s="14" t="str">
        <x:v>explanation_tail</x:v>
      </x:c>
      <x:c r="D2023" s="14" t="n">
        <x:v>-3.594333333</x:v>
      </x:c>
      <x:c r="E2023" s="14" t="n">
        <x:v>-1.645833333</x:v>
      </x:c>
      <x:c r="F2023" s="14" t="n">
        <x:v>1.9485</x:v>
      </x:c>
      <x:c r="G2023" s="17" t="n">
        <x:v>1</x:v>
      </x:c>
      <x:c r="H2023" s="14" t="str">
        <x:v>S06-05:A:explanation_first</x:v>
      </x:c>
    </x:row>
    <x:row r="2024" ht="72" customHeight="1">
      <x:c r="A2024" s="14" t="str">
        <x:v>S06-05:A:continue_device</x:v>
      </x:c>
      <x:c r="B2024" s="14" t="str">
        <x:v>A</x:v>
      </x:c>
      <x:c r="C2024" s="14" t="str">
        <x:v>continue_device</x:v>
      </x:c>
      <x:c r="D2024" s="14" t="n">
        <x:v>0.906666667</x:v>
      </x:c>
      <x:c r="E2024" s="14" t="n">
        <x:v>0.946666667</x:v>
      </x:c>
      <x:c r="F2024" s="14" t="n">
        <x:v>0.04</x:v>
      </x:c>
      <x:c r="G2024" s="17" t="n">
        <x:v>1</x:v>
      </x:c>
      <x:c r="H2024" s="14" t="str">
        <x:v>S06-05:A:apply_relation
S06-05:A:explanation_first</x:v>
      </x:c>
    </x:row>
    <x:row r="2025" ht="72" customHeight="1">
      <x:c r="A2025" s="14" t="str">
        <x:v>S06-05:A:continue_part1</x:v>
      </x:c>
      <x:c r="B2025" s="14" t="str">
        <x:v>A</x:v>
      </x:c>
      <x:c r="C2025" s="14" t="str">
        <x:v>continue_part1</x:v>
      </x:c>
      <x:c r="D2025" s="14" t="n">
        <x:v>0.946666667</x:v>
      </x:c>
      <x:c r="E2025" s="14" t="n">
        <x:v>1.546666667</x:v>
      </x:c>
      <x:c r="F2025" s="14" t="n">
        <x:v>0.6</x:v>
      </x:c>
      <x:c r="G2025" s="17" t="n">
        <x:v>0</x:v>
      </x:c>
      <x:c r="H2025" s="14" t="str">
        <x:v>S06-05:A:continue_device</x:v>
      </x:c>
    </x:row>
    <x:row r="2026" ht="72" customHeight="1">
      <x:c r="A2026" s="14" t="str">
        <x:v>S06-05:A:continue_false_trigger_hold</x:v>
      </x:c>
      <x:c r="B2026" s="14" t="str">
        <x:v>A</x:v>
      </x:c>
      <x:c r="C2026" s="14" t="str">
        <x:v>continue_false_trigger_hold</x:v>
      </x:c>
      <x:c r="D2026" s="14" t="n">
        <x:v>1.546666667</x:v>
      </x:c>
      <x:c r="E2026" s="14" t="n">
        <x:v>1.846666667</x:v>
      </x:c>
      <x:c r="F2026" s="14" t="n">
        <x:v>0.3</x:v>
      </x:c>
      <x:c r="G2026" s="17" t="n">
        <x:v>0</x:v>
      </x:c>
      <x:c r="H2026" s="14" t="str">
        <x:v>S06-05:A:continue_part1</x:v>
      </x:c>
    </x:row>
    <x:row r="2027" ht="72" customHeight="1">
      <x:c r="A2027" s="14" t="str">
        <x:v>S06-05:A:continue_part2</x:v>
      </x:c>
      <x:c r="B2027" s="14" t="str">
        <x:v>A</x:v>
      </x:c>
      <x:c r="C2027" s="14" t="str">
        <x:v>continue_part2</x:v>
      </x:c>
      <x:c r="D2027" s="14" t="n">
        <x:v>1.846666667</x:v>
      </x:c>
      <x:c r="E2027" s="14" t="n">
        <x:v>8.240666666</x:v>
      </x:c>
      <x:c r="F2027" s="14" t="n">
        <x:v>6.393999999</x:v>
      </x:c>
      <x:c r="G2027" s="17" t="n">
        <x:v>0</x:v>
      </x:c>
      <x:c r="H2027" s="14" t="str">
        <x:v>S06-05:A:continue_false_trigger_hold</x:v>
      </x:c>
    </x:row>
    <x:row r="2028" ht="72" customHeight="1">
      <x:c r="A2028" s="14" t="str">
        <x:v>S06-05:B:origin</x:v>
      </x:c>
      <x:c r="B2028" s="14" t="str">
        <x:v>B</x:v>
      </x:c>
      <x:c r="C2028" s="14" t="str">
        <x:v>origin</x:v>
      </x:c>
      <x:c r="D2028" s="14" t="n">
        <x:v>-6</x:v>
      </x:c>
      <x:c r="E2028" s="14" t="n">
        <x:v>-6</x:v>
      </x:c>
      <x:c r="F2028" s="14" t="n">
        <x:v>0</x:v>
      </x:c>
      <x:c r="G2028" s="17" t="n">
        <x:v>0</x:v>
      </x:c>
      <x:c r="H2028" s="14" t="str"/>
    </x:row>
    <x:row r="2029" ht="72" customHeight="1">
      <x:c r="A2029" s="14" t="str">
        <x:v>S06-05:B:origin_interpretation</x:v>
      </x:c>
      <x:c r="B2029" s="14" t="str">
        <x:v>B</x:v>
      </x:c>
      <x:c r="C2029" s="14" t="str">
        <x:v>origin_interpretation</x:v>
      </x:c>
      <x:c r="D2029" s="14" t="n">
        <x:v>-6</x:v>
      </x:c>
      <x:c r="E2029" s="14" t="n">
        <x:v>-5.16</x:v>
      </x:c>
      <x:c r="F2029" s="14" t="n">
        <x:v>0.84</x:v>
      </x:c>
      <x:c r="G2029" s="17" t="n">
        <x:v>1</x:v>
      </x:c>
      <x:c r="H2029" s="14" t="str">
        <x:v>S06-05:B:origin</x:v>
      </x:c>
    </x:row>
    <x:row r="2030" ht="72" customHeight="1">
      <x:c r="A2030" s="14" t="str">
        <x:v>S06-05:B:original_handoff</x:v>
      </x:c>
      <x:c r="B2030" s="14" t="str">
        <x:v>B</x:v>
      </x:c>
      <x:c r="C2030" s="14" t="str">
        <x:v>original_handoff</x:v>
      </x:c>
      <x:c r="D2030" s="14" t="n">
        <x:v>-5.16</x:v>
      </x:c>
      <x:c r="E2030" s="14" t="n">
        <x:v>-5.04</x:v>
      </x:c>
      <x:c r="F2030" s="14" t="n">
        <x:v>0.12</x:v>
      </x:c>
      <x:c r="G2030" s="17" t="n">
        <x:v>1</x:v>
      </x:c>
      <x:c r="H2030" s="14" t="str">
        <x:v>S06-05:B:origin_interpretation</x:v>
      </x:c>
    </x:row>
    <x:row r="2031" ht="72" customHeight="1">
      <x:c r="A2031" s="14" t="str">
        <x:v>S06-05:B:evaluation_utterance_end</x:v>
      </x:c>
      <x:c r="B2031" s="14" t="str">
        <x:v>B</x:v>
      </x:c>
      <x:c r="C2031" s="14" t="str">
        <x:v>evaluation_utterance_end</x:v>
      </x:c>
      <x:c r="D2031" s="14" t="n">
        <x:v>-6</x:v>
      </x:c>
      <x:c r="E2031" s="14" t="n">
        <x:v>0</x:v>
      </x:c>
      <x:c r="F2031" s="14" t="n">
        <x:v>6</x:v>
      </x:c>
      <x:c r="G2031" s="17" t="n">
        <x:v>0</x:v>
      </x:c>
      <x:c r="H2031" s="14" t="str">
        <x:v>S06-05:B:origin</x:v>
      </x:c>
    </x:row>
    <x:row r="2032" ht="72" customHeight="1">
      <x:c r="A2032" s="14" t="str">
        <x:v>S06-05:B:final_transcript</x:v>
      </x:c>
      <x:c r="B2032" s="14" t="str">
        <x:v>B</x:v>
      </x:c>
      <x:c r="C2032" s="14" t="str">
        <x:v>final_transcript</x:v>
      </x:c>
      <x:c r="D2032" s="14" t="n">
        <x:v>0</x:v>
      </x:c>
      <x:c r="E2032" s="14" t="n">
        <x:v>0.3</x:v>
      </x:c>
      <x:c r="F2032" s="14" t="n">
        <x:v>0.3</x:v>
      </x:c>
      <x:c r="G2032" s="17" t="n">
        <x:v>1</x:v>
      </x:c>
      <x:c r="H2032" s="14" t="str">
        <x:v>S06-05:B:evaluation_utterance_end</x:v>
      </x:c>
    </x:row>
    <x:row r="2033" ht="72" customHeight="1">
      <x:c r="A2033" s="14" t="str">
        <x:v>S06-05:B:meaning_adoption</x:v>
      </x:c>
      <x:c r="B2033" s="14" t="str">
        <x:v>B</x:v>
      </x:c>
      <x:c r="C2033" s="14" t="str">
        <x:v>meaning_adoption</x:v>
      </x:c>
      <x:c r="D2033" s="14" t="n">
        <x:v>0.3</x:v>
      </x:c>
      <x:c r="E2033" s="14" t="n">
        <x:v>0.866666667</x:v>
      </x:c>
      <x:c r="F2033" s="14" t="n">
        <x:v>0.566666667</x:v>
      </x:c>
      <x:c r="G2033" s="17" t="n">
        <x:v>1</x:v>
      </x:c>
      <x:c r="H2033" s="14" t="str">
        <x:v>S06-05:B:final_transcript
S06-05:B:origin_interpretation</x:v>
      </x:c>
    </x:row>
    <x:row r="2034" ht="72" customHeight="1">
      <x:c r="A2034" s="14" t="str">
        <x:v>S06-05:B:apply_relation</x:v>
      </x:c>
      <x:c r="B2034" s="14" t="str">
        <x:v>B</x:v>
      </x:c>
      <x:c r="C2034" s="14" t="str">
        <x:v>apply_relation</x:v>
      </x:c>
      <x:c r="D2034" s="14" t="n">
        <x:v>0.866666667</x:v>
      </x:c>
      <x:c r="E2034" s="14" t="n">
        <x:v>0.906666667</x:v>
      </x:c>
      <x:c r="F2034" s="14" t="n">
        <x:v>0.04</x:v>
      </x:c>
      <x:c r="G2034" s="17" t="n">
        <x:v>1</x:v>
      </x:c>
      <x:c r="H2034" s="14" t="str">
        <x:v>S06-05:B:meaning_adoption</x:v>
      </x:c>
    </x:row>
    <x:row r="2035" ht="72" customHeight="1">
      <x:c r="A2035" s="14" t="str">
        <x:v>S06-05:B:evaluation_first_display</x:v>
      </x:c>
      <x:c r="B2035" s="14" t="str">
        <x:v>B</x:v>
      </x:c>
      <x:c r="C2035" s="14" t="str">
        <x:v>evaluation_first_display</x:v>
      </x:c>
      <x:c r="D2035" s="14" t="n">
        <x:v>0.906666667</x:v>
      </x:c>
      <x:c r="E2035" s="14" t="n">
        <x:v>0.946666667</x:v>
      </x:c>
      <x:c r="F2035" s="14" t="n">
        <x:v>0.04</x:v>
      </x:c>
      <x:c r="G2035" s="17" t="n">
        <x:v>1</x:v>
      </x:c>
      <x:c r="H2035" s="14" t="str">
        <x:v>S06-05:B:apply_relation</x:v>
      </x:c>
    </x:row>
    <x:row r="2036" ht="72" customHeight="1">
      <x:c r="A2036" s="14" t="str">
        <x:v>S06-05:B:source_explanation</x:v>
      </x:c>
      <x:c r="B2036" s="14" t="str">
        <x:v>B</x:v>
      </x:c>
      <x:c r="C2036" s="14" t="str">
        <x:v>source_explanation</x:v>
      </x:c>
      <x:c r="D2036" s="14" t="n">
        <x:v>-5.04</x:v>
      </x:c>
      <x:c r="E2036" s="14" t="n">
        <x:v>-4</x:v>
      </x:c>
      <x:c r="F2036" s="14" t="n">
        <x:v>1.04</x:v>
      </x:c>
      <x:c r="G2036" s="17" t="n">
        <x:v>0</x:v>
      </x:c>
      <x:c r="H2036" s="14" t="str">
        <x:v>S06-05:B:original_handoff</x:v>
      </x:c>
    </x:row>
    <x:row r="2037" ht="72" customHeight="1">
      <x:c r="A2037" s="14" t="str">
        <x:v>S06-05:B:display_explanation</x:v>
      </x:c>
      <x:c r="B2037" s="14" t="str">
        <x:v>B</x:v>
      </x:c>
      <x:c r="C2037" s="14" t="str">
        <x:v>display_explanation</x:v>
      </x:c>
      <x:c r="D2037" s="14" t="n">
        <x:v>-4</x:v>
      </x:c>
      <x:c r="E2037" s="14" t="n">
        <x:v>-3.96</x:v>
      </x:c>
      <x:c r="F2037" s="14" t="n">
        <x:v>0.04</x:v>
      </x:c>
      <x:c r="G2037" s="17" t="n">
        <x:v>1</x:v>
      </x:c>
      <x:c r="H2037" s="14" t="str">
        <x:v>S06-05:B:source_explanation</x:v>
      </x:c>
    </x:row>
    <x:row r="2038" ht="72" customHeight="1">
      <x:c r="A2038" s="14" t="str">
        <x:v>S06-05:B:explanation_first</x:v>
      </x:c>
      <x:c r="B2038" s="14" t="str">
        <x:v>B</x:v>
      </x:c>
      <x:c r="C2038" s="14" t="str">
        <x:v>explanation_first</x:v>
      </x:c>
      <x:c r="D2038" s="14" t="n">
        <x:v>-4</x:v>
      </x:c>
      <x:c r="E2038" s="14" t="n">
        <x:v>-3.594333333</x:v>
      </x:c>
      <x:c r="F2038" s="14" t="n">
        <x:v>0.405666667</x:v>
      </x:c>
      <x:c r="G2038" s="17" t="n">
        <x:v>1</x:v>
      </x:c>
      <x:c r="H2038" s="14" t="str">
        <x:v>S06-05:B:source_explanation</x:v>
      </x:c>
    </x:row>
    <x:row r="2039" ht="72" customHeight="1">
      <x:c r="A2039" s="14" t="str">
        <x:v>S06-05:B:explanation_tail</x:v>
      </x:c>
      <x:c r="B2039" s="14" t="str">
        <x:v>B</x:v>
      </x:c>
      <x:c r="C2039" s="14" t="str">
        <x:v>explanation_tail</x:v>
      </x:c>
      <x:c r="D2039" s="14" t="n">
        <x:v>-3.594333333</x:v>
      </x:c>
      <x:c r="E2039" s="14" t="n">
        <x:v>-1.645833333</x:v>
      </x:c>
      <x:c r="F2039" s="14" t="n">
        <x:v>1.9485</x:v>
      </x:c>
      <x:c r="G2039" s="17" t="n">
        <x:v>1</x:v>
      </x:c>
      <x:c r="H2039" s="14" t="str">
        <x:v>S06-05:B:explanation_first</x:v>
      </x:c>
    </x:row>
    <x:row r="2040" ht="72" customHeight="1">
      <x:c r="A2040" s="14" t="str">
        <x:v>S06-05:B:continue_device</x:v>
      </x:c>
      <x:c r="B2040" s="14" t="str">
        <x:v>B</x:v>
      </x:c>
      <x:c r="C2040" s="14" t="str">
        <x:v>continue_device</x:v>
      </x:c>
      <x:c r="D2040" s="14" t="n">
        <x:v>0.906666667</x:v>
      </x:c>
      <x:c r="E2040" s="14" t="n">
        <x:v>0.946666667</x:v>
      </x:c>
      <x:c r="F2040" s="14" t="n">
        <x:v>0.04</x:v>
      </x:c>
      <x:c r="G2040" s="17" t="n">
        <x:v>1</x:v>
      </x:c>
      <x:c r="H2040" s="14" t="str">
        <x:v>S06-05:B:apply_relation
S06-05:B:explanation_first</x:v>
      </x:c>
    </x:row>
    <x:row r="2041" ht="72" customHeight="1">
      <x:c r="A2041" s="14" t="str">
        <x:v>S06-05:B:continue_part1</x:v>
      </x:c>
      <x:c r="B2041" s="14" t="str">
        <x:v>B</x:v>
      </x:c>
      <x:c r="C2041" s="14" t="str">
        <x:v>continue_part1</x:v>
      </x:c>
      <x:c r="D2041" s="14" t="n">
        <x:v>0.946666667</x:v>
      </x:c>
      <x:c r="E2041" s="14" t="n">
        <x:v>1.546666667</x:v>
      </x:c>
      <x:c r="F2041" s="14" t="n">
        <x:v>0.6</x:v>
      </x:c>
      <x:c r="G2041" s="17" t="n">
        <x:v>0</x:v>
      </x:c>
      <x:c r="H2041" s="14" t="str">
        <x:v>S06-05:B:continue_device</x:v>
      </x:c>
    </x:row>
    <x:row r="2042" ht="72" customHeight="1">
      <x:c r="A2042" s="14" t="str">
        <x:v>S06-05:B:continue_false_trigger_hold</x:v>
      </x:c>
      <x:c r="B2042" s="14" t="str">
        <x:v>B</x:v>
      </x:c>
      <x:c r="C2042" s="14" t="str">
        <x:v>continue_false_trigger_hold</x:v>
      </x:c>
      <x:c r="D2042" s="14" t="n">
        <x:v>1.546666667</x:v>
      </x:c>
      <x:c r="E2042" s="14" t="n">
        <x:v>1.846666667</x:v>
      </x:c>
      <x:c r="F2042" s="14" t="n">
        <x:v>0.3</x:v>
      </x:c>
      <x:c r="G2042" s="17" t="n">
        <x:v>0</x:v>
      </x:c>
      <x:c r="H2042" s="14" t="str">
        <x:v>S06-05:B:continue_part1</x:v>
      </x:c>
    </x:row>
    <x:row r="2043" ht="72" customHeight="1">
      <x:c r="A2043" s="14" t="str">
        <x:v>S06-05:B:continue_part2</x:v>
      </x:c>
      <x:c r="B2043" s="14" t="str">
        <x:v>B</x:v>
      </x:c>
      <x:c r="C2043" s="14" t="str">
        <x:v>continue_part2</x:v>
      </x:c>
      <x:c r="D2043" s="14" t="n">
        <x:v>1.846666667</x:v>
      </x:c>
      <x:c r="E2043" s="14" t="n">
        <x:v>8.240666666</x:v>
      </x:c>
      <x:c r="F2043" s="14" t="n">
        <x:v>6.393999999</x:v>
      </x:c>
      <x:c r="G2043" s="17" t="n">
        <x:v>0</x:v>
      </x:c>
      <x:c r="H2043" s="14" t="str">
        <x:v>S06-05:B:continue_false_trigger_hold</x:v>
      </x:c>
    </x:row>
    <x:row r="2044" ht="72" customHeight="1">
      <x:c r="A2044" s="14" t="str">
        <x:v>S06-06:A:origin</x:v>
      </x:c>
      <x:c r="B2044" s="14" t="str">
        <x:v>A</x:v>
      </x:c>
      <x:c r="C2044" s="14" t="str">
        <x:v>origin</x:v>
      </x:c>
      <x:c r="D2044" s="14" t="n">
        <x:v>-6</x:v>
      </x:c>
      <x:c r="E2044" s="14" t="n">
        <x:v>-6</x:v>
      </x:c>
      <x:c r="F2044" s="14" t="n">
        <x:v>0</x:v>
      </x:c>
      <x:c r="G2044" s="17" t="n">
        <x:v>0</x:v>
      </x:c>
      <x:c r="H2044" s="14" t="str"/>
    </x:row>
    <x:row r="2045" ht="72" customHeight="1">
      <x:c r="A2045" s="14" t="str">
        <x:v>S06-06:A:origin_interpretation</x:v>
      </x:c>
      <x:c r="B2045" s="14" t="str">
        <x:v>A</x:v>
      </x:c>
      <x:c r="C2045" s="14" t="str">
        <x:v>origin_interpretation</x:v>
      </x:c>
      <x:c r="D2045" s="14" t="n">
        <x:v>-6</x:v>
      </x:c>
      <x:c r="E2045" s="14" t="n">
        <x:v>-5.16</x:v>
      </x:c>
      <x:c r="F2045" s="14" t="n">
        <x:v>0.84</x:v>
      </x:c>
      <x:c r="G2045" s="17" t="n">
        <x:v>1</x:v>
      </x:c>
      <x:c r="H2045" s="14" t="str">
        <x:v>S06-06:A:origin</x:v>
      </x:c>
    </x:row>
    <x:row r="2046" ht="72" customHeight="1">
      <x:c r="A2046" s="14" t="str">
        <x:v>S06-06:A:original_handoff</x:v>
      </x:c>
      <x:c r="B2046" s="14" t="str">
        <x:v>A</x:v>
      </x:c>
      <x:c r="C2046" s="14" t="str">
        <x:v>original_handoff</x:v>
      </x:c>
      <x:c r="D2046" s="14" t="n">
        <x:v>-5.16</x:v>
      </x:c>
      <x:c r="E2046" s="14" t="n">
        <x:v>-5.04</x:v>
      </x:c>
      <x:c r="F2046" s="14" t="n">
        <x:v>0.12</x:v>
      </x:c>
      <x:c r="G2046" s="17" t="n">
        <x:v>1</x:v>
      </x:c>
      <x:c r="H2046" s="14" t="str">
        <x:v>S06-06:A:origin_interpretation</x:v>
      </x:c>
    </x:row>
    <x:row r="2047" ht="72" customHeight="1">
      <x:c r="A2047" s="14" t="str">
        <x:v>S06-06:A:evaluation_utterance_end</x:v>
      </x:c>
      <x:c r="B2047" s="14" t="str">
        <x:v>A</x:v>
      </x:c>
      <x:c r="C2047" s="14" t="str">
        <x:v>evaluation_utterance_end</x:v>
      </x:c>
      <x:c r="D2047" s="14" t="n">
        <x:v>-6</x:v>
      </x:c>
      <x:c r="E2047" s="14" t="n">
        <x:v>0</x:v>
      </x:c>
      <x:c r="F2047" s="14" t="n">
        <x:v>6</x:v>
      </x:c>
      <x:c r="G2047" s="17" t="n">
        <x:v>0</x:v>
      </x:c>
      <x:c r="H2047" s="14" t="str">
        <x:v>S06-06:A:origin</x:v>
      </x:c>
    </x:row>
    <x:row r="2048" ht="72" customHeight="1">
      <x:c r="A2048" s="14" t="str">
        <x:v>S06-06:A:final_transcript</x:v>
      </x:c>
      <x:c r="B2048" s="14" t="str">
        <x:v>A</x:v>
      </x:c>
      <x:c r="C2048" s="14" t="str">
        <x:v>final_transcript</x:v>
      </x:c>
      <x:c r="D2048" s="14" t="n">
        <x:v>0</x:v>
      </x:c>
      <x:c r="E2048" s="14" t="n">
        <x:v>0.3</x:v>
      </x:c>
      <x:c r="F2048" s="14" t="n">
        <x:v>0.3</x:v>
      </x:c>
      <x:c r="G2048" s="17" t="n">
        <x:v>1</x:v>
      </x:c>
      <x:c r="H2048" s="14" t="str">
        <x:v>S06-06:A:evaluation_utterance_end</x:v>
      </x:c>
    </x:row>
    <x:row r="2049" ht="72" customHeight="1">
      <x:c r="A2049" s="14" t="str">
        <x:v>S06-06:A:meaning_adoption</x:v>
      </x:c>
      <x:c r="B2049" s="14" t="str">
        <x:v>A</x:v>
      </x:c>
      <x:c r="C2049" s="14" t="str">
        <x:v>meaning_adoption</x:v>
      </x:c>
      <x:c r="D2049" s="14" t="n">
        <x:v>0.3</x:v>
      </x:c>
      <x:c r="E2049" s="14" t="n">
        <x:v>0.82</x:v>
      </x:c>
      <x:c r="F2049" s="14" t="n">
        <x:v>0.52</x:v>
      </x:c>
      <x:c r="G2049" s="17" t="n">
        <x:v>1</x:v>
      </x:c>
      <x:c r="H2049" s="14" t="str">
        <x:v>S06-06:A:final_transcript
S06-06:A:origin_interpretation</x:v>
      </x:c>
    </x:row>
    <x:row r="2050" ht="72" customHeight="1">
      <x:c r="A2050" s="14" t="str">
        <x:v>S06-06:A:apply_relation</x:v>
      </x:c>
      <x:c r="B2050" s="14" t="str">
        <x:v>A</x:v>
      </x:c>
      <x:c r="C2050" s="14" t="str">
        <x:v>apply_relation</x:v>
      </x:c>
      <x:c r="D2050" s="14" t="n">
        <x:v>0.82</x:v>
      </x:c>
      <x:c r="E2050" s="14" t="n">
        <x:v>0.86</x:v>
      </x:c>
      <x:c r="F2050" s="14" t="n">
        <x:v>0.04</x:v>
      </x:c>
      <x:c r="G2050" s="17" t="n">
        <x:v>1</x:v>
      </x:c>
      <x:c r="H2050" s="14" t="str">
        <x:v>S06-06:A:meaning_adoption</x:v>
      </x:c>
    </x:row>
    <x:row r="2051" ht="72" customHeight="1">
      <x:c r="A2051" s="14" t="str">
        <x:v>S06-06:A:evaluation_first_display</x:v>
      </x:c>
      <x:c r="B2051" s="14" t="str">
        <x:v>A</x:v>
      </x:c>
      <x:c r="C2051" s="14" t="str">
        <x:v>evaluation_first_display</x:v>
      </x:c>
      <x:c r="D2051" s="14" t="n">
        <x:v>0.86</x:v>
      </x:c>
      <x:c r="E2051" s="14" t="n">
        <x:v>0.9</x:v>
      </x:c>
      <x:c r="F2051" s="14" t="n">
        <x:v>0.04</x:v>
      </x:c>
      <x:c r="G2051" s="17" t="n">
        <x:v>1</x:v>
      </x:c>
      <x:c r="H2051" s="14" t="str">
        <x:v>S06-06:A:apply_relation</x:v>
      </x:c>
    </x:row>
    <x:row r="2052" ht="72" customHeight="1">
      <x:c r="A2052" s="14" t="str">
        <x:v>S06-06:A:source_explanation</x:v>
      </x:c>
      <x:c r="B2052" s="14" t="str">
        <x:v>A</x:v>
      </x:c>
      <x:c r="C2052" s="14" t="str">
        <x:v>source_explanation</x:v>
      </x:c>
      <x:c r="D2052" s="14" t="n">
        <x:v>-5.04</x:v>
      </x:c>
      <x:c r="E2052" s="14" t="n">
        <x:v>-4</x:v>
      </x:c>
      <x:c r="F2052" s="14" t="n">
        <x:v>1.04</x:v>
      </x:c>
      <x:c r="G2052" s="17" t="n">
        <x:v>0</x:v>
      </x:c>
      <x:c r="H2052" s="14" t="str">
        <x:v>S06-06:A:original_handoff</x:v>
      </x:c>
    </x:row>
    <x:row r="2053" ht="72" customHeight="1">
      <x:c r="A2053" s="14" t="str">
        <x:v>S06-06:A:display_explanation</x:v>
      </x:c>
      <x:c r="B2053" s="14" t="str">
        <x:v>A</x:v>
      </x:c>
      <x:c r="C2053" s="14" t="str">
        <x:v>display_explanation</x:v>
      </x:c>
      <x:c r="D2053" s="14" t="n">
        <x:v>-4</x:v>
      </x:c>
      <x:c r="E2053" s="14" t="n">
        <x:v>-3.96</x:v>
      </x:c>
      <x:c r="F2053" s="14" t="n">
        <x:v>0.04</x:v>
      </x:c>
      <x:c r="G2053" s="17" t="n">
        <x:v>1</x:v>
      </x:c>
      <x:c r="H2053" s="14" t="str">
        <x:v>S06-06:A:source_explanation</x:v>
      </x:c>
    </x:row>
    <x:row r="2054" ht="72" customHeight="1">
      <x:c r="A2054" s="14" t="str">
        <x:v>S06-06:A:explanation_first</x:v>
      </x:c>
      <x:c r="B2054" s="14" t="str">
        <x:v>A</x:v>
      </x:c>
      <x:c r="C2054" s="14" t="str">
        <x:v>explanation_first</x:v>
      </x:c>
      <x:c r="D2054" s="14" t="n">
        <x:v>-4</x:v>
      </x:c>
      <x:c r="E2054" s="14" t="n">
        <x:v>-3.594333333</x:v>
      </x:c>
      <x:c r="F2054" s="14" t="n">
        <x:v>0.405666667</x:v>
      </x:c>
      <x:c r="G2054" s="17" t="n">
        <x:v>1</x:v>
      </x:c>
      <x:c r="H2054" s="14" t="str">
        <x:v>S06-06:A:source_explanation</x:v>
      </x:c>
    </x:row>
    <x:row r="2055" ht="72" customHeight="1">
      <x:c r="A2055" s="14" t="str">
        <x:v>S06-06:A:explanation_tail</x:v>
      </x:c>
      <x:c r="B2055" s="14" t="str">
        <x:v>A</x:v>
      </x:c>
      <x:c r="C2055" s="14" t="str">
        <x:v>explanation_tail</x:v>
      </x:c>
      <x:c r="D2055" s="14" t="n">
        <x:v>-3.594333333</x:v>
      </x:c>
      <x:c r="E2055" s="14" t="n">
        <x:v>-1.642833333</x:v>
      </x:c>
      <x:c r="F2055" s="14" t="n">
        <x:v>1.9515</x:v>
      </x:c>
      <x:c r="G2055" s="17" t="n">
        <x:v>1</x:v>
      </x:c>
      <x:c r="H2055" s="14" t="str">
        <x:v>S06-06:A:explanation_first</x:v>
      </x:c>
    </x:row>
    <x:row r="2056" ht="72" customHeight="1">
      <x:c r="A2056" s="14" t="str">
        <x:v>S06-06:A:continue_device</x:v>
      </x:c>
      <x:c r="B2056" s="14" t="str">
        <x:v>A</x:v>
      </x:c>
      <x:c r="C2056" s="14" t="str">
        <x:v>continue_device</x:v>
      </x:c>
      <x:c r="D2056" s="14" t="n">
        <x:v>0.86</x:v>
      </x:c>
      <x:c r="E2056" s="14" t="n">
        <x:v>0.9</x:v>
      </x:c>
      <x:c r="F2056" s="14" t="n">
        <x:v>0.04</x:v>
      </x:c>
      <x:c r="G2056" s="17" t="n">
        <x:v>1</x:v>
      </x:c>
      <x:c r="H2056" s="14" t="str">
        <x:v>S06-06:A:apply_relation
S06-06:A:explanation_first</x:v>
      </x:c>
    </x:row>
    <x:row r="2057" ht="72" customHeight="1">
      <x:c r="A2057" s="14" t="str">
        <x:v>S06-06:A:continue_part1</x:v>
      </x:c>
      <x:c r="B2057" s="14" t="str">
        <x:v>A</x:v>
      </x:c>
      <x:c r="C2057" s="14" t="str">
        <x:v>continue_part1</x:v>
      </x:c>
      <x:c r="D2057" s="14" t="n">
        <x:v>0.9</x:v>
      </x:c>
      <x:c r="E2057" s="14" t="n">
        <x:v>1.5</x:v>
      </x:c>
      <x:c r="F2057" s="14" t="n">
        <x:v>0.6</x:v>
      </x:c>
      <x:c r="G2057" s="17" t="n">
        <x:v>0</x:v>
      </x:c>
      <x:c r="H2057" s="14" t="str">
        <x:v>S06-06:A:continue_device</x:v>
      </x:c>
    </x:row>
    <x:row r="2058" ht="72" customHeight="1">
      <x:c r="A2058" s="14" t="str">
        <x:v>S06-06:A:continue_false_trigger_hold</x:v>
      </x:c>
      <x:c r="B2058" s="14" t="str">
        <x:v>A</x:v>
      </x:c>
      <x:c r="C2058" s="14" t="str">
        <x:v>continue_false_trigger_hold</x:v>
      </x:c>
      <x:c r="D2058" s="14" t="n">
        <x:v>1.5</x:v>
      </x:c>
      <x:c r="E2058" s="14" t="n">
        <x:v>1.8</x:v>
      </x:c>
      <x:c r="F2058" s="14" t="n">
        <x:v>0.3</x:v>
      </x:c>
      <x:c r="G2058" s="17" t="n">
        <x:v>0</x:v>
      </x:c>
      <x:c r="H2058" s="14" t="str">
        <x:v>S06-06:A:continue_part1</x:v>
      </x:c>
    </x:row>
    <x:row r="2059" ht="72" customHeight="1">
      <x:c r="A2059" s="14" t="str">
        <x:v>S06-06:A:continue_part2</x:v>
      </x:c>
      <x:c r="B2059" s="14" t="str">
        <x:v>A</x:v>
      </x:c>
      <x:c r="C2059" s="14" t="str">
        <x:v>continue_part2</x:v>
      </x:c>
      <x:c r="D2059" s="14" t="n">
        <x:v>1.8</x:v>
      </x:c>
      <x:c r="E2059" s="14" t="n">
        <x:v>8.205999999</x:v>
      </x:c>
      <x:c r="F2059" s="14" t="n">
        <x:v>6.405999999</x:v>
      </x:c>
      <x:c r="G2059" s="17" t="n">
        <x:v>0</x:v>
      </x:c>
      <x:c r="H2059" s="14" t="str">
        <x:v>S06-06:A:continue_false_trigger_hold</x:v>
      </x:c>
    </x:row>
    <x:row r="2060" ht="72" customHeight="1">
      <x:c r="A2060" s="14" t="str">
        <x:v>S06-06:B:origin</x:v>
      </x:c>
      <x:c r="B2060" s="14" t="str">
        <x:v>B</x:v>
      </x:c>
      <x:c r="C2060" s="14" t="str">
        <x:v>origin</x:v>
      </x:c>
      <x:c r="D2060" s="14" t="n">
        <x:v>-6</x:v>
      </x:c>
      <x:c r="E2060" s="14" t="n">
        <x:v>-6</x:v>
      </x:c>
      <x:c r="F2060" s="14" t="n">
        <x:v>0</x:v>
      </x:c>
      <x:c r="G2060" s="17" t="n">
        <x:v>0</x:v>
      </x:c>
      <x:c r="H2060" s="14" t="str"/>
    </x:row>
    <x:row r="2061" ht="72" customHeight="1">
      <x:c r="A2061" s="14" t="str">
        <x:v>S06-06:B:origin_interpretation</x:v>
      </x:c>
      <x:c r="B2061" s="14" t="str">
        <x:v>B</x:v>
      </x:c>
      <x:c r="C2061" s="14" t="str">
        <x:v>origin_interpretation</x:v>
      </x:c>
      <x:c r="D2061" s="14" t="n">
        <x:v>-6</x:v>
      </x:c>
      <x:c r="E2061" s="14" t="n">
        <x:v>-5.16</x:v>
      </x:c>
      <x:c r="F2061" s="14" t="n">
        <x:v>0.84</x:v>
      </x:c>
      <x:c r="G2061" s="17" t="n">
        <x:v>1</x:v>
      </x:c>
      <x:c r="H2061" s="14" t="str">
        <x:v>S06-06:B:origin</x:v>
      </x:c>
    </x:row>
    <x:row r="2062" ht="72" customHeight="1">
      <x:c r="A2062" s="14" t="str">
        <x:v>S06-06:B:original_handoff</x:v>
      </x:c>
      <x:c r="B2062" s="14" t="str">
        <x:v>B</x:v>
      </x:c>
      <x:c r="C2062" s="14" t="str">
        <x:v>original_handoff</x:v>
      </x:c>
      <x:c r="D2062" s="14" t="n">
        <x:v>-5.16</x:v>
      </x:c>
      <x:c r="E2062" s="14" t="n">
        <x:v>-5.04</x:v>
      </x:c>
      <x:c r="F2062" s="14" t="n">
        <x:v>0.12</x:v>
      </x:c>
      <x:c r="G2062" s="17" t="n">
        <x:v>1</x:v>
      </x:c>
      <x:c r="H2062" s="14" t="str">
        <x:v>S06-06:B:origin_interpretation</x:v>
      </x:c>
    </x:row>
    <x:row r="2063" ht="72" customHeight="1">
      <x:c r="A2063" s="14" t="str">
        <x:v>S06-06:B:evaluation_utterance_end</x:v>
      </x:c>
      <x:c r="B2063" s="14" t="str">
        <x:v>B</x:v>
      </x:c>
      <x:c r="C2063" s="14" t="str">
        <x:v>evaluation_utterance_end</x:v>
      </x:c>
      <x:c r="D2063" s="14" t="n">
        <x:v>-6</x:v>
      </x:c>
      <x:c r="E2063" s="14" t="n">
        <x:v>0</x:v>
      </x:c>
      <x:c r="F2063" s="14" t="n">
        <x:v>6</x:v>
      </x:c>
      <x:c r="G2063" s="17" t="n">
        <x:v>0</x:v>
      </x:c>
      <x:c r="H2063" s="14" t="str">
        <x:v>S06-06:B:origin</x:v>
      </x:c>
    </x:row>
    <x:row r="2064" ht="72" customHeight="1">
      <x:c r="A2064" s="14" t="str">
        <x:v>S06-06:B:final_transcript</x:v>
      </x:c>
      <x:c r="B2064" s="14" t="str">
        <x:v>B</x:v>
      </x:c>
      <x:c r="C2064" s="14" t="str">
        <x:v>final_transcript</x:v>
      </x:c>
      <x:c r="D2064" s="14" t="n">
        <x:v>0</x:v>
      </x:c>
      <x:c r="E2064" s="14" t="n">
        <x:v>0.3</x:v>
      </x:c>
      <x:c r="F2064" s="14" t="n">
        <x:v>0.3</x:v>
      </x:c>
      <x:c r="G2064" s="17" t="n">
        <x:v>1</x:v>
      </x:c>
      <x:c r="H2064" s="14" t="str">
        <x:v>S06-06:B:evaluation_utterance_end</x:v>
      </x:c>
    </x:row>
    <x:row r="2065" ht="72" customHeight="1">
      <x:c r="A2065" s="14" t="str">
        <x:v>S06-06:B:meaning_adoption</x:v>
      </x:c>
      <x:c r="B2065" s="14" t="str">
        <x:v>B</x:v>
      </x:c>
      <x:c r="C2065" s="14" t="str">
        <x:v>meaning_adoption</x:v>
      </x:c>
      <x:c r="D2065" s="14" t="n">
        <x:v>0.3</x:v>
      </x:c>
      <x:c r="E2065" s="14" t="n">
        <x:v>0.82</x:v>
      </x:c>
      <x:c r="F2065" s="14" t="n">
        <x:v>0.52</x:v>
      </x:c>
      <x:c r="G2065" s="17" t="n">
        <x:v>1</x:v>
      </x:c>
      <x:c r="H2065" s="14" t="str">
        <x:v>S06-06:B:final_transcript
S06-06:B:origin_interpretation</x:v>
      </x:c>
    </x:row>
    <x:row r="2066" ht="72" customHeight="1">
      <x:c r="A2066" s="14" t="str">
        <x:v>S06-06:B:apply_relation</x:v>
      </x:c>
      <x:c r="B2066" s="14" t="str">
        <x:v>B</x:v>
      </x:c>
      <x:c r="C2066" s="14" t="str">
        <x:v>apply_relation</x:v>
      </x:c>
      <x:c r="D2066" s="14" t="n">
        <x:v>0.82</x:v>
      </x:c>
      <x:c r="E2066" s="14" t="n">
        <x:v>0.86</x:v>
      </x:c>
      <x:c r="F2066" s="14" t="n">
        <x:v>0.04</x:v>
      </x:c>
      <x:c r="G2066" s="17" t="n">
        <x:v>1</x:v>
      </x:c>
      <x:c r="H2066" s="14" t="str">
        <x:v>S06-06:B:meaning_adoption</x:v>
      </x:c>
    </x:row>
    <x:row r="2067" ht="72" customHeight="1">
      <x:c r="A2067" s="14" t="str">
        <x:v>S06-06:B:evaluation_first_display</x:v>
      </x:c>
      <x:c r="B2067" s="14" t="str">
        <x:v>B</x:v>
      </x:c>
      <x:c r="C2067" s="14" t="str">
        <x:v>evaluation_first_display</x:v>
      </x:c>
      <x:c r="D2067" s="14" t="n">
        <x:v>0.86</x:v>
      </x:c>
      <x:c r="E2067" s="14" t="n">
        <x:v>0.9</x:v>
      </x:c>
      <x:c r="F2067" s="14" t="n">
        <x:v>0.04</x:v>
      </x:c>
      <x:c r="G2067" s="17" t="n">
        <x:v>1</x:v>
      </x:c>
      <x:c r="H2067" s="14" t="str">
        <x:v>S06-06:B:apply_relation</x:v>
      </x:c>
    </x:row>
    <x:row r="2068" ht="72" customHeight="1">
      <x:c r="A2068" s="14" t="str">
        <x:v>S06-06:B:source_explanation</x:v>
      </x:c>
      <x:c r="B2068" s="14" t="str">
        <x:v>B</x:v>
      </x:c>
      <x:c r="C2068" s="14" t="str">
        <x:v>source_explanation</x:v>
      </x:c>
      <x:c r="D2068" s="14" t="n">
        <x:v>-5.04</x:v>
      </x:c>
      <x:c r="E2068" s="14" t="n">
        <x:v>-4</x:v>
      </x:c>
      <x:c r="F2068" s="14" t="n">
        <x:v>1.04</x:v>
      </x:c>
      <x:c r="G2068" s="17" t="n">
        <x:v>0</x:v>
      </x:c>
      <x:c r="H2068" s="14" t="str">
        <x:v>S06-06:B:original_handoff</x:v>
      </x:c>
    </x:row>
    <x:row r="2069" ht="72" customHeight="1">
      <x:c r="A2069" s="14" t="str">
        <x:v>S06-06:B:display_explanation</x:v>
      </x:c>
      <x:c r="B2069" s="14" t="str">
        <x:v>B</x:v>
      </x:c>
      <x:c r="C2069" s="14" t="str">
        <x:v>display_explanation</x:v>
      </x:c>
      <x:c r="D2069" s="14" t="n">
        <x:v>-4</x:v>
      </x:c>
      <x:c r="E2069" s="14" t="n">
        <x:v>-3.96</x:v>
      </x:c>
      <x:c r="F2069" s="14" t="n">
        <x:v>0.04</x:v>
      </x:c>
      <x:c r="G2069" s="17" t="n">
        <x:v>1</x:v>
      </x:c>
      <x:c r="H2069" s="14" t="str">
        <x:v>S06-06:B:source_explanation</x:v>
      </x:c>
    </x:row>
    <x:row r="2070" ht="72" customHeight="1">
      <x:c r="A2070" s="14" t="str">
        <x:v>S06-06:B:explanation_first</x:v>
      </x:c>
      <x:c r="B2070" s="14" t="str">
        <x:v>B</x:v>
      </x:c>
      <x:c r="C2070" s="14" t="str">
        <x:v>explanation_first</x:v>
      </x:c>
      <x:c r="D2070" s="14" t="n">
        <x:v>-4</x:v>
      </x:c>
      <x:c r="E2070" s="14" t="n">
        <x:v>-3.594333333</x:v>
      </x:c>
      <x:c r="F2070" s="14" t="n">
        <x:v>0.405666667</x:v>
      </x:c>
      <x:c r="G2070" s="17" t="n">
        <x:v>1</x:v>
      </x:c>
      <x:c r="H2070" s="14" t="str">
        <x:v>S06-06:B:source_explanation</x:v>
      </x:c>
    </x:row>
    <x:row r="2071" ht="72" customHeight="1">
      <x:c r="A2071" s="14" t="str">
        <x:v>S06-06:B:explanation_tail</x:v>
      </x:c>
      <x:c r="B2071" s="14" t="str">
        <x:v>B</x:v>
      </x:c>
      <x:c r="C2071" s="14" t="str">
        <x:v>explanation_tail</x:v>
      </x:c>
      <x:c r="D2071" s="14" t="n">
        <x:v>-3.594333333</x:v>
      </x:c>
      <x:c r="E2071" s="14" t="n">
        <x:v>-1.642833333</x:v>
      </x:c>
      <x:c r="F2071" s="14" t="n">
        <x:v>1.9515</x:v>
      </x:c>
      <x:c r="G2071" s="17" t="n">
        <x:v>1</x:v>
      </x:c>
      <x:c r="H2071" s="14" t="str">
        <x:v>S06-06:B:explanation_first</x:v>
      </x:c>
    </x:row>
    <x:row r="2072" ht="72" customHeight="1">
      <x:c r="A2072" s="14" t="str">
        <x:v>S06-06:B:continue_device</x:v>
      </x:c>
      <x:c r="B2072" s="14" t="str">
        <x:v>B</x:v>
      </x:c>
      <x:c r="C2072" s="14" t="str">
        <x:v>continue_device</x:v>
      </x:c>
      <x:c r="D2072" s="14" t="n">
        <x:v>0.86</x:v>
      </x:c>
      <x:c r="E2072" s="14" t="n">
        <x:v>0.9</x:v>
      </x:c>
      <x:c r="F2072" s="14" t="n">
        <x:v>0.04</x:v>
      </x:c>
      <x:c r="G2072" s="17" t="n">
        <x:v>1</x:v>
      </x:c>
      <x:c r="H2072" s="14" t="str">
        <x:v>S06-06:B:apply_relation
S06-06:B:explanation_first</x:v>
      </x:c>
    </x:row>
    <x:row r="2073" ht="72" customHeight="1">
      <x:c r="A2073" s="14" t="str">
        <x:v>S06-06:B:continue_part1</x:v>
      </x:c>
      <x:c r="B2073" s="14" t="str">
        <x:v>B</x:v>
      </x:c>
      <x:c r="C2073" s="14" t="str">
        <x:v>continue_part1</x:v>
      </x:c>
      <x:c r="D2073" s="14" t="n">
        <x:v>0.9</x:v>
      </x:c>
      <x:c r="E2073" s="14" t="n">
        <x:v>1.5</x:v>
      </x:c>
      <x:c r="F2073" s="14" t="n">
        <x:v>0.6</x:v>
      </x:c>
      <x:c r="G2073" s="17" t="n">
        <x:v>0</x:v>
      </x:c>
      <x:c r="H2073" s="14" t="str">
        <x:v>S06-06:B:continue_device</x:v>
      </x:c>
    </x:row>
    <x:row r="2074" ht="72" customHeight="1">
      <x:c r="A2074" s="14" t="str">
        <x:v>S06-06:B:continue_false_trigger_hold</x:v>
      </x:c>
      <x:c r="B2074" s="14" t="str">
        <x:v>B</x:v>
      </x:c>
      <x:c r="C2074" s="14" t="str">
        <x:v>continue_false_trigger_hold</x:v>
      </x:c>
      <x:c r="D2074" s="14" t="n">
        <x:v>1.5</x:v>
      </x:c>
      <x:c r="E2074" s="14" t="n">
        <x:v>1.8</x:v>
      </x:c>
      <x:c r="F2074" s="14" t="n">
        <x:v>0.3</x:v>
      </x:c>
      <x:c r="G2074" s="17" t="n">
        <x:v>0</x:v>
      </x:c>
      <x:c r="H2074" s="14" t="str">
        <x:v>S06-06:B:continue_part1</x:v>
      </x:c>
    </x:row>
    <x:row r="2075" ht="72" customHeight="1">
      <x:c r="A2075" s="14" t="str">
        <x:v>S06-06:B:continue_part2</x:v>
      </x:c>
      <x:c r="B2075" s="14" t="str">
        <x:v>B</x:v>
      </x:c>
      <x:c r="C2075" s="14" t="str">
        <x:v>continue_part2</x:v>
      </x:c>
      <x:c r="D2075" s="14" t="n">
        <x:v>1.8</x:v>
      </x:c>
      <x:c r="E2075" s="14" t="n">
        <x:v>8.205999999</x:v>
      </x:c>
      <x:c r="F2075" s="14" t="n">
        <x:v>6.405999999</x:v>
      </x:c>
      <x:c r="G2075" s="17" t="n">
        <x:v>0</x:v>
      </x:c>
      <x:c r="H2075" s="14" t="str">
        <x:v>S06-06:B:continue_false_trigger_hold</x:v>
      </x:c>
    </x:row>
    <x:row r="2076" ht="72" customHeight="1">
      <x:c r="A2076" s="14" t="str">
        <x:v>S06-07:A:origin</x:v>
      </x:c>
      <x:c r="B2076" s="14" t="str">
        <x:v>A</x:v>
      </x:c>
      <x:c r="C2076" s="14" t="str">
        <x:v>origin</x:v>
      </x:c>
      <x:c r="D2076" s="14" t="n">
        <x:v>-6</x:v>
      </x:c>
      <x:c r="E2076" s="14" t="n">
        <x:v>-6</x:v>
      </x:c>
      <x:c r="F2076" s="14" t="n">
        <x:v>0</x:v>
      </x:c>
      <x:c r="G2076" s="17" t="n">
        <x:v>0</x:v>
      </x:c>
      <x:c r="H2076" s="14" t="str"/>
    </x:row>
    <x:row r="2077" ht="72" customHeight="1">
      <x:c r="A2077" s="14" t="str">
        <x:v>S06-07:A:origin_interpretation</x:v>
      </x:c>
      <x:c r="B2077" s="14" t="str">
        <x:v>A</x:v>
      </x:c>
      <x:c r="C2077" s="14" t="str">
        <x:v>origin_interpretation</x:v>
      </x:c>
      <x:c r="D2077" s="14" t="n">
        <x:v>-6</x:v>
      </x:c>
      <x:c r="E2077" s="14" t="n">
        <x:v>-5.16</x:v>
      </x:c>
      <x:c r="F2077" s="14" t="n">
        <x:v>0.84</x:v>
      </x:c>
      <x:c r="G2077" s="17" t="n">
        <x:v>1</x:v>
      </x:c>
      <x:c r="H2077" s="14" t="str">
        <x:v>S06-07:A:origin</x:v>
      </x:c>
    </x:row>
    <x:row r="2078" ht="72" customHeight="1">
      <x:c r="A2078" s="14" t="str">
        <x:v>S06-07:A:original_handoff</x:v>
      </x:c>
      <x:c r="B2078" s="14" t="str">
        <x:v>A</x:v>
      </x:c>
      <x:c r="C2078" s="14" t="str">
        <x:v>original_handoff</x:v>
      </x:c>
      <x:c r="D2078" s="14" t="n">
        <x:v>-5.16</x:v>
      </x:c>
      <x:c r="E2078" s="14" t="n">
        <x:v>-5.04</x:v>
      </x:c>
      <x:c r="F2078" s="14" t="n">
        <x:v>0.12</x:v>
      </x:c>
      <x:c r="G2078" s="17" t="n">
        <x:v>1</x:v>
      </x:c>
      <x:c r="H2078" s="14" t="str">
        <x:v>S06-07:A:origin_interpretation</x:v>
      </x:c>
    </x:row>
    <x:row r="2079" ht="72" customHeight="1">
      <x:c r="A2079" s="14" t="str">
        <x:v>S06-07:A:evaluation_utterance_end</x:v>
      </x:c>
      <x:c r="B2079" s="14" t="str">
        <x:v>A</x:v>
      </x:c>
      <x:c r="C2079" s="14" t="str">
        <x:v>evaluation_utterance_end</x:v>
      </x:c>
      <x:c r="D2079" s="14" t="n">
        <x:v>-6</x:v>
      </x:c>
      <x:c r="E2079" s="14" t="n">
        <x:v>0</x:v>
      </x:c>
      <x:c r="F2079" s="14" t="n">
        <x:v>6</x:v>
      </x:c>
      <x:c r="G2079" s="17" t="n">
        <x:v>0</x:v>
      </x:c>
      <x:c r="H2079" s="14" t="str">
        <x:v>S06-07:A:origin</x:v>
      </x:c>
    </x:row>
    <x:row r="2080" ht="72" customHeight="1">
      <x:c r="A2080" s="14" t="str">
        <x:v>S06-07:A:final_transcript</x:v>
      </x:c>
      <x:c r="B2080" s="14" t="str">
        <x:v>A</x:v>
      </x:c>
      <x:c r="C2080" s="14" t="str">
        <x:v>final_transcript</x:v>
      </x:c>
      <x:c r="D2080" s="14" t="n">
        <x:v>0</x:v>
      </x:c>
      <x:c r="E2080" s="14" t="n">
        <x:v>0.3</x:v>
      </x:c>
      <x:c r="F2080" s="14" t="n">
        <x:v>0.3</x:v>
      </x:c>
      <x:c r="G2080" s="17" t="n">
        <x:v>1</x:v>
      </x:c>
      <x:c r="H2080" s="14" t="str">
        <x:v>S06-07:A:evaluation_utterance_end</x:v>
      </x:c>
    </x:row>
    <x:row r="2081" ht="72" customHeight="1">
      <x:c r="A2081" s="14" t="str">
        <x:v>S06-07:A:meaning_adoption</x:v>
      </x:c>
      <x:c r="B2081" s="14" t="str">
        <x:v>A</x:v>
      </x:c>
      <x:c r="C2081" s="14" t="str">
        <x:v>meaning_adoption</x:v>
      </x:c>
      <x:c r="D2081" s="14" t="n">
        <x:v>0.3</x:v>
      </x:c>
      <x:c r="E2081" s="14" t="n">
        <x:v>0.848333333</x:v>
      </x:c>
      <x:c r="F2081" s="14" t="n">
        <x:v>0.548333333</x:v>
      </x:c>
      <x:c r="G2081" s="17" t="n">
        <x:v>1</x:v>
      </x:c>
      <x:c r="H2081" s="14" t="str">
        <x:v>S06-07:A:final_transcript
S06-07:A:origin_interpretation</x:v>
      </x:c>
    </x:row>
    <x:row r="2082" ht="72" customHeight="1">
      <x:c r="A2082" s="14" t="str">
        <x:v>S06-07:A:apply_relation</x:v>
      </x:c>
      <x:c r="B2082" s="14" t="str">
        <x:v>A</x:v>
      </x:c>
      <x:c r="C2082" s="14" t="str">
        <x:v>apply_relation</x:v>
      </x:c>
      <x:c r="D2082" s="14" t="n">
        <x:v>0.848333333</x:v>
      </x:c>
      <x:c r="E2082" s="14" t="n">
        <x:v>0.888333333</x:v>
      </x:c>
      <x:c r="F2082" s="14" t="n">
        <x:v>0.04</x:v>
      </x:c>
      <x:c r="G2082" s="17" t="n">
        <x:v>1</x:v>
      </x:c>
      <x:c r="H2082" s="14" t="str">
        <x:v>S06-07:A:meaning_adoption</x:v>
      </x:c>
    </x:row>
    <x:row r="2083" ht="72" customHeight="1">
      <x:c r="A2083" s="14" t="str">
        <x:v>S06-07:A:evaluation_first_display</x:v>
      </x:c>
      <x:c r="B2083" s="14" t="str">
        <x:v>A</x:v>
      </x:c>
      <x:c r="C2083" s="14" t="str">
        <x:v>evaluation_first_display</x:v>
      </x:c>
      <x:c r="D2083" s="14" t="n">
        <x:v>0.888333333</x:v>
      </x:c>
      <x:c r="E2083" s="14" t="n">
        <x:v>0.928333333</x:v>
      </x:c>
      <x:c r="F2083" s="14" t="n">
        <x:v>0.04</x:v>
      </x:c>
      <x:c r="G2083" s="17" t="n">
        <x:v>1</x:v>
      </x:c>
      <x:c r="H2083" s="14" t="str">
        <x:v>S06-07:A:apply_relation</x:v>
      </x:c>
    </x:row>
    <x:row r="2084" ht="72" customHeight="1">
      <x:c r="A2084" s="14" t="str">
        <x:v>S06-07:A:source_explanation</x:v>
      </x:c>
      <x:c r="B2084" s="14" t="str">
        <x:v>A</x:v>
      </x:c>
      <x:c r="C2084" s="14" t="str">
        <x:v>source_explanation</x:v>
      </x:c>
      <x:c r="D2084" s="14" t="n">
        <x:v>-5.04</x:v>
      </x:c>
      <x:c r="E2084" s="14" t="n">
        <x:v>-4</x:v>
      </x:c>
      <x:c r="F2084" s="14" t="n">
        <x:v>1.04</x:v>
      </x:c>
      <x:c r="G2084" s="17" t="n">
        <x:v>0</x:v>
      </x:c>
      <x:c r="H2084" s="14" t="str">
        <x:v>S06-07:A:original_handoff</x:v>
      </x:c>
    </x:row>
    <x:row r="2085" ht="72" customHeight="1">
      <x:c r="A2085" s="14" t="str">
        <x:v>S06-07:A:display_explanation</x:v>
      </x:c>
      <x:c r="B2085" s="14" t="str">
        <x:v>A</x:v>
      </x:c>
      <x:c r="C2085" s="14" t="str">
        <x:v>display_explanation</x:v>
      </x:c>
      <x:c r="D2085" s="14" t="n">
        <x:v>-4</x:v>
      </x:c>
      <x:c r="E2085" s="14" t="n">
        <x:v>-3.96</x:v>
      </x:c>
      <x:c r="F2085" s="14" t="n">
        <x:v>0.04</x:v>
      </x:c>
      <x:c r="G2085" s="17" t="n">
        <x:v>1</x:v>
      </x:c>
      <x:c r="H2085" s="14" t="str">
        <x:v>S06-07:A:source_explanation</x:v>
      </x:c>
    </x:row>
    <x:row r="2086" ht="72" customHeight="1">
      <x:c r="A2086" s="14" t="str">
        <x:v>S06-07:A:explanation_first</x:v>
      </x:c>
      <x:c r="B2086" s="14" t="str">
        <x:v>A</x:v>
      </x:c>
      <x:c r="C2086" s="14" t="str">
        <x:v>explanation_first</x:v>
      </x:c>
      <x:c r="D2086" s="14" t="n">
        <x:v>-4</x:v>
      </x:c>
      <x:c r="E2086" s="14" t="n">
        <x:v>-3.594333333</x:v>
      </x:c>
      <x:c r="F2086" s="14" t="n">
        <x:v>0.405666667</x:v>
      </x:c>
      <x:c r="G2086" s="17" t="n">
        <x:v>1</x:v>
      </x:c>
      <x:c r="H2086" s="14" t="str">
        <x:v>S06-07:A:source_explanation</x:v>
      </x:c>
    </x:row>
    <x:row r="2087" ht="72" customHeight="1">
      <x:c r="A2087" s="14" t="str">
        <x:v>S06-07:A:explanation_tail</x:v>
      </x:c>
      <x:c r="B2087" s="14" t="str">
        <x:v>A</x:v>
      </x:c>
      <x:c r="C2087" s="14" t="str">
        <x:v>explanation_tail</x:v>
      </x:c>
      <x:c r="D2087" s="14" t="n">
        <x:v>-3.594333333</x:v>
      </x:c>
      <x:c r="E2087" s="14" t="n">
        <x:v>-1.639833333</x:v>
      </x:c>
      <x:c r="F2087" s="14" t="n">
        <x:v>1.9545</x:v>
      </x:c>
      <x:c r="G2087" s="17" t="n">
        <x:v>1</x:v>
      </x:c>
      <x:c r="H2087" s="14" t="str">
        <x:v>S06-07:A:explanation_first</x:v>
      </x:c>
    </x:row>
    <x:row r="2088" ht="72" customHeight="1">
      <x:c r="A2088" s="14" t="str">
        <x:v>S06-07:A:continue_device</x:v>
      </x:c>
      <x:c r="B2088" s="14" t="str">
        <x:v>A</x:v>
      </x:c>
      <x:c r="C2088" s="14" t="str">
        <x:v>continue_device</x:v>
      </x:c>
      <x:c r="D2088" s="14" t="n">
        <x:v>0.888333333</x:v>
      </x:c>
      <x:c r="E2088" s="14" t="n">
        <x:v>0.928333333</x:v>
      </x:c>
      <x:c r="F2088" s="14" t="n">
        <x:v>0.04</x:v>
      </x:c>
      <x:c r="G2088" s="17" t="n">
        <x:v>1</x:v>
      </x:c>
      <x:c r="H2088" s="14" t="str">
        <x:v>S06-07:A:apply_relation
S06-07:A:explanation_first</x:v>
      </x:c>
    </x:row>
    <x:row r="2089" ht="72" customHeight="1">
      <x:c r="A2089" s="14" t="str">
        <x:v>S06-07:A:continue_part1</x:v>
      </x:c>
      <x:c r="B2089" s="14" t="str">
        <x:v>A</x:v>
      </x:c>
      <x:c r="C2089" s="14" t="str">
        <x:v>continue_part1</x:v>
      </x:c>
      <x:c r="D2089" s="14" t="n">
        <x:v>0.928333333</x:v>
      </x:c>
      <x:c r="E2089" s="14" t="n">
        <x:v>1.528333333</x:v>
      </x:c>
      <x:c r="F2089" s="14" t="n">
        <x:v>0.6</x:v>
      </x:c>
      <x:c r="G2089" s="17" t="n">
        <x:v>0</x:v>
      </x:c>
      <x:c r="H2089" s="14" t="str">
        <x:v>S06-07:A:continue_device</x:v>
      </x:c>
    </x:row>
    <x:row r="2090" ht="72" customHeight="1">
      <x:c r="A2090" s="14" t="str">
        <x:v>S06-07:A:continue_false_trigger_hold</x:v>
      </x:c>
      <x:c r="B2090" s="14" t="str">
        <x:v>A</x:v>
      </x:c>
      <x:c r="C2090" s="14" t="str">
        <x:v>continue_false_trigger_hold</x:v>
      </x:c>
      <x:c r="D2090" s="14" t="n">
        <x:v>1.528333333</x:v>
      </x:c>
      <x:c r="E2090" s="14" t="n">
        <x:v>1.828333333</x:v>
      </x:c>
      <x:c r="F2090" s="14" t="n">
        <x:v>0.3</x:v>
      </x:c>
      <x:c r="G2090" s="17" t="n">
        <x:v>0</x:v>
      </x:c>
      <x:c r="H2090" s="14" t="str">
        <x:v>S06-07:A:continue_part1</x:v>
      </x:c>
    </x:row>
    <x:row r="2091" ht="72" customHeight="1">
      <x:c r="A2091" s="14" t="str">
        <x:v>S06-07:A:continue_part2</x:v>
      </x:c>
      <x:c r="B2091" s="14" t="str">
        <x:v>A</x:v>
      </x:c>
      <x:c r="C2091" s="14" t="str">
        <x:v>continue_part2</x:v>
      </x:c>
      <x:c r="D2091" s="14" t="n">
        <x:v>1.828333333</x:v>
      </x:c>
      <x:c r="E2091" s="14" t="n">
        <x:v>8.246333332</x:v>
      </x:c>
      <x:c r="F2091" s="14" t="n">
        <x:v>6.417999999</x:v>
      </x:c>
      <x:c r="G2091" s="17" t="n">
        <x:v>0</x:v>
      </x:c>
      <x:c r="H2091" s="14" t="str">
        <x:v>S06-07:A:continue_false_trigger_hold</x:v>
      </x:c>
    </x:row>
    <x:row r="2092" ht="72" customHeight="1">
      <x:c r="A2092" s="14" t="str">
        <x:v>S06-07:B:origin</x:v>
      </x:c>
      <x:c r="B2092" s="14" t="str">
        <x:v>B</x:v>
      </x:c>
      <x:c r="C2092" s="14" t="str">
        <x:v>origin</x:v>
      </x:c>
      <x:c r="D2092" s="14" t="n">
        <x:v>-6</x:v>
      </x:c>
      <x:c r="E2092" s="14" t="n">
        <x:v>-6</x:v>
      </x:c>
      <x:c r="F2092" s="14" t="n">
        <x:v>0</x:v>
      </x:c>
      <x:c r="G2092" s="17" t="n">
        <x:v>0</x:v>
      </x:c>
      <x:c r="H2092" s="14" t="str"/>
    </x:row>
    <x:row r="2093" ht="72" customHeight="1">
      <x:c r="A2093" s="14" t="str">
        <x:v>S06-07:B:origin_interpretation</x:v>
      </x:c>
      <x:c r="B2093" s="14" t="str">
        <x:v>B</x:v>
      </x:c>
      <x:c r="C2093" s="14" t="str">
        <x:v>origin_interpretation</x:v>
      </x:c>
      <x:c r="D2093" s="14" t="n">
        <x:v>-6</x:v>
      </x:c>
      <x:c r="E2093" s="14" t="n">
        <x:v>-5.16</x:v>
      </x:c>
      <x:c r="F2093" s="14" t="n">
        <x:v>0.84</x:v>
      </x:c>
      <x:c r="G2093" s="17" t="n">
        <x:v>1</x:v>
      </x:c>
      <x:c r="H2093" s="14" t="str">
        <x:v>S06-07:B:origin</x:v>
      </x:c>
    </x:row>
    <x:row r="2094" ht="72" customHeight="1">
      <x:c r="A2094" s="14" t="str">
        <x:v>S06-07:B:original_handoff</x:v>
      </x:c>
      <x:c r="B2094" s="14" t="str">
        <x:v>B</x:v>
      </x:c>
      <x:c r="C2094" s="14" t="str">
        <x:v>original_handoff</x:v>
      </x:c>
      <x:c r="D2094" s="14" t="n">
        <x:v>-5.16</x:v>
      </x:c>
      <x:c r="E2094" s="14" t="n">
        <x:v>-5.04</x:v>
      </x:c>
      <x:c r="F2094" s="14" t="n">
        <x:v>0.12</x:v>
      </x:c>
      <x:c r="G2094" s="17" t="n">
        <x:v>1</x:v>
      </x:c>
      <x:c r="H2094" s="14" t="str">
        <x:v>S06-07:B:origin_interpretation</x:v>
      </x:c>
    </x:row>
    <x:row r="2095" ht="72" customHeight="1">
      <x:c r="A2095" s="14" t="str">
        <x:v>S06-07:B:evaluation_utterance_end</x:v>
      </x:c>
      <x:c r="B2095" s="14" t="str">
        <x:v>B</x:v>
      </x:c>
      <x:c r="C2095" s="14" t="str">
        <x:v>evaluation_utterance_end</x:v>
      </x:c>
      <x:c r="D2095" s="14" t="n">
        <x:v>-6</x:v>
      </x:c>
      <x:c r="E2095" s="14" t="n">
        <x:v>0</x:v>
      </x:c>
      <x:c r="F2095" s="14" t="n">
        <x:v>6</x:v>
      </x:c>
      <x:c r="G2095" s="17" t="n">
        <x:v>0</x:v>
      </x:c>
      <x:c r="H2095" s="14" t="str">
        <x:v>S06-07:B:origin</x:v>
      </x:c>
    </x:row>
    <x:row r="2096" ht="72" customHeight="1">
      <x:c r="A2096" s="14" t="str">
        <x:v>S06-07:B:final_transcript</x:v>
      </x:c>
      <x:c r="B2096" s="14" t="str">
        <x:v>B</x:v>
      </x:c>
      <x:c r="C2096" s="14" t="str">
        <x:v>final_transcript</x:v>
      </x:c>
      <x:c r="D2096" s="14" t="n">
        <x:v>0</x:v>
      </x:c>
      <x:c r="E2096" s="14" t="n">
        <x:v>0.3</x:v>
      </x:c>
      <x:c r="F2096" s="14" t="n">
        <x:v>0.3</x:v>
      </x:c>
      <x:c r="G2096" s="17" t="n">
        <x:v>1</x:v>
      </x:c>
      <x:c r="H2096" s="14" t="str">
        <x:v>S06-07:B:evaluation_utterance_end</x:v>
      </x:c>
    </x:row>
    <x:row r="2097" ht="72" customHeight="1">
      <x:c r="A2097" s="14" t="str">
        <x:v>S06-07:B:meaning_adoption</x:v>
      </x:c>
      <x:c r="B2097" s="14" t="str">
        <x:v>B</x:v>
      </x:c>
      <x:c r="C2097" s="14" t="str">
        <x:v>meaning_adoption</x:v>
      </x:c>
      <x:c r="D2097" s="14" t="n">
        <x:v>0.3</x:v>
      </x:c>
      <x:c r="E2097" s="14" t="n">
        <x:v>0.848333333</x:v>
      </x:c>
      <x:c r="F2097" s="14" t="n">
        <x:v>0.548333333</x:v>
      </x:c>
      <x:c r="G2097" s="17" t="n">
        <x:v>1</x:v>
      </x:c>
      <x:c r="H2097" s="14" t="str">
        <x:v>S06-07:B:final_transcript
S06-07:B:origin_interpretation</x:v>
      </x:c>
    </x:row>
    <x:row r="2098" ht="72" customHeight="1">
      <x:c r="A2098" s="14" t="str">
        <x:v>S06-07:B:apply_relation</x:v>
      </x:c>
      <x:c r="B2098" s="14" t="str">
        <x:v>B</x:v>
      </x:c>
      <x:c r="C2098" s="14" t="str">
        <x:v>apply_relation</x:v>
      </x:c>
      <x:c r="D2098" s="14" t="n">
        <x:v>0.848333333</x:v>
      </x:c>
      <x:c r="E2098" s="14" t="n">
        <x:v>0.888333333</x:v>
      </x:c>
      <x:c r="F2098" s="14" t="n">
        <x:v>0.04</x:v>
      </x:c>
      <x:c r="G2098" s="17" t="n">
        <x:v>1</x:v>
      </x:c>
      <x:c r="H2098" s="14" t="str">
        <x:v>S06-07:B:meaning_adoption</x:v>
      </x:c>
    </x:row>
    <x:row r="2099" ht="72" customHeight="1">
      <x:c r="A2099" s="14" t="str">
        <x:v>S06-07:B:evaluation_first_display</x:v>
      </x:c>
      <x:c r="B2099" s="14" t="str">
        <x:v>B</x:v>
      </x:c>
      <x:c r="C2099" s="14" t="str">
        <x:v>evaluation_first_display</x:v>
      </x:c>
      <x:c r="D2099" s="14" t="n">
        <x:v>0.888333333</x:v>
      </x:c>
      <x:c r="E2099" s="14" t="n">
        <x:v>0.928333333</x:v>
      </x:c>
      <x:c r="F2099" s="14" t="n">
        <x:v>0.04</x:v>
      </x:c>
      <x:c r="G2099" s="17" t="n">
        <x:v>1</x:v>
      </x:c>
      <x:c r="H2099" s="14" t="str">
        <x:v>S06-07:B:apply_relation</x:v>
      </x:c>
    </x:row>
    <x:row r="2100" ht="72" customHeight="1">
      <x:c r="A2100" s="14" t="str">
        <x:v>S06-07:B:source_explanation</x:v>
      </x:c>
      <x:c r="B2100" s="14" t="str">
        <x:v>B</x:v>
      </x:c>
      <x:c r="C2100" s="14" t="str">
        <x:v>source_explanation</x:v>
      </x:c>
      <x:c r="D2100" s="14" t="n">
        <x:v>-5.04</x:v>
      </x:c>
      <x:c r="E2100" s="14" t="n">
        <x:v>-4</x:v>
      </x:c>
      <x:c r="F2100" s="14" t="n">
        <x:v>1.04</x:v>
      </x:c>
      <x:c r="G2100" s="17" t="n">
        <x:v>0</x:v>
      </x:c>
      <x:c r="H2100" s="14" t="str">
        <x:v>S06-07:B:original_handoff</x:v>
      </x:c>
    </x:row>
    <x:row r="2101" ht="72" customHeight="1">
      <x:c r="A2101" s="14" t="str">
        <x:v>S06-07:B:display_explanation</x:v>
      </x:c>
      <x:c r="B2101" s="14" t="str">
        <x:v>B</x:v>
      </x:c>
      <x:c r="C2101" s="14" t="str">
        <x:v>display_explanation</x:v>
      </x:c>
      <x:c r="D2101" s="14" t="n">
        <x:v>-4</x:v>
      </x:c>
      <x:c r="E2101" s="14" t="n">
        <x:v>-3.96</x:v>
      </x:c>
      <x:c r="F2101" s="14" t="n">
        <x:v>0.04</x:v>
      </x:c>
      <x:c r="G2101" s="17" t="n">
        <x:v>1</x:v>
      </x:c>
      <x:c r="H2101" s="14" t="str">
        <x:v>S06-07:B:source_explanation</x:v>
      </x:c>
    </x:row>
    <x:row r="2102" ht="72" customHeight="1">
      <x:c r="A2102" s="14" t="str">
        <x:v>S06-07:B:explanation_first</x:v>
      </x:c>
      <x:c r="B2102" s="14" t="str">
        <x:v>B</x:v>
      </x:c>
      <x:c r="C2102" s="14" t="str">
        <x:v>explanation_first</x:v>
      </x:c>
      <x:c r="D2102" s="14" t="n">
        <x:v>-4</x:v>
      </x:c>
      <x:c r="E2102" s="14" t="n">
        <x:v>-3.594333333</x:v>
      </x:c>
      <x:c r="F2102" s="14" t="n">
        <x:v>0.405666667</x:v>
      </x:c>
      <x:c r="G2102" s="17" t="n">
        <x:v>1</x:v>
      </x:c>
      <x:c r="H2102" s="14" t="str">
        <x:v>S06-07:B:source_explanation</x:v>
      </x:c>
    </x:row>
    <x:row r="2103" ht="72" customHeight="1">
      <x:c r="A2103" s="14" t="str">
        <x:v>S06-07:B:explanation_tail</x:v>
      </x:c>
      <x:c r="B2103" s="14" t="str">
        <x:v>B</x:v>
      </x:c>
      <x:c r="C2103" s="14" t="str">
        <x:v>explanation_tail</x:v>
      </x:c>
      <x:c r="D2103" s="14" t="n">
        <x:v>-3.594333333</x:v>
      </x:c>
      <x:c r="E2103" s="14" t="n">
        <x:v>-1.639833333</x:v>
      </x:c>
      <x:c r="F2103" s="14" t="n">
        <x:v>1.9545</x:v>
      </x:c>
      <x:c r="G2103" s="17" t="n">
        <x:v>1</x:v>
      </x:c>
      <x:c r="H2103" s="14" t="str">
        <x:v>S06-07:B:explanation_first</x:v>
      </x:c>
    </x:row>
    <x:row r="2104" ht="72" customHeight="1">
      <x:c r="A2104" s="14" t="str">
        <x:v>S06-07:B:continue_device</x:v>
      </x:c>
      <x:c r="B2104" s="14" t="str">
        <x:v>B</x:v>
      </x:c>
      <x:c r="C2104" s="14" t="str">
        <x:v>continue_device</x:v>
      </x:c>
      <x:c r="D2104" s="14" t="n">
        <x:v>0.888333333</x:v>
      </x:c>
      <x:c r="E2104" s="14" t="n">
        <x:v>0.928333333</x:v>
      </x:c>
      <x:c r="F2104" s="14" t="n">
        <x:v>0.04</x:v>
      </x:c>
      <x:c r="G2104" s="17" t="n">
        <x:v>1</x:v>
      </x:c>
      <x:c r="H2104" s="14" t="str">
        <x:v>S06-07:B:apply_relation
S06-07:B:explanation_first</x:v>
      </x:c>
    </x:row>
    <x:row r="2105" ht="72" customHeight="1">
      <x:c r="A2105" s="14" t="str">
        <x:v>S06-07:B:continue_part1</x:v>
      </x:c>
      <x:c r="B2105" s="14" t="str">
        <x:v>B</x:v>
      </x:c>
      <x:c r="C2105" s="14" t="str">
        <x:v>continue_part1</x:v>
      </x:c>
      <x:c r="D2105" s="14" t="n">
        <x:v>0.928333333</x:v>
      </x:c>
      <x:c r="E2105" s="14" t="n">
        <x:v>1.528333333</x:v>
      </x:c>
      <x:c r="F2105" s="14" t="n">
        <x:v>0.6</x:v>
      </x:c>
      <x:c r="G2105" s="17" t="n">
        <x:v>0</x:v>
      </x:c>
      <x:c r="H2105" s="14" t="str">
        <x:v>S06-07:B:continue_device</x:v>
      </x:c>
    </x:row>
    <x:row r="2106" ht="72" customHeight="1">
      <x:c r="A2106" s="14" t="str">
        <x:v>S06-07:B:continue_false_trigger_hold</x:v>
      </x:c>
      <x:c r="B2106" s="14" t="str">
        <x:v>B</x:v>
      </x:c>
      <x:c r="C2106" s="14" t="str">
        <x:v>continue_false_trigger_hold</x:v>
      </x:c>
      <x:c r="D2106" s="14" t="n">
        <x:v>1.528333333</x:v>
      </x:c>
      <x:c r="E2106" s="14" t="n">
        <x:v>1.828333333</x:v>
      </x:c>
      <x:c r="F2106" s="14" t="n">
        <x:v>0.3</x:v>
      </x:c>
      <x:c r="G2106" s="17" t="n">
        <x:v>0</x:v>
      </x:c>
      <x:c r="H2106" s="14" t="str">
        <x:v>S06-07:B:continue_part1</x:v>
      </x:c>
    </x:row>
    <x:row r="2107" ht="72" customHeight="1">
      <x:c r="A2107" s="14" t="str">
        <x:v>S06-07:B:continue_part2</x:v>
      </x:c>
      <x:c r="B2107" s="14" t="str">
        <x:v>B</x:v>
      </x:c>
      <x:c r="C2107" s="14" t="str">
        <x:v>continue_part2</x:v>
      </x:c>
      <x:c r="D2107" s="14" t="n">
        <x:v>1.828333333</x:v>
      </x:c>
      <x:c r="E2107" s="14" t="n">
        <x:v>8.246333332</x:v>
      </x:c>
      <x:c r="F2107" s="14" t="n">
        <x:v>6.417999999</x:v>
      </x:c>
      <x:c r="G2107" s="17" t="n">
        <x:v>0</x:v>
      </x:c>
      <x:c r="H2107" s="14" t="str">
        <x:v>S06-07:B:continue_false_trigger_hold</x:v>
      </x:c>
    </x:row>
    <x:row r="2108" ht="72" customHeight="1">
      <x:c r="A2108" s="14" t="str">
        <x:v>S06-08:A:origin</x:v>
      </x:c>
      <x:c r="B2108" s="14" t="str">
        <x:v>A</x:v>
      </x:c>
      <x:c r="C2108" s="14" t="str">
        <x:v>origin</x:v>
      </x:c>
      <x:c r="D2108" s="14" t="n">
        <x:v>-6</x:v>
      </x:c>
      <x:c r="E2108" s="14" t="n">
        <x:v>-6</x:v>
      </x:c>
      <x:c r="F2108" s="14" t="n">
        <x:v>0</x:v>
      </x:c>
      <x:c r="G2108" s="17" t="n">
        <x:v>0</x:v>
      </x:c>
      <x:c r="H2108" s="14" t="str"/>
    </x:row>
    <x:row r="2109" ht="72" customHeight="1">
      <x:c r="A2109" s="14" t="str">
        <x:v>S06-08:A:origin_interpretation</x:v>
      </x:c>
      <x:c r="B2109" s="14" t="str">
        <x:v>A</x:v>
      </x:c>
      <x:c r="C2109" s="14" t="str">
        <x:v>origin_interpretation</x:v>
      </x:c>
      <x:c r="D2109" s="14" t="n">
        <x:v>-6</x:v>
      </x:c>
      <x:c r="E2109" s="14" t="n">
        <x:v>-5.16</x:v>
      </x:c>
      <x:c r="F2109" s="14" t="n">
        <x:v>0.84</x:v>
      </x:c>
      <x:c r="G2109" s="17" t="n">
        <x:v>1</x:v>
      </x:c>
      <x:c r="H2109" s="14" t="str">
        <x:v>S06-08:A:origin</x:v>
      </x:c>
    </x:row>
    <x:row r="2110" ht="72" customHeight="1">
      <x:c r="A2110" s="14" t="str">
        <x:v>S06-08:A:original_handoff</x:v>
      </x:c>
      <x:c r="B2110" s="14" t="str">
        <x:v>A</x:v>
      </x:c>
      <x:c r="C2110" s="14" t="str">
        <x:v>original_handoff</x:v>
      </x:c>
      <x:c r="D2110" s="14" t="n">
        <x:v>-5.16</x:v>
      </x:c>
      <x:c r="E2110" s="14" t="n">
        <x:v>-5.04</x:v>
      </x:c>
      <x:c r="F2110" s="14" t="n">
        <x:v>0.12</x:v>
      </x:c>
      <x:c r="G2110" s="17" t="n">
        <x:v>1</x:v>
      </x:c>
      <x:c r="H2110" s="14" t="str">
        <x:v>S06-08:A:origin_interpretation</x:v>
      </x:c>
    </x:row>
    <x:row r="2111" ht="72" customHeight="1">
      <x:c r="A2111" s="14" t="str">
        <x:v>S06-08:A:evaluation_utterance_end</x:v>
      </x:c>
      <x:c r="B2111" s="14" t="str">
        <x:v>A</x:v>
      </x:c>
      <x:c r="C2111" s="14" t="str">
        <x:v>evaluation_utterance_end</x:v>
      </x:c>
      <x:c r="D2111" s="14" t="n">
        <x:v>-6</x:v>
      </x:c>
      <x:c r="E2111" s="14" t="n">
        <x:v>0</x:v>
      </x:c>
      <x:c r="F2111" s="14" t="n">
        <x:v>6</x:v>
      </x:c>
      <x:c r="G2111" s="17" t="n">
        <x:v>0</x:v>
      </x:c>
      <x:c r="H2111" s="14" t="str">
        <x:v>S06-08:A:origin</x:v>
      </x:c>
    </x:row>
    <x:row r="2112" ht="72" customHeight="1">
      <x:c r="A2112" s="14" t="str">
        <x:v>S06-08:A:final_transcript</x:v>
      </x:c>
      <x:c r="B2112" s="14" t="str">
        <x:v>A</x:v>
      </x:c>
      <x:c r="C2112" s="14" t="str">
        <x:v>final_transcript</x:v>
      </x:c>
      <x:c r="D2112" s="14" t="n">
        <x:v>0</x:v>
      </x:c>
      <x:c r="E2112" s="14" t="n">
        <x:v>0.3</x:v>
      </x:c>
      <x:c r="F2112" s="14" t="n">
        <x:v>0.3</x:v>
      </x:c>
      <x:c r="G2112" s="17" t="n">
        <x:v>1</x:v>
      </x:c>
      <x:c r="H2112" s="14" t="str">
        <x:v>S06-08:A:evaluation_utterance_end</x:v>
      </x:c>
    </x:row>
    <x:row r="2113" ht="72" customHeight="1">
      <x:c r="A2113" s="14" t="str">
        <x:v>S06-08:A:meaning_adoption</x:v>
      </x:c>
      <x:c r="B2113" s="14" t="str">
        <x:v>A</x:v>
      </x:c>
      <x:c r="C2113" s="14" t="str">
        <x:v>meaning_adoption</x:v>
      </x:c>
      <x:c r="D2113" s="14" t="n">
        <x:v>0.3</x:v>
      </x:c>
      <x:c r="E2113" s="14" t="n">
        <x:v>0.876666667</x:v>
      </x:c>
      <x:c r="F2113" s="14" t="n">
        <x:v>0.576666667</x:v>
      </x:c>
      <x:c r="G2113" s="17" t="n">
        <x:v>1</x:v>
      </x:c>
      <x:c r="H2113" s="14" t="str">
        <x:v>S06-08:A:final_transcript
S06-08:A:origin_interpretation</x:v>
      </x:c>
    </x:row>
    <x:row r="2114" ht="72" customHeight="1">
      <x:c r="A2114" s="14" t="str">
        <x:v>S06-08:A:apply_relation</x:v>
      </x:c>
      <x:c r="B2114" s="14" t="str">
        <x:v>A</x:v>
      </x:c>
      <x:c r="C2114" s="14" t="str">
        <x:v>apply_relation</x:v>
      </x:c>
      <x:c r="D2114" s="14" t="n">
        <x:v>0.876666667</x:v>
      </x:c>
      <x:c r="E2114" s="14" t="n">
        <x:v>0.916666667</x:v>
      </x:c>
      <x:c r="F2114" s="14" t="n">
        <x:v>0.04</x:v>
      </x:c>
      <x:c r="G2114" s="17" t="n">
        <x:v>1</x:v>
      </x:c>
      <x:c r="H2114" s="14" t="str">
        <x:v>S06-08:A:meaning_adoption</x:v>
      </x:c>
    </x:row>
    <x:row r="2115" ht="72" customHeight="1">
      <x:c r="A2115" s="14" t="str">
        <x:v>S06-08:A:evaluation_first_display</x:v>
      </x:c>
      <x:c r="B2115" s="14" t="str">
        <x:v>A</x:v>
      </x:c>
      <x:c r="C2115" s="14" t="str">
        <x:v>evaluation_first_display</x:v>
      </x:c>
      <x:c r="D2115" s="14" t="n">
        <x:v>0.916666667</x:v>
      </x:c>
      <x:c r="E2115" s="14" t="n">
        <x:v>0.956666667</x:v>
      </x:c>
      <x:c r="F2115" s="14" t="n">
        <x:v>0.04</x:v>
      </x:c>
      <x:c r="G2115" s="17" t="n">
        <x:v>1</x:v>
      </x:c>
      <x:c r="H2115" s="14" t="str">
        <x:v>S06-08:A:apply_relation</x:v>
      </x:c>
    </x:row>
    <x:row r="2116" ht="72" customHeight="1">
      <x:c r="A2116" s="14" t="str">
        <x:v>S06-08:A:source_explanation</x:v>
      </x:c>
      <x:c r="B2116" s="14" t="str">
        <x:v>A</x:v>
      </x:c>
      <x:c r="C2116" s="14" t="str">
        <x:v>source_explanation</x:v>
      </x:c>
      <x:c r="D2116" s="14" t="n">
        <x:v>-5.04</x:v>
      </x:c>
      <x:c r="E2116" s="14" t="n">
        <x:v>-4</x:v>
      </x:c>
      <x:c r="F2116" s="14" t="n">
        <x:v>1.04</x:v>
      </x:c>
      <x:c r="G2116" s="17" t="n">
        <x:v>0</x:v>
      </x:c>
      <x:c r="H2116" s="14" t="str">
        <x:v>S06-08:A:original_handoff</x:v>
      </x:c>
    </x:row>
    <x:row r="2117" ht="72" customHeight="1">
      <x:c r="A2117" s="14" t="str">
        <x:v>S06-08:A:display_explanation</x:v>
      </x:c>
      <x:c r="B2117" s="14" t="str">
        <x:v>A</x:v>
      </x:c>
      <x:c r="C2117" s="14" t="str">
        <x:v>display_explanation</x:v>
      </x:c>
      <x:c r="D2117" s="14" t="n">
        <x:v>-4</x:v>
      </x:c>
      <x:c r="E2117" s="14" t="n">
        <x:v>-3.96</x:v>
      </x:c>
      <x:c r="F2117" s="14" t="n">
        <x:v>0.04</x:v>
      </x:c>
      <x:c r="G2117" s="17" t="n">
        <x:v>1</x:v>
      </x:c>
      <x:c r="H2117" s="14" t="str">
        <x:v>S06-08:A:source_explanation</x:v>
      </x:c>
    </x:row>
    <x:row r="2118" ht="72" customHeight="1">
      <x:c r="A2118" s="14" t="str">
        <x:v>S06-08:A:explanation_first</x:v>
      </x:c>
      <x:c r="B2118" s="14" t="str">
        <x:v>A</x:v>
      </x:c>
      <x:c r="C2118" s="14" t="str">
        <x:v>explanation_first</x:v>
      </x:c>
      <x:c r="D2118" s="14" t="n">
        <x:v>-4</x:v>
      </x:c>
      <x:c r="E2118" s="14" t="n">
        <x:v>-3.594333333</x:v>
      </x:c>
      <x:c r="F2118" s="14" t="n">
        <x:v>0.405666667</x:v>
      </x:c>
      <x:c r="G2118" s="17" t="n">
        <x:v>1</x:v>
      </x:c>
      <x:c r="H2118" s="14" t="str">
        <x:v>S06-08:A:source_explanation</x:v>
      </x:c>
    </x:row>
    <x:row r="2119" ht="72" customHeight="1">
      <x:c r="A2119" s="14" t="str">
        <x:v>S06-08:A:explanation_tail</x:v>
      </x:c>
      <x:c r="B2119" s="14" t="str">
        <x:v>A</x:v>
      </x:c>
      <x:c r="C2119" s="14" t="str">
        <x:v>explanation_tail</x:v>
      </x:c>
      <x:c r="D2119" s="14" t="n">
        <x:v>-3.594333333</x:v>
      </x:c>
      <x:c r="E2119" s="14" t="n">
        <x:v>-1.636833333</x:v>
      </x:c>
      <x:c r="F2119" s="14" t="n">
        <x:v>1.9575</x:v>
      </x:c>
      <x:c r="G2119" s="17" t="n">
        <x:v>1</x:v>
      </x:c>
      <x:c r="H2119" s="14" t="str">
        <x:v>S06-08:A:explanation_first</x:v>
      </x:c>
    </x:row>
    <x:row r="2120" ht="72" customHeight="1">
      <x:c r="A2120" s="14" t="str">
        <x:v>S06-08:A:continue_device</x:v>
      </x:c>
      <x:c r="B2120" s="14" t="str">
        <x:v>A</x:v>
      </x:c>
      <x:c r="C2120" s="14" t="str">
        <x:v>continue_device</x:v>
      </x:c>
      <x:c r="D2120" s="14" t="n">
        <x:v>0.916666667</x:v>
      </x:c>
      <x:c r="E2120" s="14" t="n">
        <x:v>0.956666667</x:v>
      </x:c>
      <x:c r="F2120" s="14" t="n">
        <x:v>0.04</x:v>
      </x:c>
      <x:c r="G2120" s="17" t="n">
        <x:v>1</x:v>
      </x:c>
      <x:c r="H2120" s="14" t="str">
        <x:v>S06-08:A:apply_relation
S06-08:A:explanation_first</x:v>
      </x:c>
    </x:row>
    <x:row r="2121" ht="72" customHeight="1">
      <x:c r="A2121" s="14" t="str">
        <x:v>S06-08:A:continue_part1</x:v>
      </x:c>
      <x:c r="B2121" s="14" t="str">
        <x:v>A</x:v>
      </x:c>
      <x:c r="C2121" s="14" t="str">
        <x:v>continue_part1</x:v>
      </x:c>
      <x:c r="D2121" s="14" t="n">
        <x:v>0.956666667</x:v>
      </x:c>
      <x:c r="E2121" s="14" t="n">
        <x:v>1.556666667</x:v>
      </x:c>
      <x:c r="F2121" s="14" t="n">
        <x:v>0.6</x:v>
      </x:c>
      <x:c r="G2121" s="17" t="n">
        <x:v>0</x:v>
      </x:c>
      <x:c r="H2121" s="14" t="str">
        <x:v>S06-08:A:continue_device</x:v>
      </x:c>
    </x:row>
    <x:row r="2122" ht="72" customHeight="1">
      <x:c r="A2122" s="14" t="str">
        <x:v>S06-08:A:continue_false_trigger_hold</x:v>
      </x:c>
      <x:c r="B2122" s="14" t="str">
        <x:v>A</x:v>
      </x:c>
      <x:c r="C2122" s="14" t="str">
        <x:v>continue_false_trigger_hold</x:v>
      </x:c>
      <x:c r="D2122" s="14" t="n">
        <x:v>1.556666667</x:v>
      </x:c>
      <x:c r="E2122" s="14" t="n">
        <x:v>1.856666667</x:v>
      </x:c>
      <x:c r="F2122" s="14" t="n">
        <x:v>0.3</x:v>
      </x:c>
      <x:c r="G2122" s="17" t="n">
        <x:v>0</x:v>
      </x:c>
      <x:c r="H2122" s="14" t="str">
        <x:v>S06-08:A:continue_part1</x:v>
      </x:c>
    </x:row>
    <x:row r="2123" ht="72" customHeight="1">
      <x:c r="A2123" s="14" t="str">
        <x:v>S06-08:A:continue_part2</x:v>
      </x:c>
      <x:c r="B2123" s="14" t="str">
        <x:v>A</x:v>
      </x:c>
      <x:c r="C2123" s="14" t="str">
        <x:v>continue_part2</x:v>
      </x:c>
      <x:c r="D2123" s="14" t="n">
        <x:v>1.856666667</x:v>
      </x:c>
      <x:c r="E2123" s="14" t="n">
        <x:v>8.286666666</x:v>
      </x:c>
      <x:c r="F2123" s="14" t="n">
        <x:v>6.429999999</x:v>
      </x:c>
      <x:c r="G2123" s="17" t="n">
        <x:v>0</x:v>
      </x:c>
      <x:c r="H2123" s="14" t="str">
        <x:v>S06-08:A:continue_false_trigger_hold</x:v>
      </x:c>
    </x:row>
    <x:row r="2124" ht="72" customHeight="1">
      <x:c r="A2124" s="14" t="str">
        <x:v>S06-08:B:origin</x:v>
      </x:c>
      <x:c r="B2124" s="14" t="str">
        <x:v>B</x:v>
      </x:c>
      <x:c r="C2124" s="14" t="str">
        <x:v>origin</x:v>
      </x:c>
      <x:c r="D2124" s="14" t="n">
        <x:v>-6</x:v>
      </x:c>
      <x:c r="E2124" s="14" t="n">
        <x:v>-6</x:v>
      </x:c>
      <x:c r="F2124" s="14" t="n">
        <x:v>0</x:v>
      </x:c>
      <x:c r="G2124" s="17" t="n">
        <x:v>0</x:v>
      </x:c>
      <x:c r="H2124" s="14" t="str"/>
    </x:row>
    <x:row r="2125" ht="72" customHeight="1">
      <x:c r="A2125" s="14" t="str">
        <x:v>S06-08:B:origin_interpretation</x:v>
      </x:c>
      <x:c r="B2125" s="14" t="str">
        <x:v>B</x:v>
      </x:c>
      <x:c r="C2125" s="14" t="str">
        <x:v>origin_interpretation</x:v>
      </x:c>
      <x:c r="D2125" s="14" t="n">
        <x:v>-6</x:v>
      </x:c>
      <x:c r="E2125" s="14" t="n">
        <x:v>-5.16</x:v>
      </x:c>
      <x:c r="F2125" s="14" t="n">
        <x:v>0.84</x:v>
      </x:c>
      <x:c r="G2125" s="17" t="n">
        <x:v>1</x:v>
      </x:c>
      <x:c r="H2125" s="14" t="str">
        <x:v>S06-08:B:origin</x:v>
      </x:c>
    </x:row>
    <x:row r="2126" ht="72" customHeight="1">
      <x:c r="A2126" s="14" t="str">
        <x:v>S06-08:B:original_handoff</x:v>
      </x:c>
      <x:c r="B2126" s="14" t="str">
        <x:v>B</x:v>
      </x:c>
      <x:c r="C2126" s="14" t="str">
        <x:v>original_handoff</x:v>
      </x:c>
      <x:c r="D2126" s="14" t="n">
        <x:v>-5.16</x:v>
      </x:c>
      <x:c r="E2126" s="14" t="n">
        <x:v>-5.04</x:v>
      </x:c>
      <x:c r="F2126" s="14" t="n">
        <x:v>0.12</x:v>
      </x:c>
      <x:c r="G2126" s="17" t="n">
        <x:v>1</x:v>
      </x:c>
      <x:c r="H2126" s="14" t="str">
        <x:v>S06-08:B:origin_interpretation</x:v>
      </x:c>
    </x:row>
    <x:row r="2127" ht="72" customHeight="1">
      <x:c r="A2127" s="14" t="str">
        <x:v>S06-08:B:evaluation_utterance_end</x:v>
      </x:c>
      <x:c r="B2127" s="14" t="str">
        <x:v>B</x:v>
      </x:c>
      <x:c r="C2127" s="14" t="str">
        <x:v>evaluation_utterance_end</x:v>
      </x:c>
      <x:c r="D2127" s="14" t="n">
        <x:v>-6</x:v>
      </x:c>
      <x:c r="E2127" s="14" t="n">
        <x:v>0</x:v>
      </x:c>
      <x:c r="F2127" s="14" t="n">
        <x:v>6</x:v>
      </x:c>
      <x:c r="G2127" s="17" t="n">
        <x:v>0</x:v>
      </x:c>
      <x:c r="H2127" s="14" t="str">
        <x:v>S06-08:B:origin</x:v>
      </x:c>
    </x:row>
    <x:row r="2128" ht="72" customHeight="1">
      <x:c r="A2128" s="14" t="str">
        <x:v>S06-08:B:final_transcript</x:v>
      </x:c>
      <x:c r="B2128" s="14" t="str">
        <x:v>B</x:v>
      </x:c>
      <x:c r="C2128" s="14" t="str">
        <x:v>final_transcript</x:v>
      </x:c>
      <x:c r="D2128" s="14" t="n">
        <x:v>0</x:v>
      </x:c>
      <x:c r="E2128" s="14" t="n">
        <x:v>0.3</x:v>
      </x:c>
      <x:c r="F2128" s="14" t="n">
        <x:v>0.3</x:v>
      </x:c>
      <x:c r="G2128" s="17" t="n">
        <x:v>1</x:v>
      </x:c>
      <x:c r="H2128" s="14" t="str">
        <x:v>S06-08:B:evaluation_utterance_end</x:v>
      </x:c>
    </x:row>
    <x:row r="2129" ht="72" customHeight="1">
      <x:c r="A2129" s="14" t="str">
        <x:v>S06-08:B:meaning_adoption</x:v>
      </x:c>
      <x:c r="B2129" s="14" t="str">
        <x:v>B</x:v>
      </x:c>
      <x:c r="C2129" s="14" t="str">
        <x:v>meaning_adoption</x:v>
      </x:c>
      <x:c r="D2129" s="14" t="n">
        <x:v>0.3</x:v>
      </x:c>
      <x:c r="E2129" s="14" t="n">
        <x:v>0.876666667</x:v>
      </x:c>
      <x:c r="F2129" s="14" t="n">
        <x:v>0.576666667</x:v>
      </x:c>
      <x:c r="G2129" s="17" t="n">
        <x:v>1</x:v>
      </x:c>
      <x:c r="H2129" s="14" t="str">
        <x:v>S06-08:B:final_transcript
S06-08:B:origin_interpretation</x:v>
      </x:c>
    </x:row>
    <x:row r="2130" ht="72" customHeight="1">
      <x:c r="A2130" s="14" t="str">
        <x:v>S06-08:B:apply_relation</x:v>
      </x:c>
      <x:c r="B2130" s="14" t="str">
        <x:v>B</x:v>
      </x:c>
      <x:c r="C2130" s="14" t="str">
        <x:v>apply_relation</x:v>
      </x:c>
      <x:c r="D2130" s="14" t="n">
        <x:v>0.876666667</x:v>
      </x:c>
      <x:c r="E2130" s="14" t="n">
        <x:v>0.916666667</x:v>
      </x:c>
      <x:c r="F2130" s="14" t="n">
        <x:v>0.04</x:v>
      </x:c>
      <x:c r="G2130" s="17" t="n">
        <x:v>1</x:v>
      </x:c>
      <x:c r="H2130" s="14" t="str">
        <x:v>S06-08:B:meaning_adoption</x:v>
      </x:c>
    </x:row>
    <x:row r="2131" ht="72" customHeight="1">
      <x:c r="A2131" s="14" t="str">
        <x:v>S06-08:B:evaluation_first_display</x:v>
      </x:c>
      <x:c r="B2131" s="14" t="str">
        <x:v>B</x:v>
      </x:c>
      <x:c r="C2131" s="14" t="str">
        <x:v>evaluation_first_display</x:v>
      </x:c>
      <x:c r="D2131" s="14" t="n">
        <x:v>0.916666667</x:v>
      </x:c>
      <x:c r="E2131" s="14" t="n">
        <x:v>0.956666667</x:v>
      </x:c>
      <x:c r="F2131" s="14" t="n">
        <x:v>0.04</x:v>
      </x:c>
      <x:c r="G2131" s="17" t="n">
        <x:v>1</x:v>
      </x:c>
      <x:c r="H2131" s="14" t="str">
        <x:v>S06-08:B:apply_relation</x:v>
      </x:c>
    </x:row>
    <x:row r="2132" ht="72" customHeight="1">
      <x:c r="A2132" s="14" t="str">
        <x:v>S06-08:B:source_explanation</x:v>
      </x:c>
      <x:c r="B2132" s="14" t="str">
        <x:v>B</x:v>
      </x:c>
      <x:c r="C2132" s="14" t="str">
        <x:v>source_explanation</x:v>
      </x:c>
      <x:c r="D2132" s="14" t="n">
        <x:v>-5.04</x:v>
      </x:c>
      <x:c r="E2132" s="14" t="n">
        <x:v>-4</x:v>
      </x:c>
      <x:c r="F2132" s="14" t="n">
        <x:v>1.04</x:v>
      </x:c>
      <x:c r="G2132" s="17" t="n">
        <x:v>0</x:v>
      </x:c>
      <x:c r="H2132" s="14" t="str">
        <x:v>S06-08:B:original_handoff</x:v>
      </x:c>
    </x:row>
    <x:row r="2133" ht="72" customHeight="1">
      <x:c r="A2133" s="14" t="str">
        <x:v>S06-08:B:display_explanation</x:v>
      </x:c>
      <x:c r="B2133" s="14" t="str">
        <x:v>B</x:v>
      </x:c>
      <x:c r="C2133" s="14" t="str">
        <x:v>display_explanation</x:v>
      </x:c>
      <x:c r="D2133" s="14" t="n">
        <x:v>-4</x:v>
      </x:c>
      <x:c r="E2133" s="14" t="n">
        <x:v>-3.96</x:v>
      </x:c>
      <x:c r="F2133" s="14" t="n">
        <x:v>0.04</x:v>
      </x:c>
      <x:c r="G2133" s="17" t="n">
        <x:v>1</x:v>
      </x:c>
      <x:c r="H2133" s="14" t="str">
        <x:v>S06-08:B:source_explanation</x:v>
      </x:c>
    </x:row>
    <x:row r="2134" ht="72" customHeight="1">
      <x:c r="A2134" s="14" t="str">
        <x:v>S06-08:B:explanation_first</x:v>
      </x:c>
      <x:c r="B2134" s="14" t="str">
        <x:v>B</x:v>
      </x:c>
      <x:c r="C2134" s="14" t="str">
        <x:v>explanation_first</x:v>
      </x:c>
      <x:c r="D2134" s="14" t="n">
        <x:v>-4</x:v>
      </x:c>
      <x:c r="E2134" s="14" t="n">
        <x:v>-3.594333333</x:v>
      </x:c>
      <x:c r="F2134" s="14" t="n">
        <x:v>0.405666667</x:v>
      </x:c>
      <x:c r="G2134" s="17" t="n">
        <x:v>1</x:v>
      </x:c>
      <x:c r="H2134" s="14" t="str">
        <x:v>S06-08:B:source_explanation</x:v>
      </x:c>
    </x:row>
    <x:row r="2135" ht="72" customHeight="1">
      <x:c r="A2135" s="14" t="str">
        <x:v>S06-08:B:explanation_tail</x:v>
      </x:c>
      <x:c r="B2135" s="14" t="str">
        <x:v>B</x:v>
      </x:c>
      <x:c r="C2135" s="14" t="str">
        <x:v>explanation_tail</x:v>
      </x:c>
      <x:c r="D2135" s="14" t="n">
        <x:v>-3.594333333</x:v>
      </x:c>
      <x:c r="E2135" s="14" t="n">
        <x:v>-1.636833333</x:v>
      </x:c>
      <x:c r="F2135" s="14" t="n">
        <x:v>1.9575</x:v>
      </x:c>
      <x:c r="G2135" s="17" t="n">
        <x:v>1</x:v>
      </x:c>
      <x:c r="H2135" s="14" t="str">
        <x:v>S06-08:B:explanation_first</x:v>
      </x:c>
    </x:row>
    <x:row r="2136" ht="72" customHeight="1">
      <x:c r="A2136" s="14" t="str">
        <x:v>S06-08:B:continue_device</x:v>
      </x:c>
      <x:c r="B2136" s="14" t="str">
        <x:v>B</x:v>
      </x:c>
      <x:c r="C2136" s="14" t="str">
        <x:v>continue_device</x:v>
      </x:c>
      <x:c r="D2136" s="14" t="n">
        <x:v>0.916666667</x:v>
      </x:c>
      <x:c r="E2136" s="14" t="n">
        <x:v>0.956666667</x:v>
      </x:c>
      <x:c r="F2136" s="14" t="n">
        <x:v>0.04</x:v>
      </x:c>
      <x:c r="G2136" s="17" t="n">
        <x:v>1</x:v>
      </x:c>
      <x:c r="H2136" s="14" t="str">
        <x:v>S06-08:B:apply_relation
S06-08:B:explanation_first</x:v>
      </x:c>
    </x:row>
    <x:row r="2137" ht="72" customHeight="1">
      <x:c r="A2137" s="14" t="str">
        <x:v>S06-08:B:continue_part1</x:v>
      </x:c>
      <x:c r="B2137" s="14" t="str">
        <x:v>B</x:v>
      </x:c>
      <x:c r="C2137" s="14" t="str">
        <x:v>continue_part1</x:v>
      </x:c>
      <x:c r="D2137" s="14" t="n">
        <x:v>0.956666667</x:v>
      </x:c>
      <x:c r="E2137" s="14" t="n">
        <x:v>1.556666667</x:v>
      </x:c>
      <x:c r="F2137" s="14" t="n">
        <x:v>0.6</x:v>
      </x:c>
      <x:c r="G2137" s="17" t="n">
        <x:v>0</x:v>
      </x:c>
      <x:c r="H2137" s="14" t="str">
        <x:v>S06-08:B:continue_device</x:v>
      </x:c>
    </x:row>
    <x:row r="2138" ht="72" customHeight="1">
      <x:c r="A2138" s="14" t="str">
        <x:v>S06-08:B:continue_false_trigger_hold</x:v>
      </x:c>
      <x:c r="B2138" s="14" t="str">
        <x:v>B</x:v>
      </x:c>
      <x:c r="C2138" s="14" t="str">
        <x:v>continue_false_trigger_hold</x:v>
      </x:c>
      <x:c r="D2138" s="14" t="n">
        <x:v>1.556666667</x:v>
      </x:c>
      <x:c r="E2138" s="14" t="n">
        <x:v>1.856666667</x:v>
      </x:c>
      <x:c r="F2138" s="14" t="n">
        <x:v>0.3</x:v>
      </x:c>
      <x:c r="G2138" s="17" t="n">
        <x:v>0</x:v>
      </x:c>
      <x:c r="H2138" s="14" t="str">
        <x:v>S06-08:B:continue_part1</x:v>
      </x:c>
    </x:row>
    <x:row r="2139" ht="72" customHeight="1">
      <x:c r="A2139" s="14" t="str">
        <x:v>S06-08:B:continue_part2</x:v>
      </x:c>
      <x:c r="B2139" s="14" t="str">
        <x:v>B</x:v>
      </x:c>
      <x:c r="C2139" s="14" t="str">
        <x:v>continue_part2</x:v>
      </x:c>
      <x:c r="D2139" s="14" t="n">
        <x:v>1.856666667</x:v>
      </x:c>
      <x:c r="E2139" s="14" t="n">
        <x:v>8.286666666</x:v>
      </x:c>
      <x:c r="F2139" s="14" t="n">
        <x:v>6.429999999</x:v>
      </x:c>
      <x:c r="G2139" s="17" t="n">
        <x:v>0</x:v>
      </x:c>
      <x:c r="H2139" s="14" t="str">
        <x:v>S06-08:B:continue_false_trigger_hold</x:v>
      </x:c>
    </x:row>
    <x:row r="2140" ht="72" customHeight="1">
      <x:c r="A2140" s="14" t="str">
        <x:v>S06-09:A:origin</x:v>
      </x:c>
      <x:c r="B2140" s="14" t="str">
        <x:v>A</x:v>
      </x:c>
      <x:c r="C2140" s="14" t="str">
        <x:v>origin</x:v>
      </x:c>
      <x:c r="D2140" s="14" t="n">
        <x:v>-6</x:v>
      </x:c>
      <x:c r="E2140" s="14" t="n">
        <x:v>-6</x:v>
      </x:c>
      <x:c r="F2140" s="14" t="n">
        <x:v>0</x:v>
      </x:c>
      <x:c r="G2140" s="17" t="n">
        <x:v>0</x:v>
      </x:c>
      <x:c r="H2140" s="14" t="str"/>
    </x:row>
    <x:row r="2141" ht="72" customHeight="1">
      <x:c r="A2141" s="14" t="str">
        <x:v>S06-09:A:origin_interpretation</x:v>
      </x:c>
      <x:c r="B2141" s="14" t="str">
        <x:v>A</x:v>
      </x:c>
      <x:c r="C2141" s="14" t="str">
        <x:v>origin_interpretation</x:v>
      </x:c>
      <x:c r="D2141" s="14" t="n">
        <x:v>-6</x:v>
      </x:c>
      <x:c r="E2141" s="14" t="n">
        <x:v>-5.16</x:v>
      </x:c>
      <x:c r="F2141" s="14" t="n">
        <x:v>0.84</x:v>
      </x:c>
      <x:c r="G2141" s="17" t="n">
        <x:v>1</x:v>
      </x:c>
      <x:c r="H2141" s="14" t="str">
        <x:v>S06-09:A:origin</x:v>
      </x:c>
    </x:row>
    <x:row r="2142" ht="72" customHeight="1">
      <x:c r="A2142" s="14" t="str">
        <x:v>S06-09:A:original_handoff</x:v>
      </x:c>
      <x:c r="B2142" s="14" t="str">
        <x:v>A</x:v>
      </x:c>
      <x:c r="C2142" s="14" t="str">
        <x:v>original_handoff</x:v>
      </x:c>
      <x:c r="D2142" s="14" t="n">
        <x:v>-5.16</x:v>
      </x:c>
      <x:c r="E2142" s="14" t="n">
        <x:v>-5.04</x:v>
      </x:c>
      <x:c r="F2142" s="14" t="n">
        <x:v>0.12</x:v>
      </x:c>
      <x:c r="G2142" s="17" t="n">
        <x:v>1</x:v>
      </x:c>
      <x:c r="H2142" s="14" t="str">
        <x:v>S06-09:A:origin_interpretation</x:v>
      </x:c>
    </x:row>
    <x:row r="2143" ht="72" customHeight="1">
      <x:c r="A2143" s="14" t="str">
        <x:v>S06-09:A:evaluation_utterance_end</x:v>
      </x:c>
      <x:c r="B2143" s="14" t="str">
        <x:v>A</x:v>
      </x:c>
      <x:c r="C2143" s="14" t="str">
        <x:v>evaluation_utterance_end</x:v>
      </x:c>
      <x:c r="D2143" s="14" t="n">
        <x:v>-6</x:v>
      </x:c>
      <x:c r="E2143" s="14" t="n">
        <x:v>0</x:v>
      </x:c>
      <x:c r="F2143" s="14" t="n">
        <x:v>6</x:v>
      </x:c>
      <x:c r="G2143" s="17" t="n">
        <x:v>0</x:v>
      </x:c>
      <x:c r="H2143" s="14" t="str">
        <x:v>S06-09:A:origin</x:v>
      </x:c>
    </x:row>
    <x:row r="2144" ht="72" customHeight="1">
      <x:c r="A2144" s="14" t="str">
        <x:v>S06-09:A:final_transcript</x:v>
      </x:c>
      <x:c r="B2144" s="14" t="str">
        <x:v>A</x:v>
      </x:c>
      <x:c r="C2144" s="14" t="str">
        <x:v>final_transcript</x:v>
      </x:c>
      <x:c r="D2144" s="14" t="n">
        <x:v>0</x:v>
      </x:c>
      <x:c r="E2144" s="14" t="n">
        <x:v>0.3</x:v>
      </x:c>
      <x:c r="F2144" s="14" t="n">
        <x:v>0.3</x:v>
      </x:c>
      <x:c r="G2144" s="17" t="n">
        <x:v>1</x:v>
      </x:c>
      <x:c r="H2144" s="14" t="str">
        <x:v>S06-09:A:evaluation_utterance_end</x:v>
      </x:c>
    </x:row>
    <x:row r="2145" ht="72" customHeight="1">
      <x:c r="A2145" s="14" t="str">
        <x:v>S06-09:A:meaning_adoption</x:v>
      </x:c>
      <x:c r="B2145" s="14" t="str">
        <x:v>A</x:v>
      </x:c>
      <x:c r="C2145" s="14" t="str">
        <x:v>meaning_adoption</x:v>
      </x:c>
      <x:c r="D2145" s="14" t="n">
        <x:v>0.3</x:v>
      </x:c>
      <x:c r="E2145" s="14" t="n">
        <x:v>0.83</x:v>
      </x:c>
      <x:c r="F2145" s="14" t="n">
        <x:v>0.53</x:v>
      </x:c>
      <x:c r="G2145" s="17" t="n">
        <x:v>1</x:v>
      </x:c>
      <x:c r="H2145" s="14" t="str">
        <x:v>S06-09:A:final_transcript
S06-09:A:origin_interpretation</x:v>
      </x:c>
    </x:row>
    <x:row r="2146" ht="72" customHeight="1">
      <x:c r="A2146" s="14" t="str">
        <x:v>S06-09:A:apply_relation</x:v>
      </x:c>
      <x:c r="B2146" s="14" t="str">
        <x:v>A</x:v>
      </x:c>
      <x:c r="C2146" s="14" t="str">
        <x:v>apply_relation</x:v>
      </x:c>
      <x:c r="D2146" s="14" t="n">
        <x:v>0.83</x:v>
      </x:c>
      <x:c r="E2146" s="14" t="n">
        <x:v>0.87</x:v>
      </x:c>
      <x:c r="F2146" s="14" t="n">
        <x:v>0.04</x:v>
      </x:c>
      <x:c r="G2146" s="17" t="n">
        <x:v>1</x:v>
      </x:c>
      <x:c r="H2146" s="14" t="str">
        <x:v>S06-09:A:meaning_adoption</x:v>
      </x:c>
    </x:row>
    <x:row r="2147" ht="72" customHeight="1">
      <x:c r="A2147" s="14" t="str">
        <x:v>S06-09:A:evaluation_first_display</x:v>
      </x:c>
      <x:c r="B2147" s="14" t="str">
        <x:v>A</x:v>
      </x:c>
      <x:c r="C2147" s="14" t="str">
        <x:v>evaluation_first_display</x:v>
      </x:c>
      <x:c r="D2147" s="14" t="n">
        <x:v>0.87</x:v>
      </x:c>
      <x:c r="E2147" s="14" t="n">
        <x:v>0.91</x:v>
      </x:c>
      <x:c r="F2147" s="14" t="n">
        <x:v>0.04</x:v>
      </x:c>
      <x:c r="G2147" s="17" t="n">
        <x:v>1</x:v>
      </x:c>
      <x:c r="H2147" s="14" t="str">
        <x:v>S06-09:A:apply_relation</x:v>
      </x:c>
    </x:row>
    <x:row r="2148" ht="72" customHeight="1">
      <x:c r="A2148" s="14" t="str">
        <x:v>S06-09:A:source_explanation</x:v>
      </x:c>
      <x:c r="B2148" s="14" t="str">
        <x:v>A</x:v>
      </x:c>
      <x:c r="C2148" s="14" t="str">
        <x:v>source_explanation</x:v>
      </x:c>
      <x:c r="D2148" s="14" t="n">
        <x:v>-5.04</x:v>
      </x:c>
      <x:c r="E2148" s="14" t="n">
        <x:v>-4</x:v>
      </x:c>
      <x:c r="F2148" s="14" t="n">
        <x:v>1.04</x:v>
      </x:c>
      <x:c r="G2148" s="17" t="n">
        <x:v>0</x:v>
      </x:c>
      <x:c r="H2148" s="14" t="str">
        <x:v>S06-09:A:original_handoff</x:v>
      </x:c>
    </x:row>
    <x:row r="2149" ht="72" customHeight="1">
      <x:c r="A2149" s="14" t="str">
        <x:v>S06-09:A:display_explanation</x:v>
      </x:c>
      <x:c r="B2149" s="14" t="str">
        <x:v>A</x:v>
      </x:c>
      <x:c r="C2149" s="14" t="str">
        <x:v>display_explanation</x:v>
      </x:c>
      <x:c r="D2149" s="14" t="n">
        <x:v>-4</x:v>
      </x:c>
      <x:c r="E2149" s="14" t="n">
        <x:v>-3.96</x:v>
      </x:c>
      <x:c r="F2149" s="14" t="n">
        <x:v>0.04</x:v>
      </x:c>
      <x:c r="G2149" s="17" t="n">
        <x:v>1</x:v>
      </x:c>
      <x:c r="H2149" s="14" t="str">
        <x:v>S06-09:A:source_explanation</x:v>
      </x:c>
    </x:row>
    <x:row r="2150" ht="72" customHeight="1">
      <x:c r="A2150" s="14" t="str">
        <x:v>S06-09:A:explanation_first</x:v>
      </x:c>
      <x:c r="B2150" s="14" t="str">
        <x:v>A</x:v>
      </x:c>
      <x:c r="C2150" s="14" t="str">
        <x:v>explanation_first</x:v>
      </x:c>
      <x:c r="D2150" s="14" t="n">
        <x:v>-4</x:v>
      </x:c>
      <x:c r="E2150" s="14" t="n">
        <x:v>-3.594333333</x:v>
      </x:c>
      <x:c r="F2150" s="14" t="n">
        <x:v>0.405666667</x:v>
      </x:c>
      <x:c r="G2150" s="17" t="n">
        <x:v>1</x:v>
      </x:c>
      <x:c r="H2150" s="14" t="str">
        <x:v>S06-09:A:source_explanation</x:v>
      </x:c>
    </x:row>
    <x:row r="2151" ht="72" customHeight="1">
      <x:c r="A2151" s="14" t="str">
        <x:v>S06-09:A:explanation_tail</x:v>
      </x:c>
      <x:c r="B2151" s="14" t="str">
        <x:v>A</x:v>
      </x:c>
      <x:c r="C2151" s="14" t="str">
        <x:v>explanation_tail</x:v>
      </x:c>
      <x:c r="D2151" s="14" t="n">
        <x:v>-3.594333333</x:v>
      </x:c>
      <x:c r="E2151" s="14" t="n">
        <x:v>-1.633833333</x:v>
      </x:c>
      <x:c r="F2151" s="14" t="n">
        <x:v>1.9605</x:v>
      </x:c>
      <x:c r="G2151" s="17" t="n">
        <x:v>1</x:v>
      </x:c>
      <x:c r="H2151" s="14" t="str">
        <x:v>S06-09:A:explanation_first</x:v>
      </x:c>
    </x:row>
    <x:row r="2152" ht="72" customHeight="1">
      <x:c r="A2152" s="14" t="str">
        <x:v>S06-09:A:continue_device</x:v>
      </x:c>
      <x:c r="B2152" s="14" t="str">
        <x:v>A</x:v>
      </x:c>
      <x:c r="C2152" s="14" t="str">
        <x:v>continue_device</x:v>
      </x:c>
      <x:c r="D2152" s="14" t="n">
        <x:v>0.87</x:v>
      </x:c>
      <x:c r="E2152" s="14" t="n">
        <x:v>0.91</x:v>
      </x:c>
      <x:c r="F2152" s="14" t="n">
        <x:v>0.04</x:v>
      </x:c>
      <x:c r="G2152" s="17" t="n">
        <x:v>1</x:v>
      </x:c>
      <x:c r="H2152" s="14" t="str">
        <x:v>S06-09:A:apply_relation
S06-09:A:explanation_first</x:v>
      </x:c>
    </x:row>
    <x:row r="2153" ht="72" customHeight="1">
      <x:c r="A2153" s="14" t="str">
        <x:v>S06-09:A:continue_part1</x:v>
      </x:c>
      <x:c r="B2153" s="14" t="str">
        <x:v>A</x:v>
      </x:c>
      <x:c r="C2153" s="14" t="str">
        <x:v>continue_part1</x:v>
      </x:c>
      <x:c r="D2153" s="14" t="n">
        <x:v>0.91</x:v>
      </x:c>
      <x:c r="E2153" s="14" t="n">
        <x:v>1.51</x:v>
      </x:c>
      <x:c r="F2153" s="14" t="n">
        <x:v>0.6</x:v>
      </x:c>
      <x:c r="G2153" s="17" t="n">
        <x:v>0</x:v>
      </x:c>
      <x:c r="H2153" s="14" t="str">
        <x:v>S06-09:A:continue_device</x:v>
      </x:c>
    </x:row>
    <x:row r="2154" ht="72" customHeight="1">
      <x:c r="A2154" s="14" t="str">
        <x:v>S06-09:A:continue_false_trigger_hold</x:v>
      </x:c>
      <x:c r="B2154" s="14" t="str">
        <x:v>A</x:v>
      </x:c>
      <x:c r="C2154" s="14" t="str">
        <x:v>continue_false_trigger_hold</x:v>
      </x:c>
      <x:c r="D2154" s="14" t="n">
        <x:v>1.51</x:v>
      </x:c>
      <x:c r="E2154" s="14" t="n">
        <x:v>1.81</x:v>
      </x:c>
      <x:c r="F2154" s="14" t="n">
        <x:v>0.3</x:v>
      </x:c>
      <x:c r="G2154" s="17" t="n">
        <x:v>0</x:v>
      </x:c>
      <x:c r="H2154" s="14" t="str">
        <x:v>S06-09:A:continue_part1</x:v>
      </x:c>
    </x:row>
    <x:row r="2155" ht="72" customHeight="1">
      <x:c r="A2155" s="14" t="str">
        <x:v>S06-09:A:continue_part2</x:v>
      </x:c>
      <x:c r="B2155" s="14" t="str">
        <x:v>A</x:v>
      </x:c>
      <x:c r="C2155" s="14" t="str">
        <x:v>continue_part2</x:v>
      </x:c>
      <x:c r="D2155" s="14" t="n">
        <x:v>1.81</x:v>
      </x:c>
      <x:c r="E2155" s="14" t="n">
        <x:v>8.251999999</x:v>
      </x:c>
      <x:c r="F2155" s="14" t="n">
        <x:v>6.441999999</x:v>
      </x:c>
      <x:c r="G2155" s="17" t="n">
        <x:v>0</x:v>
      </x:c>
      <x:c r="H2155" s="14" t="str">
        <x:v>S06-09:A:continue_false_trigger_hold</x:v>
      </x:c>
    </x:row>
    <x:row r="2156" ht="72" customHeight="1">
      <x:c r="A2156" s="14" t="str">
        <x:v>S06-09:B:origin</x:v>
      </x:c>
      <x:c r="B2156" s="14" t="str">
        <x:v>B</x:v>
      </x:c>
      <x:c r="C2156" s="14" t="str">
        <x:v>origin</x:v>
      </x:c>
      <x:c r="D2156" s="14" t="n">
        <x:v>-6</x:v>
      </x:c>
      <x:c r="E2156" s="14" t="n">
        <x:v>-6</x:v>
      </x:c>
      <x:c r="F2156" s="14" t="n">
        <x:v>0</x:v>
      </x:c>
      <x:c r="G2156" s="17" t="n">
        <x:v>0</x:v>
      </x:c>
      <x:c r="H2156" s="14" t="str"/>
    </x:row>
    <x:row r="2157" ht="72" customHeight="1">
      <x:c r="A2157" s="14" t="str">
        <x:v>S06-09:B:origin_interpretation</x:v>
      </x:c>
      <x:c r="B2157" s="14" t="str">
        <x:v>B</x:v>
      </x:c>
      <x:c r="C2157" s="14" t="str">
        <x:v>origin_interpretation</x:v>
      </x:c>
      <x:c r="D2157" s="14" t="n">
        <x:v>-6</x:v>
      </x:c>
      <x:c r="E2157" s="14" t="n">
        <x:v>-5.16</x:v>
      </x:c>
      <x:c r="F2157" s="14" t="n">
        <x:v>0.84</x:v>
      </x:c>
      <x:c r="G2157" s="17" t="n">
        <x:v>1</x:v>
      </x:c>
      <x:c r="H2157" s="14" t="str">
        <x:v>S06-09:B:origin</x:v>
      </x:c>
    </x:row>
    <x:row r="2158" ht="72" customHeight="1">
      <x:c r="A2158" s="14" t="str">
        <x:v>S06-09:B:original_handoff</x:v>
      </x:c>
      <x:c r="B2158" s="14" t="str">
        <x:v>B</x:v>
      </x:c>
      <x:c r="C2158" s="14" t="str">
        <x:v>original_handoff</x:v>
      </x:c>
      <x:c r="D2158" s="14" t="n">
        <x:v>-5.16</x:v>
      </x:c>
      <x:c r="E2158" s="14" t="n">
        <x:v>-5.04</x:v>
      </x:c>
      <x:c r="F2158" s="14" t="n">
        <x:v>0.12</x:v>
      </x:c>
      <x:c r="G2158" s="17" t="n">
        <x:v>1</x:v>
      </x:c>
      <x:c r="H2158" s="14" t="str">
        <x:v>S06-09:B:origin_interpretation</x:v>
      </x:c>
    </x:row>
    <x:row r="2159" ht="72" customHeight="1">
      <x:c r="A2159" s="14" t="str">
        <x:v>S06-09:B:evaluation_utterance_end</x:v>
      </x:c>
      <x:c r="B2159" s="14" t="str">
        <x:v>B</x:v>
      </x:c>
      <x:c r="C2159" s="14" t="str">
        <x:v>evaluation_utterance_end</x:v>
      </x:c>
      <x:c r="D2159" s="14" t="n">
        <x:v>-6</x:v>
      </x:c>
      <x:c r="E2159" s="14" t="n">
        <x:v>0</x:v>
      </x:c>
      <x:c r="F2159" s="14" t="n">
        <x:v>6</x:v>
      </x:c>
      <x:c r="G2159" s="17" t="n">
        <x:v>0</x:v>
      </x:c>
      <x:c r="H2159" s="14" t="str">
        <x:v>S06-09:B:origin</x:v>
      </x:c>
    </x:row>
    <x:row r="2160" ht="72" customHeight="1">
      <x:c r="A2160" s="14" t="str">
        <x:v>S06-09:B:final_transcript</x:v>
      </x:c>
      <x:c r="B2160" s="14" t="str">
        <x:v>B</x:v>
      </x:c>
      <x:c r="C2160" s="14" t="str">
        <x:v>final_transcript</x:v>
      </x:c>
      <x:c r="D2160" s="14" t="n">
        <x:v>0</x:v>
      </x:c>
      <x:c r="E2160" s="14" t="n">
        <x:v>0.3</x:v>
      </x:c>
      <x:c r="F2160" s="14" t="n">
        <x:v>0.3</x:v>
      </x:c>
      <x:c r="G2160" s="17" t="n">
        <x:v>1</x:v>
      </x:c>
      <x:c r="H2160" s="14" t="str">
        <x:v>S06-09:B:evaluation_utterance_end</x:v>
      </x:c>
    </x:row>
    <x:row r="2161" ht="72" customHeight="1">
      <x:c r="A2161" s="14" t="str">
        <x:v>S06-09:B:meaning_adoption</x:v>
      </x:c>
      <x:c r="B2161" s="14" t="str">
        <x:v>B</x:v>
      </x:c>
      <x:c r="C2161" s="14" t="str">
        <x:v>meaning_adoption</x:v>
      </x:c>
      <x:c r="D2161" s="14" t="n">
        <x:v>0.3</x:v>
      </x:c>
      <x:c r="E2161" s="14" t="n">
        <x:v>0.83</x:v>
      </x:c>
      <x:c r="F2161" s="14" t="n">
        <x:v>0.53</x:v>
      </x:c>
      <x:c r="G2161" s="17" t="n">
        <x:v>1</x:v>
      </x:c>
      <x:c r="H2161" s="14" t="str">
        <x:v>S06-09:B:final_transcript
S06-09:B:origin_interpretation</x:v>
      </x:c>
    </x:row>
    <x:row r="2162" ht="72" customHeight="1">
      <x:c r="A2162" s="14" t="str">
        <x:v>S06-09:B:apply_relation</x:v>
      </x:c>
      <x:c r="B2162" s="14" t="str">
        <x:v>B</x:v>
      </x:c>
      <x:c r="C2162" s="14" t="str">
        <x:v>apply_relation</x:v>
      </x:c>
      <x:c r="D2162" s="14" t="n">
        <x:v>0.83</x:v>
      </x:c>
      <x:c r="E2162" s="14" t="n">
        <x:v>0.87</x:v>
      </x:c>
      <x:c r="F2162" s="14" t="n">
        <x:v>0.04</x:v>
      </x:c>
      <x:c r="G2162" s="17" t="n">
        <x:v>1</x:v>
      </x:c>
      <x:c r="H2162" s="14" t="str">
        <x:v>S06-09:B:meaning_adoption</x:v>
      </x:c>
    </x:row>
    <x:row r="2163" ht="72" customHeight="1">
      <x:c r="A2163" s="14" t="str">
        <x:v>S06-09:B:evaluation_first_display</x:v>
      </x:c>
      <x:c r="B2163" s="14" t="str">
        <x:v>B</x:v>
      </x:c>
      <x:c r="C2163" s="14" t="str">
        <x:v>evaluation_first_display</x:v>
      </x:c>
      <x:c r="D2163" s="14" t="n">
        <x:v>0.87</x:v>
      </x:c>
      <x:c r="E2163" s="14" t="n">
        <x:v>0.91</x:v>
      </x:c>
      <x:c r="F2163" s="14" t="n">
        <x:v>0.04</x:v>
      </x:c>
      <x:c r="G2163" s="17" t="n">
        <x:v>1</x:v>
      </x:c>
      <x:c r="H2163" s="14" t="str">
        <x:v>S06-09:B:apply_relation</x:v>
      </x:c>
    </x:row>
    <x:row r="2164" ht="72" customHeight="1">
      <x:c r="A2164" s="14" t="str">
        <x:v>S06-09:B:source_explanation</x:v>
      </x:c>
      <x:c r="B2164" s="14" t="str">
        <x:v>B</x:v>
      </x:c>
      <x:c r="C2164" s="14" t="str">
        <x:v>source_explanation</x:v>
      </x:c>
      <x:c r="D2164" s="14" t="n">
        <x:v>-5.04</x:v>
      </x:c>
      <x:c r="E2164" s="14" t="n">
        <x:v>-4</x:v>
      </x:c>
      <x:c r="F2164" s="14" t="n">
        <x:v>1.04</x:v>
      </x:c>
      <x:c r="G2164" s="17" t="n">
        <x:v>0</x:v>
      </x:c>
      <x:c r="H2164" s="14" t="str">
        <x:v>S06-09:B:original_handoff</x:v>
      </x:c>
    </x:row>
    <x:row r="2165" ht="72" customHeight="1">
      <x:c r="A2165" s="14" t="str">
        <x:v>S06-09:B:display_explanation</x:v>
      </x:c>
      <x:c r="B2165" s="14" t="str">
        <x:v>B</x:v>
      </x:c>
      <x:c r="C2165" s="14" t="str">
        <x:v>display_explanation</x:v>
      </x:c>
      <x:c r="D2165" s="14" t="n">
        <x:v>-4</x:v>
      </x:c>
      <x:c r="E2165" s="14" t="n">
        <x:v>-3.96</x:v>
      </x:c>
      <x:c r="F2165" s="14" t="n">
        <x:v>0.04</x:v>
      </x:c>
      <x:c r="G2165" s="17" t="n">
        <x:v>1</x:v>
      </x:c>
      <x:c r="H2165" s="14" t="str">
        <x:v>S06-09:B:source_explanation</x:v>
      </x:c>
    </x:row>
    <x:row r="2166" ht="72" customHeight="1">
      <x:c r="A2166" s="14" t="str">
        <x:v>S06-09:B:explanation_first</x:v>
      </x:c>
      <x:c r="B2166" s="14" t="str">
        <x:v>B</x:v>
      </x:c>
      <x:c r="C2166" s="14" t="str">
        <x:v>explanation_first</x:v>
      </x:c>
      <x:c r="D2166" s="14" t="n">
        <x:v>-4</x:v>
      </x:c>
      <x:c r="E2166" s="14" t="n">
        <x:v>-3.594333333</x:v>
      </x:c>
      <x:c r="F2166" s="14" t="n">
        <x:v>0.405666667</x:v>
      </x:c>
      <x:c r="G2166" s="17" t="n">
        <x:v>1</x:v>
      </x:c>
      <x:c r="H2166" s="14" t="str">
        <x:v>S06-09:B:source_explanation</x:v>
      </x:c>
    </x:row>
    <x:row r="2167" ht="72" customHeight="1">
      <x:c r="A2167" s="14" t="str">
        <x:v>S06-09:B:explanation_tail</x:v>
      </x:c>
      <x:c r="B2167" s="14" t="str">
        <x:v>B</x:v>
      </x:c>
      <x:c r="C2167" s="14" t="str">
        <x:v>explanation_tail</x:v>
      </x:c>
      <x:c r="D2167" s="14" t="n">
        <x:v>-3.594333333</x:v>
      </x:c>
      <x:c r="E2167" s="14" t="n">
        <x:v>-1.633833333</x:v>
      </x:c>
      <x:c r="F2167" s="14" t="n">
        <x:v>1.9605</x:v>
      </x:c>
      <x:c r="G2167" s="17" t="n">
        <x:v>1</x:v>
      </x:c>
      <x:c r="H2167" s="14" t="str">
        <x:v>S06-09:B:explanation_first</x:v>
      </x:c>
    </x:row>
    <x:row r="2168" ht="72" customHeight="1">
      <x:c r="A2168" s="14" t="str">
        <x:v>S06-09:B:continue_device</x:v>
      </x:c>
      <x:c r="B2168" s="14" t="str">
        <x:v>B</x:v>
      </x:c>
      <x:c r="C2168" s="14" t="str">
        <x:v>continue_device</x:v>
      </x:c>
      <x:c r="D2168" s="14" t="n">
        <x:v>0.87</x:v>
      </x:c>
      <x:c r="E2168" s="14" t="n">
        <x:v>0.91</x:v>
      </x:c>
      <x:c r="F2168" s="14" t="n">
        <x:v>0.04</x:v>
      </x:c>
      <x:c r="G2168" s="17" t="n">
        <x:v>1</x:v>
      </x:c>
      <x:c r="H2168" s="14" t="str">
        <x:v>S06-09:B:apply_relation
S06-09:B:explanation_first</x:v>
      </x:c>
    </x:row>
    <x:row r="2169" ht="72" customHeight="1">
      <x:c r="A2169" s="14" t="str">
        <x:v>S06-09:B:continue_part1</x:v>
      </x:c>
      <x:c r="B2169" s="14" t="str">
        <x:v>B</x:v>
      </x:c>
      <x:c r="C2169" s="14" t="str">
        <x:v>continue_part1</x:v>
      </x:c>
      <x:c r="D2169" s="14" t="n">
        <x:v>0.91</x:v>
      </x:c>
      <x:c r="E2169" s="14" t="n">
        <x:v>1.51</x:v>
      </x:c>
      <x:c r="F2169" s="14" t="n">
        <x:v>0.6</x:v>
      </x:c>
      <x:c r="G2169" s="17" t="n">
        <x:v>0</x:v>
      </x:c>
      <x:c r="H2169" s="14" t="str">
        <x:v>S06-09:B:continue_device</x:v>
      </x:c>
    </x:row>
    <x:row r="2170" ht="72" customHeight="1">
      <x:c r="A2170" s="14" t="str">
        <x:v>S06-09:B:continue_false_trigger_hold</x:v>
      </x:c>
      <x:c r="B2170" s="14" t="str">
        <x:v>B</x:v>
      </x:c>
      <x:c r="C2170" s="14" t="str">
        <x:v>continue_false_trigger_hold</x:v>
      </x:c>
      <x:c r="D2170" s="14" t="n">
        <x:v>1.51</x:v>
      </x:c>
      <x:c r="E2170" s="14" t="n">
        <x:v>1.81</x:v>
      </x:c>
      <x:c r="F2170" s="14" t="n">
        <x:v>0.3</x:v>
      </x:c>
      <x:c r="G2170" s="17" t="n">
        <x:v>0</x:v>
      </x:c>
      <x:c r="H2170" s="14" t="str">
        <x:v>S06-09:B:continue_part1</x:v>
      </x:c>
    </x:row>
    <x:row r="2171" ht="72" customHeight="1">
      <x:c r="A2171" s="14" t="str">
        <x:v>S06-09:B:continue_part2</x:v>
      </x:c>
      <x:c r="B2171" s="14" t="str">
        <x:v>B</x:v>
      </x:c>
      <x:c r="C2171" s="14" t="str">
        <x:v>continue_part2</x:v>
      </x:c>
      <x:c r="D2171" s="14" t="n">
        <x:v>1.81</x:v>
      </x:c>
      <x:c r="E2171" s="14" t="n">
        <x:v>8.251999999</x:v>
      </x:c>
      <x:c r="F2171" s="14" t="n">
        <x:v>6.441999999</x:v>
      </x:c>
      <x:c r="G2171" s="17" t="n">
        <x:v>0</x:v>
      </x:c>
      <x:c r="H2171" s="14" t="str">
        <x:v>S06-09:B:continue_false_trigger_hold</x:v>
      </x:c>
    </x:row>
    <x:row r="2172" ht="72" customHeight="1">
      <x:c r="A2172" s="14" t="str">
        <x:v>S06-10:A:origin</x:v>
      </x:c>
      <x:c r="B2172" s="14" t="str">
        <x:v>A</x:v>
      </x:c>
      <x:c r="C2172" s="14" t="str">
        <x:v>origin</x:v>
      </x:c>
      <x:c r="D2172" s="14" t="n">
        <x:v>-6</x:v>
      </x:c>
      <x:c r="E2172" s="14" t="n">
        <x:v>-6</x:v>
      </x:c>
      <x:c r="F2172" s="14" t="n">
        <x:v>0</x:v>
      </x:c>
      <x:c r="G2172" s="17" t="n">
        <x:v>0</x:v>
      </x:c>
      <x:c r="H2172" s="14" t="str"/>
    </x:row>
    <x:row r="2173" ht="72" customHeight="1">
      <x:c r="A2173" s="14" t="str">
        <x:v>S06-10:A:origin_interpretation</x:v>
      </x:c>
      <x:c r="B2173" s="14" t="str">
        <x:v>A</x:v>
      </x:c>
      <x:c r="C2173" s="14" t="str">
        <x:v>origin_interpretation</x:v>
      </x:c>
      <x:c r="D2173" s="14" t="n">
        <x:v>-6</x:v>
      </x:c>
      <x:c r="E2173" s="14" t="n">
        <x:v>-5.16</x:v>
      </x:c>
      <x:c r="F2173" s="14" t="n">
        <x:v>0.84</x:v>
      </x:c>
      <x:c r="G2173" s="17" t="n">
        <x:v>1</x:v>
      </x:c>
      <x:c r="H2173" s="14" t="str">
        <x:v>S06-10:A:origin</x:v>
      </x:c>
    </x:row>
    <x:row r="2174" ht="72" customHeight="1">
      <x:c r="A2174" s="14" t="str">
        <x:v>S06-10:A:original_handoff</x:v>
      </x:c>
      <x:c r="B2174" s="14" t="str">
        <x:v>A</x:v>
      </x:c>
      <x:c r="C2174" s="14" t="str">
        <x:v>original_handoff</x:v>
      </x:c>
      <x:c r="D2174" s="14" t="n">
        <x:v>-5.16</x:v>
      </x:c>
      <x:c r="E2174" s="14" t="n">
        <x:v>-5.04</x:v>
      </x:c>
      <x:c r="F2174" s="14" t="n">
        <x:v>0.12</x:v>
      </x:c>
      <x:c r="G2174" s="17" t="n">
        <x:v>1</x:v>
      </x:c>
      <x:c r="H2174" s="14" t="str">
        <x:v>S06-10:A:origin_interpretation</x:v>
      </x:c>
    </x:row>
    <x:row r="2175" ht="72" customHeight="1">
      <x:c r="A2175" s="14" t="str">
        <x:v>S06-10:A:evaluation_utterance_end</x:v>
      </x:c>
      <x:c r="B2175" s="14" t="str">
        <x:v>A</x:v>
      </x:c>
      <x:c r="C2175" s="14" t="str">
        <x:v>evaluation_utterance_end</x:v>
      </x:c>
      <x:c r="D2175" s="14" t="n">
        <x:v>-6</x:v>
      </x:c>
      <x:c r="E2175" s="14" t="n">
        <x:v>0</x:v>
      </x:c>
      <x:c r="F2175" s="14" t="n">
        <x:v>6</x:v>
      </x:c>
      <x:c r="G2175" s="17" t="n">
        <x:v>0</x:v>
      </x:c>
      <x:c r="H2175" s="14" t="str">
        <x:v>S06-10:A:origin</x:v>
      </x:c>
    </x:row>
    <x:row r="2176" ht="72" customHeight="1">
      <x:c r="A2176" s="14" t="str">
        <x:v>S06-10:A:final_transcript</x:v>
      </x:c>
      <x:c r="B2176" s="14" t="str">
        <x:v>A</x:v>
      </x:c>
      <x:c r="C2176" s="14" t="str">
        <x:v>final_transcript</x:v>
      </x:c>
      <x:c r="D2176" s="14" t="n">
        <x:v>0</x:v>
      </x:c>
      <x:c r="E2176" s="14" t="n">
        <x:v>0.3</x:v>
      </x:c>
      <x:c r="F2176" s="14" t="n">
        <x:v>0.3</x:v>
      </x:c>
      <x:c r="G2176" s="17" t="n">
        <x:v>1</x:v>
      </x:c>
      <x:c r="H2176" s="14" t="str">
        <x:v>S06-10:A:evaluation_utterance_end</x:v>
      </x:c>
    </x:row>
    <x:row r="2177" ht="72" customHeight="1">
      <x:c r="A2177" s="14" t="str">
        <x:v>S06-10:A:meaning_adoption</x:v>
      </x:c>
      <x:c r="B2177" s="14" t="str">
        <x:v>A</x:v>
      </x:c>
      <x:c r="C2177" s="14" t="str">
        <x:v>meaning_adoption</x:v>
      </x:c>
      <x:c r="D2177" s="14" t="n">
        <x:v>0.3</x:v>
      </x:c>
      <x:c r="E2177" s="14" t="n">
        <x:v>0.858333333</x:v>
      </x:c>
      <x:c r="F2177" s="14" t="n">
        <x:v>0.558333333</x:v>
      </x:c>
      <x:c r="G2177" s="17" t="n">
        <x:v>1</x:v>
      </x:c>
      <x:c r="H2177" s="14" t="str">
        <x:v>S06-10:A:final_transcript
S06-10:A:origin_interpretation</x:v>
      </x:c>
    </x:row>
    <x:row r="2178" ht="72" customHeight="1">
      <x:c r="A2178" s="14" t="str">
        <x:v>S06-10:A:apply_relation</x:v>
      </x:c>
      <x:c r="B2178" s="14" t="str">
        <x:v>A</x:v>
      </x:c>
      <x:c r="C2178" s="14" t="str">
        <x:v>apply_relation</x:v>
      </x:c>
      <x:c r="D2178" s="14" t="n">
        <x:v>0.858333333</x:v>
      </x:c>
      <x:c r="E2178" s="14" t="n">
        <x:v>0.898333333</x:v>
      </x:c>
      <x:c r="F2178" s="14" t="n">
        <x:v>0.04</x:v>
      </x:c>
      <x:c r="G2178" s="17" t="n">
        <x:v>1</x:v>
      </x:c>
      <x:c r="H2178" s="14" t="str">
        <x:v>S06-10:A:meaning_adoption</x:v>
      </x:c>
    </x:row>
    <x:row r="2179" ht="72" customHeight="1">
      <x:c r="A2179" s="14" t="str">
        <x:v>S06-10:A:evaluation_first_display</x:v>
      </x:c>
      <x:c r="B2179" s="14" t="str">
        <x:v>A</x:v>
      </x:c>
      <x:c r="C2179" s="14" t="str">
        <x:v>evaluation_first_display</x:v>
      </x:c>
      <x:c r="D2179" s="14" t="n">
        <x:v>0.898333333</x:v>
      </x:c>
      <x:c r="E2179" s="14" t="n">
        <x:v>0.938333333</x:v>
      </x:c>
      <x:c r="F2179" s="14" t="n">
        <x:v>0.04</x:v>
      </x:c>
      <x:c r="G2179" s="17" t="n">
        <x:v>1</x:v>
      </x:c>
      <x:c r="H2179" s="14" t="str">
        <x:v>S06-10:A:apply_relation</x:v>
      </x:c>
    </x:row>
    <x:row r="2180" ht="72" customHeight="1">
      <x:c r="A2180" s="14" t="str">
        <x:v>S06-10:A:source_explanation</x:v>
      </x:c>
      <x:c r="B2180" s="14" t="str">
        <x:v>A</x:v>
      </x:c>
      <x:c r="C2180" s="14" t="str">
        <x:v>source_explanation</x:v>
      </x:c>
      <x:c r="D2180" s="14" t="n">
        <x:v>-5.04</x:v>
      </x:c>
      <x:c r="E2180" s="14" t="n">
        <x:v>-4</x:v>
      </x:c>
      <x:c r="F2180" s="14" t="n">
        <x:v>1.04</x:v>
      </x:c>
      <x:c r="G2180" s="17" t="n">
        <x:v>0</x:v>
      </x:c>
      <x:c r="H2180" s="14" t="str">
        <x:v>S06-10:A:original_handoff</x:v>
      </x:c>
    </x:row>
    <x:row r="2181" ht="72" customHeight="1">
      <x:c r="A2181" s="14" t="str">
        <x:v>S06-10:A:display_explanation</x:v>
      </x:c>
      <x:c r="B2181" s="14" t="str">
        <x:v>A</x:v>
      </x:c>
      <x:c r="C2181" s="14" t="str">
        <x:v>display_explanation</x:v>
      </x:c>
      <x:c r="D2181" s="14" t="n">
        <x:v>-4</x:v>
      </x:c>
      <x:c r="E2181" s="14" t="n">
        <x:v>-3.96</x:v>
      </x:c>
      <x:c r="F2181" s="14" t="n">
        <x:v>0.04</x:v>
      </x:c>
      <x:c r="G2181" s="17" t="n">
        <x:v>1</x:v>
      </x:c>
      <x:c r="H2181" s="14" t="str">
        <x:v>S06-10:A:source_explanation</x:v>
      </x:c>
    </x:row>
    <x:row r="2182" ht="72" customHeight="1">
      <x:c r="A2182" s="14" t="str">
        <x:v>S06-10:A:explanation_first</x:v>
      </x:c>
      <x:c r="B2182" s="14" t="str">
        <x:v>A</x:v>
      </x:c>
      <x:c r="C2182" s="14" t="str">
        <x:v>explanation_first</x:v>
      </x:c>
      <x:c r="D2182" s="14" t="n">
        <x:v>-4</x:v>
      </x:c>
      <x:c r="E2182" s="14" t="n">
        <x:v>-3.594333333</x:v>
      </x:c>
      <x:c r="F2182" s="14" t="n">
        <x:v>0.405666667</x:v>
      </x:c>
      <x:c r="G2182" s="17" t="n">
        <x:v>1</x:v>
      </x:c>
      <x:c r="H2182" s="14" t="str">
        <x:v>S06-10:A:source_explanation</x:v>
      </x:c>
    </x:row>
    <x:row r="2183" ht="72" customHeight="1">
      <x:c r="A2183" s="14" t="str">
        <x:v>S06-10:A:explanation_tail</x:v>
      </x:c>
      <x:c r="B2183" s="14" t="str">
        <x:v>A</x:v>
      </x:c>
      <x:c r="C2183" s="14" t="str">
        <x:v>explanation_tail</x:v>
      </x:c>
      <x:c r="D2183" s="14" t="n">
        <x:v>-3.594333333</x:v>
      </x:c>
      <x:c r="E2183" s="14" t="n">
        <x:v>-1.630833333</x:v>
      </x:c>
      <x:c r="F2183" s="14" t="n">
        <x:v>1.9635</x:v>
      </x:c>
      <x:c r="G2183" s="17" t="n">
        <x:v>1</x:v>
      </x:c>
      <x:c r="H2183" s="14" t="str">
        <x:v>S06-10:A:explanation_first</x:v>
      </x:c>
    </x:row>
    <x:row r="2184" ht="72" customHeight="1">
      <x:c r="A2184" s="14" t="str">
        <x:v>S06-10:A:continue_device</x:v>
      </x:c>
      <x:c r="B2184" s="14" t="str">
        <x:v>A</x:v>
      </x:c>
      <x:c r="C2184" s="14" t="str">
        <x:v>continue_device</x:v>
      </x:c>
      <x:c r="D2184" s="14" t="n">
        <x:v>0.898333333</x:v>
      </x:c>
      <x:c r="E2184" s="14" t="n">
        <x:v>0.938333333</x:v>
      </x:c>
      <x:c r="F2184" s="14" t="n">
        <x:v>0.04</x:v>
      </x:c>
      <x:c r="G2184" s="17" t="n">
        <x:v>1</x:v>
      </x:c>
      <x:c r="H2184" s="14" t="str">
        <x:v>S06-10:A:apply_relation
S06-10:A:explanation_first</x:v>
      </x:c>
    </x:row>
    <x:row r="2185" ht="72" customHeight="1">
      <x:c r="A2185" s="14" t="str">
        <x:v>S06-10:A:continue_part1</x:v>
      </x:c>
      <x:c r="B2185" s="14" t="str">
        <x:v>A</x:v>
      </x:c>
      <x:c r="C2185" s="14" t="str">
        <x:v>continue_part1</x:v>
      </x:c>
      <x:c r="D2185" s="14" t="n">
        <x:v>0.938333333</x:v>
      </x:c>
      <x:c r="E2185" s="14" t="n">
        <x:v>1.538333333</x:v>
      </x:c>
      <x:c r="F2185" s="14" t="n">
        <x:v>0.6</x:v>
      </x:c>
      <x:c r="G2185" s="17" t="n">
        <x:v>0</x:v>
      </x:c>
      <x:c r="H2185" s="14" t="str">
        <x:v>S06-10:A:continue_device</x:v>
      </x:c>
    </x:row>
    <x:row r="2186" ht="72" customHeight="1">
      <x:c r="A2186" s="14" t="str">
        <x:v>S06-10:A:continue_false_trigger_hold</x:v>
      </x:c>
      <x:c r="B2186" s="14" t="str">
        <x:v>A</x:v>
      </x:c>
      <x:c r="C2186" s="14" t="str">
        <x:v>continue_false_trigger_hold</x:v>
      </x:c>
      <x:c r="D2186" s="14" t="n">
        <x:v>1.538333333</x:v>
      </x:c>
      <x:c r="E2186" s="14" t="n">
        <x:v>1.838333333</x:v>
      </x:c>
      <x:c r="F2186" s="14" t="n">
        <x:v>0.3</x:v>
      </x:c>
      <x:c r="G2186" s="17" t="n">
        <x:v>0</x:v>
      </x:c>
      <x:c r="H2186" s="14" t="str">
        <x:v>S06-10:A:continue_part1</x:v>
      </x:c>
    </x:row>
    <x:row r="2187" ht="72" customHeight="1">
      <x:c r="A2187" s="14" t="str">
        <x:v>S06-10:A:continue_part2</x:v>
      </x:c>
      <x:c r="B2187" s="14" t="str">
        <x:v>A</x:v>
      </x:c>
      <x:c r="C2187" s="14" t="str">
        <x:v>continue_part2</x:v>
      </x:c>
      <x:c r="D2187" s="14" t="n">
        <x:v>1.838333333</x:v>
      </x:c>
      <x:c r="E2187" s="14" t="n">
        <x:v>8.292333332</x:v>
      </x:c>
      <x:c r="F2187" s="14" t="n">
        <x:v>6.453999999</x:v>
      </x:c>
      <x:c r="G2187" s="17" t="n">
        <x:v>0</x:v>
      </x:c>
      <x:c r="H2187" s="14" t="str">
        <x:v>S06-10:A:continue_false_trigger_hold</x:v>
      </x:c>
    </x:row>
    <x:row r="2188" ht="72" customHeight="1">
      <x:c r="A2188" s="14" t="str">
        <x:v>S06-10:B:origin</x:v>
      </x:c>
      <x:c r="B2188" s="14" t="str">
        <x:v>B</x:v>
      </x:c>
      <x:c r="C2188" s="14" t="str">
        <x:v>origin</x:v>
      </x:c>
      <x:c r="D2188" s="14" t="n">
        <x:v>-6</x:v>
      </x:c>
      <x:c r="E2188" s="14" t="n">
        <x:v>-6</x:v>
      </x:c>
      <x:c r="F2188" s="14" t="n">
        <x:v>0</x:v>
      </x:c>
      <x:c r="G2188" s="17" t="n">
        <x:v>0</x:v>
      </x:c>
      <x:c r="H2188" s="14" t="str"/>
    </x:row>
    <x:row r="2189" ht="72" customHeight="1">
      <x:c r="A2189" s="14" t="str">
        <x:v>S06-10:B:origin_interpretation</x:v>
      </x:c>
      <x:c r="B2189" s="14" t="str">
        <x:v>B</x:v>
      </x:c>
      <x:c r="C2189" s="14" t="str">
        <x:v>origin_interpretation</x:v>
      </x:c>
      <x:c r="D2189" s="14" t="n">
        <x:v>-6</x:v>
      </x:c>
      <x:c r="E2189" s="14" t="n">
        <x:v>-5.16</x:v>
      </x:c>
      <x:c r="F2189" s="14" t="n">
        <x:v>0.84</x:v>
      </x:c>
      <x:c r="G2189" s="17" t="n">
        <x:v>1</x:v>
      </x:c>
      <x:c r="H2189" s="14" t="str">
        <x:v>S06-10:B:origin</x:v>
      </x:c>
    </x:row>
    <x:row r="2190" ht="72" customHeight="1">
      <x:c r="A2190" s="14" t="str">
        <x:v>S06-10:B:original_handoff</x:v>
      </x:c>
      <x:c r="B2190" s="14" t="str">
        <x:v>B</x:v>
      </x:c>
      <x:c r="C2190" s="14" t="str">
        <x:v>original_handoff</x:v>
      </x:c>
      <x:c r="D2190" s="14" t="n">
        <x:v>-5.16</x:v>
      </x:c>
      <x:c r="E2190" s="14" t="n">
        <x:v>-5.04</x:v>
      </x:c>
      <x:c r="F2190" s="14" t="n">
        <x:v>0.12</x:v>
      </x:c>
      <x:c r="G2190" s="17" t="n">
        <x:v>1</x:v>
      </x:c>
      <x:c r="H2190" s="14" t="str">
        <x:v>S06-10:B:origin_interpretation</x:v>
      </x:c>
    </x:row>
    <x:row r="2191" ht="72" customHeight="1">
      <x:c r="A2191" s="14" t="str">
        <x:v>S06-10:B:evaluation_utterance_end</x:v>
      </x:c>
      <x:c r="B2191" s="14" t="str">
        <x:v>B</x:v>
      </x:c>
      <x:c r="C2191" s="14" t="str">
        <x:v>evaluation_utterance_end</x:v>
      </x:c>
      <x:c r="D2191" s="14" t="n">
        <x:v>-6</x:v>
      </x:c>
      <x:c r="E2191" s="14" t="n">
        <x:v>0</x:v>
      </x:c>
      <x:c r="F2191" s="14" t="n">
        <x:v>6</x:v>
      </x:c>
      <x:c r="G2191" s="17" t="n">
        <x:v>0</x:v>
      </x:c>
      <x:c r="H2191" s="14" t="str">
        <x:v>S06-10:B:origin</x:v>
      </x:c>
    </x:row>
    <x:row r="2192" ht="72" customHeight="1">
      <x:c r="A2192" s="14" t="str">
        <x:v>S06-10:B:final_transcript</x:v>
      </x:c>
      <x:c r="B2192" s="14" t="str">
        <x:v>B</x:v>
      </x:c>
      <x:c r="C2192" s="14" t="str">
        <x:v>final_transcript</x:v>
      </x:c>
      <x:c r="D2192" s="14" t="n">
        <x:v>0</x:v>
      </x:c>
      <x:c r="E2192" s="14" t="n">
        <x:v>0.3</x:v>
      </x:c>
      <x:c r="F2192" s="14" t="n">
        <x:v>0.3</x:v>
      </x:c>
      <x:c r="G2192" s="17" t="n">
        <x:v>1</x:v>
      </x:c>
      <x:c r="H2192" s="14" t="str">
        <x:v>S06-10:B:evaluation_utterance_end</x:v>
      </x:c>
    </x:row>
    <x:row r="2193" ht="72" customHeight="1">
      <x:c r="A2193" s="14" t="str">
        <x:v>S06-10:B:meaning_adoption</x:v>
      </x:c>
      <x:c r="B2193" s="14" t="str">
        <x:v>B</x:v>
      </x:c>
      <x:c r="C2193" s="14" t="str">
        <x:v>meaning_adoption</x:v>
      </x:c>
      <x:c r="D2193" s="14" t="n">
        <x:v>0.3</x:v>
      </x:c>
      <x:c r="E2193" s="14" t="n">
        <x:v>0.858333333</x:v>
      </x:c>
      <x:c r="F2193" s="14" t="n">
        <x:v>0.558333333</x:v>
      </x:c>
      <x:c r="G2193" s="17" t="n">
        <x:v>1</x:v>
      </x:c>
      <x:c r="H2193" s="14" t="str">
        <x:v>S06-10:B:final_transcript
S06-10:B:origin_interpretation</x:v>
      </x:c>
    </x:row>
    <x:row r="2194" ht="72" customHeight="1">
      <x:c r="A2194" s="14" t="str">
        <x:v>S06-10:B:apply_relation</x:v>
      </x:c>
      <x:c r="B2194" s="14" t="str">
        <x:v>B</x:v>
      </x:c>
      <x:c r="C2194" s="14" t="str">
        <x:v>apply_relation</x:v>
      </x:c>
      <x:c r="D2194" s="14" t="n">
        <x:v>0.858333333</x:v>
      </x:c>
      <x:c r="E2194" s="14" t="n">
        <x:v>0.898333333</x:v>
      </x:c>
      <x:c r="F2194" s="14" t="n">
        <x:v>0.04</x:v>
      </x:c>
      <x:c r="G2194" s="17" t="n">
        <x:v>1</x:v>
      </x:c>
      <x:c r="H2194" s="14" t="str">
        <x:v>S06-10:B:meaning_adoption</x:v>
      </x:c>
    </x:row>
    <x:row r="2195" ht="72" customHeight="1">
      <x:c r="A2195" s="14" t="str">
        <x:v>S06-10:B:evaluation_first_display</x:v>
      </x:c>
      <x:c r="B2195" s="14" t="str">
        <x:v>B</x:v>
      </x:c>
      <x:c r="C2195" s="14" t="str">
        <x:v>evaluation_first_display</x:v>
      </x:c>
      <x:c r="D2195" s="14" t="n">
        <x:v>0.898333333</x:v>
      </x:c>
      <x:c r="E2195" s="14" t="n">
        <x:v>0.938333333</x:v>
      </x:c>
      <x:c r="F2195" s="14" t="n">
        <x:v>0.04</x:v>
      </x:c>
      <x:c r="G2195" s="17" t="n">
        <x:v>1</x:v>
      </x:c>
      <x:c r="H2195" s="14" t="str">
        <x:v>S06-10:B:apply_relation</x:v>
      </x:c>
    </x:row>
    <x:row r="2196" ht="72" customHeight="1">
      <x:c r="A2196" s="14" t="str">
        <x:v>S06-10:B:source_explanation</x:v>
      </x:c>
      <x:c r="B2196" s="14" t="str">
        <x:v>B</x:v>
      </x:c>
      <x:c r="C2196" s="14" t="str">
        <x:v>source_explanation</x:v>
      </x:c>
      <x:c r="D2196" s="14" t="n">
        <x:v>-5.04</x:v>
      </x:c>
      <x:c r="E2196" s="14" t="n">
        <x:v>-4</x:v>
      </x:c>
      <x:c r="F2196" s="14" t="n">
        <x:v>1.04</x:v>
      </x:c>
      <x:c r="G2196" s="17" t="n">
        <x:v>0</x:v>
      </x:c>
      <x:c r="H2196" s="14" t="str">
        <x:v>S06-10:B:original_handoff</x:v>
      </x:c>
    </x:row>
    <x:row r="2197" ht="72" customHeight="1">
      <x:c r="A2197" s="14" t="str">
        <x:v>S06-10:B:display_explanation</x:v>
      </x:c>
      <x:c r="B2197" s="14" t="str">
        <x:v>B</x:v>
      </x:c>
      <x:c r="C2197" s="14" t="str">
        <x:v>display_explanation</x:v>
      </x:c>
      <x:c r="D2197" s="14" t="n">
        <x:v>-4</x:v>
      </x:c>
      <x:c r="E2197" s="14" t="n">
        <x:v>-3.96</x:v>
      </x:c>
      <x:c r="F2197" s="14" t="n">
        <x:v>0.04</x:v>
      </x:c>
      <x:c r="G2197" s="17" t="n">
        <x:v>1</x:v>
      </x:c>
      <x:c r="H2197" s="14" t="str">
        <x:v>S06-10:B:source_explanation</x:v>
      </x:c>
    </x:row>
    <x:row r="2198" ht="72" customHeight="1">
      <x:c r="A2198" s="14" t="str">
        <x:v>S06-10:B:explanation_first</x:v>
      </x:c>
      <x:c r="B2198" s="14" t="str">
        <x:v>B</x:v>
      </x:c>
      <x:c r="C2198" s="14" t="str">
        <x:v>explanation_first</x:v>
      </x:c>
      <x:c r="D2198" s="14" t="n">
        <x:v>-4</x:v>
      </x:c>
      <x:c r="E2198" s="14" t="n">
        <x:v>-3.594333333</x:v>
      </x:c>
      <x:c r="F2198" s="14" t="n">
        <x:v>0.405666667</x:v>
      </x:c>
      <x:c r="G2198" s="17" t="n">
        <x:v>1</x:v>
      </x:c>
      <x:c r="H2198" s="14" t="str">
        <x:v>S06-10:B:source_explanation</x:v>
      </x:c>
    </x:row>
    <x:row r="2199" ht="72" customHeight="1">
      <x:c r="A2199" s="14" t="str">
        <x:v>S06-10:B:explanation_tail</x:v>
      </x:c>
      <x:c r="B2199" s="14" t="str">
        <x:v>B</x:v>
      </x:c>
      <x:c r="C2199" s="14" t="str">
        <x:v>explanation_tail</x:v>
      </x:c>
      <x:c r="D2199" s="14" t="n">
        <x:v>-3.594333333</x:v>
      </x:c>
      <x:c r="E2199" s="14" t="n">
        <x:v>-1.630833333</x:v>
      </x:c>
      <x:c r="F2199" s="14" t="n">
        <x:v>1.9635</x:v>
      </x:c>
      <x:c r="G2199" s="17" t="n">
        <x:v>1</x:v>
      </x:c>
      <x:c r="H2199" s="14" t="str">
        <x:v>S06-10:B:explanation_first</x:v>
      </x:c>
    </x:row>
    <x:row r="2200" ht="72" customHeight="1">
      <x:c r="A2200" s="14" t="str">
        <x:v>S06-10:B:continue_device</x:v>
      </x:c>
      <x:c r="B2200" s="14" t="str">
        <x:v>B</x:v>
      </x:c>
      <x:c r="C2200" s="14" t="str">
        <x:v>continue_device</x:v>
      </x:c>
      <x:c r="D2200" s="14" t="n">
        <x:v>0.898333333</x:v>
      </x:c>
      <x:c r="E2200" s="14" t="n">
        <x:v>0.938333333</x:v>
      </x:c>
      <x:c r="F2200" s="14" t="n">
        <x:v>0.04</x:v>
      </x:c>
      <x:c r="G2200" s="17" t="n">
        <x:v>1</x:v>
      </x:c>
      <x:c r="H2200" s="14" t="str">
        <x:v>S06-10:B:apply_relation
S06-10:B:explanation_first</x:v>
      </x:c>
    </x:row>
    <x:row r="2201" ht="72" customHeight="1">
      <x:c r="A2201" s="14" t="str">
        <x:v>S06-10:B:continue_part1</x:v>
      </x:c>
      <x:c r="B2201" s="14" t="str">
        <x:v>B</x:v>
      </x:c>
      <x:c r="C2201" s="14" t="str">
        <x:v>continue_part1</x:v>
      </x:c>
      <x:c r="D2201" s="14" t="n">
        <x:v>0.938333333</x:v>
      </x:c>
      <x:c r="E2201" s="14" t="n">
        <x:v>1.538333333</x:v>
      </x:c>
      <x:c r="F2201" s="14" t="n">
        <x:v>0.6</x:v>
      </x:c>
      <x:c r="G2201" s="17" t="n">
        <x:v>0</x:v>
      </x:c>
      <x:c r="H2201" s="14" t="str">
        <x:v>S06-10:B:continue_device</x:v>
      </x:c>
    </x:row>
    <x:row r="2202" ht="72" customHeight="1">
      <x:c r="A2202" s="14" t="str">
        <x:v>S06-10:B:continue_false_trigger_hold</x:v>
      </x:c>
      <x:c r="B2202" s="14" t="str">
        <x:v>B</x:v>
      </x:c>
      <x:c r="C2202" s="14" t="str">
        <x:v>continue_false_trigger_hold</x:v>
      </x:c>
      <x:c r="D2202" s="14" t="n">
        <x:v>1.538333333</x:v>
      </x:c>
      <x:c r="E2202" s="14" t="n">
        <x:v>1.838333333</x:v>
      </x:c>
      <x:c r="F2202" s="14" t="n">
        <x:v>0.3</x:v>
      </x:c>
      <x:c r="G2202" s="17" t="n">
        <x:v>0</x:v>
      </x:c>
      <x:c r="H2202" s="14" t="str">
        <x:v>S06-10:B:continue_part1</x:v>
      </x:c>
    </x:row>
    <x:row r="2203" ht="72" customHeight="1">
      <x:c r="A2203" s="14" t="str">
        <x:v>S06-10:B:continue_part2</x:v>
      </x:c>
      <x:c r="B2203" s="14" t="str">
        <x:v>B</x:v>
      </x:c>
      <x:c r="C2203" s="14" t="str">
        <x:v>continue_part2</x:v>
      </x:c>
      <x:c r="D2203" s="14" t="n">
        <x:v>1.838333333</x:v>
      </x:c>
      <x:c r="E2203" s="14" t="n">
        <x:v>8.292333332</x:v>
      </x:c>
      <x:c r="F2203" s="14" t="n">
        <x:v>6.453999999</x:v>
      </x:c>
      <x:c r="G2203" s="17" t="n">
        <x:v>0</x:v>
      </x:c>
      <x:c r="H2203" s="14" t="str">
        <x:v>S06-10:B:continue_false_trigger_hold</x:v>
      </x:c>
    </x:row>
    <x:row r="2204" ht="72" customHeight="1">
      <x:c r="A2204" s="14" t="str">
        <x:v>S07-01:A:origin</x:v>
      </x:c>
      <x:c r="B2204" s="14" t="str">
        <x:v>A</x:v>
      </x:c>
      <x:c r="C2204" s="14" t="str">
        <x:v>origin</x:v>
      </x:c>
      <x:c r="D2204" s="14" t="n">
        <x:v>-6</x:v>
      </x:c>
      <x:c r="E2204" s="14" t="n">
        <x:v>-6</x:v>
      </x:c>
      <x:c r="F2204" s="14" t="n">
        <x:v>0</x:v>
      </x:c>
      <x:c r="G2204" s="17" t="n">
        <x:v>0</x:v>
      </x:c>
      <x:c r="H2204" s="14" t="str"/>
    </x:row>
    <x:row r="2205" ht="72" customHeight="1">
      <x:c r="A2205" s="14" t="str">
        <x:v>S07-01:A:origin_interpretation</x:v>
      </x:c>
      <x:c r="B2205" s="14" t="str">
        <x:v>A</x:v>
      </x:c>
      <x:c r="C2205" s="14" t="str">
        <x:v>origin_interpretation</x:v>
      </x:c>
      <x:c r="D2205" s="14" t="n">
        <x:v>-6</x:v>
      </x:c>
      <x:c r="E2205" s="14" t="n">
        <x:v>-5.16</x:v>
      </x:c>
      <x:c r="F2205" s="14" t="n">
        <x:v>0.84</x:v>
      </x:c>
      <x:c r="G2205" s="17" t="n">
        <x:v>1</x:v>
      </x:c>
      <x:c r="H2205" s="14" t="str">
        <x:v>S07-01:A:origin</x:v>
      </x:c>
    </x:row>
    <x:row r="2206" ht="72" customHeight="1">
      <x:c r="A2206" s="14" t="str">
        <x:v>S07-01:A:original_handoff</x:v>
      </x:c>
      <x:c r="B2206" s="14" t="str">
        <x:v>A</x:v>
      </x:c>
      <x:c r="C2206" s="14" t="str">
        <x:v>original_handoff</x:v>
      </x:c>
      <x:c r="D2206" s="14" t="n">
        <x:v>-5.16</x:v>
      </x:c>
      <x:c r="E2206" s="14" t="n">
        <x:v>-5.04</x:v>
      </x:c>
      <x:c r="F2206" s="14" t="n">
        <x:v>0.12</x:v>
      </x:c>
      <x:c r="G2206" s="17" t="n">
        <x:v>1</x:v>
      </x:c>
      <x:c r="H2206" s="14" t="str">
        <x:v>S07-01:A:origin_interpretation</x:v>
      </x:c>
    </x:row>
    <x:row r="2207" ht="72" customHeight="1">
      <x:c r="A2207" s="14" t="str">
        <x:v>S07-01:A:evaluation_utterance_end</x:v>
      </x:c>
      <x:c r="B2207" s="14" t="str">
        <x:v>A</x:v>
      </x:c>
      <x:c r="C2207" s="14" t="str">
        <x:v>evaluation_utterance_end</x:v>
      </x:c>
      <x:c r="D2207" s="14" t="n">
        <x:v>-6</x:v>
      </x:c>
      <x:c r="E2207" s="14" t="n">
        <x:v>0</x:v>
      </x:c>
      <x:c r="F2207" s="14" t="n">
        <x:v>6</x:v>
      </x:c>
      <x:c r="G2207" s="17" t="n">
        <x:v>0</x:v>
      </x:c>
      <x:c r="H2207" s="14" t="str">
        <x:v>S07-01:A:origin</x:v>
      </x:c>
    </x:row>
    <x:row r="2208" ht="72" customHeight="1">
      <x:c r="A2208" s="14" t="str">
        <x:v>S07-01:A:final_transcript</x:v>
      </x:c>
      <x:c r="B2208" s="14" t="str">
        <x:v>A</x:v>
      </x:c>
      <x:c r="C2208" s="14" t="str">
        <x:v>final_transcript</x:v>
      </x:c>
      <x:c r="D2208" s="14" t="n">
        <x:v>0</x:v>
      </x:c>
      <x:c r="E2208" s="14" t="n">
        <x:v>0.3</x:v>
      </x:c>
      <x:c r="F2208" s="14" t="n">
        <x:v>0.3</x:v>
      </x:c>
      <x:c r="G2208" s="17" t="n">
        <x:v>1</x:v>
      </x:c>
      <x:c r="H2208" s="14" t="str">
        <x:v>S07-01:A:evaluation_utterance_end</x:v>
      </x:c>
    </x:row>
    <x:row r="2209" ht="72" customHeight="1">
      <x:c r="A2209" s="14" t="str">
        <x:v>S07-01:A:meaning_adoption</x:v>
      </x:c>
      <x:c r="B2209" s="14" t="str">
        <x:v>A</x:v>
      </x:c>
      <x:c r="C2209" s="14" t="str">
        <x:v>meaning_adoption</x:v>
      </x:c>
      <x:c r="D2209" s="14" t="n">
        <x:v>0.3</x:v>
      </x:c>
      <x:c r="E2209" s="14" t="n">
        <x:v>0.828333333</x:v>
      </x:c>
      <x:c r="F2209" s="14" t="n">
        <x:v>0.528333333</x:v>
      </x:c>
      <x:c r="G2209" s="17" t="n">
        <x:v>1</x:v>
      </x:c>
      <x:c r="H2209" s="14" t="str">
        <x:v>S07-01:A:final_transcript
S07-01:A:origin_interpretation</x:v>
      </x:c>
    </x:row>
    <x:row r="2210" ht="72" customHeight="1">
      <x:c r="A2210" s="14" t="str">
        <x:v>S07-01:A:apply_relation</x:v>
      </x:c>
      <x:c r="B2210" s="14" t="str">
        <x:v>A</x:v>
      </x:c>
      <x:c r="C2210" s="14" t="str">
        <x:v>apply_relation</x:v>
      </x:c>
      <x:c r="D2210" s="14" t="n">
        <x:v>0.828333333</x:v>
      </x:c>
      <x:c r="E2210" s="14" t="n">
        <x:v>0.868333333</x:v>
      </x:c>
      <x:c r="F2210" s="14" t="n">
        <x:v>0.04</x:v>
      </x:c>
      <x:c r="G2210" s="17" t="n">
        <x:v>1</x:v>
      </x:c>
      <x:c r="H2210" s="14" t="str">
        <x:v>S07-01:A:meaning_adoption</x:v>
      </x:c>
    </x:row>
    <x:row r="2211" ht="72" customHeight="1">
      <x:c r="A2211" s="14" t="str">
        <x:v>S07-01:A:evaluation_first_display</x:v>
      </x:c>
      <x:c r="B2211" s="14" t="str">
        <x:v>A</x:v>
      </x:c>
      <x:c r="C2211" s="14" t="str">
        <x:v>evaluation_first_display</x:v>
      </x:c>
      <x:c r="D2211" s="14" t="n">
        <x:v>0.868333333</x:v>
      </x:c>
      <x:c r="E2211" s="14" t="n">
        <x:v>0.908333333</x:v>
      </x:c>
      <x:c r="F2211" s="14" t="n">
        <x:v>0.04</x:v>
      </x:c>
      <x:c r="G2211" s="17" t="n">
        <x:v>1</x:v>
      </x:c>
      <x:c r="H2211" s="14" t="str">
        <x:v>S07-01:A:apply_relation</x:v>
      </x:c>
    </x:row>
    <x:row r="2212" ht="72" customHeight="1">
      <x:c r="A2212" s="14" t="str">
        <x:v>S07-01:A:source_calendar</x:v>
      </x:c>
      <x:c r="B2212" s="14" t="str">
        <x:v>A</x:v>
      </x:c>
      <x:c r="C2212" s="14" t="str">
        <x:v>source_calendar</x:v>
      </x:c>
      <x:c r="D2212" s="14" t="n">
        <x:v>-5.04</x:v>
      </x:c>
      <x:c r="E2212" s="14" t="n">
        <x:v>-1.4</x:v>
      </x:c>
      <x:c r="F2212" s="14" t="n">
        <x:v>3.64</x:v>
      </x:c>
      <x:c r="G2212" s="17" t="n">
        <x:v>0</x:v>
      </x:c>
      <x:c r="H2212" s="14" t="str">
        <x:v>S07-01:A:original_handoff</x:v>
      </x:c>
    </x:row>
    <x:row r="2213" ht="72" customHeight="1">
      <x:c r="A2213" s="14" t="str">
        <x:v>S07-01:A:display_calendar</x:v>
      </x:c>
      <x:c r="B2213" s="14" t="str">
        <x:v>A</x:v>
      </x:c>
      <x:c r="C2213" s="14" t="str">
        <x:v>display_calendar</x:v>
      </x:c>
      <x:c r="D2213" s="14" t="n">
        <x:v>-1.4</x:v>
      </x:c>
      <x:c r="E2213" s="14" t="n">
        <x:v>-1.36</x:v>
      </x:c>
      <x:c r="F2213" s="14" t="n">
        <x:v>0.04</x:v>
      </x:c>
      <x:c r="G2213" s="17" t="n">
        <x:v>1</x:v>
      </x:c>
      <x:c r="H2213" s="14" t="str">
        <x:v>S07-01:A:source_calendar</x:v>
      </x:c>
    </x:row>
    <x:row r="2214" ht="72" customHeight="1">
      <x:c r="A2214" s="14" t="str">
        <x:v>S07-01:A:source_mail</x:v>
      </x:c>
      <x:c r="B2214" s="14" t="str">
        <x:v>A</x:v>
      </x:c>
      <x:c r="C2214" s="14" t="str">
        <x:v>source_mail</x:v>
      </x:c>
      <x:c r="D2214" s="14" t="n">
        <x:v>-5.04</x:v>
      </x:c>
      <x:c r="E2214" s="14" t="n">
        <x:v>-1.2</x:v>
      </x:c>
      <x:c r="F2214" s="14" t="n">
        <x:v>3.84</x:v>
      </x:c>
      <x:c r="G2214" s="17" t="n">
        <x:v>0</x:v>
      </x:c>
      <x:c r="H2214" s="14" t="str">
        <x:v>S07-01:A:original_handoff</x:v>
      </x:c>
    </x:row>
    <x:row r="2215" ht="72" customHeight="1">
      <x:c r="A2215" s="14" t="str">
        <x:v>S07-01:A:display_mail</x:v>
      </x:c>
      <x:c r="B2215" s="14" t="str">
        <x:v>A</x:v>
      </x:c>
      <x:c r="C2215" s="14" t="str">
        <x:v>display_mail</x:v>
      </x:c>
      <x:c r="D2215" s="14" t="n">
        <x:v>-1.2</x:v>
      </x:c>
      <x:c r="E2215" s="14" t="n">
        <x:v>-1.16</x:v>
      </x:c>
      <x:c r="F2215" s="14" t="n">
        <x:v>0.04</x:v>
      </x:c>
      <x:c r="G2215" s="17" t="n">
        <x:v>1</x:v>
      </x:c>
      <x:c r="H2215" s="14" t="str">
        <x:v>S07-01:A:source_mail</x:v>
      </x:c>
    </x:row>
    <x:row r="2216" ht="72" customHeight="1">
      <x:c r="A2216" s="14" t="str">
        <x:v>S07-01:A:source_report</x:v>
      </x:c>
      <x:c r="B2216" s="14" t="str">
        <x:v>A</x:v>
      </x:c>
      <x:c r="C2216" s="14" t="str">
        <x:v>source_report</x:v>
      </x:c>
      <x:c r="D2216" s="14" t="n">
        <x:v>-5.04</x:v>
      </x:c>
      <x:c r="E2216" s="14" t="n">
        <x:v>-0.9</x:v>
      </x:c>
      <x:c r="F2216" s="14" t="n">
        <x:v>4.14</x:v>
      </x:c>
      <x:c r="G2216" s="17" t="n">
        <x:v>0</x:v>
      </x:c>
      <x:c r="H2216" s="14" t="str">
        <x:v>S07-01:A:original_handoff</x:v>
      </x:c>
    </x:row>
    <x:row r="2217" ht="72" customHeight="1">
      <x:c r="A2217" s="14" t="str">
        <x:v>S07-01:A:display_report</x:v>
      </x:c>
      <x:c r="B2217" s="14" t="str">
        <x:v>A</x:v>
      </x:c>
      <x:c r="C2217" s="14" t="str">
        <x:v>display_report</x:v>
      </x:c>
      <x:c r="D2217" s="14" t="n">
        <x:v>-0.9</x:v>
      </x:c>
      <x:c r="E2217" s="14" t="n">
        <x:v>-0.86</x:v>
      </x:c>
      <x:c r="F2217" s="14" t="n">
        <x:v>0.04</x:v>
      </x:c>
      <x:c r="G2217" s="17" t="n">
        <x:v>1</x:v>
      </x:c>
      <x:c r="H2217" s="14" t="str">
        <x:v>S07-01:A:source_report</x:v>
      </x:c>
    </x:row>
    <x:row r="2218" ht="72" customHeight="1">
      <x:c r="A2218" s="14" t="str">
        <x:v>S07-01:A:calendar_first</x:v>
      </x:c>
      <x:c r="B2218" s="14" t="str">
        <x:v>A</x:v>
      </x:c>
      <x:c r="C2218" s="14" t="str">
        <x:v>calendar_first</x:v>
      </x:c>
      <x:c r="D2218" s="14" t="n">
        <x:v>-1.4</x:v>
      </x:c>
      <x:c r="E2218" s="14" t="n">
        <x:v>-0.997666667</x:v>
      </x:c>
      <x:c r="F2218" s="14" t="n">
        <x:v>0.402333333</x:v>
      </x:c>
      <x:c r="G2218" s="17" t="n">
        <x:v>1</x:v>
      </x:c>
      <x:c r="H2218" s="14" t="str">
        <x:v>S07-01:A:source_calendar</x:v>
      </x:c>
    </x:row>
    <x:row r="2219" ht="72" customHeight="1">
      <x:c r="A2219" s="14" t="str">
        <x:v>S07-01:A:calendar_tail</x:v>
      </x:c>
      <x:c r="B2219" s="14" t="str">
        <x:v>A</x:v>
      </x:c>
      <x:c r="C2219" s="14" t="str">
        <x:v>calendar_tail</x:v>
      </x:c>
      <x:c r="D2219" s="14" t="n">
        <x:v>-0.997666667</x:v>
      </x:c>
      <x:c r="E2219" s="14" t="n">
        <x:v>-0.311166667</x:v>
      </x:c>
      <x:c r="F2219" s="14" t="n">
        <x:v>0.6865</x:v>
      </x:c>
      <x:c r="G2219" s="17" t="n">
        <x:v>1</x:v>
      </x:c>
      <x:c r="H2219" s="14" t="str">
        <x:v>S07-01:A:calendar_first</x:v>
      </x:c>
    </x:row>
    <x:row r="2220" ht="72" customHeight="1">
      <x:c r="A2220" s="14" t="str">
        <x:v>S07-01:A:burst0_device</x:v>
      </x:c>
      <x:c r="B2220" s="14" t="str">
        <x:v>A</x:v>
      </x:c>
      <x:c r="C2220" s="14" t="str">
        <x:v>burst0_device</x:v>
      </x:c>
      <x:c r="D2220" s="14" t="n">
        <x:v>0.868333333</x:v>
      </x:c>
      <x:c r="E2220" s="14" t="n">
        <x:v>0.908333333</x:v>
      </x:c>
      <x:c r="F2220" s="14" t="n">
        <x:v>0.04</x:v>
      </x:c>
      <x:c r="G2220" s="17" t="n">
        <x:v>1</x:v>
      </x:c>
      <x:c r="H2220" s="14" t="str">
        <x:v>S07-01:A:apply_relation
S07-01:A:calendar_first</x:v>
      </x:c>
    </x:row>
    <x:row r="2221" ht="72" customHeight="1">
      <x:c r="A2221" s="14" t="str">
        <x:v>S07-01:A:burst0_played</x:v>
      </x:c>
      <x:c r="B2221" s="14" t="str">
        <x:v>A</x:v>
      </x:c>
      <x:c r="C2221" s="14" t="str">
        <x:v>burst0_played</x:v>
      </x:c>
      <x:c r="D2221" s="14" t="n">
        <x:v>0.908333333</x:v>
      </x:c>
      <x:c r="E2221" s="14" t="n">
        <x:v>3.854333333</x:v>
      </x:c>
      <x:c r="F2221" s="14" t="n">
        <x:v>2.946</x:v>
      </x:c>
      <x:c r="G2221" s="17" t="n">
        <x:v>0</x:v>
      </x:c>
      <x:c r="H2221" s="14" t="str">
        <x:v>S07-01:A:burst0_device</x:v>
      </x:c>
    </x:row>
    <x:row r="2222" ht="72" customHeight="1">
      <x:c r="A2222" s="14" t="str">
        <x:v>S07-01:A:mail_first</x:v>
      </x:c>
      <x:c r="B2222" s="14" t="str">
        <x:v>A</x:v>
      </x:c>
      <x:c r="C2222" s="14" t="str">
        <x:v>mail_first</x:v>
      </x:c>
      <x:c r="D2222" s="14" t="n">
        <x:v>-1.2</x:v>
      </x:c>
      <x:c r="E2222" s="14" t="n">
        <x:v>-0.794</x:v>
      </x:c>
      <x:c r="F2222" s="14" t="n">
        <x:v>0.406</x:v>
      </x:c>
      <x:c r="G2222" s="17" t="n">
        <x:v>1</x:v>
      </x:c>
      <x:c r="H2222" s="14" t="str">
        <x:v>S07-01:A:source_mail</x:v>
      </x:c>
    </x:row>
    <x:row r="2223" ht="72" customHeight="1">
      <x:c r="A2223" s="14" t="str">
        <x:v>S07-01:A:mail_tail</x:v>
      </x:c>
      <x:c r="B2223" s="14" t="str">
        <x:v>A</x:v>
      </x:c>
      <x:c r="C2223" s="14" t="str">
        <x:v>mail_tail</x:v>
      </x:c>
      <x:c r="D2223" s="14" t="n">
        <x:v>-0.794</x:v>
      </x:c>
      <x:c r="E2223" s="14" t="n">
        <x:v>0.1425</x:v>
      </x:c>
      <x:c r="F2223" s="14" t="n">
        <x:v>0.9365</x:v>
      </x:c>
      <x:c r="G2223" s="17" t="n">
        <x:v>1</x:v>
      </x:c>
      <x:c r="H2223" s="14" t="str">
        <x:v>S07-01:A:mail_first</x:v>
      </x:c>
    </x:row>
    <x:row r="2224" ht="72" customHeight="1">
      <x:c r="A2224" s="14" t="str">
        <x:v>S07-01:A:burst1_device</x:v>
      </x:c>
      <x:c r="B2224" s="14" t="str">
        <x:v>A</x:v>
      </x:c>
      <x:c r="C2224" s="14" t="str">
        <x:v>burst1_device</x:v>
      </x:c>
      <x:c r="D2224" s="14" t="n">
        <x:v>3.854333333</x:v>
      </x:c>
      <x:c r="E2224" s="14" t="n">
        <x:v>3.894333333</x:v>
      </x:c>
      <x:c r="F2224" s="14" t="n">
        <x:v>0.04</x:v>
      </x:c>
      <x:c r="G2224" s="17" t="n">
        <x:v>1</x:v>
      </x:c>
      <x:c r="H2224" s="14" t="str">
        <x:v>S07-01:A:burst0_played
S07-01:A:mail_first</x:v>
      </x:c>
    </x:row>
    <x:row r="2225" ht="72" customHeight="1">
      <x:c r="A2225" s="14" t="str">
        <x:v>S07-01:A:burst1_played</x:v>
      </x:c>
      <x:c r="B2225" s="14" t="str">
        <x:v>A</x:v>
      </x:c>
      <x:c r="C2225" s="14" t="str">
        <x:v>burst1_played</x:v>
      </x:c>
      <x:c r="D2225" s="14" t="n">
        <x:v>3.894333333</x:v>
      </x:c>
      <x:c r="E2225" s="14" t="n">
        <x:v>7.840333333</x:v>
      </x:c>
      <x:c r="F2225" s="14" t="n">
        <x:v>3.946</x:v>
      </x:c>
      <x:c r="G2225" s="17" t="n">
        <x:v>0</x:v>
      </x:c>
      <x:c r="H2225" s="14" t="str">
        <x:v>S07-01:A:burst1_device</x:v>
      </x:c>
    </x:row>
    <x:row r="2226" ht="72" customHeight="1">
      <x:c r="A2226" s="14" t="str">
        <x:v>S07-01:A:report_first</x:v>
      </x:c>
      <x:c r="B2226" s="14" t="str">
        <x:v>A</x:v>
      </x:c>
      <x:c r="C2226" s="14" t="str">
        <x:v>report_first</x:v>
      </x:c>
      <x:c r="D2226" s="14" t="n">
        <x:v>-0.9</x:v>
      </x:c>
      <x:c r="E2226" s="14" t="n">
        <x:v>-0.49</x:v>
      </x:c>
      <x:c r="F2226" s="14" t="n">
        <x:v>0.41</x:v>
      </x:c>
      <x:c r="G2226" s="17" t="n">
        <x:v>1</x:v>
      </x:c>
      <x:c r="H2226" s="14" t="str">
        <x:v>S07-01:A:source_report</x:v>
      </x:c>
    </x:row>
    <x:row r="2227" ht="72" customHeight="1">
      <x:c r="A2227" s="14" t="str">
        <x:v>S07-01:A:report_tail</x:v>
      </x:c>
      <x:c r="B2227" s="14" t="str">
        <x:v>A</x:v>
      </x:c>
      <x:c r="C2227" s="14" t="str">
        <x:v>report_tail</x:v>
      </x:c>
      <x:c r="D2227" s="14" t="n">
        <x:v>-0.49</x:v>
      </x:c>
      <x:c r="E2227" s="14" t="n">
        <x:v>1.1965</x:v>
      </x:c>
      <x:c r="F2227" s="14" t="n">
        <x:v>1.6865</x:v>
      </x:c>
      <x:c r="G2227" s="17" t="n">
        <x:v>1</x:v>
      </x:c>
      <x:c r="H2227" s="14" t="str">
        <x:v>S07-01:A:report_first</x:v>
      </x:c>
    </x:row>
    <x:row r="2228" ht="72" customHeight="1">
      <x:c r="A2228" s="14" t="str">
        <x:v>S07-01:A:burst2_device</x:v>
      </x:c>
      <x:c r="B2228" s="14" t="str">
        <x:v>A</x:v>
      </x:c>
      <x:c r="C2228" s="14" t="str">
        <x:v>burst2_device</x:v>
      </x:c>
      <x:c r="D2228" s="14" t="n">
        <x:v>7.840333333</x:v>
      </x:c>
      <x:c r="E2228" s="14" t="n">
        <x:v>7.880333333</x:v>
      </x:c>
      <x:c r="F2228" s="14" t="n">
        <x:v>0.04</x:v>
      </x:c>
      <x:c r="G2228" s="17" t="n">
        <x:v>1</x:v>
      </x:c>
      <x:c r="H2228" s="14" t="str">
        <x:v>S07-01:A:burst1_played
S07-01:A:report_first</x:v>
      </x:c>
    </x:row>
    <x:row r="2229" ht="72" customHeight="1">
      <x:c r="A2229" s="14" t="str">
        <x:v>S07-01:A:burst2_played</x:v>
      </x:c>
      <x:c r="B2229" s="14" t="str">
        <x:v>A</x:v>
      </x:c>
      <x:c r="C2229" s="14" t="str">
        <x:v>burst2_played</x:v>
      </x:c>
      <x:c r="D2229" s="14" t="n">
        <x:v>7.880333333</x:v>
      </x:c>
      <x:c r="E2229" s="14" t="n">
        <x:v>14.826333333</x:v>
      </x:c>
      <x:c r="F2229" s="14" t="n">
        <x:v>6.946</x:v>
      </x:c>
      <x:c r="G2229" s="17" t="n">
        <x:v>0</x:v>
      </x:c>
      <x:c r="H2229" s="14" t="str">
        <x:v>S07-01:A:burst2_device</x:v>
      </x:c>
    </x:row>
    <x:row r="2230" ht="72" customHeight="1">
      <x:c r="A2230" s="14" t="str">
        <x:v>S07-01:B:origin</x:v>
      </x:c>
      <x:c r="B2230" s="14" t="str">
        <x:v>B</x:v>
      </x:c>
      <x:c r="C2230" s="14" t="str">
        <x:v>origin</x:v>
      </x:c>
      <x:c r="D2230" s="14" t="n">
        <x:v>-6</x:v>
      </x:c>
      <x:c r="E2230" s="14" t="n">
        <x:v>-6</x:v>
      </x:c>
      <x:c r="F2230" s="14" t="n">
        <x:v>0</x:v>
      </x:c>
      <x:c r="G2230" s="17" t="n">
        <x:v>0</x:v>
      </x:c>
      <x:c r="H2230" s="14" t="str"/>
    </x:row>
    <x:row r="2231" ht="72" customHeight="1">
      <x:c r="A2231" s="14" t="str">
        <x:v>S07-01:B:origin_interpretation</x:v>
      </x:c>
      <x:c r="B2231" s="14" t="str">
        <x:v>B</x:v>
      </x:c>
      <x:c r="C2231" s="14" t="str">
        <x:v>origin_interpretation</x:v>
      </x:c>
      <x:c r="D2231" s="14" t="n">
        <x:v>-6</x:v>
      </x:c>
      <x:c r="E2231" s="14" t="n">
        <x:v>-5.16</x:v>
      </x:c>
      <x:c r="F2231" s="14" t="n">
        <x:v>0.84</x:v>
      </x:c>
      <x:c r="G2231" s="17" t="n">
        <x:v>1</x:v>
      </x:c>
      <x:c r="H2231" s="14" t="str">
        <x:v>S07-01:B:origin</x:v>
      </x:c>
    </x:row>
    <x:row r="2232" ht="72" customHeight="1">
      <x:c r="A2232" s="14" t="str">
        <x:v>S07-01:B:original_handoff</x:v>
      </x:c>
      <x:c r="B2232" s="14" t="str">
        <x:v>B</x:v>
      </x:c>
      <x:c r="C2232" s="14" t="str">
        <x:v>original_handoff</x:v>
      </x:c>
      <x:c r="D2232" s="14" t="n">
        <x:v>-5.16</x:v>
      </x:c>
      <x:c r="E2232" s="14" t="n">
        <x:v>-5.04</x:v>
      </x:c>
      <x:c r="F2232" s="14" t="n">
        <x:v>0.12</x:v>
      </x:c>
      <x:c r="G2232" s="17" t="n">
        <x:v>1</x:v>
      </x:c>
      <x:c r="H2232" s="14" t="str">
        <x:v>S07-01:B:origin_interpretation</x:v>
      </x:c>
    </x:row>
    <x:row r="2233" ht="72" customHeight="1">
      <x:c r="A2233" s="14" t="str">
        <x:v>S07-01:B:evaluation_utterance_end</x:v>
      </x:c>
      <x:c r="B2233" s="14" t="str">
        <x:v>B</x:v>
      </x:c>
      <x:c r="C2233" s="14" t="str">
        <x:v>evaluation_utterance_end</x:v>
      </x:c>
      <x:c r="D2233" s="14" t="n">
        <x:v>-6</x:v>
      </x:c>
      <x:c r="E2233" s="14" t="n">
        <x:v>0</x:v>
      </x:c>
      <x:c r="F2233" s="14" t="n">
        <x:v>6</x:v>
      </x:c>
      <x:c r="G2233" s="17" t="n">
        <x:v>0</x:v>
      </x:c>
      <x:c r="H2233" s="14" t="str">
        <x:v>S07-01:B:origin</x:v>
      </x:c>
    </x:row>
    <x:row r="2234" ht="72" customHeight="1">
      <x:c r="A2234" s="14" t="str">
        <x:v>S07-01:B:final_transcript</x:v>
      </x:c>
      <x:c r="B2234" s="14" t="str">
        <x:v>B</x:v>
      </x:c>
      <x:c r="C2234" s="14" t="str">
        <x:v>final_transcript</x:v>
      </x:c>
      <x:c r="D2234" s="14" t="n">
        <x:v>0</x:v>
      </x:c>
      <x:c r="E2234" s="14" t="n">
        <x:v>0.3</x:v>
      </x:c>
      <x:c r="F2234" s="14" t="n">
        <x:v>0.3</x:v>
      </x:c>
      <x:c r="G2234" s="17" t="n">
        <x:v>1</x:v>
      </x:c>
      <x:c r="H2234" s="14" t="str">
        <x:v>S07-01:B:evaluation_utterance_end</x:v>
      </x:c>
    </x:row>
    <x:row r="2235" ht="72" customHeight="1">
      <x:c r="A2235" s="14" t="str">
        <x:v>S07-01:B:meaning_adoption</x:v>
      </x:c>
      <x:c r="B2235" s="14" t="str">
        <x:v>B</x:v>
      </x:c>
      <x:c r="C2235" s="14" t="str">
        <x:v>meaning_adoption</x:v>
      </x:c>
      <x:c r="D2235" s="14" t="n">
        <x:v>0.3</x:v>
      </x:c>
      <x:c r="E2235" s="14" t="n">
        <x:v>0.828333333</x:v>
      </x:c>
      <x:c r="F2235" s="14" t="n">
        <x:v>0.528333333</x:v>
      </x:c>
      <x:c r="G2235" s="17" t="n">
        <x:v>1</x:v>
      </x:c>
      <x:c r="H2235" s="14" t="str">
        <x:v>S07-01:B:final_transcript
S07-01:B:origin_interpretation</x:v>
      </x:c>
    </x:row>
    <x:row r="2236" ht="72" customHeight="1">
      <x:c r="A2236" s="14" t="str">
        <x:v>S07-01:B:apply_relation</x:v>
      </x:c>
      <x:c r="B2236" s="14" t="str">
        <x:v>B</x:v>
      </x:c>
      <x:c r="C2236" s="14" t="str">
        <x:v>apply_relation</x:v>
      </x:c>
      <x:c r="D2236" s="14" t="n">
        <x:v>0.828333333</x:v>
      </x:c>
      <x:c r="E2236" s="14" t="n">
        <x:v>0.868333333</x:v>
      </x:c>
      <x:c r="F2236" s="14" t="n">
        <x:v>0.04</x:v>
      </x:c>
      <x:c r="G2236" s="17" t="n">
        <x:v>1</x:v>
      </x:c>
      <x:c r="H2236" s="14" t="str">
        <x:v>S07-01:B:meaning_adoption</x:v>
      </x:c>
    </x:row>
    <x:row r="2237" ht="72" customHeight="1">
      <x:c r="A2237" s="14" t="str">
        <x:v>S07-01:B:evaluation_first_display</x:v>
      </x:c>
      <x:c r="B2237" s="14" t="str">
        <x:v>B</x:v>
      </x:c>
      <x:c r="C2237" s="14" t="str">
        <x:v>evaluation_first_display</x:v>
      </x:c>
      <x:c r="D2237" s="14" t="n">
        <x:v>0.868333333</x:v>
      </x:c>
      <x:c r="E2237" s="14" t="n">
        <x:v>0.908333333</x:v>
      </x:c>
      <x:c r="F2237" s="14" t="n">
        <x:v>0.04</x:v>
      </x:c>
      <x:c r="G2237" s="17" t="n">
        <x:v>1</x:v>
      </x:c>
      <x:c r="H2237" s="14" t="str">
        <x:v>S07-01:B:apply_relation</x:v>
      </x:c>
    </x:row>
    <x:row r="2238" ht="72" customHeight="1">
      <x:c r="A2238" s="14" t="str">
        <x:v>S07-01:B:source_calendar</x:v>
      </x:c>
      <x:c r="B2238" s="14" t="str">
        <x:v>B</x:v>
      </x:c>
      <x:c r="C2238" s="14" t="str">
        <x:v>source_calendar</x:v>
      </x:c>
      <x:c r="D2238" s="14" t="n">
        <x:v>-5.04</x:v>
      </x:c>
      <x:c r="E2238" s="14" t="n">
        <x:v>-1.4</x:v>
      </x:c>
      <x:c r="F2238" s="14" t="n">
        <x:v>3.64</x:v>
      </x:c>
      <x:c r="G2238" s="17" t="n">
        <x:v>0</x:v>
      </x:c>
      <x:c r="H2238" s="14" t="str">
        <x:v>S07-01:B:original_handoff</x:v>
      </x:c>
    </x:row>
    <x:row r="2239" ht="72" customHeight="1">
      <x:c r="A2239" s="14" t="str">
        <x:v>S07-01:B:display_calendar</x:v>
      </x:c>
      <x:c r="B2239" s="14" t="str">
        <x:v>B</x:v>
      </x:c>
      <x:c r="C2239" s="14" t="str">
        <x:v>display_calendar</x:v>
      </x:c>
      <x:c r="D2239" s="14" t="n">
        <x:v>-1.4</x:v>
      </x:c>
      <x:c r="E2239" s="14" t="n">
        <x:v>-1.36</x:v>
      </x:c>
      <x:c r="F2239" s="14" t="n">
        <x:v>0.04</x:v>
      </x:c>
      <x:c r="G2239" s="17" t="n">
        <x:v>1</x:v>
      </x:c>
      <x:c r="H2239" s="14" t="str">
        <x:v>S07-01:B:source_calendar</x:v>
      </x:c>
    </x:row>
    <x:row r="2240" ht="72" customHeight="1">
      <x:c r="A2240" s="14" t="str">
        <x:v>S07-01:B:source_mail</x:v>
      </x:c>
      <x:c r="B2240" s="14" t="str">
        <x:v>B</x:v>
      </x:c>
      <x:c r="C2240" s="14" t="str">
        <x:v>source_mail</x:v>
      </x:c>
      <x:c r="D2240" s="14" t="n">
        <x:v>-5.04</x:v>
      </x:c>
      <x:c r="E2240" s="14" t="n">
        <x:v>-1.2</x:v>
      </x:c>
      <x:c r="F2240" s="14" t="n">
        <x:v>3.84</x:v>
      </x:c>
      <x:c r="G2240" s="17" t="n">
        <x:v>0</x:v>
      </x:c>
      <x:c r="H2240" s="14" t="str">
        <x:v>S07-01:B:original_handoff</x:v>
      </x:c>
    </x:row>
    <x:row r="2241" ht="72" customHeight="1">
      <x:c r="A2241" s="14" t="str">
        <x:v>S07-01:B:display_mail</x:v>
      </x:c>
      <x:c r="B2241" s="14" t="str">
        <x:v>B</x:v>
      </x:c>
      <x:c r="C2241" s="14" t="str">
        <x:v>display_mail</x:v>
      </x:c>
      <x:c r="D2241" s="14" t="n">
        <x:v>-1.2</x:v>
      </x:c>
      <x:c r="E2241" s="14" t="n">
        <x:v>-1.16</x:v>
      </x:c>
      <x:c r="F2241" s="14" t="n">
        <x:v>0.04</x:v>
      </x:c>
      <x:c r="G2241" s="17" t="n">
        <x:v>1</x:v>
      </x:c>
      <x:c r="H2241" s="14" t="str">
        <x:v>S07-01:B:source_mail</x:v>
      </x:c>
    </x:row>
    <x:row r="2242" ht="72" customHeight="1">
      <x:c r="A2242" s="14" t="str">
        <x:v>S07-01:B:source_report</x:v>
      </x:c>
      <x:c r="B2242" s="14" t="str">
        <x:v>B</x:v>
      </x:c>
      <x:c r="C2242" s="14" t="str">
        <x:v>source_report</x:v>
      </x:c>
      <x:c r="D2242" s="14" t="n">
        <x:v>-5.04</x:v>
      </x:c>
      <x:c r="E2242" s="14" t="n">
        <x:v>-0.9</x:v>
      </x:c>
      <x:c r="F2242" s="14" t="n">
        <x:v>4.14</x:v>
      </x:c>
      <x:c r="G2242" s="17" t="n">
        <x:v>0</x:v>
      </x:c>
      <x:c r="H2242" s="14" t="str">
        <x:v>S07-01:B:original_handoff</x:v>
      </x:c>
    </x:row>
    <x:row r="2243" ht="72" customHeight="1">
      <x:c r="A2243" s="14" t="str">
        <x:v>S07-01:B:display_report</x:v>
      </x:c>
      <x:c r="B2243" s="14" t="str">
        <x:v>B</x:v>
      </x:c>
      <x:c r="C2243" s="14" t="str">
        <x:v>display_report</x:v>
      </x:c>
      <x:c r="D2243" s="14" t="n">
        <x:v>-0.9</x:v>
      </x:c>
      <x:c r="E2243" s="14" t="n">
        <x:v>-0.86</x:v>
      </x:c>
      <x:c r="F2243" s="14" t="n">
        <x:v>0.04</x:v>
      </x:c>
      <x:c r="G2243" s="17" t="n">
        <x:v>1</x:v>
      </x:c>
      <x:c r="H2243" s="14" t="str">
        <x:v>S07-01:B:source_report</x:v>
      </x:c>
    </x:row>
    <x:row r="2244" ht="72" customHeight="1">
      <x:c r="A2244" s="14" t="str">
        <x:v>S07-01:B:calendar_first</x:v>
      </x:c>
      <x:c r="B2244" s="14" t="str">
        <x:v>B</x:v>
      </x:c>
      <x:c r="C2244" s="14" t="str">
        <x:v>calendar_first</x:v>
      </x:c>
      <x:c r="D2244" s="14" t="n">
        <x:v>0.868333333</x:v>
      </x:c>
      <x:c r="E2244" s="14" t="n">
        <x:v>1.270666666</x:v>
      </x:c>
      <x:c r="F2244" s="14" t="n">
        <x:v>0.402333333</x:v>
      </x:c>
      <x:c r="G2244" s="17" t="n">
        <x:v>1</x:v>
      </x:c>
      <x:c r="H2244" s="14" t="str">
        <x:v>S07-01:B:apply_relation</x:v>
      </x:c>
    </x:row>
    <x:row r="2245" ht="72" customHeight="1">
      <x:c r="A2245" s="14" t="str">
        <x:v>S07-01:B:calendar_tail</x:v>
      </x:c>
      <x:c r="B2245" s="14" t="str">
        <x:v>B</x:v>
      </x:c>
      <x:c r="C2245" s="14" t="str">
        <x:v>calendar_tail</x:v>
      </x:c>
      <x:c r="D2245" s="14" t="n">
        <x:v>1.270666666</x:v>
      </x:c>
      <x:c r="E2245" s="14" t="n">
        <x:v>1.957166666</x:v>
      </x:c>
      <x:c r="F2245" s="14" t="n">
        <x:v>0.6865</x:v>
      </x:c>
      <x:c r="G2245" s="17" t="n">
        <x:v>1</x:v>
      </x:c>
      <x:c r="H2245" s="14" t="str">
        <x:v>S07-01:B:calendar_first</x:v>
      </x:c>
    </x:row>
    <x:row r="2246" ht="72" customHeight="1">
      <x:c r="A2246" s="14" t="str">
        <x:v>S07-01:B:burst0_device</x:v>
      </x:c>
      <x:c r="B2246" s="14" t="str">
        <x:v>B</x:v>
      </x:c>
      <x:c r="C2246" s="14" t="str">
        <x:v>burst0_device</x:v>
      </x:c>
      <x:c r="D2246" s="14" t="n">
        <x:v>1.270666666</x:v>
      </x:c>
      <x:c r="E2246" s="14" t="n">
        <x:v>1.310666666</x:v>
      </x:c>
      <x:c r="F2246" s="14" t="n">
        <x:v>0.04</x:v>
      </x:c>
      <x:c r="G2246" s="17" t="n">
        <x:v>1</x:v>
      </x:c>
      <x:c r="H2246" s="14" t="str">
        <x:v>S07-01:B:apply_relation
S07-01:B:calendar_first</x:v>
      </x:c>
    </x:row>
    <x:row r="2247" ht="72" customHeight="1">
      <x:c r="A2247" s="14" t="str">
        <x:v>S07-01:B:burst0_played</x:v>
      </x:c>
      <x:c r="B2247" s="14" t="str">
        <x:v>B</x:v>
      </x:c>
      <x:c r="C2247" s="14" t="str">
        <x:v>burst0_played</x:v>
      </x:c>
      <x:c r="D2247" s="14" t="n">
        <x:v>1.310666666</x:v>
      </x:c>
      <x:c r="E2247" s="14" t="n">
        <x:v>4.256666666</x:v>
      </x:c>
      <x:c r="F2247" s="14" t="n">
        <x:v>2.946</x:v>
      </x:c>
      <x:c r="G2247" s="17" t="n">
        <x:v>0</x:v>
      </x:c>
      <x:c r="H2247" s="14" t="str">
        <x:v>S07-01:B:burst0_device</x:v>
      </x:c>
    </x:row>
    <x:row r="2248" ht="72" customHeight="1">
      <x:c r="A2248" s="14" t="str">
        <x:v>S07-01:B:mail_first</x:v>
      </x:c>
      <x:c r="B2248" s="14" t="str">
        <x:v>B</x:v>
      </x:c>
      <x:c r="C2248" s="14" t="str">
        <x:v>mail_first</x:v>
      </x:c>
      <x:c r="D2248" s="14" t="n">
        <x:v>4.256666666</x:v>
      </x:c>
      <x:c r="E2248" s="14" t="n">
        <x:v>4.662666666</x:v>
      </x:c>
      <x:c r="F2248" s="14" t="n">
        <x:v>0.406</x:v>
      </x:c>
      <x:c r="G2248" s="17" t="n">
        <x:v>1</x:v>
      </x:c>
      <x:c r="H2248" s="14" t="str">
        <x:v>S07-01:B:burst0_played</x:v>
      </x:c>
    </x:row>
    <x:row r="2249" ht="72" customHeight="1">
      <x:c r="A2249" s="14" t="str">
        <x:v>S07-01:B:mail_tail</x:v>
      </x:c>
      <x:c r="B2249" s="14" t="str">
        <x:v>B</x:v>
      </x:c>
      <x:c r="C2249" s="14" t="str">
        <x:v>mail_tail</x:v>
      </x:c>
      <x:c r="D2249" s="14" t="n">
        <x:v>4.662666666</x:v>
      </x:c>
      <x:c r="E2249" s="14" t="n">
        <x:v>5.599166666</x:v>
      </x:c>
      <x:c r="F2249" s="14" t="n">
        <x:v>0.9365</x:v>
      </x:c>
      <x:c r="G2249" s="17" t="n">
        <x:v>1</x:v>
      </x:c>
      <x:c r="H2249" s="14" t="str">
        <x:v>S07-01:B:mail_first</x:v>
      </x:c>
    </x:row>
    <x:row r="2250" ht="72" customHeight="1">
      <x:c r="A2250" s="14" t="str">
        <x:v>S07-01:B:burst1_device</x:v>
      </x:c>
      <x:c r="B2250" s="14" t="str">
        <x:v>B</x:v>
      </x:c>
      <x:c r="C2250" s="14" t="str">
        <x:v>burst1_device</x:v>
      </x:c>
      <x:c r="D2250" s="14" t="n">
        <x:v>4.662666666</x:v>
      </x:c>
      <x:c r="E2250" s="14" t="n">
        <x:v>4.702666666</x:v>
      </x:c>
      <x:c r="F2250" s="14" t="n">
        <x:v>0.04</x:v>
      </x:c>
      <x:c r="G2250" s="17" t="n">
        <x:v>1</x:v>
      </x:c>
      <x:c r="H2250" s="14" t="str">
        <x:v>S07-01:B:burst0_played
S07-01:B:mail_first</x:v>
      </x:c>
    </x:row>
    <x:row r="2251" ht="72" customHeight="1">
      <x:c r="A2251" s="14" t="str">
        <x:v>S07-01:B:burst1_played</x:v>
      </x:c>
      <x:c r="B2251" s="14" t="str">
        <x:v>B</x:v>
      </x:c>
      <x:c r="C2251" s="14" t="str">
        <x:v>burst1_played</x:v>
      </x:c>
      <x:c r="D2251" s="14" t="n">
        <x:v>4.702666666</x:v>
      </x:c>
      <x:c r="E2251" s="14" t="n">
        <x:v>8.648666666</x:v>
      </x:c>
      <x:c r="F2251" s="14" t="n">
        <x:v>3.946</x:v>
      </x:c>
      <x:c r="G2251" s="17" t="n">
        <x:v>0</x:v>
      </x:c>
      <x:c r="H2251" s="14" t="str">
        <x:v>S07-01:B:burst1_device</x:v>
      </x:c>
    </x:row>
    <x:row r="2252" ht="72" customHeight="1">
      <x:c r="A2252" s="14" t="str">
        <x:v>S07-01:B:report_first</x:v>
      </x:c>
      <x:c r="B2252" s="14" t="str">
        <x:v>B</x:v>
      </x:c>
      <x:c r="C2252" s="14" t="str">
        <x:v>report_first</x:v>
      </x:c>
      <x:c r="D2252" s="14" t="n">
        <x:v>8.648666666</x:v>
      </x:c>
      <x:c r="E2252" s="14" t="n">
        <x:v>9.058666666</x:v>
      </x:c>
      <x:c r="F2252" s="14" t="n">
        <x:v>0.41</x:v>
      </x:c>
      <x:c r="G2252" s="17" t="n">
        <x:v>1</x:v>
      </x:c>
      <x:c r="H2252" s="14" t="str">
        <x:v>S07-01:B:burst1_played</x:v>
      </x:c>
    </x:row>
    <x:row r="2253" ht="72" customHeight="1">
      <x:c r="A2253" s="14" t="str">
        <x:v>S07-01:B:report_tail</x:v>
      </x:c>
      <x:c r="B2253" s="14" t="str">
        <x:v>B</x:v>
      </x:c>
      <x:c r="C2253" s="14" t="str">
        <x:v>report_tail</x:v>
      </x:c>
      <x:c r="D2253" s="14" t="n">
        <x:v>9.058666666</x:v>
      </x:c>
      <x:c r="E2253" s="14" t="n">
        <x:v>10.745166666</x:v>
      </x:c>
      <x:c r="F2253" s="14" t="n">
        <x:v>1.6865</x:v>
      </x:c>
      <x:c r="G2253" s="17" t="n">
        <x:v>1</x:v>
      </x:c>
      <x:c r="H2253" s="14" t="str">
        <x:v>S07-01:B:report_first</x:v>
      </x:c>
    </x:row>
    <x:row r="2254" ht="72" customHeight="1">
      <x:c r="A2254" s="14" t="str">
        <x:v>S07-01:B:burst2_device</x:v>
      </x:c>
      <x:c r="B2254" s="14" t="str">
        <x:v>B</x:v>
      </x:c>
      <x:c r="C2254" s="14" t="str">
        <x:v>burst2_device</x:v>
      </x:c>
      <x:c r="D2254" s="14" t="n">
        <x:v>9.058666666</x:v>
      </x:c>
      <x:c r="E2254" s="14" t="n">
        <x:v>9.098666666</x:v>
      </x:c>
      <x:c r="F2254" s="14" t="n">
        <x:v>0.04</x:v>
      </x:c>
      <x:c r="G2254" s="17" t="n">
        <x:v>1</x:v>
      </x:c>
      <x:c r="H2254" s="14" t="str">
        <x:v>S07-01:B:burst1_played
S07-01:B:report_first</x:v>
      </x:c>
    </x:row>
    <x:row r="2255" ht="72" customHeight="1">
      <x:c r="A2255" s="14" t="str">
        <x:v>S07-01:B:burst2_played</x:v>
      </x:c>
      <x:c r="B2255" s="14" t="str">
        <x:v>B</x:v>
      </x:c>
      <x:c r="C2255" s="14" t="str">
        <x:v>burst2_played</x:v>
      </x:c>
      <x:c r="D2255" s="14" t="n">
        <x:v>9.098666666</x:v>
      </x:c>
      <x:c r="E2255" s="14" t="n">
        <x:v>16.044666666</x:v>
      </x:c>
      <x:c r="F2255" s="14" t="n">
        <x:v>6.946</x:v>
      </x:c>
      <x:c r="G2255" s="17" t="n">
        <x:v>0</x:v>
      </x:c>
      <x:c r="H2255" s="14" t="str">
        <x:v>S07-01:B:burst2_device</x:v>
      </x:c>
    </x:row>
    <x:row r="2256" ht="72" customHeight="1">
      <x:c r="A2256" s="14" t="str">
        <x:v>S07-02:A:origin</x:v>
      </x:c>
      <x:c r="B2256" s="14" t="str">
        <x:v>A</x:v>
      </x:c>
      <x:c r="C2256" s="14" t="str">
        <x:v>origin</x:v>
      </x:c>
      <x:c r="D2256" s="14" t="n">
        <x:v>-6</x:v>
      </x:c>
      <x:c r="E2256" s="14" t="n">
        <x:v>-6</x:v>
      </x:c>
      <x:c r="F2256" s="14" t="n">
        <x:v>0</x:v>
      </x:c>
      <x:c r="G2256" s="17" t="n">
        <x:v>0</x:v>
      </x:c>
      <x:c r="H2256" s="14" t="str"/>
    </x:row>
    <x:row r="2257" ht="72" customHeight="1">
      <x:c r="A2257" s="14" t="str">
        <x:v>S07-02:A:origin_interpretation</x:v>
      </x:c>
      <x:c r="B2257" s="14" t="str">
        <x:v>A</x:v>
      </x:c>
      <x:c r="C2257" s="14" t="str">
        <x:v>origin_interpretation</x:v>
      </x:c>
      <x:c r="D2257" s="14" t="n">
        <x:v>-6</x:v>
      </x:c>
      <x:c r="E2257" s="14" t="n">
        <x:v>-5.16</x:v>
      </x:c>
      <x:c r="F2257" s="14" t="n">
        <x:v>0.84</x:v>
      </x:c>
      <x:c r="G2257" s="17" t="n">
        <x:v>1</x:v>
      </x:c>
      <x:c r="H2257" s="14" t="str">
        <x:v>S07-02:A:origin</x:v>
      </x:c>
    </x:row>
    <x:row r="2258" ht="72" customHeight="1">
      <x:c r="A2258" s="14" t="str">
        <x:v>S07-02:A:original_handoff</x:v>
      </x:c>
      <x:c r="B2258" s="14" t="str">
        <x:v>A</x:v>
      </x:c>
      <x:c r="C2258" s="14" t="str">
        <x:v>original_handoff</x:v>
      </x:c>
      <x:c r="D2258" s="14" t="n">
        <x:v>-5.16</x:v>
      </x:c>
      <x:c r="E2258" s="14" t="n">
        <x:v>-5.04</x:v>
      </x:c>
      <x:c r="F2258" s="14" t="n">
        <x:v>0.12</x:v>
      </x:c>
      <x:c r="G2258" s="17" t="n">
        <x:v>1</x:v>
      </x:c>
      <x:c r="H2258" s="14" t="str">
        <x:v>S07-02:A:origin_interpretation</x:v>
      </x:c>
    </x:row>
    <x:row r="2259" ht="72" customHeight="1">
      <x:c r="A2259" s="14" t="str">
        <x:v>S07-02:A:evaluation_utterance_end</x:v>
      </x:c>
      <x:c r="B2259" s="14" t="str">
        <x:v>A</x:v>
      </x:c>
      <x:c r="C2259" s="14" t="str">
        <x:v>evaluation_utterance_end</x:v>
      </x:c>
      <x:c r="D2259" s="14" t="n">
        <x:v>-6</x:v>
      </x:c>
      <x:c r="E2259" s="14" t="n">
        <x:v>0</x:v>
      </x:c>
      <x:c r="F2259" s="14" t="n">
        <x:v>6</x:v>
      </x:c>
      <x:c r="G2259" s="17" t="n">
        <x:v>0</x:v>
      </x:c>
      <x:c r="H2259" s="14" t="str">
        <x:v>S07-02:A:origin</x:v>
      </x:c>
    </x:row>
    <x:row r="2260" ht="72" customHeight="1">
      <x:c r="A2260" s="14" t="str">
        <x:v>S07-02:A:final_transcript</x:v>
      </x:c>
      <x:c r="B2260" s="14" t="str">
        <x:v>A</x:v>
      </x:c>
      <x:c r="C2260" s="14" t="str">
        <x:v>final_transcript</x:v>
      </x:c>
      <x:c r="D2260" s="14" t="n">
        <x:v>0</x:v>
      </x:c>
      <x:c r="E2260" s="14" t="n">
        <x:v>0.3</x:v>
      </x:c>
      <x:c r="F2260" s="14" t="n">
        <x:v>0.3</x:v>
      </x:c>
      <x:c r="G2260" s="17" t="n">
        <x:v>1</x:v>
      </x:c>
      <x:c r="H2260" s="14" t="str">
        <x:v>S07-02:A:evaluation_utterance_end</x:v>
      </x:c>
    </x:row>
    <x:row r="2261" ht="72" customHeight="1">
      <x:c r="A2261" s="14" t="str">
        <x:v>S07-02:A:meaning_adoption</x:v>
      </x:c>
      <x:c r="B2261" s="14" t="str">
        <x:v>A</x:v>
      </x:c>
      <x:c r="C2261" s="14" t="str">
        <x:v>meaning_adoption</x:v>
      </x:c>
      <x:c r="D2261" s="14" t="n">
        <x:v>0.3</x:v>
      </x:c>
      <x:c r="E2261" s="14" t="n">
        <x:v>0.856666667</x:v>
      </x:c>
      <x:c r="F2261" s="14" t="n">
        <x:v>0.556666667</x:v>
      </x:c>
      <x:c r="G2261" s="17" t="n">
        <x:v>1</x:v>
      </x:c>
      <x:c r="H2261" s="14" t="str">
        <x:v>S07-02:A:final_transcript
S07-02:A:origin_interpretation</x:v>
      </x:c>
    </x:row>
    <x:row r="2262" ht="72" customHeight="1">
      <x:c r="A2262" s="14" t="str">
        <x:v>S07-02:A:apply_relation</x:v>
      </x:c>
      <x:c r="B2262" s="14" t="str">
        <x:v>A</x:v>
      </x:c>
      <x:c r="C2262" s="14" t="str">
        <x:v>apply_relation</x:v>
      </x:c>
      <x:c r="D2262" s="14" t="n">
        <x:v>0.856666667</x:v>
      </x:c>
      <x:c r="E2262" s="14" t="n">
        <x:v>0.896666667</x:v>
      </x:c>
      <x:c r="F2262" s="14" t="n">
        <x:v>0.04</x:v>
      </x:c>
      <x:c r="G2262" s="17" t="n">
        <x:v>1</x:v>
      </x:c>
      <x:c r="H2262" s="14" t="str">
        <x:v>S07-02:A:meaning_adoption</x:v>
      </x:c>
    </x:row>
    <x:row r="2263" ht="72" customHeight="1">
      <x:c r="A2263" s="14" t="str">
        <x:v>S07-02:A:evaluation_first_display</x:v>
      </x:c>
      <x:c r="B2263" s="14" t="str">
        <x:v>A</x:v>
      </x:c>
      <x:c r="C2263" s="14" t="str">
        <x:v>evaluation_first_display</x:v>
      </x:c>
      <x:c r="D2263" s="14" t="n">
        <x:v>0.896666667</x:v>
      </x:c>
      <x:c r="E2263" s="14" t="n">
        <x:v>0.936666667</x:v>
      </x:c>
      <x:c r="F2263" s="14" t="n">
        <x:v>0.04</x:v>
      </x:c>
      <x:c r="G2263" s="17" t="n">
        <x:v>1</x:v>
      </x:c>
      <x:c r="H2263" s="14" t="str">
        <x:v>S07-02:A:apply_relation</x:v>
      </x:c>
    </x:row>
    <x:row r="2264" ht="72" customHeight="1">
      <x:c r="A2264" s="14" t="str">
        <x:v>S07-02:A:source_calendar</x:v>
      </x:c>
      <x:c r="B2264" s="14" t="str">
        <x:v>A</x:v>
      </x:c>
      <x:c r="C2264" s="14" t="str">
        <x:v>source_calendar</x:v>
      </x:c>
      <x:c r="D2264" s="14" t="n">
        <x:v>-5.04</x:v>
      </x:c>
      <x:c r="E2264" s="14" t="n">
        <x:v>-1.4</x:v>
      </x:c>
      <x:c r="F2264" s="14" t="n">
        <x:v>3.64</x:v>
      </x:c>
      <x:c r="G2264" s="17" t="n">
        <x:v>0</x:v>
      </x:c>
      <x:c r="H2264" s="14" t="str">
        <x:v>S07-02:A:original_handoff</x:v>
      </x:c>
    </x:row>
    <x:row r="2265" ht="72" customHeight="1">
      <x:c r="A2265" s="14" t="str">
        <x:v>S07-02:A:display_calendar</x:v>
      </x:c>
      <x:c r="B2265" s="14" t="str">
        <x:v>A</x:v>
      </x:c>
      <x:c r="C2265" s="14" t="str">
        <x:v>display_calendar</x:v>
      </x:c>
      <x:c r="D2265" s="14" t="n">
        <x:v>-1.4</x:v>
      </x:c>
      <x:c r="E2265" s="14" t="n">
        <x:v>-1.36</x:v>
      </x:c>
      <x:c r="F2265" s="14" t="n">
        <x:v>0.04</x:v>
      </x:c>
      <x:c r="G2265" s="17" t="n">
        <x:v>1</x:v>
      </x:c>
      <x:c r="H2265" s="14" t="str">
        <x:v>S07-02:A:source_calendar</x:v>
      </x:c>
    </x:row>
    <x:row r="2266" ht="72" customHeight="1">
      <x:c r="A2266" s="14" t="str">
        <x:v>S07-02:A:source_mail</x:v>
      </x:c>
      <x:c r="B2266" s="14" t="str">
        <x:v>A</x:v>
      </x:c>
      <x:c r="C2266" s="14" t="str">
        <x:v>source_mail</x:v>
      </x:c>
      <x:c r="D2266" s="14" t="n">
        <x:v>-5.04</x:v>
      </x:c>
      <x:c r="E2266" s="14" t="n">
        <x:v>-1.2</x:v>
      </x:c>
      <x:c r="F2266" s="14" t="n">
        <x:v>3.84</x:v>
      </x:c>
      <x:c r="G2266" s="17" t="n">
        <x:v>0</x:v>
      </x:c>
      <x:c r="H2266" s="14" t="str">
        <x:v>S07-02:A:original_handoff</x:v>
      </x:c>
    </x:row>
    <x:row r="2267" ht="72" customHeight="1">
      <x:c r="A2267" s="14" t="str">
        <x:v>S07-02:A:display_mail</x:v>
      </x:c>
      <x:c r="B2267" s="14" t="str">
        <x:v>A</x:v>
      </x:c>
      <x:c r="C2267" s="14" t="str">
        <x:v>display_mail</x:v>
      </x:c>
      <x:c r="D2267" s="14" t="n">
        <x:v>-1.2</x:v>
      </x:c>
      <x:c r="E2267" s="14" t="n">
        <x:v>-1.16</x:v>
      </x:c>
      <x:c r="F2267" s="14" t="n">
        <x:v>0.04</x:v>
      </x:c>
      <x:c r="G2267" s="17" t="n">
        <x:v>1</x:v>
      </x:c>
      <x:c r="H2267" s="14" t="str">
        <x:v>S07-02:A:source_mail</x:v>
      </x:c>
    </x:row>
    <x:row r="2268" ht="72" customHeight="1">
      <x:c r="A2268" s="14" t="str">
        <x:v>S07-02:A:source_report</x:v>
      </x:c>
      <x:c r="B2268" s="14" t="str">
        <x:v>A</x:v>
      </x:c>
      <x:c r="C2268" s="14" t="str">
        <x:v>source_report</x:v>
      </x:c>
      <x:c r="D2268" s="14" t="n">
        <x:v>-5.04</x:v>
      </x:c>
      <x:c r="E2268" s="14" t="n">
        <x:v>-0.9</x:v>
      </x:c>
      <x:c r="F2268" s="14" t="n">
        <x:v>4.14</x:v>
      </x:c>
      <x:c r="G2268" s="17" t="n">
        <x:v>0</x:v>
      </x:c>
      <x:c r="H2268" s="14" t="str">
        <x:v>S07-02:A:original_handoff</x:v>
      </x:c>
    </x:row>
    <x:row r="2269" ht="72" customHeight="1">
      <x:c r="A2269" s="14" t="str">
        <x:v>S07-02:A:display_report</x:v>
      </x:c>
      <x:c r="B2269" s="14" t="str">
        <x:v>A</x:v>
      </x:c>
      <x:c r="C2269" s="14" t="str">
        <x:v>display_report</x:v>
      </x:c>
      <x:c r="D2269" s="14" t="n">
        <x:v>-0.9</x:v>
      </x:c>
      <x:c r="E2269" s="14" t="n">
        <x:v>-0.86</x:v>
      </x:c>
      <x:c r="F2269" s="14" t="n">
        <x:v>0.04</x:v>
      </x:c>
      <x:c r="G2269" s="17" t="n">
        <x:v>1</x:v>
      </x:c>
      <x:c r="H2269" s="14" t="str">
        <x:v>S07-02:A:source_report</x:v>
      </x:c>
    </x:row>
    <x:row r="2270" ht="72" customHeight="1">
      <x:c r="A2270" s="14" t="str">
        <x:v>S07-02:A:calendar_first</x:v>
      </x:c>
      <x:c r="B2270" s="14" t="str">
        <x:v>A</x:v>
      </x:c>
      <x:c r="C2270" s="14" t="str">
        <x:v>calendar_first</x:v>
      </x:c>
      <x:c r="D2270" s="14" t="n">
        <x:v>-1.4</x:v>
      </x:c>
      <x:c r="E2270" s="14" t="n">
        <x:v>-0.997666667</x:v>
      </x:c>
      <x:c r="F2270" s="14" t="n">
        <x:v>0.402333333</x:v>
      </x:c>
      <x:c r="G2270" s="17" t="n">
        <x:v>1</x:v>
      </x:c>
      <x:c r="H2270" s="14" t="str">
        <x:v>S07-02:A:source_calendar</x:v>
      </x:c>
    </x:row>
    <x:row r="2271" ht="72" customHeight="1">
      <x:c r="A2271" s="14" t="str">
        <x:v>S07-02:A:calendar_tail</x:v>
      </x:c>
      <x:c r="B2271" s="14" t="str">
        <x:v>A</x:v>
      </x:c>
      <x:c r="C2271" s="14" t="str">
        <x:v>calendar_tail</x:v>
      </x:c>
      <x:c r="D2271" s="14" t="n">
        <x:v>-0.997666667</x:v>
      </x:c>
      <x:c r="E2271" s="14" t="n">
        <x:v>-0.308166667</x:v>
      </x:c>
      <x:c r="F2271" s="14" t="n">
        <x:v>0.6895</x:v>
      </x:c>
      <x:c r="G2271" s="17" t="n">
        <x:v>1</x:v>
      </x:c>
      <x:c r="H2271" s="14" t="str">
        <x:v>S07-02:A:calendar_first</x:v>
      </x:c>
    </x:row>
    <x:row r="2272" ht="72" customHeight="1">
      <x:c r="A2272" s="14" t="str">
        <x:v>S07-02:A:burst0_device</x:v>
      </x:c>
      <x:c r="B2272" s="14" t="str">
        <x:v>A</x:v>
      </x:c>
      <x:c r="C2272" s="14" t="str">
        <x:v>burst0_device</x:v>
      </x:c>
      <x:c r="D2272" s="14" t="n">
        <x:v>0.896666667</x:v>
      </x:c>
      <x:c r="E2272" s="14" t="n">
        <x:v>0.936666667</x:v>
      </x:c>
      <x:c r="F2272" s="14" t="n">
        <x:v>0.04</x:v>
      </x:c>
      <x:c r="G2272" s="17" t="n">
        <x:v>1</x:v>
      </x:c>
      <x:c r="H2272" s="14" t="str">
        <x:v>S07-02:A:apply_relation
S07-02:A:calendar_first</x:v>
      </x:c>
    </x:row>
    <x:row r="2273" ht="72" customHeight="1">
      <x:c r="A2273" s="14" t="str">
        <x:v>S07-02:A:burst0_played</x:v>
      </x:c>
      <x:c r="B2273" s="14" t="str">
        <x:v>A</x:v>
      </x:c>
      <x:c r="C2273" s="14" t="str">
        <x:v>burst0_played</x:v>
      </x:c>
      <x:c r="D2273" s="14" t="n">
        <x:v>0.936666667</x:v>
      </x:c>
      <x:c r="E2273" s="14" t="n">
        <x:v>3.894666667</x:v>
      </x:c>
      <x:c r="F2273" s="14" t="n">
        <x:v>2.958</x:v>
      </x:c>
      <x:c r="G2273" s="17" t="n">
        <x:v>0</x:v>
      </x:c>
      <x:c r="H2273" s="14" t="str">
        <x:v>S07-02:A:burst0_device</x:v>
      </x:c>
    </x:row>
    <x:row r="2274" ht="72" customHeight="1">
      <x:c r="A2274" s="14" t="str">
        <x:v>S07-02:A:mail_first</x:v>
      </x:c>
      <x:c r="B2274" s="14" t="str">
        <x:v>A</x:v>
      </x:c>
      <x:c r="C2274" s="14" t="str">
        <x:v>mail_first</x:v>
      </x:c>
      <x:c r="D2274" s="14" t="n">
        <x:v>-1.2</x:v>
      </x:c>
      <x:c r="E2274" s="14" t="n">
        <x:v>-0.794</x:v>
      </x:c>
      <x:c r="F2274" s="14" t="n">
        <x:v>0.406</x:v>
      </x:c>
      <x:c r="G2274" s="17" t="n">
        <x:v>1</x:v>
      </x:c>
      <x:c r="H2274" s="14" t="str">
        <x:v>S07-02:A:source_mail</x:v>
      </x:c>
    </x:row>
    <x:row r="2275" ht="72" customHeight="1">
      <x:c r="A2275" s="14" t="str">
        <x:v>S07-02:A:mail_tail</x:v>
      </x:c>
      <x:c r="B2275" s="14" t="str">
        <x:v>A</x:v>
      </x:c>
      <x:c r="C2275" s="14" t="str">
        <x:v>mail_tail</x:v>
      </x:c>
      <x:c r="D2275" s="14" t="n">
        <x:v>-0.794</x:v>
      </x:c>
      <x:c r="E2275" s="14" t="n">
        <x:v>0.1455</x:v>
      </x:c>
      <x:c r="F2275" s="14" t="n">
        <x:v>0.9395</x:v>
      </x:c>
      <x:c r="G2275" s="17" t="n">
        <x:v>1</x:v>
      </x:c>
      <x:c r="H2275" s="14" t="str">
        <x:v>S07-02:A:mail_first</x:v>
      </x:c>
    </x:row>
    <x:row r="2276" ht="72" customHeight="1">
      <x:c r="A2276" s="14" t="str">
        <x:v>S07-02:A:burst1_device</x:v>
      </x:c>
      <x:c r="B2276" s="14" t="str">
        <x:v>A</x:v>
      </x:c>
      <x:c r="C2276" s="14" t="str">
        <x:v>burst1_device</x:v>
      </x:c>
      <x:c r="D2276" s="14" t="n">
        <x:v>3.894666667</x:v>
      </x:c>
      <x:c r="E2276" s="14" t="n">
        <x:v>3.934666667</x:v>
      </x:c>
      <x:c r="F2276" s="14" t="n">
        <x:v>0.04</x:v>
      </x:c>
      <x:c r="G2276" s="17" t="n">
        <x:v>1</x:v>
      </x:c>
      <x:c r="H2276" s="14" t="str">
        <x:v>S07-02:A:burst0_played
S07-02:A:mail_first</x:v>
      </x:c>
    </x:row>
    <x:row r="2277" ht="72" customHeight="1">
      <x:c r="A2277" s="14" t="str">
        <x:v>S07-02:A:burst1_played</x:v>
      </x:c>
      <x:c r="B2277" s="14" t="str">
        <x:v>A</x:v>
      </x:c>
      <x:c r="C2277" s="14" t="str">
        <x:v>burst1_played</x:v>
      </x:c>
      <x:c r="D2277" s="14" t="n">
        <x:v>3.934666667</x:v>
      </x:c>
      <x:c r="E2277" s="14" t="n">
        <x:v>7.892666667</x:v>
      </x:c>
      <x:c r="F2277" s="14" t="n">
        <x:v>3.958</x:v>
      </x:c>
      <x:c r="G2277" s="17" t="n">
        <x:v>0</x:v>
      </x:c>
      <x:c r="H2277" s="14" t="str">
        <x:v>S07-02:A:burst1_device</x:v>
      </x:c>
    </x:row>
    <x:row r="2278" ht="72" customHeight="1">
      <x:c r="A2278" s="14" t="str">
        <x:v>S07-02:A:report_first</x:v>
      </x:c>
      <x:c r="B2278" s="14" t="str">
        <x:v>A</x:v>
      </x:c>
      <x:c r="C2278" s="14" t="str">
        <x:v>report_first</x:v>
      </x:c>
      <x:c r="D2278" s="14" t="n">
        <x:v>-0.9</x:v>
      </x:c>
      <x:c r="E2278" s="14" t="n">
        <x:v>-0.49</x:v>
      </x:c>
      <x:c r="F2278" s="14" t="n">
        <x:v>0.41</x:v>
      </x:c>
      <x:c r="G2278" s="17" t="n">
        <x:v>1</x:v>
      </x:c>
      <x:c r="H2278" s="14" t="str">
        <x:v>S07-02:A:source_report</x:v>
      </x:c>
    </x:row>
    <x:row r="2279" ht="72" customHeight="1">
      <x:c r="A2279" s="14" t="str">
        <x:v>S07-02:A:report_tail</x:v>
      </x:c>
      <x:c r="B2279" s="14" t="str">
        <x:v>A</x:v>
      </x:c>
      <x:c r="C2279" s="14" t="str">
        <x:v>report_tail</x:v>
      </x:c>
      <x:c r="D2279" s="14" t="n">
        <x:v>-0.49</x:v>
      </x:c>
      <x:c r="E2279" s="14" t="n">
        <x:v>1.1995</x:v>
      </x:c>
      <x:c r="F2279" s="14" t="n">
        <x:v>1.6895</x:v>
      </x:c>
      <x:c r="G2279" s="17" t="n">
        <x:v>1</x:v>
      </x:c>
      <x:c r="H2279" s="14" t="str">
        <x:v>S07-02:A:report_first</x:v>
      </x:c>
    </x:row>
    <x:row r="2280" ht="72" customHeight="1">
      <x:c r="A2280" s="14" t="str">
        <x:v>S07-02:A:burst2_device</x:v>
      </x:c>
      <x:c r="B2280" s="14" t="str">
        <x:v>A</x:v>
      </x:c>
      <x:c r="C2280" s="14" t="str">
        <x:v>burst2_device</x:v>
      </x:c>
      <x:c r="D2280" s="14" t="n">
        <x:v>7.892666667</x:v>
      </x:c>
      <x:c r="E2280" s="14" t="n">
        <x:v>7.932666667</x:v>
      </x:c>
      <x:c r="F2280" s="14" t="n">
        <x:v>0.04</x:v>
      </x:c>
      <x:c r="G2280" s="17" t="n">
        <x:v>1</x:v>
      </x:c>
      <x:c r="H2280" s="14" t="str">
        <x:v>S07-02:A:burst1_played
S07-02:A:report_first</x:v>
      </x:c>
    </x:row>
    <x:row r="2281" ht="72" customHeight="1">
      <x:c r="A2281" s="14" t="str">
        <x:v>S07-02:A:burst2_played</x:v>
      </x:c>
      <x:c r="B2281" s="14" t="str">
        <x:v>A</x:v>
      </x:c>
      <x:c r="C2281" s="14" t="str">
        <x:v>burst2_played</x:v>
      </x:c>
      <x:c r="D2281" s="14" t="n">
        <x:v>7.932666667</x:v>
      </x:c>
      <x:c r="E2281" s="14" t="n">
        <x:v>14.890666667</x:v>
      </x:c>
      <x:c r="F2281" s="14" t="n">
        <x:v>6.958</x:v>
      </x:c>
      <x:c r="G2281" s="17" t="n">
        <x:v>0</x:v>
      </x:c>
      <x:c r="H2281" s="14" t="str">
        <x:v>S07-02:A:burst2_device</x:v>
      </x:c>
    </x:row>
    <x:row r="2282" ht="72" customHeight="1">
      <x:c r="A2282" s="14" t="str">
        <x:v>S07-02:B:origin</x:v>
      </x:c>
      <x:c r="B2282" s="14" t="str">
        <x:v>B</x:v>
      </x:c>
      <x:c r="C2282" s="14" t="str">
        <x:v>origin</x:v>
      </x:c>
      <x:c r="D2282" s="14" t="n">
        <x:v>-6</x:v>
      </x:c>
      <x:c r="E2282" s="14" t="n">
        <x:v>-6</x:v>
      </x:c>
      <x:c r="F2282" s="14" t="n">
        <x:v>0</x:v>
      </x:c>
      <x:c r="G2282" s="17" t="n">
        <x:v>0</x:v>
      </x:c>
      <x:c r="H2282" s="14" t="str"/>
    </x:row>
    <x:row r="2283" ht="72" customHeight="1">
      <x:c r="A2283" s="14" t="str">
        <x:v>S07-02:B:origin_interpretation</x:v>
      </x:c>
      <x:c r="B2283" s="14" t="str">
        <x:v>B</x:v>
      </x:c>
      <x:c r="C2283" s="14" t="str">
        <x:v>origin_interpretation</x:v>
      </x:c>
      <x:c r="D2283" s="14" t="n">
        <x:v>-6</x:v>
      </x:c>
      <x:c r="E2283" s="14" t="n">
        <x:v>-5.16</x:v>
      </x:c>
      <x:c r="F2283" s="14" t="n">
        <x:v>0.84</x:v>
      </x:c>
      <x:c r="G2283" s="17" t="n">
        <x:v>1</x:v>
      </x:c>
      <x:c r="H2283" s="14" t="str">
        <x:v>S07-02:B:origin</x:v>
      </x:c>
    </x:row>
    <x:row r="2284" ht="72" customHeight="1">
      <x:c r="A2284" s="14" t="str">
        <x:v>S07-02:B:original_handoff</x:v>
      </x:c>
      <x:c r="B2284" s="14" t="str">
        <x:v>B</x:v>
      </x:c>
      <x:c r="C2284" s="14" t="str">
        <x:v>original_handoff</x:v>
      </x:c>
      <x:c r="D2284" s="14" t="n">
        <x:v>-5.16</x:v>
      </x:c>
      <x:c r="E2284" s="14" t="n">
        <x:v>-5.04</x:v>
      </x:c>
      <x:c r="F2284" s="14" t="n">
        <x:v>0.12</x:v>
      </x:c>
      <x:c r="G2284" s="17" t="n">
        <x:v>1</x:v>
      </x:c>
      <x:c r="H2284" s="14" t="str">
        <x:v>S07-02:B:origin_interpretation</x:v>
      </x:c>
    </x:row>
    <x:row r="2285" ht="72" customHeight="1">
      <x:c r="A2285" s="14" t="str">
        <x:v>S07-02:B:evaluation_utterance_end</x:v>
      </x:c>
      <x:c r="B2285" s="14" t="str">
        <x:v>B</x:v>
      </x:c>
      <x:c r="C2285" s="14" t="str">
        <x:v>evaluation_utterance_end</x:v>
      </x:c>
      <x:c r="D2285" s="14" t="n">
        <x:v>-6</x:v>
      </x:c>
      <x:c r="E2285" s="14" t="n">
        <x:v>0</x:v>
      </x:c>
      <x:c r="F2285" s="14" t="n">
        <x:v>6</x:v>
      </x:c>
      <x:c r="G2285" s="17" t="n">
        <x:v>0</x:v>
      </x:c>
      <x:c r="H2285" s="14" t="str">
        <x:v>S07-02:B:origin</x:v>
      </x:c>
    </x:row>
    <x:row r="2286" ht="72" customHeight="1">
      <x:c r="A2286" s="14" t="str">
        <x:v>S07-02:B:final_transcript</x:v>
      </x:c>
      <x:c r="B2286" s="14" t="str">
        <x:v>B</x:v>
      </x:c>
      <x:c r="C2286" s="14" t="str">
        <x:v>final_transcript</x:v>
      </x:c>
      <x:c r="D2286" s="14" t="n">
        <x:v>0</x:v>
      </x:c>
      <x:c r="E2286" s="14" t="n">
        <x:v>0.3</x:v>
      </x:c>
      <x:c r="F2286" s="14" t="n">
        <x:v>0.3</x:v>
      </x:c>
      <x:c r="G2286" s="17" t="n">
        <x:v>1</x:v>
      </x:c>
      <x:c r="H2286" s="14" t="str">
        <x:v>S07-02:B:evaluation_utterance_end</x:v>
      </x:c>
    </x:row>
    <x:row r="2287" ht="72" customHeight="1">
      <x:c r="A2287" s="14" t="str">
        <x:v>S07-02:B:meaning_adoption</x:v>
      </x:c>
      <x:c r="B2287" s="14" t="str">
        <x:v>B</x:v>
      </x:c>
      <x:c r="C2287" s="14" t="str">
        <x:v>meaning_adoption</x:v>
      </x:c>
      <x:c r="D2287" s="14" t="n">
        <x:v>0.3</x:v>
      </x:c>
      <x:c r="E2287" s="14" t="n">
        <x:v>0.856666667</x:v>
      </x:c>
      <x:c r="F2287" s="14" t="n">
        <x:v>0.556666667</x:v>
      </x:c>
      <x:c r="G2287" s="17" t="n">
        <x:v>1</x:v>
      </x:c>
      <x:c r="H2287" s="14" t="str">
        <x:v>S07-02:B:final_transcript
S07-02:B:origin_interpretation</x:v>
      </x:c>
    </x:row>
    <x:row r="2288" ht="72" customHeight="1">
      <x:c r="A2288" s="14" t="str">
        <x:v>S07-02:B:apply_relation</x:v>
      </x:c>
      <x:c r="B2288" s="14" t="str">
        <x:v>B</x:v>
      </x:c>
      <x:c r="C2288" s="14" t="str">
        <x:v>apply_relation</x:v>
      </x:c>
      <x:c r="D2288" s="14" t="n">
        <x:v>0.856666667</x:v>
      </x:c>
      <x:c r="E2288" s="14" t="n">
        <x:v>0.896666667</x:v>
      </x:c>
      <x:c r="F2288" s="14" t="n">
        <x:v>0.04</x:v>
      </x:c>
      <x:c r="G2288" s="17" t="n">
        <x:v>1</x:v>
      </x:c>
      <x:c r="H2288" s="14" t="str">
        <x:v>S07-02:B:meaning_adoption</x:v>
      </x:c>
    </x:row>
    <x:row r="2289" ht="72" customHeight="1">
      <x:c r="A2289" s="14" t="str">
        <x:v>S07-02:B:evaluation_first_display</x:v>
      </x:c>
      <x:c r="B2289" s="14" t="str">
        <x:v>B</x:v>
      </x:c>
      <x:c r="C2289" s="14" t="str">
        <x:v>evaluation_first_display</x:v>
      </x:c>
      <x:c r="D2289" s="14" t="n">
        <x:v>0.896666667</x:v>
      </x:c>
      <x:c r="E2289" s="14" t="n">
        <x:v>0.936666667</x:v>
      </x:c>
      <x:c r="F2289" s="14" t="n">
        <x:v>0.04</x:v>
      </x:c>
      <x:c r="G2289" s="17" t="n">
        <x:v>1</x:v>
      </x:c>
      <x:c r="H2289" s="14" t="str">
        <x:v>S07-02:B:apply_relation</x:v>
      </x:c>
    </x:row>
    <x:row r="2290" ht="72" customHeight="1">
      <x:c r="A2290" s="14" t="str">
        <x:v>S07-02:B:source_calendar</x:v>
      </x:c>
      <x:c r="B2290" s="14" t="str">
        <x:v>B</x:v>
      </x:c>
      <x:c r="C2290" s="14" t="str">
        <x:v>source_calendar</x:v>
      </x:c>
      <x:c r="D2290" s="14" t="n">
        <x:v>-5.04</x:v>
      </x:c>
      <x:c r="E2290" s="14" t="n">
        <x:v>-1.4</x:v>
      </x:c>
      <x:c r="F2290" s="14" t="n">
        <x:v>3.64</x:v>
      </x:c>
      <x:c r="G2290" s="17" t="n">
        <x:v>0</x:v>
      </x:c>
      <x:c r="H2290" s="14" t="str">
        <x:v>S07-02:B:original_handoff</x:v>
      </x:c>
    </x:row>
    <x:row r="2291" ht="72" customHeight="1">
      <x:c r="A2291" s="14" t="str">
        <x:v>S07-02:B:display_calendar</x:v>
      </x:c>
      <x:c r="B2291" s="14" t="str">
        <x:v>B</x:v>
      </x:c>
      <x:c r="C2291" s="14" t="str">
        <x:v>display_calendar</x:v>
      </x:c>
      <x:c r="D2291" s="14" t="n">
        <x:v>-1.4</x:v>
      </x:c>
      <x:c r="E2291" s="14" t="n">
        <x:v>-1.36</x:v>
      </x:c>
      <x:c r="F2291" s="14" t="n">
        <x:v>0.04</x:v>
      </x:c>
      <x:c r="G2291" s="17" t="n">
        <x:v>1</x:v>
      </x:c>
      <x:c r="H2291" s="14" t="str">
        <x:v>S07-02:B:source_calendar</x:v>
      </x:c>
    </x:row>
    <x:row r="2292" ht="72" customHeight="1">
      <x:c r="A2292" s="14" t="str">
        <x:v>S07-02:B:source_mail</x:v>
      </x:c>
      <x:c r="B2292" s="14" t="str">
        <x:v>B</x:v>
      </x:c>
      <x:c r="C2292" s="14" t="str">
        <x:v>source_mail</x:v>
      </x:c>
      <x:c r="D2292" s="14" t="n">
        <x:v>-5.04</x:v>
      </x:c>
      <x:c r="E2292" s="14" t="n">
        <x:v>-1.2</x:v>
      </x:c>
      <x:c r="F2292" s="14" t="n">
        <x:v>3.84</x:v>
      </x:c>
      <x:c r="G2292" s="17" t="n">
        <x:v>0</x:v>
      </x:c>
      <x:c r="H2292" s="14" t="str">
        <x:v>S07-02:B:original_handoff</x:v>
      </x:c>
    </x:row>
    <x:row r="2293" ht="72" customHeight="1">
      <x:c r="A2293" s="14" t="str">
        <x:v>S07-02:B:display_mail</x:v>
      </x:c>
      <x:c r="B2293" s="14" t="str">
        <x:v>B</x:v>
      </x:c>
      <x:c r="C2293" s="14" t="str">
        <x:v>display_mail</x:v>
      </x:c>
      <x:c r="D2293" s="14" t="n">
        <x:v>-1.2</x:v>
      </x:c>
      <x:c r="E2293" s="14" t="n">
        <x:v>-1.16</x:v>
      </x:c>
      <x:c r="F2293" s="14" t="n">
        <x:v>0.04</x:v>
      </x:c>
      <x:c r="G2293" s="17" t="n">
        <x:v>1</x:v>
      </x:c>
      <x:c r="H2293" s="14" t="str">
        <x:v>S07-02:B:source_mail</x:v>
      </x:c>
    </x:row>
    <x:row r="2294" ht="72" customHeight="1">
      <x:c r="A2294" s="14" t="str">
        <x:v>S07-02:B:source_report</x:v>
      </x:c>
      <x:c r="B2294" s="14" t="str">
        <x:v>B</x:v>
      </x:c>
      <x:c r="C2294" s="14" t="str">
        <x:v>source_report</x:v>
      </x:c>
      <x:c r="D2294" s="14" t="n">
        <x:v>-5.04</x:v>
      </x:c>
      <x:c r="E2294" s="14" t="n">
        <x:v>-0.9</x:v>
      </x:c>
      <x:c r="F2294" s="14" t="n">
        <x:v>4.14</x:v>
      </x:c>
      <x:c r="G2294" s="17" t="n">
        <x:v>0</x:v>
      </x:c>
      <x:c r="H2294" s="14" t="str">
        <x:v>S07-02:B:original_handoff</x:v>
      </x:c>
    </x:row>
    <x:row r="2295" ht="72" customHeight="1">
      <x:c r="A2295" s="14" t="str">
        <x:v>S07-02:B:display_report</x:v>
      </x:c>
      <x:c r="B2295" s="14" t="str">
        <x:v>B</x:v>
      </x:c>
      <x:c r="C2295" s="14" t="str">
        <x:v>display_report</x:v>
      </x:c>
      <x:c r="D2295" s="14" t="n">
        <x:v>-0.9</x:v>
      </x:c>
      <x:c r="E2295" s="14" t="n">
        <x:v>-0.86</x:v>
      </x:c>
      <x:c r="F2295" s="14" t="n">
        <x:v>0.04</x:v>
      </x:c>
      <x:c r="G2295" s="17" t="n">
        <x:v>1</x:v>
      </x:c>
      <x:c r="H2295" s="14" t="str">
        <x:v>S07-02:B:source_report</x:v>
      </x:c>
    </x:row>
    <x:row r="2296" ht="72" customHeight="1">
      <x:c r="A2296" s="14" t="str">
        <x:v>S07-02:B:calendar_first</x:v>
      </x:c>
      <x:c r="B2296" s="14" t="str">
        <x:v>B</x:v>
      </x:c>
      <x:c r="C2296" s="14" t="str">
        <x:v>calendar_first</x:v>
      </x:c>
      <x:c r="D2296" s="14" t="n">
        <x:v>0.896666667</x:v>
      </x:c>
      <x:c r="E2296" s="14" t="n">
        <x:v>1.299</x:v>
      </x:c>
      <x:c r="F2296" s="14" t="n">
        <x:v>0.402333333</x:v>
      </x:c>
      <x:c r="G2296" s="17" t="n">
        <x:v>1</x:v>
      </x:c>
      <x:c r="H2296" s="14" t="str">
        <x:v>S07-02:B:apply_relation</x:v>
      </x:c>
    </x:row>
    <x:row r="2297" ht="72" customHeight="1">
      <x:c r="A2297" s="14" t="str">
        <x:v>S07-02:B:calendar_tail</x:v>
      </x:c>
      <x:c r="B2297" s="14" t="str">
        <x:v>B</x:v>
      </x:c>
      <x:c r="C2297" s="14" t="str">
        <x:v>calendar_tail</x:v>
      </x:c>
      <x:c r="D2297" s="14" t="n">
        <x:v>1.299</x:v>
      </x:c>
      <x:c r="E2297" s="14" t="n">
        <x:v>1.9885</x:v>
      </x:c>
      <x:c r="F2297" s="14" t="n">
        <x:v>0.6895</x:v>
      </x:c>
      <x:c r="G2297" s="17" t="n">
        <x:v>1</x:v>
      </x:c>
      <x:c r="H2297" s="14" t="str">
        <x:v>S07-02:B:calendar_first</x:v>
      </x:c>
    </x:row>
    <x:row r="2298" ht="72" customHeight="1">
      <x:c r="A2298" s="14" t="str">
        <x:v>S07-02:B:burst0_device</x:v>
      </x:c>
      <x:c r="B2298" s="14" t="str">
        <x:v>B</x:v>
      </x:c>
      <x:c r="C2298" s="14" t="str">
        <x:v>burst0_device</x:v>
      </x:c>
      <x:c r="D2298" s="14" t="n">
        <x:v>1.299</x:v>
      </x:c>
      <x:c r="E2298" s="14" t="n">
        <x:v>1.339</x:v>
      </x:c>
      <x:c r="F2298" s="14" t="n">
        <x:v>0.04</x:v>
      </x:c>
      <x:c r="G2298" s="17" t="n">
        <x:v>1</x:v>
      </x:c>
      <x:c r="H2298" s="14" t="str">
        <x:v>S07-02:B:apply_relation
S07-02:B:calendar_first</x:v>
      </x:c>
    </x:row>
    <x:row r="2299" ht="72" customHeight="1">
      <x:c r="A2299" s="14" t="str">
        <x:v>S07-02:B:burst0_played</x:v>
      </x:c>
      <x:c r="B2299" s="14" t="str">
        <x:v>B</x:v>
      </x:c>
      <x:c r="C2299" s="14" t="str">
        <x:v>burst0_played</x:v>
      </x:c>
      <x:c r="D2299" s="14" t="n">
        <x:v>1.339</x:v>
      </x:c>
      <x:c r="E2299" s="14" t="n">
        <x:v>4.297</x:v>
      </x:c>
      <x:c r="F2299" s="14" t="n">
        <x:v>2.958</x:v>
      </x:c>
      <x:c r="G2299" s="17" t="n">
        <x:v>0</x:v>
      </x:c>
      <x:c r="H2299" s="14" t="str">
        <x:v>S07-02:B:burst0_device</x:v>
      </x:c>
    </x:row>
    <x:row r="2300" ht="72" customHeight="1">
      <x:c r="A2300" s="14" t="str">
        <x:v>S07-02:B:mail_first</x:v>
      </x:c>
      <x:c r="B2300" s="14" t="str">
        <x:v>B</x:v>
      </x:c>
      <x:c r="C2300" s="14" t="str">
        <x:v>mail_first</x:v>
      </x:c>
      <x:c r="D2300" s="14" t="n">
        <x:v>4.297</x:v>
      </x:c>
      <x:c r="E2300" s="14" t="n">
        <x:v>4.703</x:v>
      </x:c>
      <x:c r="F2300" s="14" t="n">
        <x:v>0.406</x:v>
      </x:c>
      <x:c r="G2300" s="17" t="n">
        <x:v>1</x:v>
      </x:c>
      <x:c r="H2300" s="14" t="str">
        <x:v>S07-02:B:burst0_played</x:v>
      </x:c>
    </x:row>
    <x:row r="2301" ht="72" customHeight="1">
      <x:c r="A2301" s="14" t="str">
        <x:v>S07-02:B:mail_tail</x:v>
      </x:c>
      <x:c r="B2301" s="14" t="str">
        <x:v>B</x:v>
      </x:c>
      <x:c r="C2301" s="14" t="str">
        <x:v>mail_tail</x:v>
      </x:c>
      <x:c r="D2301" s="14" t="n">
        <x:v>4.703</x:v>
      </x:c>
      <x:c r="E2301" s="14" t="n">
        <x:v>5.6425</x:v>
      </x:c>
      <x:c r="F2301" s="14" t="n">
        <x:v>0.9395</x:v>
      </x:c>
      <x:c r="G2301" s="17" t="n">
        <x:v>1</x:v>
      </x:c>
      <x:c r="H2301" s="14" t="str">
        <x:v>S07-02:B:mail_first</x:v>
      </x:c>
    </x:row>
    <x:row r="2302" ht="72" customHeight="1">
      <x:c r="A2302" s="14" t="str">
        <x:v>S07-02:B:burst1_device</x:v>
      </x:c>
      <x:c r="B2302" s="14" t="str">
        <x:v>B</x:v>
      </x:c>
      <x:c r="C2302" s="14" t="str">
        <x:v>burst1_device</x:v>
      </x:c>
      <x:c r="D2302" s="14" t="n">
        <x:v>4.703</x:v>
      </x:c>
      <x:c r="E2302" s="14" t="n">
        <x:v>4.743</x:v>
      </x:c>
      <x:c r="F2302" s="14" t="n">
        <x:v>0.04</x:v>
      </x:c>
      <x:c r="G2302" s="17" t="n">
        <x:v>1</x:v>
      </x:c>
      <x:c r="H2302" s="14" t="str">
        <x:v>S07-02:B:burst0_played
S07-02:B:mail_first</x:v>
      </x:c>
    </x:row>
    <x:row r="2303" ht="72" customHeight="1">
      <x:c r="A2303" s="14" t="str">
        <x:v>S07-02:B:burst1_played</x:v>
      </x:c>
      <x:c r="B2303" s="14" t="str">
        <x:v>B</x:v>
      </x:c>
      <x:c r="C2303" s="14" t="str">
        <x:v>burst1_played</x:v>
      </x:c>
      <x:c r="D2303" s="14" t="n">
        <x:v>4.743</x:v>
      </x:c>
      <x:c r="E2303" s="14" t="n">
        <x:v>8.701</x:v>
      </x:c>
      <x:c r="F2303" s="14" t="n">
        <x:v>3.958</x:v>
      </x:c>
      <x:c r="G2303" s="17" t="n">
        <x:v>0</x:v>
      </x:c>
      <x:c r="H2303" s="14" t="str">
        <x:v>S07-02:B:burst1_device</x:v>
      </x:c>
    </x:row>
    <x:row r="2304" ht="72" customHeight="1">
      <x:c r="A2304" s="14" t="str">
        <x:v>S07-02:B:report_first</x:v>
      </x:c>
      <x:c r="B2304" s="14" t="str">
        <x:v>B</x:v>
      </x:c>
      <x:c r="C2304" s="14" t="str">
        <x:v>report_first</x:v>
      </x:c>
      <x:c r="D2304" s="14" t="n">
        <x:v>8.701</x:v>
      </x:c>
      <x:c r="E2304" s="14" t="n">
        <x:v>9.111</x:v>
      </x:c>
      <x:c r="F2304" s="14" t="n">
        <x:v>0.41</x:v>
      </x:c>
      <x:c r="G2304" s="17" t="n">
        <x:v>1</x:v>
      </x:c>
      <x:c r="H2304" s="14" t="str">
        <x:v>S07-02:B:burst1_played</x:v>
      </x:c>
    </x:row>
    <x:row r="2305" ht="72" customHeight="1">
      <x:c r="A2305" s="14" t="str">
        <x:v>S07-02:B:report_tail</x:v>
      </x:c>
      <x:c r="B2305" s="14" t="str">
        <x:v>B</x:v>
      </x:c>
      <x:c r="C2305" s="14" t="str">
        <x:v>report_tail</x:v>
      </x:c>
      <x:c r="D2305" s="14" t="n">
        <x:v>9.111</x:v>
      </x:c>
      <x:c r="E2305" s="14" t="n">
        <x:v>10.8005</x:v>
      </x:c>
      <x:c r="F2305" s="14" t="n">
        <x:v>1.6895</x:v>
      </x:c>
      <x:c r="G2305" s="17" t="n">
        <x:v>1</x:v>
      </x:c>
      <x:c r="H2305" s="14" t="str">
        <x:v>S07-02:B:report_first</x:v>
      </x:c>
    </x:row>
    <x:row r="2306" ht="72" customHeight="1">
      <x:c r="A2306" s="14" t="str">
        <x:v>S07-02:B:burst2_device</x:v>
      </x:c>
      <x:c r="B2306" s="14" t="str">
        <x:v>B</x:v>
      </x:c>
      <x:c r="C2306" s="14" t="str">
        <x:v>burst2_device</x:v>
      </x:c>
      <x:c r="D2306" s="14" t="n">
        <x:v>9.111</x:v>
      </x:c>
      <x:c r="E2306" s="14" t="n">
        <x:v>9.151</x:v>
      </x:c>
      <x:c r="F2306" s="14" t="n">
        <x:v>0.04</x:v>
      </x:c>
      <x:c r="G2306" s="17" t="n">
        <x:v>1</x:v>
      </x:c>
      <x:c r="H2306" s="14" t="str">
        <x:v>S07-02:B:burst1_played
S07-02:B:report_first</x:v>
      </x:c>
    </x:row>
    <x:row r="2307" ht="72" customHeight="1">
      <x:c r="A2307" s="14" t="str">
        <x:v>S07-02:B:burst2_played</x:v>
      </x:c>
      <x:c r="B2307" s="14" t="str">
        <x:v>B</x:v>
      </x:c>
      <x:c r="C2307" s="14" t="str">
        <x:v>burst2_played</x:v>
      </x:c>
      <x:c r="D2307" s="14" t="n">
        <x:v>9.151</x:v>
      </x:c>
      <x:c r="E2307" s="14" t="n">
        <x:v>16.109</x:v>
      </x:c>
      <x:c r="F2307" s="14" t="n">
        <x:v>6.958</x:v>
      </x:c>
      <x:c r="G2307" s="17" t="n">
        <x:v>0</x:v>
      </x:c>
      <x:c r="H2307" s="14" t="str">
        <x:v>S07-02:B:burst2_device</x:v>
      </x:c>
    </x:row>
    <x:row r="2308" ht="72" customHeight="1">
      <x:c r="A2308" s="14" t="str">
        <x:v>S07-03:A:origin</x:v>
      </x:c>
      <x:c r="B2308" s="14" t="str">
        <x:v>A</x:v>
      </x:c>
      <x:c r="C2308" s="14" t="str">
        <x:v>origin</x:v>
      </x:c>
      <x:c r="D2308" s="14" t="n">
        <x:v>-6</x:v>
      </x:c>
      <x:c r="E2308" s="14" t="n">
        <x:v>-6</x:v>
      </x:c>
      <x:c r="F2308" s="14" t="n">
        <x:v>0</x:v>
      </x:c>
      <x:c r="G2308" s="17" t="n">
        <x:v>0</x:v>
      </x:c>
      <x:c r="H2308" s="14" t="str"/>
    </x:row>
    <x:row r="2309" ht="72" customHeight="1">
      <x:c r="A2309" s="14" t="str">
        <x:v>S07-03:A:origin_interpretation</x:v>
      </x:c>
      <x:c r="B2309" s="14" t="str">
        <x:v>A</x:v>
      </x:c>
      <x:c r="C2309" s="14" t="str">
        <x:v>origin_interpretation</x:v>
      </x:c>
      <x:c r="D2309" s="14" t="n">
        <x:v>-6</x:v>
      </x:c>
      <x:c r="E2309" s="14" t="n">
        <x:v>-5.16</x:v>
      </x:c>
      <x:c r="F2309" s="14" t="n">
        <x:v>0.84</x:v>
      </x:c>
      <x:c r="G2309" s="17" t="n">
        <x:v>1</x:v>
      </x:c>
      <x:c r="H2309" s="14" t="str">
        <x:v>S07-03:A:origin</x:v>
      </x:c>
    </x:row>
    <x:row r="2310" ht="72" customHeight="1">
      <x:c r="A2310" s="14" t="str">
        <x:v>S07-03:A:original_handoff</x:v>
      </x:c>
      <x:c r="B2310" s="14" t="str">
        <x:v>A</x:v>
      </x:c>
      <x:c r="C2310" s="14" t="str">
        <x:v>original_handoff</x:v>
      </x:c>
      <x:c r="D2310" s="14" t="n">
        <x:v>-5.16</x:v>
      </x:c>
      <x:c r="E2310" s="14" t="n">
        <x:v>-5.04</x:v>
      </x:c>
      <x:c r="F2310" s="14" t="n">
        <x:v>0.12</x:v>
      </x:c>
      <x:c r="G2310" s="17" t="n">
        <x:v>1</x:v>
      </x:c>
      <x:c r="H2310" s="14" t="str">
        <x:v>S07-03:A:origin_interpretation</x:v>
      </x:c>
    </x:row>
    <x:row r="2311" ht="72" customHeight="1">
      <x:c r="A2311" s="14" t="str">
        <x:v>S07-03:A:evaluation_utterance_end</x:v>
      </x:c>
      <x:c r="B2311" s="14" t="str">
        <x:v>A</x:v>
      </x:c>
      <x:c r="C2311" s="14" t="str">
        <x:v>evaluation_utterance_end</x:v>
      </x:c>
      <x:c r="D2311" s="14" t="n">
        <x:v>-6</x:v>
      </x:c>
      <x:c r="E2311" s="14" t="n">
        <x:v>0</x:v>
      </x:c>
      <x:c r="F2311" s="14" t="n">
        <x:v>6</x:v>
      </x:c>
      <x:c r="G2311" s="17" t="n">
        <x:v>0</x:v>
      </x:c>
      <x:c r="H2311" s="14" t="str">
        <x:v>S07-03:A:origin</x:v>
      </x:c>
    </x:row>
    <x:row r="2312" ht="72" customHeight="1">
      <x:c r="A2312" s="14" t="str">
        <x:v>S07-03:A:final_transcript</x:v>
      </x:c>
      <x:c r="B2312" s="14" t="str">
        <x:v>A</x:v>
      </x:c>
      <x:c r="C2312" s="14" t="str">
        <x:v>final_transcript</x:v>
      </x:c>
      <x:c r="D2312" s="14" t="n">
        <x:v>0</x:v>
      </x:c>
      <x:c r="E2312" s="14" t="n">
        <x:v>0.3</x:v>
      </x:c>
      <x:c r="F2312" s="14" t="n">
        <x:v>0.3</x:v>
      </x:c>
      <x:c r="G2312" s="17" t="n">
        <x:v>1</x:v>
      </x:c>
      <x:c r="H2312" s="14" t="str">
        <x:v>S07-03:A:evaluation_utterance_end</x:v>
      </x:c>
    </x:row>
    <x:row r="2313" ht="72" customHeight="1">
      <x:c r="A2313" s="14" t="str">
        <x:v>S07-03:A:meaning_adoption</x:v>
      </x:c>
      <x:c r="B2313" s="14" t="str">
        <x:v>A</x:v>
      </x:c>
      <x:c r="C2313" s="14" t="str">
        <x:v>meaning_adoption</x:v>
      </x:c>
      <x:c r="D2313" s="14" t="n">
        <x:v>0.3</x:v>
      </x:c>
      <x:c r="E2313" s="14" t="n">
        <x:v>0.81</x:v>
      </x:c>
      <x:c r="F2313" s="14" t="n">
        <x:v>0.51</x:v>
      </x:c>
      <x:c r="G2313" s="17" t="n">
        <x:v>1</x:v>
      </x:c>
      <x:c r="H2313" s="14" t="str">
        <x:v>S07-03:A:final_transcript
S07-03:A:origin_interpretation</x:v>
      </x:c>
    </x:row>
    <x:row r="2314" ht="72" customHeight="1">
      <x:c r="A2314" s="14" t="str">
        <x:v>S07-03:A:apply_relation</x:v>
      </x:c>
      <x:c r="B2314" s="14" t="str">
        <x:v>A</x:v>
      </x:c>
      <x:c r="C2314" s="14" t="str">
        <x:v>apply_relation</x:v>
      </x:c>
      <x:c r="D2314" s="14" t="n">
        <x:v>0.81</x:v>
      </x:c>
      <x:c r="E2314" s="14" t="n">
        <x:v>0.85</x:v>
      </x:c>
      <x:c r="F2314" s="14" t="n">
        <x:v>0.04</x:v>
      </x:c>
      <x:c r="G2314" s="17" t="n">
        <x:v>1</x:v>
      </x:c>
      <x:c r="H2314" s="14" t="str">
        <x:v>S07-03:A:meaning_adoption</x:v>
      </x:c>
    </x:row>
    <x:row r="2315" ht="72" customHeight="1">
      <x:c r="A2315" s="14" t="str">
        <x:v>S07-03:A:evaluation_first_display</x:v>
      </x:c>
      <x:c r="B2315" s="14" t="str">
        <x:v>A</x:v>
      </x:c>
      <x:c r="C2315" s="14" t="str">
        <x:v>evaluation_first_display</x:v>
      </x:c>
      <x:c r="D2315" s="14" t="n">
        <x:v>0.85</x:v>
      </x:c>
      <x:c r="E2315" s="14" t="n">
        <x:v>0.89</x:v>
      </x:c>
      <x:c r="F2315" s="14" t="n">
        <x:v>0.04</x:v>
      </x:c>
      <x:c r="G2315" s="17" t="n">
        <x:v>1</x:v>
      </x:c>
      <x:c r="H2315" s="14" t="str">
        <x:v>S07-03:A:apply_relation</x:v>
      </x:c>
    </x:row>
    <x:row r="2316" ht="72" customHeight="1">
      <x:c r="A2316" s="14" t="str">
        <x:v>S07-03:A:source_calendar</x:v>
      </x:c>
      <x:c r="B2316" s="14" t="str">
        <x:v>A</x:v>
      </x:c>
      <x:c r="C2316" s="14" t="str">
        <x:v>source_calendar</x:v>
      </x:c>
      <x:c r="D2316" s="14" t="n">
        <x:v>-5.04</x:v>
      </x:c>
      <x:c r="E2316" s="14" t="n">
        <x:v>-1.4</x:v>
      </x:c>
      <x:c r="F2316" s="14" t="n">
        <x:v>3.64</x:v>
      </x:c>
      <x:c r="G2316" s="17" t="n">
        <x:v>0</x:v>
      </x:c>
      <x:c r="H2316" s="14" t="str">
        <x:v>S07-03:A:original_handoff</x:v>
      </x:c>
    </x:row>
    <x:row r="2317" ht="72" customHeight="1">
      <x:c r="A2317" s="14" t="str">
        <x:v>S07-03:A:display_calendar</x:v>
      </x:c>
      <x:c r="B2317" s="14" t="str">
        <x:v>A</x:v>
      </x:c>
      <x:c r="C2317" s="14" t="str">
        <x:v>display_calendar</x:v>
      </x:c>
      <x:c r="D2317" s="14" t="n">
        <x:v>-1.4</x:v>
      </x:c>
      <x:c r="E2317" s="14" t="n">
        <x:v>-1.36</x:v>
      </x:c>
      <x:c r="F2317" s="14" t="n">
        <x:v>0.04</x:v>
      </x:c>
      <x:c r="G2317" s="17" t="n">
        <x:v>1</x:v>
      </x:c>
      <x:c r="H2317" s="14" t="str">
        <x:v>S07-03:A:source_calendar</x:v>
      </x:c>
    </x:row>
    <x:row r="2318" ht="72" customHeight="1">
      <x:c r="A2318" s="14" t="str">
        <x:v>S07-03:A:source_mail</x:v>
      </x:c>
      <x:c r="B2318" s="14" t="str">
        <x:v>A</x:v>
      </x:c>
      <x:c r="C2318" s="14" t="str">
        <x:v>source_mail</x:v>
      </x:c>
      <x:c r="D2318" s="14" t="n">
        <x:v>-5.04</x:v>
      </x:c>
      <x:c r="E2318" s="14" t="n">
        <x:v>-1.2</x:v>
      </x:c>
      <x:c r="F2318" s="14" t="n">
        <x:v>3.84</x:v>
      </x:c>
      <x:c r="G2318" s="17" t="n">
        <x:v>0</x:v>
      </x:c>
      <x:c r="H2318" s="14" t="str">
        <x:v>S07-03:A:original_handoff</x:v>
      </x:c>
    </x:row>
    <x:row r="2319" ht="72" customHeight="1">
      <x:c r="A2319" s="14" t="str">
        <x:v>S07-03:A:display_mail</x:v>
      </x:c>
      <x:c r="B2319" s="14" t="str">
        <x:v>A</x:v>
      </x:c>
      <x:c r="C2319" s="14" t="str">
        <x:v>display_mail</x:v>
      </x:c>
      <x:c r="D2319" s="14" t="n">
        <x:v>-1.2</x:v>
      </x:c>
      <x:c r="E2319" s="14" t="n">
        <x:v>-1.16</x:v>
      </x:c>
      <x:c r="F2319" s="14" t="n">
        <x:v>0.04</x:v>
      </x:c>
      <x:c r="G2319" s="17" t="n">
        <x:v>1</x:v>
      </x:c>
      <x:c r="H2319" s="14" t="str">
        <x:v>S07-03:A:source_mail</x:v>
      </x:c>
    </x:row>
    <x:row r="2320" ht="72" customHeight="1">
      <x:c r="A2320" s="14" t="str">
        <x:v>S07-03:A:source_report</x:v>
      </x:c>
      <x:c r="B2320" s="14" t="str">
        <x:v>A</x:v>
      </x:c>
      <x:c r="C2320" s="14" t="str">
        <x:v>source_report</x:v>
      </x:c>
      <x:c r="D2320" s="14" t="n">
        <x:v>-5.04</x:v>
      </x:c>
      <x:c r="E2320" s="14" t="n">
        <x:v>-0.9</x:v>
      </x:c>
      <x:c r="F2320" s="14" t="n">
        <x:v>4.14</x:v>
      </x:c>
      <x:c r="G2320" s="17" t="n">
        <x:v>0</x:v>
      </x:c>
      <x:c r="H2320" s="14" t="str">
        <x:v>S07-03:A:original_handoff</x:v>
      </x:c>
    </x:row>
    <x:row r="2321" ht="72" customHeight="1">
      <x:c r="A2321" s="14" t="str">
        <x:v>S07-03:A:display_report</x:v>
      </x:c>
      <x:c r="B2321" s="14" t="str">
        <x:v>A</x:v>
      </x:c>
      <x:c r="C2321" s="14" t="str">
        <x:v>display_report</x:v>
      </x:c>
      <x:c r="D2321" s="14" t="n">
        <x:v>-0.9</x:v>
      </x:c>
      <x:c r="E2321" s="14" t="n">
        <x:v>-0.86</x:v>
      </x:c>
      <x:c r="F2321" s="14" t="n">
        <x:v>0.04</x:v>
      </x:c>
      <x:c r="G2321" s="17" t="n">
        <x:v>1</x:v>
      </x:c>
      <x:c r="H2321" s="14" t="str">
        <x:v>S07-03:A:source_report</x:v>
      </x:c>
    </x:row>
    <x:row r="2322" ht="72" customHeight="1">
      <x:c r="A2322" s="14" t="str">
        <x:v>S07-03:A:calendar_first</x:v>
      </x:c>
      <x:c r="B2322" s="14" t="str">
        <x:v>A</x:v>
      </x:c>
      <x:c r="C2322" s="14" t="str">
        <x:v>calendar_first</x:v>
      </x:c>
      <x:c r="D2322" s="14" t="n">
        <x:v>-1.4</x:v>
      </x:c>
      <x:c r="E2322" s="14" t="n">
        <x:v>-0.997666667</x:v>
      </x:c>
      <x:c r="F2322" s="14" t="n">
        <x:v>0.402333333</x:v>
      </x:c>
      <x:c r="G2322" s="17" t="n">
        <x:v>1</x:v>
      </x:c>
      <x:c r="H2322" s="14" t="str">
        <x:v>S07-03:A:source_calendar</x:v>
      </x:c>
    </x:row>
    <x:row r="2323" ht="72" customHeight="1">
      <x:c r="A2323" s="14" t="str">
        <x:v>S07-03:A:calendar_tail</x:v>
      </x:c>
      <x:c r="B2323" s="14" t="str">
        <x:v>A</x:v>
      </x:c>
      <x:c r="C2323" s="14" t="str">
        <x:v>calendar_tail</x:v>
      </x:c>
      <x:c r="D2323" s="14" t="n">
        <x:v>-0.997666667</x:v>
      </x:c>
      <x:c r="E2323" s="14" t="n">
        <x:v>-0.305166667</x:v>
      </x:c>
      <x:c r="F2323" s="14" t="n">
        <x:v>0.6925</x:v>
      </x:c>
      <x:c r="G2323" s="17" t="n">
        <x:v>1</x:v>
      </x:c>
      <x:c r="H2323" s="14" t="str">
        <x:v>S07-03:A:calendar_first</x:v>
      </x:c>
    </x:row>
    <x:row r="2324" ht="72" customHeight="1">
      <x:c r="A2324" s="14" t="str">
        <x:v>S07-03:A:burst0_device</x:v>
      </x:c>
      <x:c r="B2324" s="14" t="str">
        <x:v>A</x:v>
      </x:c>
      <x:c r="C2324" s="14" t="str">
        <x:v>burst0_device</x:v>
      </x:c>
      <x:c r="D2324" s="14" t="n">
        <x:v>0.85</x:v>
      </x:c>
      <x:c r="E2324" s="14" t="n">
        <x:v>0.89</x:v>
      </x:c>
      <x:c r="F2324" s="14" t="n">
        <x:v>0.04</x:v>
      </x:c>
      <x:c r="G2324" s="17" t="n">
        <x:v>1</x:v>
      </x:c>
      <x:c r="H2324" s="14" t="str">
        <x:v>S07-03:A:apply_relation
S07-03:A:calendar_first</x:v>
      </x:c>
    </x:row>
    <x:row r="2325" ht="72" customHeight="1">
      <x:c r="A2325" s="14" t="str">
        <x:v>S07-03:A:burst0_played</x:v>
      </x:c>
      <x:c r="B2325" s="14" t="str">
        <x:v>A</x:v>
      </x:c>
      <x:c r="C2325" s="14" t="str">
        <x:v>burst0_played</x:v>
      </x:c>
      <x:c r="D2325" s="14" t="n">
        <x:v>0.89</x:v>
      </x:c>
      <x:c r="E2325" s="14" t="n">
        <x:v>3.86</x:v>
      </x:c>
      <x:c r="F2325" s="14" t="n">
        <x:v>2.97</x:v>
      </x:c>
      <x:c r="G2325" s="17" t="n">
        <x:v>0</x:v>
      </x:c>
      <x:c r="H2325" s="14" t="str">
        <x:v>S07-03:A:burst0_device</x:v>
      </x:c>
    </x:row>
    <x:row r="2326" ht="72" customHeight="1">
      <x:c r="A2326" s="14" t="str">
        <x:v>S07-03:A:mail_first</x:v>
      </x:c>
      <x:c r="B2326" s="14" t="str">
        <x:v>A</x:v>
      </x:c>
      <x:c r="C2326" s="14" t="str">
        <x:v>mail_first</x:v>
      </x:c>
      <x:c r="D2326" s="14" t="n">
        <x:v>-1.2</x:v>
      </x:c>
      <x:c r="E2326" s="14" t="n">
        <x:v>-0.794</x:v>
      </x:c>
      <x:c r="F2326" s="14" t="n">
        <x:v>0.406</x:v>
      </x:c>
      <x:c r="G2326" s="17" t="n">
        <x:v>1</x:v>
      </x:c>
      <x:c r="H2326" s="14" t="str">
        <x:v>S07-03:A:source_mail</x:v>
      </x:c>
    </x:row>
    <x:row r="2327" ht="72" customHeight="1">
      <x:c r="A2327" s="14" t="str">
        <x:v>S07-03:A:mail_tail</x:v>
      </x:c>
      <x:c r="B2327" s="14" t="str">
        <x:v>A</x:v>
      </x:c>
      <x:c r="C2327" s="14" t="str">
        <x:v>mail_tail</x:v>
      </x:c>
      <x:c r="D2327" s="14" t="n">
        <x:v>-0.794</x:v>
      </x:c>
      <x:c r="E2327" s="14" t="n">
        <x:v>0.1485</x:v>
      </x:c>
      <x:c r="F2327" s="14" t="n">
        <x:v>0.9425</x:v>
      </x:c>
      <x:c r="G2327" s="17" t="n">
        <x:v>1</x:v>
      </x:c>
      <x:c r="H2327" s="14" t="str">
        <x:v>S07-03:A:mail_first</x:v>
      </x:c>
    </x:row>
    <x:row r="2328" ht="72" customHeight="1">
      <x:c r="A2328" s="14" t="str">
        <x:v>S07-03:A:burst1_device</x:v>
      </x:c>
      <x:c r="B2328" s="14" t="str">
        <x:v>A</x:v>
      </x:c>
      <x:c r="C2328" s="14" t="str">
        <x:v>burst1_device</x:v>
      </x:c>
      <x:c r="D2328" s="14" t="n">
        <x:v>3.86</x:v>
      </x:c>
      <x:c r="E2328" s="14" t="n">
        <x:v>3.9</x:v>
      </x:c>
      <x:c r="F2328" s="14" t="n">
        <x:v>0.04</x:v>
      </x:c>
      <x:c r="G2328" s="17" t="n">
        <x:v>1</x:v>
      </x:c>
      <x:c r="H2328" s="14" t="str">
        <x:v>S07-03:A:burst0_played
S07-03:A:mail_first</x:v>
      </x:c>
    </x:row>
    <x:row r="2329" ht="72" customHeight="1">
      <x:c r="A2329" s="14" t="str">
        <x:v>S07-03:A:burst1_played</x:v>
      </x:c>
      <x:c r="B2329" s="14" t="str">
        <x:v>A</x:v>
      </x:c>
      <x:c r="C2329" s="14" t="str">
        <x:v>burst1_played</x:v>
      </x:c>
      <x:c r="D2329" s="14" t="n">
        <x:v>3.9</x:v>
      </x:c>
      <x:c r="E2329" s="14" t="n">
        <x:v>7.87</x:v>
      </x:c>
      <x:c r="F2329" s="14" t="n">
        <x:v>3.97</x:v>
      </x:c>
      <x:c r="G2329" s="17" t="n">
        <x:v>0</x:v>
      </x:c>
      <x:c r="H2329" s="14" t="str">
        <x:v>S07-03:A:burst1_device</x:v>
      </x:c>
    </x:row>
    <x:row r="2330" ht="72" customHeight="1">
      <x:c r="A2330" s="14" t="str">
        <x:v>S07-03:A:report_first</x:v>
      </x:c>
      <x:c r="B2330" s="14" t="str">
        <x:v>A</x:v>
      </x:c>
      <x:c r="C2330" s="14" t="str">
        <x:v>report_first</x:v>
      </x:c>
      <x:c r="D2330" s="14" t="n">
        <x:v>-0.9</x:v>
      </x:c>
      <x:c r="E2330" s="14" t="n">
        <x:v>-0.49</x:v>
      </x:c>
      <x:c r="F2330" s="14" t="n">
        <x:v>0.41</x:v>
      </x:c>
      <x:c r="G2330" s="17" t="n">
        <x:v>1</x:v>
      </x:c>
      <x:c r="H2330" s="14" t="str">
        <x:v>S07-03:A:source_report</x:v>
      </x:c>
    </x:row>
    <x:row r="2331" ht="72" customHeight="1">
      <x:c r="A2331" s="14" t="str">
        <x:v>S07-03:A:report_tail</x:v>
      </x:c>
      <x:c r="B2331" s="14" t="str">
        <x:v>A</x:v>
      </x:c>
      <x:c r="C2331" s="14" t="str">
        <x:v>report_tail</x:v>
      </x:c>
      <x:c r="D2331" s="14" t="n">
        <x:v>-0.49</x:v>
      </x:c>
      <x:c r="E2331" s="14" t="n">
        <x:v>1.2025</x:v>
      </x:c>
      <x:c r="F2331" s="14" t="n">
        <x:v>1.6925</x:v>
      </x:c>
      <x:c r="G2331" s="17" t="n">
        <x:v>1</x:v>
      </x:c>
      <x:c r="H2331" s="14" t="str">
        <x:v>S07-03:A:report_first</x:v>
      </x:c>
    </x:row>
    <x:row r="2332" ht="72" customHeight="1">
      <x:c r="A2332" s="14" t="str">
        <x:v>S07-03:A:burst2_device</x:v>
      </x:c>
      <x:c r="B2332" s="14" t="str">
        <x:v>A</x:v>
      </x:c>
      <x:c r="C2332" s="14" t="str">
        <x:v>burst2_device</x:v>
      </x:c>
      <x:c r="D2332" s="14" t="n">
        <x:v>7.87</x:v>
      </x:c>
      <x:c r="E2332" s="14" t="n">
        <x:v>7.91</x:v>
      </x:c>
      <x:c r="F2332" s="14" t="n">
        <x:v>0.04</x:v>
      </x:c>
      <x:c r="G2332" s="17" t="n">
        <x:v>1</x:v>
      </x:c>
      <x:c r="H2332" s="14" t="str">
        <x:v>S07-03:A:burst1_played
S07-03:A:report_first</x:v>
      </x:c>
    </x:row>
    <x:row r="2333" ht="72" customHeight="1">
      <x:c r="A2333" s="14" t="str">
        <x:v>S07-03:A:burst2_played</x:v>
      </x:c>
      <x:c r="B2333" s="14" t="str">
        <x:v>A</x:v>
      </x:c>
      <x:c r="C2333" s="14" t="str">
        <x:v>burst2_played</x:v>
      </x:c>
      <x:c r="D2333" s="14" t="n">
        <x:v>7.91</x:v>
      </x:c>
      <x:c r="E2333" s="14" t="n">
        <x:v>14.88</x:v>
      </x:c>
      <x:c r="F2333" s="14" t="n">
        <x:v>6.97</x:v>
      </x:c>
      <x:c r="G2333" s="17" t="n">
        <x:v>0</x:v>
      </x:c>
      <x:c r="H2333" s="14" t="str">
        <x:v>S07-03:A:burst2_device</x:v>
      </x:c>
    </x:row>
    <x:row r="2334" ht="72" customHeight="1">
      <x:c r="A2334" s="14" t="str">
        <x:v>S07-03:B:origin</x:v>
      </x:c>
      <x:c r="B2334" s="14" t="str">
        <x:v>B</x:v>
      </x:c>
      <x:c r="C2334" s="14" t="str">
        <x:v>origin</x:v>
      </x:c>
      <x:c r="D2334" s="14" t="n">
        <x:v>-6</x:v>
      </x:c>
      <x:c r="E2334" s="14" t="n">
        <x:v>-6</x:v>
      </x:c>
      <x:c r="F2334" s="14" t="n">
        <x:v>0</x:v>
      </x:c>
      <x:c r="G2334" s="17" t="n">
        <x:v>0</x:v>
      </x:c>
      <x:c r="H2334" s="14" t="str"/>
    </x:row>
    <x:row r="2335" ht="72" customHeight="1">
      <x:c r="A2335" s="14" t="str">
        <x:v>S07-03:B:origin_interpretation</x:v>
      </x:c>
      <x:c r="B2335" s="14" t="str">
        <x:v>B</x:v>
      </x:c>
      <x:c r="C2335" s="14" t="str">
        <x:v>origin_interpretation</x:v>
      </x:c>
      <x:c r="D2335" s="14" t="n">
        <x:v>-6</x:v>
      </x:c>
      <x:c r="E2335" s="14" t="n">
        <x:v>-5.16</x:v>
      </x:c>
      <x:c r="F2335" s="14" t="n">
        <x:v>0.84</x:v>
      </x:c>
      <x:c r="G2335" s="17" t="n">
        <x:v>1</x:v>
      </x:c>
      <x:c r="H2335" s="14" t="str">
        <x:v>S07-03:B:origin</x:v>
      </x:c>
    </x:row>
    <x:row r="2336" ht="72" customHeight="1">
      <x:c r="A2336" s="14" t="str">
        <x:v>S07-03:B:original_handoff</x:v>
      </x:c>
      <x:c r="B2336" s="14" t="str">
        <x:v>B</x:v>
      </x:c>
      <x:c r="C2336" s="14" t="str">
        <x:v>original_handoff</x:v>
      </x:c>
      <x:c r="D2336" s="14" t="n">
        <x:v>-5.16</x:v>
      </x:c>
      <x:c r="E2336" s="14" t="n">
        <x:v>-5.04</x:v>
      </x:c>
      <x:c r="F2336" s="14" t="n">
        <x:v>0.12</x:v>
      </x:c>
      <x:c r="G2336" s="17" t="n">
        <x:v>1</x:v>
      </x:c>
      <x:c r="H2336" s="14" t="str">
        <x:v>S07-03:B:origin_interpretation</x:v>
      </x:c>
    </x:row>
    <x:row r="2337" ht="72" customHeight="1">
      <x:c r="A2337" s="14" t="str">
        <x:v>S07-03:B:evaluation_utterance_end</x:v>
      </x:c>
      <x:c r="B2337" s="14" t="str">
        <x:v>B</x:v>
      </x:c>
      <x:c r="C2337" s="14" t="str">
        <x:v>evaluation_utterance_end</x:v>
      </x:c>
      <x:c r="D2337" s="14" t="n">
        <x:v>-6</x:v>
      </x:c>
      <x:c r="E2337" s="14" t="n">
        <x:v>0</x:v>
      </x:c>
      <x:c r="F2337" s="14" t="n">
        <x:v>6</x:v>
      </x:c>
      <x:c r="G2337" s="17" t="n">
        <x:v>0</x:v>
      </x:c>
      <x:c r="H2337" s="14" t="str">
        <x:v>S07-03:B:origin</x:v>
      </x:c>
    </x:row>
    <x:row r="2338" ht="72" customHeight="1">
      <x:c r="A2338" s="14" t="str">
        <x:v>S07-03:B:final_transcript</x:v>
      </x:c>
      <x:c r="B2338" s="14" t="str">
        <x:v>B</x:v>
      </x:c>
      <x:c r="C2338" s="14" t="str">
        <x:v>final_transcript</x:v>
      </x:c>
      <x:c r="D2338" s="14" t="n">
        <x:v>0</x:v>
      </x:c>
      <x:c r="E2338" s="14" t="n">
        <x:v>0.3</x:v>
      </x:c>
      <x:c r="F2338" s="14" t="n">
        <x:v>0.3</x:v>
      </x:c>
      <x:c r="G2338" s="17" t="n">
        <x:v>1</x:v>
      </x:c>
      <x:c r="H2338" s="14" t="str">
        <x:v>S07-03:B:evaluation_utterance_end</x:v>
      </x:c>
    </x:row>
    <x:row r="2339" ht="72" customHeight="1">
      <x:c r="A2339" s="14" t="str">
        <x:v>S07-03:B:meaning_adoption</x:v>
      </x:c>
      <x:c r="B2339" s="14" t="str">
        <x:v>B</x:v>
      </x:c>
      <x:c r="C2339" s="14" t="str">
        <x:v>meaning_adoption</x:v>
      </x:c>
      <x:c r="D2339" s="14" t="n">
        <x:v>0.3</x:v>
      </x:c>
      <x:c r="E2339" s="14" t="n">
        <x:v>0.81</x:v>
      </x:c>
      <x:c r="F2339" s="14" t="n">
        <x:v>0.51</x:v>
      </x:c>
      <x:c r="G2339" s="17" t="n">
        <x:v>1</x:v>
      </x:c>
      <x:c r="H2339" s="14" t="str">
        <x:v>S07-03:B:final_transcript
S07-03:B:origin_interpretation</x:v>
      </x:c>
    </x:row>
    <x:row r="2340" ht="72" customHeight="1">
      <x:c r="A2340" s="14" t="str">
        <x:v>S07-03:B:apply_relation</x:v>
      </x:c>
      <x:c r="B2340" s="14" t="str">
        <x:v>B</x:v>
      </x:c>
      <x:c r="C2340" s="14" t="str">
        <x:v>apply_relation</x:v>
      </x:c>
      <x:c r="D2340" s="14" t="n">
        <x:v>0.81</x:v>
      </x:c>
      <x:c r="E2340" s="14" t="n">
        <x:v>0.85</x:v>
      </x:c>
      <x:c r="F2340" s="14" t="n">
        <x:v>0.04</x:v>
      </x:c>
      <x:c r="G2340" s="17" t="n">
        <x:v>1</x:v>
      </x:c>
      <x:c r="H2340" s="14" t="str">
        <x:v>S07-03:B:meaning_adoption</x:v>
      </x:c>
    </x:row>
    <x:row r="2341" ht="72" customHeight="1">
      <x:c r="A2341" s="14" t="str">
        <x:v>S07-03:B:evaluation_first_display</x:v>
      </x:c>
      <x:c r="B2341" s="14" t="str">
        <x:v>B</x:v>
      </x:c>
      <x:c r="C2341" s="14" t="str">
        <x:v>evaluation_first_display</x:v>
      </x:c>
      <x:c r="D2341" s="14" t="n">
        <x:v>0.85</x:v>
      </x:c>
      <x:c r="E2341" s="14" t="n">
        <x:v>0.89</x:v>
      </x:c>
      <x:c r="F2341" s="14" t="n">
        <x:v>0.04</x:v>
      </x:c>
      <x:c r="G2341" s="17" t="n">
        <x:v>1</x:v>
      </x:c>
      <x:c r="H2341" s="14" t="str">
        <x:v>S07-03:B:apply_relation</x:v>
      </x:c>
    </x:row>
    <x:row r="2342" ht="72" customHeight="1">
      <x:c r="A2342" s="14" t="str">
        <x:v>S07-03:B:source_calendar</x:v>
      </x:c>
      <x:c r="B2342" s="14" t="str">
        <x:v>B</x:v>
      </x:c>
      <x:c r="C2342" s="14" t="str">
        <x:v>source_calendar</x:v>
      </x:c>
      <x:c r="D2342" s="14" t="n">
        <x:v>-5.04</x:v>
      </x:c>
      <x:c r="E2342" s="14" t="n">
        <x:v>-1.4</x:v>
      </x:c>
      <x:c r="F2342" s="14" t="n">
        <x:v>3.64</x:v>
      </x:c>
      <x:c r="G2342" s="17" t="n">
        <x:v>0</x:v>
      </x:c>
      <x:c r="H2342" s="14" t="str">
        <x:v>S07-03:B:original_handoff</x:v>
      </x:c>
    </x:row>
    <x:row r="2343" ht="72" customHeight="1">
      <x:c r="A2343" s="14" t="str">
        <x:v>S07-03:B:display_calendar</x:v>
      </x:c>
      <x:c r="B2343" s="14" t="str">
        <x:v>B</x:v>
      </x:c>
      <x:c r="C2343" s="14" t="str">
        <x:v>display_calendar</x:v>
      </x:c>
      <x:c r="D2343" s="14" t="n">
        <x:v>-1.4</x:v>
      </x:c>
      <x:c r="E2343" s="14" t="n">
        <x:v>-1.36</x:v>
      </x:c>
      <x:c r="F2343" s="14" t="n">
        <x:v>0.04</x:v>
      </x:c>
      <x:c r="G2343" s="17" t="n">
        <x:v>1</x:v>
      </x:c>
      <x:c r="H2343" s="14" t="str">
        <x:v>S07-03:B:source_calendar</x:v>
      </x:c>
    </x:row>
    <x:row r="2344" ht="72" customHeight="1">
      <x:c r="A2344" s="14" t="str">
        <x:v>S07-03:B:source_mail</x:v>
      </x:c>
      <x:c r="B2344" s="14" t="str">
        <x:v>B</x:v>
      </x:c>
      <x:c r="C2344" s="14" t="str">
        <x:v>source_mail</x:v>
      </x:c>
      <x:c r="D2344" s="14" t="n">
        <x:v>-5.04</x:v>
      </x:c>
      <x:c r="E2344" s="14" t="n">
        <x:v>-1.2</x:v>
      </x:c>
      <x:c r="F2344" s="14" t="n">
        <x:v>3.84</x:v>
      </x:c>
      <x:c r="G2344" s="17" t="n">
        <x:v>0</x:v>
      </x:c>
      <x:c r="H2344" s="14" t="str">
        <x:v>S07-03:B:original_handoff</x:v>
      </x:c>
    </x:row>
    <x:row r="2345" ht="72" customHeight="1">
      <x:c r="A2345" s="14" t="str">
        <x:v>S07-03:B:display_mail</x:v>
      </x:c>
      <x:c r="B2345" s="14" t="str">
        <x:v>B</x:v>
      </x:c>
      <x:c r="C2345" s="14" t="str">
        <x:v>display_mail</x:v>
      </x:c>
      <x:c r="D2345" s="14" t="n">
        <x:v>-1.2</x:v>
      </x:c>
      <x:c r="E2345" s="14" t="n">
        <x:v>-1.16</x:v>
      </x:c>
      <x:c r="F2345" s="14" t="n">
        <x:v>0.04</x:v>
      </x:c>
      <x:c r="G2345" s="17" t="n">
        <x:v>1</x:v>
      </x:c>
      <x:c r="H2345" s="14" t="str">
        <x:v>S07-03:B:source_mail</x:v>
      </x:c>
    </x:row>
    <x:row r="2346" ht="72" customHeight="1">
      <x:c r="A2346" s="14" t="str">
        <x:v>S07-03:B:source_report</x:v>
      </x:c>
      <x:c r="B2346" s="14" t="str">
        <x:v>B</x:v>
      </x:c>
      <x:c r="C2346" s="14" t="str">
        <x:v>source_report</x:v>
      </x:c>
      <x:c r="D2346" s="14" t="n">
        <x:v>-5.04</x:v>
      </x:c>
      <x:c r="E2346" s="14" t="n">
        <x:v>-0.9</x:v>
      </x:c>
      <x:c r="F2346" s="14" t="n">
        <x:v>4.14</x:v>
      </x:c>
      <x:c r="G2346" s="17" t="n">
        <x:v>0</x:v>
      </x:c>
      <x:c r="H2346" s="14" t="str">
        <x:v>S07-03:B:original_handoff</x:v>
      </x:c>
    </x:row>
    <x:row r="2347" ht="72" customHeight="1">
      <x:c r="A2347" s="14" t="str">
        <x:v>S07-03:B:display_report</x:v>
      </x:c>
      <x:c r="B2347" s="14" t="str">
        <x:v>B</x:v>
      </x:c>
      <x:c r="C2347" s="14" t="str">
        <x:v>display_report</x:v>
      </x:c>
      <x:c r="D2347" s="14" t="n">
        <x:v>-0.9</x:v>
      </x:c>
      <x:c r="E2347" s="14" t="n">
        <x:v>-0.86</x:v>
      </x:c>
      <x:c r="F2347" s="14" t="n">
        <x:v>0.04</x:v>
      </x:c>
      <x:c r="G2347" s="17" t="n">
        <x:v>1</x:v>
      </x:c>
      <x:c r="H2347" s="14" t="str">
        <x:v>S07-03:B:source_report</x:v>
      </x:c>
    </x:row>
    <x:row r="2348" ht="72" customHeight="1">
      <x:c r="A2348" s="14" t="str">
        <x:v>S07-03:B:calendar_first</x:v>
      </x:c>
      <x:c r="B2348" s="14" t="str">
        <x:v>B</x:v>
      </x:c>
      <x:c r="C2348" s="14" t="str">
        <x:v>calendar_first</x:v>
      </x:c>
      <x:c r="D2348" s="14" t="n">
        <x:v>0.85</x:v>
      </x:c>
      <x:c r="E2348" s="14" t="n">
        <x:v>1.252333333</x:v>
      </x:c>
      <x:c r="F2348" s="14" t="n">
        <x:v>0.402333333</x:v>
      </x:c>
      <x:c r="G2348" s="17" t="n">
        <x:v>1</x:v>
      </x:c>
      <x:c r="H2348" s="14" t="str">
        <x:v>S07-03:B:apply_relation</x:v>
      </x:c>
    </x:row>
    <x:row r="2349" ht="72" customHeight="1">
      <x:c r="A2349" s="14" t="str">
        <x:v>S07-03:B:calendar_tail</x:v>
      </x:c>
      <x:c r="B2349" s="14" t="str">
        <x:v>B</x:v>
      </x:c>
      <x:c r="C2349" s="14" t="str">
        <x:v>calendar_tail</x:v>
      </x:c>
      <x:c r="D2349" s="14" t="n">
        <x:v>1.252333333</x:v>
      </x:c>
      <x:c r="E2349" s="14" t="n">
        <x:v>1.944833333</x:v>
      </x:c>
      <x:c r="F2349" s="14" t="n">
        <x:v>0.6925</x:v>
      </x:c>
      <x:c r="G2349" s="17" t="n">
        <x:v>1</x:v>
      </x:c>
      <x:c r="H2349" s="14" t="str">
        <x:v>S07-03:B:calendar_first</x:v>
      </x:c>
    </x:row>
    <x:row r="2350" ht="72" customHeight="1">
      <x:c r="A2350" s="14" t="str">
        <x:v>S07-03:B:burst0_device</x:v>
      </x:c>
      <x:c r="B2350" s="14" t="str">
        <x:v>B</x:v>
      </x:c>
      <x:c r="C2350" s="14" t="str">
        <x:v>burst0_device</x:v>
      </x:c>
      <x:c r="D2350" s="14" t="n">
        <x:v>1.252333333</x:v>
      </x:c>
      <x:c r="E2350" s="14" t="n">
        <x:v>1.292333333</x:v>
      </x:c>
      <x:c r="F2350" s="14" t="n">
        <x:v>0.04</x:v>
      </x:c>
      <x:c r="G2350" s="17" t="n">
        <x:v>1</x:v>
      </x:c>
      <x:c r="H2350" s="14" t="str">
        <x:v>S07-03:B:apply_relation
S07-03:B:calendar_first</x:v>
      </x:c>
    </x:row>
    <x:row r="2351" ht="72" customHeight="1">
      <x:c r="A2351" s="14" t="str">
        <x:v>S07-03:B:burst0_played</x:v>
      </x:c>
      <x:c r="B2351" s="14" t="str">
        <x:v>B</x:v>
      </x:c>
      <x:c r="C2351" s="14" t="str">
        <x:v>burst0_played</x:v>
      </x:c>
      <x:c r="D2351" s="14" t="n">
        <x:v>1.292333333</x:v>
      </x:c>
      <x:c r="E2351" s="14" t="n">
        <x:v>4.262333333</x:v>
      </x:c>
      <x:c r="F2351" s="14" t="n">
        <x:v>2.97</x:v>
      </x:c>
      <x:c r="G2351" s="17" t="n">
        <x:v>0</x:v>
      </x:c>
      <x:c r="H2351" s="14" t="str">
        <x:v>S07-03:B:burst0_device</x:v>
      </x:c>
    </x:row>
    <x:row r="2352" ht="72" customHeight="1">
      <x:c r="A2352" s="14" t="str">
        <x:v>S07-03:B:mail_first</x:v>
      </x:c>
      <x:c r="B2352" s="14" t="str">
        <x:v>B</x:v>
      </x:c>
      <x:c r="C2352" s="14" t="str">
        <x:v>mail_first</x:v>
      </x:c>
      <x:c r="D2352" s="14" t="n">
        <x:v>4.262333333</x:v>
      </x:c>
      <x:c r="E2352" s="14" t="n">
        <x:v>4.668333333</x:v>
      </x:c>
      <x:c r="F2352" s="14" t="n">
        <x:v>0.406</x:v>
      </x:c>
      <x:c r="G2352" s="17" t="n">
        <x:v>1</x:v>
      </x:c>
      <x:c r="H2352" s="14" t="str">
        <x:v>S07-03:B:burst0_played</x:v>
      </x:c>
    </x:row>
    <x:row r="2353" ht="72" customHeight="1">
      <x:c r="A2353" s="14" t="str">
        <x:v>S07-03:B:mail_tail</x:v>
      </x:c>
      <x:c r="B2353" s="14" t="str">
        <x:v>B</x:v>
      </x:c>
      <x:c r="C2353" s="14" t="str">
        <x:v>mail_tail</x:v>
      </x:c>
      <x:c r="D2353" s="14" t="n">
        <x:v>4.668333333</x:v>
      </x:c>
      <x:c r="E2353" s="14" t="n">
        <x:v>5.610833333</x:v>
      </x:c>
      <x:c r="F2353" s="14" t="n">
        <x:v>0.9425</x:v>
      </x:c>
      <x:c r="G2353" s="17" t="n">
        <x:v>1</x:v>
      </x:c>
      <x:c r="H2353" s="14" t="str">
        <x:v>S07-03:B:mail_first</x:v>
      </x:c>
    </x:row>
    <x:row r="2354" ht="72" customHeight="1">
      <x:c r="A2354" s="14" t="str">
        <x:v>S07-03:B:burst1_device</x:v>
      </x:c>
      <x:c r="B2354" s="14" t="str">
        <x:v>B</x:v>
      </x:c>
      <x:c r="C2354" s="14" t="str">
        <x:v>burst1_device</x:v>
      </x:c>
      <x:c r="D2354" s="14" t="n">
        <x:v>4.668333333</x:v>
      </x:c>
      <x:c r="E2354" s="14" t="n">
        <x:v>4.708333333</x:v>
      </x:c>
      <x:c r="F2354" s="14" t="n">
        <x:v>0.04</x:v>
      </x:c>
      <x:c r="G2354" s="17" t="n">
        <x:v>1</x:v>
      </x:c>
      <x:c r="H2354" s="14" t="str">
        <x:v>S07-03:B:burst0_played
S07-03:B:mail_first</x:v>
      </x:c>
    </x:row>
    <x:row r="2355" ht="72" customHeight="1">
      <x:c r="A2355" s="14" t="str">
        <x:v>S07-03:B:burst1_played</x:v>
      </x:c>
      <x:c r="B2355" s="14" t="str">
        <x:v>B</x:v>
      </x:c>
      <x:c r="C2355" s="14" t="str">
        <x:v>burst1_played</x:v>
      </x:c>
      <x:c r="D2355" s="14" t="n">
        <x:v>4.708333333</x:v>
      </x:c>
      <x:c r="E2355" s="14" t="n">
        <x:v>8.678333333</x:v>
      </x:c>
      <x:c r="F2355" s="14" t="n">
        <x:v>3.97</x:v>
      </x:c>
      <x:c r="G2355" s="17" t="n">
        <x:v>0</x:v>
      </x:c>
      <x:c r="H2355" s="14" t="str">
        <x:v>S07-03:B:burst1_device</x:v>
      </x:c>
    </x:row>
    <x:row r="2356" ht="72" customHeight="1">
      <x:c r="A2356" s="14" t="str">
        <x:v>S07-03:B:report_first</x:v>
      </x:c>
      <x:c r="B2356" s="14" t="str">
        <x:v>B</x:v>
      </x:c>
      <x:c r="C2356" s="14" t="str">
        <x:v>report_first</x:v>
      </x:c>
      <x:c r="D2356" s="14" t="n">
        <x:v>8.678333333</x:v>
      </x:c>
      <x:c r="E2356" s="14" t="n">
        <x:v>9.088333333</x:v>
      </x:c>
      <x:c r="F2356" s="14" t="n">
        <x:v>0.41</x:v>
      </x:c>
      <x:c r="G2356" s="17" t="n">
        <x:v>1</x:v>
      </x:c>
      <x:c r="H2356" s="14" t="str">
        <x:v>S07-03:B:burst1_played</x:v>
      </x:c>
    </x:row>
    <x:row r="2357" ht="72" customHeight="1">
      <x:c r="A2357" s="14" t="str">
        <x:v>S07-03:B:report_tail</x:v>
      </x:c>
      <x:c r="B2357" s="14" t="str">
        <x:v>B</x:v>
      </x:c>
      <x:c r="C2357" s="14" t="str">
        <x:v>report_tail</x:v>
      </x:c>
      <x:c r="D2357" s="14" t="n">
        <x:v>9.088333333</x:v>
      </x:c>
      <x:c r="E2357" s="14" t="n">
        <x:v>10.780833333</x:v>
      </x:c>
      <x:c r="F2357" s="14" t="n">
        <x:v>1.6925</x:v>
      </x:c>
      <x:c r="G2357" s="17" t="n">
        <x:v>1</x:v>
      </x:c>
      <x:c r="H2357" s="14" t="str">
        <x:v>S07-03:B:report_first</x:v>
      </x:c>
    </x:row>
    <x:row r="2358" ht="72" customHeight="1">
      <x:c r="A2358" s="14" t="str">
        <x:v>S07-03:B:burst2_device</x:v>
      </x:c>
      <x:c r="B2358" s="14" t="str">
        <x:v>B</x:v>
      </x:c>
      <x:c r="C2358" s="14" t="str">
        <x:v>burst2_device</x:v>
      </x:c>
      <x:c r="D2358" s="14" t="n">
        <x:v>9.088333333</x:v>
      </x:c>
      <x:c r="E2358" s="14" t="n">
        <x:v>9.128333333</x:v>
      </x:c>
      <x:c r="F2358" s="14" t="n">
        <x:v>0.04</x:v>
      </x:c>
      <x:c r="G2358" s="17" t="n">
        <x:v>1</x:v>
      </x:c>
      <x:c r="H2358" s="14" t="str">
        <x:v>S07-03:B:burst1_played
S07-03:B:report_first</x:v>
      </x:c>
    </x:row>
    <x:row r="2359" ht="72" customHeight="1">
      <x:c r="A2359" s="14" t="str">
        <x:v>S07-03:B:burst2_played</x:v>
      </x:c>
      <x:c r="B2359" s="14" t="str">
        <x:v>B</x:v>
      </x:c>
      <x:c r="C2359" s="14" t="str">
        <x:v>burst2_played</x:v>
      </x:c>
      <x:c r="D2359" s="14" t="n">
        <x:v>9.128333333</x:v>
      </x:c>
      <x:c r="E2359" s="14" t="n">
        <x:v>16.098333333</x:v>
      </x:c>
      <x:c r="F2359" s="14" t="n">
        <x:v>6.97</x:v>
      </x:c>
      <x:c r="G2359" s="17" t="n">
        <x:v>0</x:v>
      </x:c>
      <x:c r="H2359" s="14" t="str">
        <x:v>S07-03:B:burst2_device</x:v>
      </x:c>
    </x:row>
    <x:row r="2360" ht="72" customHeight="1">
      <x:c r="A2360" s="14" t="str">
        <x:v>S07-04:A:origin</x:v>
      </x:c>
      <x:c r="B2360" s="14" t="str">
        <x:v>A</x:v>
      </x:c>
      <x:c r="C2360" s="14" t="str">
        <x:v>origin</x:v>
      </x:c>
      <x:c r="D2360" s="14" t="n">
        <x:v>-6</x:v>
      </x:c>
      <x:c r="E2360" s="14" t="n">
        <x:v>-6</x:v>
      </x:c>
      <x:c r="F2360" s="14" t="n">
        <x:v>0</x:v>
      </x:c>
      <x:c r="G2360" s="17" t="n">
        <x:v>0</x:v>
      </x:c>
      <x:c r="H2360" s="14" t="str"/>
    </x:row>
    <x:row r="2361" ht="72" customHeight="1">
      <x:c r="A2361" s="14" t="str">
        <x:v>S07-04:A:origin_interpretation</x:v>
      </x:c>
      <x:c r="B2361" s="14" t="str">
        <x:v>A</x:v>
      </x:c>
      <x:c r="C2361" s="14" t="str">
        <x:v>origin_interpretation</x:v>
      </x:c>
      <x:c r="D2361" s="14" t="n">
        <x:v>-6</x:v>
      </x:c>
      <x:c r="E2361" s="14" t="n">
        <x:v>-5.16</x:v>
      </x:c>
      <x:c r="F2361" s="14" t="n">
        <x:v>0.84</x:v>
      </x:c>
      <x:c r="G2361" s="17" t="n">
        <x:v>1</x:v>
      </x:c>
      <x:c r="H2361" s="14" t="str">
        <x:v>S07-04:A:origin</x:v>
      </x:c>
    </x:row>
    <x:row r="2362" ht="72" customHeight="1">
      <x:c r="A2362" s="14" t="str">
        <x:v>S07-04:A:original_handoff</x:v>
      </x:c>
      <x:c r="B2362" s="14" t="str">
        <x:v>A</x:v>
      </x:c>
      <x:c r="C2362" s="14" t="str">
        <x:v>original_handoff</x:v>
      </x:c>
      <x:c r="D2362" s="14" t="n">
        <x:v>-5.16</x:v>
      </x:c>
      <x:c r="E2362" s="14" t="n">
        <x:v>-5.04</x:v>
      </x:c>
      <x:c r="F2362" s="14" t="n">
        <x:v>0.12</x:v>
      </x:c>
      <x:c r="G2362" s="17" t="n">
        <x:v>1</x:v>
      </x:c>
      <x:c r="H2362" s="14" t="str">
        <x:v>S07-04:A:origin_interpretation</x:v>
      </x:c>
    </x:row>
    <x:row r="2363" ht="72" customHeight="1">
      <x:c r="A2363" s="14" t="str">
        <x:v>S07-04:A:evaluation_utterance_end</x:v>
      </x:c>
      <x:c r="B2363" s="14" t="str">
        <x:v>A</x:v>
      </x:c>
      <x:c r="C2363" s="14" t="str">
        <x:v>evaluation_utterance_end</x:v>
      </x:c>
      <x:c r="D2363" s="14" t="n">
        <x:v>-6</x:v>
      </x:c>
      <x:c r="E2363" s="14" t="n">
        <x:v>0</x:v>
      </x:c>
      <x:c r="F2363" s="14" t="n">
        <x:v>6</x:v>
      </x:c>
      <x:c r="G2363" s="17" t="n">
        <x:v>0</x:v>
      </x:c>
      <x:c r="H2363" s="14" t="str">
        <x:v>S07-04:A:origin</x:v>
      </x:c>
    </x:row>
    <x:row r="2364" ht="72" customHeight="1">
      <x:c r="A2364" s="14" t="str">
        <x:v>S07-04:A:final_transcript</x:v>
      </x:c>
      <x:c r="B2364" s="14" t="str">
        <x:v>A</x:v>
      </x:c>
      <x:c r="C2364" s="14" t="str">
        <x:v>final_transcript</x:v>
      </x:c>
      <x:c r="D2364" s="14" t="n">
        <x:v>0</x:v>
      </x:c>
      <x:c r="E2364" s="14" t="n">
        <x:v>0.3</x:v>
      </x:c>
      <x:c r="F2364" s="14" t="n">
        <x:v>0.3</x:v>
      </x:c>
      <x:c r="G2364" s="17" t="n">
        <x:v>1</x:v>
      </x:c>
      <x:c r="H2364" s="14" t="str">
        <x:v>S07-04:A:evaluation_utterance_end</x:v>
      </x:c>
    </x:row>
    <x:row r="2365" ht="72" customHeight="1">
      <x:c r="A2365" s="14" t="str">
        <x:v>S07-04:A:meaning_adoption</x:v>
      </x:c>
      <x:c r="B2365" s="14" t="str">
        <x:v>A</x:v>
      </x:c>
      <x:c r="C2365" s="14" t="str">
        <x:v>meaning_adoption</x:v>
      </x:c>
      <x:c r="D2365" s="14" t="n">
        <x:v>0.3</x:v>
      </x:c>
      <x:c r="E2365" s="14" t="n">
        <x:v>0.838333333</x:v>
      </x:c>
      <x:c r="F2365" s="14" t="n">
        <x:v>0.538333333</x:v>
      </x:c>
      <x:c r="G2365" s="17" t="n">
        <x:v>1</x:v>
      </x:c>
      <x:c r="H2365" s="14" t="str">
        <x:v>S07-04:A:final_transcript
S07-04:A:origin_interpretation</x:v>
      </x:c>
    </x:row>
    <x:row r="2366" ht="72" customHeight="1">
      <x:c r="A2366" s="14" t="str">
        <x:v>S07-04:A:apply_relation</x:v>
      </x:c>
      <x:c r="B2366" s="14" t="str">
        <x:v>A</x:v>
      </x:c>
      <x:c r="C2366" s="14" t="str">
        <x:v>apply_relation</x:v>
      </x:c>
      <x:c r="D2366" s="14" t="n">
        <x:v>0.838333333</x:v>
      </x:c>
      <x:c r="E2366" s="14" t="n">
        <x:v>0.878333333</x:v>
      </x:c>
      <x:c r="F2366" s="14" t="n">
        <x:v>0.04</x:v>
      </x:c>
      <x:c r="G2366" s="17" t="n">
        <x:v>1</x:v>
      </x:c>
      <x:c r="H2366" s="14" t="str">
        <x:v>S07-04:A:meaning_adoption</x:v>
      </x:c>
    </x:row>
    <x:row r="2367" ht="72" customHeight="1">
      <x:c r="A2367" s="14" t="str">
        <x:v>S07-04:A:evaluation_first_display</x:v>
      </x:c>
      <x:c r="B2367" s="14" t="str">
        <x:v>A</x:v>
      </x:c>
      <x:c r="C2367" s="14" t="str">
        <x:v>evaluation_first_display</x:v>
      </x:c>
      <x:c r="D2367" s="14" t="n">
        <x:v>0.878333333</x:v>
      </x:c>
      <x:c r="E2367" s="14" t="n">
        <x:v>0.918333333</x:v>
      </x:c>
      <x:c r="F2367" s="14" t="n">
        <x:v>0.04</x:v>
      </x:c>
      <x:c r="G2367" s="17" t="n">
        <x:v>1</x:v>
      </x:c>
      <x:c r="H2367" s="14" t="str">
        <x:v>S07-04:A:apply_relation</x:v>
      </x:c>
    </x:row>
    <x:row r="2368" ht="72" customHeight="1">
      <x:c r="A2368" s="14" t="str">
        <x:v>S07-04:A:source_calendar</x:v>
      </x:c>
      <x:c r="B2368" s="14" t="str">
        <x:v>A</x:v>
      </x:c>
      <x:c r="C2368" s="14" t="str">
        <x:v>source_calendar</x:v>
      </x:c>
      <x:c r="D2368" s="14" t="n">
        <x:v>-5.04</x:v>
      </x:c>
      <x:c r="E2368" s="14" t="n">
        <x:v>-1.4</x:v>
      </x:c>
      <x:c r="F2368" s="14" t="n">
        <x:v>3.64</x:v>
      </x:c>
      <x:c r="G2368" s="17" t="n">
        <x:v>0</x:v>
      </x:c>
      <x:c r="H2368" s="14" t="str">
        <x:v>S07-04:A:original_handoff</x:v>
      </x:c>
    </x:row>
    <x:row r="2369" ht="72" customHeight="1">
      <x:c r="A2369" s="14" t="str">
        <x:v>S07-04:A:display_calendar</x:v>
      </x:c>
      <x:c r="B2369" s="14" t="str">
        <x:v>A</x:v>
      </x:c>
      <x:c r="C2369" s="14" t="str">
        <x:v>display_calendar</x:v>
      </x:c>
      <x:c r="D2369" s="14" t="n">
        <x:v>-1.4</x:v>
      </x:c>
      <x:c r="E2369" s="14" t="n">
        <x:v>-1.36</x:v>
      </x:c>
      <x:c r="F2369" s="14" t="n">
        <x:v>0.04</x:v>
      </x:c>
      <x:c r="G2369" s="17" t="n">
        <x:v>1</x:v>
      </x:c>
      <x:c r="H2369" s="14" t="str">
        <x:v>S07-04:A:source_calendar</x:v>
      </x:c>
    </x:row>
    <x:row r="2370" ht="72" customHeight="1">
      <x:c r="A2370" s="14" t="str">
        <x:v>S07-04:A:source_mail</x:v>
      </x:c>
      <x:c r="B2370" s="14" t="str">
        <x:v>A</x:v>
      </x:c>
      <x:c r="C2370" s="14" t="str">
        <x:v>source_mail</x:v>
      </x:c>
      <x:c r="D2370" s="14" t="n">
        <x:v>-5.04</x:v>
      </x:c>
      <x:c r="E2370" s="14" t="n">
        <x:v>-1.2</x:v>
      </x:c>
      <x:c r="F2370" s="14" t="n">
        <x:v>3.84</x:v>
      </x:c>
      <x:c r="G2370" s="17" t="n">
        <x:v>0</x:v>
      </x:c>
      <x:c r="H2370" s="14" t="str">
        <x:v>S07-04:A:original_handoff</x:v>
      </x:c>
    </x:row>
    <x:row r="2371" ht="72" customHeight="1">
      <x:c r="A2371" s="14" t="str">
        <x:v>S07-04:A:display_mail</x:v>
      </x:c>
      <x:c r="B2371" s="14" t="str">
        <x:v>A</x:v>
      </x:c>
      <x:c r="C2371" s="14" t="str">
        <x:v>display_mail</x:v>
      </x:c>
      <x:c r="D2371" s="14" t="n">
        <x:v>-1.2</x:v>
      </x:c>
      <x:c r="E2371" s="14" t="n">
        <x:v>-1.16</x:v>
      </x:c>
      <x:c r="F2371" s="14" t="n">
        <x:v>0.04</x:v>
      </x:c>
      <x:c r="G2371" s="17" t="n">
        <x:v>1</x:v>
      </x:c>
      <x:c r="H2371" s="14" t="str">
        <x:v>S07-04:A:source_mail</x:v>
      </x:c>
    </x:row>
    <x:row r="2372" ht="72" customHeight="1">
      <x:c r="A2372" s="14" t="str">
        <x:v>S07-04:A:source_report</x:v>
      </x:c>
      <x:c r="B2372" s="14" t="str">
        <x:v>A</x:v>
      </x:c>
      <x:c r="C2372" s="14" t="str">
        <x:v>source_report</x:v>
      </x:c>
      <x:c r="D2372" s="14" t="n">
        <x:v>-5.04</x:v>
      </x:c>
      <x:c r="E2372" s="14" t="n">
        <x:v>-0.9</x:v>
      </x:c>
      <x:c r="F2372" s="14" t="n">
        <x:v>4.14</x:v>
      </x:c>
      <x:c r="G2372" s="17" t="n">
        <x:v>0</x:v>
      </x:c>
      <x:c r="H2372" s="14" t="str">
        <x:v>S07-04:A:original_handoff</x:v>
      </x:c>
    </x:row>
    <x:row r="2373" ht="72" customHeight="1">
      <x:c r="A2373" s="14" t="str">
        <x:v>S07-04:A:display_report</x:v>
      </x:c>
      <x:c r="B2373" s="14" t="str">
        <x:v>A</x:v>
      </x:c>
      <x:c r="C2373" s="14" t="str">
        <x:v>display_report</x:v>
      </x:c>
      <x:c r="D2373" s="14" t="n">
        <x:v>-0.9</x:v>
      </x:c>
      <x:c r="E2373" s="14" t="n">
        <x:v>-0.86</x:v>
      </x:c>
      <x:c r="F2373" s="14" t="n">
        <x:v>0.04</x:v>
      </x:c>
      <x:c r="G2373" s="17" t="n">
        <x:v>1</x:v>
      </x:c>
      <x:c r="H2373" s="14" t="str">
        <x:v>S07-04:A:source_report</x:v>
      </x:c>
    </x:row>
    <x:row r="2374" ht="72" customHeight="1">
      <x:c r="A2374" s="14" t="str">
        <x:v>S07-04:A:calendar_first</x:v>
      </x:c>
      <x:c r="B2374" s="14" t="str">
        <x:v>A</x:v>
      </x:c>
      <x:c r="C2374" s="14" t="str">
        <x:v>calendar_first</x:v>
      </x:c>
      <x:c r="D2374" s="14" t="n">
        <x:v>-1.4</x:v>
      </x:c>
      <x:c r="E2374" s="14" t="n">
        <x:v>-0.997666667</x:v>
      </x:c>
      <x:c r="F2374" s="14" t="n">
        <x:v>0.402333333</x:v>
      </x:c>
      <x:c r="G2374" s="17" t="n">
        <x:v>1</x:v>
      </x:c>
      <x:c r="H2374" s="14" t="str">
        <x:v>S07-04:A:source_calendar</x:v>
      </x:c>
    </x:row>
    <x:row r="2375" ht="72" customHeight="1">
      <x:c r="A2375" s="14" t="str">
        <x:v>S07-04:A:calendar_tail</x:v>
      </x:c>
      <x:c r="B2375" s="14" t="str">
        <x:v>A</x:v>
      </x:c>
      <x:c r="C2375" s="14" t="str">
        <x:v>calendar_tail</x:v>
      </x:c>
      <x:c r="D2375" s="14" t="n">
        <x:v>-0.997666667</x:v>
      </x:c>
      <x:c r="E2375" s="14" t="n">
        <x:v>-0.302166667</x:v>
      </x:c>
      <x:c r="F2375" s="14" t="n">
        <x:v>0.6955</x:v>
      </x:c>
      <x:c r="G2375" s="17" t="n">
        <x:v>1</x:v>
      </x:c>
      <x:c r="H2375" s="14" t="str">
        <x:v>S07-04:A:calendar_first</x:v>
      </x:c>
    </x:row>
    <x:row r="2376" ht="72" customHeight="1">
      <x:c r="A2376" s="14" t="str">
        <x:v>S07-04:A:burst0_device</x:v>
      </x:c>
      <x:c r="B2376" s="14" t="str">
        <x:v>A</x:v>
      </x:c>
      <x:c r="C2376" s="14" t="str">
        <x:v>burst0_device</x:v>
      </x:c>
      <x:c r="D2376" s="14" t="n">
        <x:v>0.878333333</x:v>
      </x:c>
      <x:c r="E2376" s="14" t="n">
        <x:v>0.918333333</x:v>
      </x:c>
      <x:c r="F2376" s="14" t="n">
        <x:v>0.04</x:v>
      </x:c>
      <x:c r="G2376" s="17" t="n">
        <x:v>1</x:v>
      </x:c>
      <x:c r="H2376" s="14" t="str">
        <x:v>S07-04:A:apply_relation
S07-04:A:calendar_first</x:v>
      </x:c>
    </x:row>
    <x:row r="2377" ht="72" customHeight="1">
      <x:c r="A2377" s="14" t="str">
        <x:v>S07-04:A:burst0_played</x:v>
      </x:c>
      <x:c r="B2377" s="14" t="str">
        <x:v>A</x:v>
      </x:c>
      <x:c r="C2377" s="14" t="str">
        <x:v>burst0_played</x:v>
      </x:c>
      <x:c r="D2377" s="14" t="n">
        <x:v>0.918333333</x:v>
      </x:c>
      <x:c r="E2377" s="14" t="n">
        <x:v>3.900333333</x:v>
      </x:c>
      <x:c r="F2377" s="14" t="n">
        <x:v>2.982</x:v>
      </x:c>
      <x:c r="G2377" s="17" t="n">
        <x:v>0</x:v>
      </x:c>
      <x:c r="H2377" s="14" t="str">
        <x:v>S07-04:A:burst0_device</x:v>
      </x:c>
    </x:row>
    <x:row r="2378" ht="72" customHeight="1">
      <x:c r="A2378" s="14" t="str">
        <x:v>S07-04:A:mail_first</x:v>
      </x:c>
      <x:c r="B2378" s="14" t="str">
        <x:v>A</x:v>
      </x:c>
      <x:c r="C2378" s="14" t="str">
        <x:v>mail_first</x:v>
      </x:c>
      <x:c r="D2378" s="14" t="n">
        <x:v>-1.2</x:v>
      </x:c>
      <x:c r="E2378" s="14" t="n">
        <x:v>-0.794</x:v>
      </x:c>
      <x:c r="F2378" s="14" t="n">
        <x:v>0.406</x:v>
      </x:c>
      <x:c r="G2378" s="17" t="n">
        <x:v>1</x:v>
      </x:c>
      <x:c r="H2378" s="14" t="str">
        <x:v>S07-04:A:source_mail</x:v>
      </x:c>
    </x:row>
    <x:row r="2379" ht="72" customHeight="1">
      <x:c r="A2379" s="14" t="str">
        <x:v>S07-04:A:mail_tail</x:v>
      </x:c>
      <x:c r="B2379" s="14" t="str">
        <x:v>A</x:v>
      </x:c>
      <x:c r="C2379" s="14" t="str">
        <x:v>mail_tail</x:v>
      </x:c>
      <x:c r="D2379" s="14" t="n">
        <x:v>-0.794</x:v>
      </x:c>
      <x:c r="E2379" s="14" t="n">
        <x:v>0.1515</x:v>
      </x:c>
      <x:c r="F2379" s="14" t="n">
        <x:v>0.9455</x:v>
      </x:c>
      <x:c r="G2379" s="17" t="n">
        <x:v>1</x:v>
      </x:c>
      <x:c r="H2379" s="14" t="str">
        <x:v>S07-04:A:mail_first</x:v>
      </x:c>
    </x:row>
    <x:row r="2380" ht="72" customHeight="1">
      <x:c r="A2380" s="14" t="str">
        <x:v>S07-04:A:burst1_device</x:v>
      </x:c>
      <x:c r="B2380" s="14" t="str">
        <x:v>A</x:v>
      </x:c>
      <x:c r="C2380" s="14" t="str">
        <x:v>burst1_device</x:v>
      </x:c>
      <x:c r="D2380" s="14" t="n">
        <x:v>3.900333333</x:v>
      </x:c>
      <x:c r="E2380" s="14" t="n">
        <x:v>3.940333333</x:v>
      </x:c>
      <x:c r="F2380" s="14" t="n">
        <x:v>0.04</x:v>
      </x:c>
      <x:c r="G2380" s="17" t="n">
        <x:v>1</x:v>
      </x:c>
      <x:c r="H2380" s="14" t="str">
        <x:v>S07-04:A:burst0_played
S07-04:A:mail_first</x:v>
      </x:c>
    </x:row>
    <x:row r="2381" ht="72" customHeight="1">
      <x:c r="A2381" s="14" t="str">
        <x:v>S07-04:A:burst1_played</x:v>
      </x:c>
      <x:c r="B2381" s="14" t="str">
        <x:v>A</x:v>
      </x:c>
      <x:c r="C2381" s="14" t="str">
        <x:v>burst1_played</x:v>
      </x:c>
      <x:c r="D2381" s="14" t="n">
        <x:v>3.940333333</x:v>
      </x:c>
      <x:c r="E2381" s="14" t="n">
        <x:v>7.922333333</x:v>
      </x:c>
      <x:c r="F2381" s="14" t="n">
        <x:v>3.982</x:v>
      </x:c>
      <x:c r="G2381" s="17" t="n">
        <x:v>0</x:v>
      </x:c>
      <x:c r="H2381" s="14" t="str">
        <x:v>S07-04:A:burst1_device</x:v>
      </x:c>
    </x:row>
    <x:row r="2382" ht="72" customHeight="1">
      <x:c r="A2382" s="14" t="str">
        <x:v>S07-04:A:report_first</x:v>
      </x:c>
      <x:c r="B2382" s="14" t="str">
        <x:v>A</x:v>
      </x:c>
      <x:c r="C2382" s="14" t="str">
        <x:v>report_first</x:v>
      </x:c>
      <x:c r="D2382" s="14" t="n">
        <x:v>-0.9</x:v>
      </x:c>
      <x:c r="E2382" s="14" t="n">
        <x:v>-0.49</x:v>
      </x:c>
      <x:c r="F2382" s="14" t="n">
        <x:v>0.41</x:v>
      </x:c>
      <x:c r="G2382" s="17" t="n">
        <x:v>1</x:v>
      </x:c>
      <x:c r="H2382" s="14" t="str">
        <x:v>S07-04:A:source_report</x:v>
      </x:c>
    </x:row>
    <x:row r="2383" ht="72" customHeight="1">
      <x:c r="A2383" s="14" t="str">
        <x:v>S07-04:A:report_tail</x:v>
      </x:c>
      <x:c r="B2383" s="14" t="str">
        <x:v>A</x:v>
      </x:c>
      <x:c r="C2383" s="14" t="str">
        <x:v>report_tail</x:v>
      </x:c>
      <x:c r="D2383" s="14" t="n">
        <x:v>-0.49</x:v>
      </x:c>
      <x:c r="E2383" s="14" t="n">
        <x:v>1.2055</x:v>
      </x:c>
      <x:c r="F2383" s="14" t="n">
        <x:v>1.6955</x:v>
      </x:c>
      <x:c r="G2383" s="17" t="n">
        <x:v>1</x:v>
      </x:c>
      <x:c r="H2383" s="14" t="str">
        <x:v>S07-04:A:report_first</x:v>
      </x:c>
    </x:row>
    <x:row r="2384" ht="72" customHeight="1">
      <x:c r="A2384" s="14" t="str">
        <x:v>S07-04:A:burst2_device</x:v>
      </x:c>
      <x:c r="B2384" s="14" t="str">
        <x:v>A</x:v>
      </x:c>
      <x:c r="C2384" s="14" t="str">
        <x:v>burst2_device</x:v>
      </x:c>
      <x:c r="D2384" s="14" t="n">
        <x:v>7.922333333</x:v>
      </x:c>
      <x:c r="E2384" s="14" t="n">
        <x:v>7.962333333</x:v>
      </x:c>
      <x:c r="F2384" s="14" t="n">
        <x:v>0.04</x:v>
      </x:c>
      <x:c r="G2384" s="17" t="n">
        <x:v>1</x:v>
      </x:c>
      <x:c r="H2384" s="14" t="str">
        <x:v>S07-04:A:burst1_played
S07-04:A:report_first</x:v>
      </x:c>
    </x:row>
    <x:row r="2385" ht="72" customHeight="1">
      <x:c r="A2385" s="14" t="str">
        <x:v>S07-04:A:burst2_played</x:v>
      </x:c>
      <x:c r="B2385" s="14" t="str">
        <x:v>A</x:v>
      </x:c>
      <x:c r="C2385" s="14" t="str">
        <x:v>burst2_played</x:v>
      </x:c>
      <x:c r="D2385" s="14" t="n">
        <x:v>7.962333333</x:v>
      </x:c>
      <x:c r="E2385" s="14" t="n">
        <x:v>14.944333333</x:v>
      </x:c>
      <x:c r="F2385" s="14" t="n">
        <x:v>6.982</x:v>
      </x:c>
      <x:c r="G2385" s="17" t="n">
        <x:v>0</x:v>
      </x:c>
      <x:c r="H2385" s="14" t="str">
        <x:v>S07-04:A:burst2_device</x:v>
      </x:c>
    </x:row>
    <x:row r="2386" ht="72" customHeight="1">
      <x:c r="A2386" s="14" t="str">
        <x:v>S07-04:B:origin</x:v>
      </x:c>
      <x:c r="B2386" s="14" t="str">
        <x:v>B</x:v>
      </x:c>
      <x:c r="C2386" s="14" t="str">
        <x:v>origin</x:v>
      </x:c>
      <x:c r="D2386" s="14" t="n">
        <x:v>-6</x:v>
      </x:c>
      <x:c r="E2386" s="14" t="n">
        <x:v>-6</x:v>
      </x:c>
      <x:c r="F2386" s="14" t="n">
        <x:v>0</x:v>
      </x:c>
      <x:c r="G2386" s="17" t="n">
        <x:v>0</x:v>
      </x:c>
      <x:c r="H2386" s="14" t="str"/>
    </x:row>
    <x:row r="2387" ht="72" customHeight="1">
      <x:c r="A2387" s="14" t="str">
        <x:v>S07-04:B:origin_interpretation</x:v>
      </x:c>
      <x:c r="B2387" s="14" t="str">
        <x:v>B</x:v>
      </x:c>
      <x:c r="C2387" s="14" t="str">
        <x:v>origin_interpretation</x:v>
      </x:c>
      <x:c r="D2387" s="14" t="n">
        <x:v>-6</x:v>
      </x:c>
      <x:c r="E2387" s="14" t="n">
        <x:v>-5.16</x:v>
      </x:c>
      <x:c r="F2387" s="14" t="n">
        <x:v>0.84</x:v>
      </x:c>
      <x:c r="G2387" s="17" t="n">
        <x:v>1</x:v>
      </x:c>
      <x:c r="H2387" s="14" t="str">
        <x:v>S07-04:B:origin</x:v>
      </x:c>
    </x:row>
    <x:row r="2388" ht="72" customHeight="1">
      <x:c r="A2388" s="14" t="str">
        <x:v>S07-04:B:original_handoff</x:v>
      </x:c>
      <x:c r="B2388" s="14" t="str">
        <x:v>B</x:v>
      </x:c>
      <x:c r="C2388" s="14" t="str">
        <x:v>original_handoff</x:v>
      </x:c>
      <x:c r="D2388" s="14" t="n">
        <x:v>-5.16</x:v>
      </x:c>
      <x:c r="E2388" s="14" t="n">
        <x:v>-5.04</x:v>
      </x:c>
      <x:c r="F2388" s="14" t="n">
        <x:v>0.12</x:v>
      </x:c>
      <x:c r="G2388" s="17" t="n">
        <x:v>1</x:v>
      </x:c>
      <x:c r="H2388" s="14" t="str">
        <x:v>S07-04:B:origin_interpretation</x:v>
      </x:c>
    </x:row>
    <x:row r="2389" ht="72" customHeight="1">
      <x:c r="A2389" s="14" t="str">
        <x:v>S07-04:B:evaluation_utterance_end</x:v>
      </x:c>
      <x:c r="B2389" s="14" t="str">
        <x:v>B</x:v>
      </x:c>
      <x:c r="C2389" s="14" t="str">
        <x:v>evaluation_utterance_end</x:v>
      </x:c>
      <x:c r="D2389" s="14" t="n">
        <x:v>-6</x:v>
      </x:c>
      <x:c r="E2389" s="14" t="n">
        <x:v>0</x:v>
      </x:c>
      <x:c r="F2389" s="14" t="n">
        <x:v>6</x:v>
      </x:c>
      <x:c r="G2389" s="17" t="n">
        <x:v>0</x:v>
      </x:c>
      <x:c r="H2389" s="14" t="str">
        <x:v>S07-04:B:origin</x:v>
      </x:c>
    </x:row>
    <x:row r="2390" ht="72" customHeight="1">
      <x:c r="A2390" s="14" t="str">
        <x:v>S07-04:B:final_transcript</x:v>
      </x:c>
      <x:c r="B2390" s="14" t="str">
        <x:v>B</x:v>
      </x:c>
      <x:c r="C2390" s="14" t="str">
        <x:v>final_transcript</x:v>
      </x:c>
      <x:c r="D2390" s="14" t="n">
        <x:v>0</x:v>
      </x:c>
      <x:c r="E2390" s="14" t="n">
        <x:v>0.3</x:v>
      </x:c>
      <x:c r="F2390" s="14" t="n">
        <x:v>0.3</x:v>
      </x:c>
      <x:c r="G2390" s="17" t="n">
        <x:v>1</x:v>
      </x:c>
      <x:c r="H2390" s="14" t="str">
        <x:v>S07-04:B:evaluation_utterance_end</x:v>
      </x:c>
    </x:row>
    <x:row r="2391" ht="72" customHeight="1">
      <x:c r="A2391" s="14" t="str">
        <x:v>S07-04:B:meaning_adoption</x:v>
      </x:c>
      <x:c r="B2391" s="14" t="str">
        <x:v>B</x:v>
      </x:c>
      <x:c r="C2391" s="14" t="str">
        <x:v>meaning_adoption</x:v>
      </x:c>
      <x:c r="D2391" s="14" t="n">
        <x:v>0.3</x:v>
      </x:c>
      <x:c r="E2391" s="14" t="n">
        <x:v>0.838333333</x:v>
      </x:c>
      <x:c r="F2391" s="14" t="n">
        <x:v>0.538333333</x:v>
      </x:c>
      <x:c r="G2391" s="17" t="n">
        <x:v>1</x:v>
      </x:c>
      <x:c r="H2391" s="14" t="str">
        <x:v>S07-04:B:final_transcript
S07-04:B:origin_interpretation</x:v>
      </x:c>
    </x:row>
    <x:row r="2392" ht="72" customHeight="1">
      <x:c r="A2392" s="14" t="str">
        <x:v>S07-04:B:apply_relation</x:v>
      </x:c>
      <x:c r="B2392" s="14" t="str">
        <x:v>B</x:v>
      </x:c>
      <x:c r="C2392" s="14" t="str">
        <x:v>apply_relation</x:v>
      </x:c>
      <x:c r="D2392" s="14" t="n">
        <x:v>0.838333333</x:v>
      </x:c>
      <x:c r="E2392" s="14" t="n">
        <x:v>0.878333333</x:v>
      </x:c>
      <x:c r="F2392" s="14" t="n">
        <x:v>0.04</x:v>
      </x:c>
      <x:c r="G2392" s="17" t="n">
        <x:v>1</x:v>
      </x:c>
      <x:c r="H2392" s="14" t="str">
        <x:v>S07-04:B:meaning_adoption</x:v>
      </x:c>
    </x:row>
    <x:row r="2393" ht="72" customHeight="1">
      <x:c r="A2393" s="14" t="str">
        <x:v>S07-04:B:evaluation_first_display</x:v>
      </x:c>
      <x:c r="B2393" s="14" t="str">
        <x:v>B</x:v>
      </x:c>
      <x:c r="C2393" s="14" t="str">
        <x:v>evaluation_first_display</x:v>
      </x:c>
      <x:c r="D2393" s="14" t="n">
        <x:v>0.878333333</x:v>
      </x:c>
      <x:c r="E2393" s="14" t="n">
        <x:v>0.918333333</x:v>
      </x:c>
      <x:c r="F2393" s="14" t="n">
        <x:v>0.04</x:v>
      </x:c>
      <x:c r="G2393" s="17" t="n">
        <x:v>1</x:v>
      </x:c>
      <x:c r="H2393" s="14" t="str">
        <x:v>S07-04:B:apply_relation</x:v>
      </x:c>
    </x:row>
    <x:row r="2394" ht="72" customHeight="1">
      <x:c r="A2394" s="14" t="str">
        <x:v>S07-04:B:source_calendar</x:v>
      </x:c>
      <x:c r="B2394" s="14" t="str">
        <x:v>B</x:v>
      </x:c>
      <x:c r="C2394" s="14" t="str">
        <x:v>source_calendar</x:v>
      </x:c>
      <x:c r="D2394" s="14" t="n">
        <x:v>-5.04</x:v>
      </x:c>
      <x:c r="E2394" s="14" t="n">
        <x:v>-1.4</x:v>
      </x:c>
      <x:c r="F2394" s="14" t="n">
        <x:v>3.64</x:v>
      </x:c>
      <x:c r="G2394" s="17" t="n">
        <x:v>0</x:v>
      </x:c>
      <x:c r="H2394" s="14" t="str">
        <x:v>S07-04:B:original_handoff</x:v>
      </x:c>
    </x:row>
    <x:row r="2395" ht="72" customHeight="1">
      <x:c r="A2395" s="14" t="str">
        <x:v>S07-04:B:display_calendar</x:v>
      </x:c>
      <x:c r="B2395" s="14" t="str">
        <x:v>B</x:v>
      </x:c>
      <x:c r="C2395" s="14" t="str">
        <x:v>display_calendar</x:v>
      </x:c>
      <x:c r="D2395" s="14" t="n">
        <x:v>-1.4</x:v>
      </x:c>
      <x:c r="E2395" s="14" t="n">
        <x:v>-1.36</x:v>
      </x:c>
      <x:c r="F2395" s="14" t="n">
        <x:v>0.04</x:v>
      </x:c>
      <x:c r="G2395" s="17" t="n">
        <x:v>1</x:v>
      </x:c>
      <x:c r="H2395" s="14" t="str">
        <x:v>S07-04:B:source_calendar</x:v>
      </x:c>
    </x:row>
    <x:row r="2396" ht="72" customHeight="1">
      <x:c r="A2396" s="14" t="str">
        <x:v>S07-04:B:source_mail</x:v>
      </x:c>
      <x:c r="B2396" s="14" t="str">
        <x:v>B</x:v>
      </x:c>
      <x:c r="C2396" s="14" t="str">
        <x:v>source_mail</x:v>
      </x:c>
      <x:c r="D2396" s="14" t="n">
        <x:v>-5.04</x:v>
      </x:c>
      <x:c r="E2396" s="14" t="n">
        <x:v>-1.2</x:v>
      </x:c>
      <x:c r="F2396" s="14" t="n">
        <x:v>3.84</x:v>
      </x:c>
      <x:c r="G2396" s="17" t="n">
        <x:v>0</x:v>
      </x:c>
      <x:c r="H2396" s="14" t="str">
        <x:v>S07-04:B:original_handoff</x:v>
      </x:c>
    </x:row>
    <x:row r="2397" ht="72" customHeight="1">
      <x:c r="A2397" s="14" t="str">
        <x:v>S07-04:B:display_mail</x:v>
      </x:c>
      <x:c r="B2397" s="14" t="str">
        <x:v>B</x:v>
      </x:c>
      <x:c r="C2397" s="14" t="str">
        <x:v>display_mail</x:v>
      </x:c>
      <x:c r="D2397" s="14" t="n">
        <x:v>-1.2</x:v>
      </x:c>
      <x:c r="E2397" s="14" t="n">
        <x:v>-1.16</x:v>
      </x:c>
      <x:c r="F2397" s="14" t="n">
        <x:v>0.04</x:v>
      </x:c>
      <x:c r="G2397" s="17" t="n">
        <x:v>1</x:v>
      </x:c>
      <x:c r="H2397" s="14" t="str">
        <x:v>S07-04:B:source_mail</x:v>
      </x:c>
    </x:row>
    <x:row r="2398" ht="72" customHeight="1">
      <x:c r="A2398" s="14" t="str">
        <x:v>S07-04:B:source_report</x:v>
      </x:c>
      <x:c r="B2398" s="14" t="str">
        <x:v>B</x:v>
      </x:c>
      <x:c r="C2398" s="14" t="str">
        <x:v>source_report</x:v>
      </x:c>
      <x:c r="D2398" s="14" t="n">
        <x:v>-5.04</x:v>
      </x:c>
      <x:c r="E2398" s="14" t="n">
        <x:v>-0.9</x:v>
      </x:c>
      <x:c r="F2398" s="14" t="n">
        <x:v>4.14</x:v>
      </x:c>
      <x:c r="G2398" s="17" t="n">
        <x:v>0</x:v>
      </x:c>
      <x:c r="H2398" s="14" t="str">
        <x:v>S07-04:B:original_handoff</x:v>
      </x:c>
    </x:row>
    <x:row r="2399" ht="72" customHeight="1">
      <x:c r="A2399" s="14" t="str">
        <x:v>S07-04:B:display_report</x:v>
      </x:c>
      <x:c r="B2399" s="14" t="str">
        <x:v>B</x:v>
      </x:c>
      <x:c r="C2399" s="14" t="str">
        <x:v>display_report</x:v>
      </x:c>
      <x:c r="D2399" s="14" t="n">
        <x:v>-0.9</x:v>
      </x:c>
      <x:c r="E2399" s="14" t="n">
        <x:v>-0.86</x:v>
      </x:c>
      <x:c r="F2399" s="14" t="n">
        <x:v>0.04</x:v>
      </x:c>
      <x:c r="G2399" s="17" t="n">
        <x:v>1</x:v>
      </x:c>
      <x:c r="H2399" s="14" t="str">
        <x:v>S07-04:B:source_report</x:v>
      </x:c>
    </x:row>
    <x:row r="2400" ht="72" customHeight="1">
      <x:c r="A2400" s="14" t="str">
        <x:v>S07-04:B:calendar_first</x:v>
      </x:c>
      <x:c r="B2400" s="14" t="str">
        <x:v>B</x:v>
      </x:c>
      <x:c r="C2400" s="14" t="str">
        <x:v>calendar_first</x:v>
      </x:c>
      <x:c r="D2400" s="14" t="n">
        <x:v>0.878333333</x:v>
      </x:c>
      <x:c r="E2400" s="14" t="n">
        <x:v>1.280666666</x:v>
      </x:c>
      <x:c r="F2400" s="14" t="n">
        <x:v>0.402333333</x:v>
      </x:c>
      <x:c r="G2400" s="17" t="n">
        <x:v>1</x:v>
      </x:c>
      <x:c r="H2400" s="14" t="str">
        <x:v>S07-04:B:apply_relation</x:v>
      </x:c>
    </x:row>
    <x:row r="2401" ht="72" customHeight="1">
      <x:c r="A2401" s="14" t="str">
        <x:v>S07-04:B:calendar_tail</x:v>
      </x:c>
      <x:c r="B2401" s="14" t="str">
        <x:v>B</x:v>
      </x:c>
      <x:c r="C2401" s="14" t="str">
        <x:v>calendar_tail</x:v>
      </x:c>
      <x:c r="D2401" s="14" t="n">
        <x:v>1.280666666</x:v>
      </x:c>
      <x:c r="E2401" s="14" t="n">
        <x:v>1.976166666</x:v>
      </x:c>
      <x:c r="F2401" s="14" t="n">
        <x:v>0.6955</x:v>
      </x:c>
      <x:c r="G2401" s="17" t="n">
        <x:v>1</x:v>
      </x:c>
      <x:c r="H2401" s="14" t="str">
        <x:v>S07-04:B:calendar_first</x:v>
      </x:c>
    </x:row>
    <x:row r="2402" ht="72" customHeight="1">
      <x:c r="A2402" s="14" t="str">
        <x:v>S07-04:B:burst0_device</x:v>
      </x:c>
      <x:c r="B2402" s="14" t="str">
        <x:v>B</x:v>
      </x:c>
      <x:c r="C2402" s="14" t="str">
        <x:v>burst0_device</x:v>
      </x:c>
      <x:c r="D2402" s="14" t="n">
        <x:v>1.280666666</x:v>
      </x:c>
      <x:c r="E2402" s="14" t="n">
        <x:v>1.320666666</x:v>
      </x:c>
      <x:c r="F2402" s="14" t="n">
        <x:v>0.04</x:v>
      </x:c>
      <x:c r="G2402" s="17" t="n">
        <x:v>1</x:v>
      </x:c>
      <x:c r="H2402" s="14" t="str">
        <x:v>S07-04:B:apply_relation
S07-04:B:calendar_first</x:v>
      </x:c>
    </x:row>
    <x:row r="2403" ht="72" customHeight="1">
      <x:c r="A2403" s="14" t="str">
        <x:v>S07-04:B:burst0_played</x:v>
      </x:c>
      <x:c r="B2403" s="14" t="str">
        <x:v>B</x:v>
      </x:c>
      <x:c r="C2403" s="14" t="str">
        <x:v>burst0_played</x:v>
      </x:c>
      <x:c r="D2403" s="14" t="n">
        <x:v>1.320666666</x:v>
      </x:c>
      <x:c r="E2403" s="14" t="n">
        <x:v>4.302666666</x:v>
      </x:c>
      <x:c r="F2403" s="14" t="n">
        <x:v>2.982</x:v>
      </x:c>
      <x:c r="G2403" s="17" t="n">
        <x:v>0</x:v>
      </x:c>
      <x:c r="H2403" s="14" t="str">
        <x:v>S07-04:B:burst0_device</x:v>
      </x:c>
    </x:row>
    <x:row r="2404" ht="72" customHeight="1">
      <x:c r="A2404" s="14" t="str">
        <x:v>S07-04:B:mail_first</x:v>
      </x:c>
      <x:c r="B2404" s="14" t="str">
        <x:v>B</x:v>
      </x:c>
      <x:c r="C2404" s="14" t="str">
        <x:v>mail_first</x:v>
      </x:c>
      <x:c r="D2404" s="14" t="n">
        <x:v>4.302666666</x:v>
      </x:c>
      <x:c r="E2404" s="14" t="n">
        <x:v>4.708666666</x:v>
      </x:c>
      <x:c r="F2404" s="14" t="n">
        <x:v>0.406</x:v>
      </x:c>
      <x:c r="G2404" s="17" t="n">
        <x:v>1</x:v>
      </x:c>
      <x:c r="H2404" s="14" t="str">
        <x:v>S07-04:B:burst0_played</x:v>
      </x:c>
    </x:row>
    <x:row r="2405" ht="72" customHeight="1">
      <x:c r="A2405" s="14" t="str">
        <x:v>S07-04:B:mail_tail</x:v>
      </x:c>
      <x:c r="B2405" s="14" t="str">
        <x:v>B</x:v>
      </x:c>
      <x:c r="C2405" s="14" t="str">
        <x:v>mail_tail</x:v>
      </x:c>
      <x:c r="D2405" s="14" t="n">
        <x:v>4.708666666</x:v>
      </x:c>
      <x:c r="E2405" s="14" t="n">
        <x:v>5.654166666</x:v>
      </x:c>
      <x:c r="F2405" s="14" t="n">
        <x:v>0.9455</x:v>
      </x:c>
      <x:c r="G2405" s="17" t="n">
        <x:v>1</x:v>
      </x:c>
      <x:c r="H2405" s="14" t="str">
        <x:v>S07-04:B:mail_first</x:v>
      </x:c>
    </x:row>
    <x:row r="2406" ht="72" customHeight="1">
      <x:c r="A2406" s="14" t="str">
        <x:v>S07-04:B:burst1_device</x:v>
      </x:c>
      <x:c r="B2406" s="14" t="str">
        <x:v>B</x:v>
      </x:c>
      <x:c r="C2406" s="14" t="str">
        <x:v>burst1_device</x:v>
      </x:c>
      <x:c r="D2406" s="14" t="n">
        <x:v>4.708666666</x:v>
      </x:c>
      <x:c r="E2406" s="14" t="n">
        <x:v>4.748666666</x:v>
      </x:c>
      <x:c r="F2406" s="14" t="n">
        <x:v>0.04</x:v>
      </x:c>
      <x:c r="G2406" s="17" t="n">
        <x:v>1</x:v>
      </x:c>
      <x:c r="H2406" s="14" t="str">
        <x:v>S07-04:B:burst0_played
S07-04:B:mail_first</x:v>
      </x:c>
    </x:row>
    <x:row r="2407" ht="72" customHeight="1">
      <x:c r="A2407" s="14" t="str">
        <x:v>S07-04:B:burst1_played</x:v>
      </x:c>
      <x:c r="B2407" s="14" t="str">
        <x:v>B</x:v>
      </x:c>
      <x:c r="C2407" s="14" t="str">
        <x:v>burst1_played</x:v>
      </x:c>
      <x:c r="D2407" s="14" t="n">
        <x:v>4.748666666</x:v>
      </x:c>
      <x:c r="E2407" s="14" t="n">
        <x:v>8.730666666</x:v>
      </x:c>
      <x:c r="F2407" s="14" t="n">
        <x:v>3.982</x:v>
      </x:c>
      <x:c r="G2407" s="17" t="n">
        <x:v>0</x:v>
      </x:c>
      <x:c r="H2407" s="14" t="str">
        <x:v>S07-04:B:burst1_device</x:v>
      </x:c>
    </x:row>
    <x:row r="2408" ht="72" customHeight="1">
      <x:c r="A2408" s="14" t="str">
        <x:v>S07-04:B:report_first</x:v>
      </x:c>
      <x:c r="B2408" s="14" t="str">
        <x:v>B</x:v>
      </x:c>
      <x:c r="C2408" s="14" t="str">
        <x:v>report_first</x:v>
      </x:c>
      <x:c r="D2408" s="14" t="n">
        <x:v>8.730666666</x:v>
      </x:c>
      <x:c r="E2408" s="14" t="n">
        <x:v>9.140666666</x:v>
      </x:c>
      <x:c r="F2408" s="14" t="n">
        <x:v>0.41</x:v>
      </x:c>
      <x:c r="G2408" s="17" t="n">
        <x:v>1</x:v>
      </x:c>
      <x:c r="H2408" s="14" t="str">
        <x:v>S07-04:B:burst1_played</x:v>
      </x:c>
    </x:row>
    <x:row r="2409" ht="72" customHeight="1">
      <x:c r="A2409" s="14" t="str">
        <x:v>S07-04:B:report_tail</x:v>
      </x:c>
      <x:c r="B2409" s="14" t="str">
        <x:v>B</x:v>
      </x:c>
      <x:c r="C2409" s="14" t="str">
        <x:v>report_tail</x:v>
      </x:c>
      <x:c r="D2409" s="14" t="n">
        <x:v>9.140666666</x:v>
      </x:c>
      <x:c r="E2409" s="14" t="n">
        <x:v>10.836166666</x:v>
      </x:c>
      <x:c r="F2409" s="14" t="n">
        <x:v>1.6955</x:v>
      </x:c>
      <x:c r="G2409" s="17" t="n">
        <x:v>1</x:v>
      </x:c>
      <x:c r="H2409" s="14" t="str">
        <x:v>S07-04:B:report_first</x:v>
      </x:c>
    </x:row>
    <x:row r="2410" ht="72" customHeight="1">
      <x:c r="A2410" s="14" t="str">
        <x:v>S07-04:B:burst2_device</x:v>
      </x:c>
      <x:c r="B2410" s="14" t="str">
        <x:v>B</x:v>
      </x:c>
      <x:c r="C2410" s="14" t="str">
        <x:v>burst2_device</x:v>
      </x:c>
      <x:c r="D2410" s="14" t="n">
        <x:v>9.140666666</x:v>
      </x:c>
      <x:c r="E2410" s="14" t="n">
        <x:v>9.180666666</x:v>
      </x:c>
      <x:c r="F2410" s="14" t="n">
        <x:v>0.04</x:v>
      </x:c>
      <x:c r="G2410" s="17" t="n">
        <x:v>1</x:v>
      </x:c>
      <x:c r="H2410" s="14" t="str">
        <x:v>S07-04:B:burst1_played
S07-04:B:report_first</x:v>
      </x:c>
    </x:row>
    <x:row r="2411" ht="72" customHeight="1">
      <x:c r="A2411" s="14" t="str">
        <x:v>S07-04:B:burst2_played</x:v>
      </x:c>
      <x:c r="B2411" s="14" t="str">
        <x:v>B</x:v>
      </x:c>
      <x:c r="C2411" s="14" t="str">
        <x:v>burst2_played</x:v>
      </x:c>
      <x:c r="D2411" s="14" t="n">
        <x:v>9.180666666</x:v>
      </x:c>
      <x:c r="E2411" s="14" t="n">
        <x:v>16.162666666</x:v>
      </x:c>
      <x:c r="F2411" s="14" t="n">
        <x:v>6.982</x:v>
      </x:c>
      <x:c r="G2411" s="17" t="n">
        <x:v>0</x:v>
      </x:c>
      <x:c r="H2411" s="14" t="str">
        <x:v>S07-04:B:burst2_device</x:v>
      </x:c>
    </x:row>
    <x:row r="2412" ht="72" customHeight="1">
      <x:c r="A2412" s="14" t="str">
        <x:v>S07-05:A:origin</x:v>
      </x:c>
      <x:c r="B2412" s="14" t="str">
        <x:v>A</x:v>
      </x:c>
      <x:c r="C2412" s="14" t="str">
        <x:v>origin</x:v>
      </x:c>
      <x:c r="D2412" s="14" t="n">
        <x:v>-6</x:v>
      </x:c>
      <x:c r="E2412" s="14" t="n">
        <x:v>-6</x:v>
      </x:c>
      <x:c r="F2412" s="14" t="n">
        <x:v>0</x:v>
      </x:c>
      <x:c r="G2412" s="17" t="n">
        <x:v>0</x:v>
      </x:c>
      <x:c r="H2412" s="14" t="str"/>
    </x:row>
    <x:row r="2413" ht="72" customHeight="1">
      <x:c r="A2413" s="14" t="str">
        <x:v>S07-05:A:origin_interpretation</x:v>
      </x:c>
      <x:c r="B2413" s="14" t="str">
        <x:v>A</x:v>
      </x:c>
      <x:c r="C2413" s="14" t="str">
        <x:v>origin_interpretation</x:v>
      </x:c>
      <x:c r="D2413" s="14" t="n">
        <x:v>-6</x:v>
      </x:c>
      <x:c r="E2413" s="14" t="n">
        <x:v>-5.16</x:v>
      </x:c>
      <x:c r="F2413" s="14" t="n">
        <x:v>0.84</x:v>
      </x:c>
      <x:c r="G2413" s="17" t="n">
        <x:v>1</x:v>
      </x:c>
      <x:c r="H2413" s="14" t="str">
        <x:v>S07-05:A:origin</x:v>
      </x:c>
    </x:row>
    <x:row r="2414" ht="72" customHeight="1">
      <x:c r="A2414" s="14" t="str">
        <x:v>S07-05:A:original_handoff</x:v>
      </x:c>
      <x:c r="B2414" s="14" t="str">
        <x:v>A</x:v>
      </x:c>
      <x:c r="C2414" s="14" t="str">
        <x:v>original_handoff</x:v>
      </x:c>
      <x:c r="D2414" s="14" t="n">
        <x:v>-5.16</x:v>
      </x:c>
      <x:c r="E2414" s="14" t="n">
        <x:v>-5.04</x:v>
      </x:c>
      <x:c r="F2414" s="14" t="n">
        <x:v>0.12</x:v>
      </x:c>
      <x:c r="G2414" s="17" t="n">
        <x:v>1</x:v>
      </x:c>
      <x:c r="H2414" s="14" t="str">
        <x:v>S07-05:A:origin_interpretation</x:v>
      </x:c>
    </x:row>
    <x:row r="2415" ht="72" customHeight="1">
      <x:c r="A2415" s="14" t="str">
        <x:v>S07-05:A:evaluation_utterance_end</x:v>
      </x:c>
      <x:c r="B2415" s="14" t="str">
        <x:v>A</x:v>
      </x:c>
      <x:c r="C2415" s="14" t="str">
        <x:v>evaluation_utterance_end</x:v>
      </x:c>
      <x:c r="D2415" s="14" t="n">
        <x:v>-6</x:v>
      </x:c>
      <x:c r="E2415" s="14" t="n">
        <x:v>0</x:v>
      </x:c>
      <x:c r="F2415" s="14" t="n">
        <x:v>6</x:v>
      </x:c>
      <x:c r="G2415" s="17" t="n">
        <x:v>0</x:v>
      </x:c>
      <x:c r="H2415" s="14" t="str">
        <x:v>S07-05:A:origin</x:v>
      </x:c>
    </x:row>
    <x:row r="2416" ht="72" customHeight="1">
      <x:c r="A2416" s="14" t="str">
        <x:v>S07-05:A:final_transcript</x:v>
      </x:c>
      <x:c r="B2416" s="14" t="str">
        <x:v>A</x:v>
      </x:c>
      <x:c r="C2416" s="14" t="str">
        <x:v>final_transcript</x:v>
      </x:c>
      <x:c r="D2416" s="14" t="n">
        <x:v>0</x:v>
      </x:c>
      <x:c r="E2416" s="14" t="n">
        <x:v>0.3</x:v>
      </x:c>
      <x:c r="F2416" s="14" t="n">
        <x:v>0.3</x:v>
      </x:c>
      <x:c r="G2416" s="17" t="n">
        <x:v>1</x:v>
      </x:c>
      <x:c r="H2416" s="14" t="str">
        <x:v>S07-05:A:evaluation_utterance_end</x:v>
      </x:c>
    </x:row>
    <x:row r="2417" ht="72" customHeight="1">
      <x:c r="A2417" s="14" t="str">
        <x:v>S07-05:A:meaning_adoption</x:v>
      </x:c>
      <x:c r="B2417" s="14" t="str">
        <x:v>A</x:v>
      </x:c>
      <x:c r="C2417" s="14" t="str">
        <x:v>meaning_adoption</x:v>
      </x:c>
      <x:c r="D2417" s="14" t="n">
        <x:v>0.3</x:v>
      </x:c>
      <x:c r="E2417" s="14" t="n">
        <x:v>0.866666667</x:v>
      </x:c>
      <x:c r="F2417" s="14" t="n">
        <x:v>0.566666667</x:v>
      </x:c>
      <x:c r="G2417" s="17" t="n">
        <x:v>1</x:v>
      </x:c>
      <x:c r="H2417" s="14" t="str">
        <x:v>S07-05:A:final_transcript
S07-05:A:origin_interpretation</x:v>
      </x:c>
    </x:row>
    <x:row r="2418" ht="72" customHeight="1">
      <x:c r="A2418" s="14" t="str">
        <x:v>S07-05:A:apply_relation</x:v>
      </x:c>
      <x:c r="B2418" s="14" t="str">
        <x:v>A</x:v>
      </x:c>
      <x:c r="C2418" s="14" t="str">
        <x:v>apply_relation</x:v>
      </x:c>
      <x:c r="D2418" s="14" t="n">
        <x:v>0.866666667</x:v>
      </x:c>
      <x:c r="E2418" s="14" t="n">
        <x:v>0.906666667</x:v>
      </x:c>
      <x:c r="F2418" s="14" t="n">
        <x:v>0.04</x:v>
      </x:c>
      <x:c r="G2418" s="17" t="n">
        <x:v>1</x:v>
      </x:c>
      <x:c r="H2418" s="14" t="str">
        <x:v>S07-05:A:meaning_adoption</x:v>
      </x:c>
    </x:row>
    <x:row r="2419" ht="72" customHeight="1">
      <x:c r="A2419" s="14" t="str">
        <x:v>S07-05:A:evaluation_first_display</x:v>
      </x:c>
      <x:c r="B2419" s="14" t="str">
        <x:v>A</x:v>
      </x:c>
      <x:c r="C2419" s="14" t="str">
        <x:v>evaluation_first_display</x:v>
      </x:c>
      <x:c r="D2419" s="14" t="n">
        <x:v>0.906666667</x:v>
      </x:c>
      <x:c r="E2419" s="14" t="n">
        <x:v>0.946666667</x:v>
      </x:c>
      <x:c r="F2419" s="14" t="n">
        <x:v>0.04</x:v>
      </x:c>
      <x:c r="G2419" s="17" t="n">
        <x:v>1</x:v>
      </x:c>
      <x:c r="H2419" s="14" t="str">
        <x:v>S07-05:A:apply_relation</x:v>
      </x:c>
    </x:row>
    <x:row r="2420" ht="72" customHeight="1">
      <x:c r="A2420" s="14" t="str">
        <x:v>S07-05:A:source_calendar</x:v>
      </x:c>
      <x:c r="B2420" s="14" t="str">
        <x:v>A</x:v>
      </x:c>
      <x:c r="C2420" s="14" t="str">
        <x:v>source_calendar</x:v>
      </x:c>
      <x:c r="D2420" s="14" t="n">
        <x:v>-5.04</x:v>
      </x:c>
      <x:c r="E2420" s="14" t="n">
        <x:v>-1.4</x:v>
      </x:c>
      <x:c r="F2420" s="14" t="n">
        <x:v>3.64</x:v>
      </x:c>
      <x:c r="G2420" s="17" t="n">
        <x:v>0</x:v>
      </x:c>
      <x:c r="H2420" s="14" t="str">
        <x:v>S07-05:A:original_handoff</x:v>
      </x:c>
    </x:row>
    <x:row r="2421" ht="72" customHeight="1">
      <x:c r="A2421" s="14" t="str">
        <x:v>S07-05:A:display_calendar</x:v>
      </x:c>
      <x:c r="B2421" s="14" t="str">
        <x:v>A</x:v>
      </x:c>
      <x:c r="C2421" s="14" t="str">
        <x:v>display_calendar</x:v>
      </x:c>
      <x:c r="D2421" s="14" t="n">
        <x:v>-1.4</x:v>
      </x:c>
      <x:c r="E2421" s="14" t="n">
        <x:v>-1.36</x:v>
      </x:c>
      <x:c r="F2421" s="14" t="n">
        <x:v>0.04</x:v>
      </x:c>
      <x:c r="G2421" s="17" t="n">
        <x:v>1</x:v>
      </x:c>
      <x:c r="H2421" s="14" t="str">
        <x:v>S07-05:A:source_calendar</x:v>
      </x:c>
    </x:row>
    <x:row r="2422" ht="72" customHeight="1">
      <x:c r="A2422" s="14" t="str">
        <x:v>S07-05:A:source_mail</x:v>
      </x:c>
      <x:c r="B2422" s="14" t="str">
        <x:v>A</x:v>
      </x:c>
      <x:c r="C2422" s="14" t="str">
        <x:v>source_mail</x:v>
      </x:c>
      <x:c r="D2422" s="14" t="n">
        <x:v>-5.04</x:v>
      </x:c>
      <x:c r="E2422" s="14" t="n">
        <x:v>-1.2</x:v>
      </x:c>
      <x:c r="F2422" s="14" t="n">
        <x:v>3.84</x:v>
      </x:c>
      <x:c r="G2422" s="17" t="n">
        <x:v>0</x:v>
      </x:c>
      <x:c r="H2422" s="14" t="str">
        <x:v>S07-05:A:original_handoff</x:v>
      </x:c>
    </x:row>
    <x:row r="2423" ht="72" customHeight="1">
      <x:c r="A2423" s="14" t="str">
        <x:v>S07-05:A:display_mail</x:v>
      </x:c>
      <x:c r="B2423" s="14" t="str">
        <x:v>A</x:v>
      </x:c>
      <x:c r="C2423" s="14" t="str">
        <x:v>display_mail</x:v>
      </x:c>
      <x:c r="D2423" s="14" t="n">
        <x:v>-1.2</x:v>
      </x:c>
      <x:c r="E2423" s="14" t="n">
        <x:v>-1.16</x:v>
      </x:c>
      <x:c r="F2423" s="14" t="n">
        <x:v>0.04</x:v>
      </x:c>
      <x:c r="G2423" s="17" t="n">
        <x:v>1</x:v>
      </x:c>
      <x:c r="H2423" s="14" t="str">
        <x:v>S07-05:A:source_mail</x:v>
      </x:c>
    </x:row>
    <x:row r="2424" ht="72" customHeight="1">
      <x:c r="A2424" s="14" t="str">
        <x:v>S07-05:A:source_report</x:v>
      </x:c>
      <x:c r="B2424" s="14" t="str">
        <x:v>A</x:v>
      </x:c>
      <x:c r="C2424" s="14" t="str">
        <x:v>source_report</x:v>
      </x:c>
      <x:c r="D2424" s="14" t="n">
        <x:v>-5.04</x:v>
      </x:c>
      <x:c r="E2424" s="14" t="n">
        <x:v>-0.9</x:v>
      </x:c>
      <x:c r="F2424" s="14" t="n">
        <x:v>4.14</x:v>
      </x:c>
      <x:c r="G2424" s="17" t="n">
        <x:v>0</x:v>
      </x:c>
      <x:c r="H2424" s="14" t="str">
        <x:v>S07-05:A:original_handoff</x:v>
      </x:c>
    </x:row>
    <x:row r="2425" ht="72" customHeight="1">
      <x:c r="A2425" s="14" t="str">
        <x:v>S07-05:A:display_report</x:v>
      </x:c>
      <x:c r="B2425" s="14" t="str">
        <x:v>A</x:v>
      </x:c>
      <x:c r="C2425" s="14" t="str">
        <x:v>display_report</x:v>
      </x:c>
      <x:c r="D2425" s="14" t="n">
        <x:v>-0.9</x:v>
      </x:c>
      <x:c r="E2425" s="14" t="n">
        <x:v>-0.86</x:v>
      </x:c>
      <x:c r="F2425" s="14" t="n">
        <x:v>0.04</x:v>
      </x:c>
      <x:c r="G2425" s="17" t="n">
        <x:v>1</x:v>
      </x:c>
      <x:c r="H2425" s="14" t="str">
        <x:v>S07-05:A:source_report</x:v>
      </x:c>
    </x:row>
    <x:row r="2426" ht="72" customHeight="1">
      <x:c r="A2426" s="14" t="str">
        <x:v>S07-05:A:calendar_first</x:v>
      </x:c>
      <x:c r="B2426" s="14" t="str">
        <x:v>A</x:v>
      </x:c>
      <x:c r="C2426" s="14" t="str">
        <x:v>calendar_first</x:v>
      </x:c>
      <x:c r="D2426" s="14" t="n">
        <x:v>-1.4</x:v>
      </x:c>
      <x:c r="E2426" s="14" t="n">
        <x:v>-0.997666667</x:v>
      </x:c>
      <x:c r="F2426" s="14" t="n">
        <x:v>0.402333333</x:v>
      </x:c>
      <x:c r="G2426" s="17" t="n">
        <x:v>1</x:v>
      </x:c>
      <x:c r="H2426" s="14" t="str">
        <x:v>S07-05:A:source_calendar</x:v>
      </x:c>
    </x:row>
    <x:row r="2427" ht="72" customHeight="1">
      <x:c r="A2427" s="14" t="str">
        <x:v>S07-05:A:calendar_tail</x:v>
      </x:c>
      <x:c r="B2427" s="14" t="str">
        <x:v>A</x:v>
      </x:c>
      <x:c r="C2427" s="14" t="str">
        <x:v>calendar_tail</x:v>
      </x:c>
      <x:c r="D2427" s="14" t="n">
        <x:v>-0.997666667</x:v>
      </x:c>
      <x:c r="E2427" s="14" t="n">
        <x:v>-0.299166667</x:v>
      </x:c>
      <x:c r="F2427" s="14" t="n">
        <x:v>0.6985</x:v>
      </x:c>
      <x:c r="G2427" s="17" t="n">
        <x:v>1</x:v>
      </x:c>
      <x:c r="H2427" s="14" t="str">
        <x:v>S07-05:A:calendar_first</x:v>
      </x:c>
    </x:row>
    <x:row r="2428" ht="72" customHeight="1">
      <x:c r="A2428" s="14" t="str">
        <x:v>S07-05:A:burst0_device</x:v>
      </x:c>
      <x:c r="B2428" s="14" t="str">
        <x:v>A</x:v>
      </x:c>
      <x:c r="C2428" s="14" t="str">
        <x:v>burst0_device</x:v>
      </x:c>
      <x:c r="D2428" s="14" t="n">
        <x:v>0.906666667</x:v>
      </x:c>
      <x:c r="E2428" s="14" t="n">
        <x:v>0.946666667</x:v>
      </x:c>
      <x:c r="F2428" s="14" t="n">
        <x:v>0.04</x:v>
      </x:c>
      <x:c r="G2428" s="17" t="n">
        <x:v>1</x:v>
      </x:c>
      <x:c r="H2428" s="14" t="str">
        <x:v>S07-05:A:apply_relation
S07-05:A:calendar_first</x:v>
      </x:c>
    </x:row>
    <x:row r="2429" ht="72" customHeight="1">
      <x:c r="A2429" s="14" t="str">
        <x:v>S07-05:A:burst0_played</x:v>
      </x:c>
      <x:c r="B2429" s="14" t="str">
        <x:v>A</x:v>
      </x:c>
      <x:c r="C2429" s="14" t="str">
        <x:v>burst0_played</x:v>
      </x:c>
      <x:c r="D2429" s="14" t="n">
        <x:v>0.946666667</x:v>
      </x:c>
      <x:c r="E2429" s="14" t="n">
        <x:v>3.940666667</x:v>
      </x:c>
      <x:c r="F2429" s="14" t="n">
        <x:v>2.994</x:v>
      </x:c>
      <x:c r="G2429" s="17" t="n">
        <x:v>0</x:v>
      </x:c>
      <x:c r="H2429" s="14" t="str">
        <x:v>S07-05:A:burst0_device</x:v>
      </x:c>
    </x:row>
    <x:row r="2430" ht="72" customHeight="1">
      <x:c r="A2430" s="14" t="str">
        <x:v>S07-05:A:mail_first</x:v>
      </x:c>
      <x:c r="B2430" s="14" t="str">
        <x:v>A</x:v>
      </x:c>
      <x:c r="C2430" s="14" t="str">
        <x:v>mail_first</x:v>
      </x:c>
      <x:c r="D2430" s="14" t="n">
        <x:v>-1.2</x:v>
      </x:c>
      <x:c r="E2430" s="14" t="n">
        <x:v>-0.794</x:v>
      </x:c>
      <x:c r="F2430" s="14" t="n">
        <x:v>0.406</x:v>
      </x:c>
      <x:c r="G2430" s="17" t="n">
        <x:v>1</x:v>
      </x:c>
      <x:c r="H2430" s="14" t="str">
        <x:v>S07-05:A:source_mail</x:v>
      </x:c>
    </x:row>
    <x:row r="2431" ht="72" customHeight="1">
      <x:c r="A2431" s="14" t="str">
        <x:v>S07-05:A:mail_tail</x:v>
      </x:c>
      <x:c r="B2431" s="14" t="str">
        <x:v>A</x:v>
      </x:c>
      <x:c r="C2431" s="14" t="str">
        <x:v>mail_tail</x:v>
      </x:c>
      <x:c r="D2431" s="14" t="n">
        <x:v>-0.794</x:v>
      </x:c>
      <x:c r="E2431" s="14" t="n">
        <x:v>0.1545</x:v>
      </x:c>
      <x:c r="F2431" s="14" t="n">
        <x:v>0.9485</x:v>
      </x:c>
      <x:c r="G2431" s="17" t="n">
        <x:v>1</x:v>
      </x:c>
      <x:c r="H2431" s="14" t="str">
        <x:v>S07-05:A:mail_first</x:v>
      </x:c>
    </x:row>
    <x:row r="2432" ht="72" customHeight="1">
      <x:c r="A2432" s="14" t="str">
        <x:v>S07-05:A:burst1_device</x:v>
      </x:c>
      <x:c r="B2432" s="14" t="str">
        <x:v>A</x:v>
      </x:c>
      <x:c r="C2432" s="14" t="str">
        <x:v>burst1_device</x:v>
      </x:c>
      <x:c r="D2432" s="14" t="n">
        <x:v>3.940666667</x:v>
      </x:c>
      <x:c r="E2432" s="14" t="n">
        <x:v>3.980666667</x:v>
      </x:c>
      <x:c r="F2432" s="14" t="n">
        <x:v>0.04</x:v>
      </x:c>
      <x:c r="G2432" s="17" t="n">
        <x:v>1</x:v>
      </x:c>
      <x:c r="H2432" s="14" t="str">
        <x:v>S07-05:A:burst0_played
S07-05:A:mail_first</x:v>
      </x:c>
    </x:row>
    <x:row r="2433" ht="72" customHeight="1">
      <x:c r="A2433" s="14" t="str">
        <x:v>S07-05:A:burst1_played</x:v>
      </x:c>
      <x:c r="B2433" s="14" t="str">
        <x:v>A</x:v>
      </x:c>
      <x:c r="C2433" s="14" t="str">
        <x:v>burst1_played</x:v>
      </x:c>
      <x:c r="D2433" s="14" t="n">
        <x:v>3.980666667</x:v>
      </x:c>
      <x:c r="E2433" s="14" t="n">
        <x:v>7.974666667</x:v>
      </x:c>
      <x:c r="F2433" s="14" t="n">
        <x:v>3.994</x:v>
      </x:c>
      <x:c r="G2433" s="17" t="n">
        <x:v>0</x:v>
      </x:c>
      <x:c r="H2433" s="14" t="str">
        <x:v>S07-05:A:burst1_device</x:v>
      </x:c>
    </x:row>
    <x:row r="2434" ht="72" customHeight="1">
      <x:c r="A2434" s="14" t="str">
        <x:v>S07-05:A:report_first</x:v>
      </x:c>
      <x:c r="B2434" s="14" t="str">
        <x:v>A</x:v>
      </x:c>
      <x:c r="C2434" s="14" t="str">
        <x:v>report_first</x:v>
      </x:c>
      <x:c r="D2434" s="14" t="n">
        <x:v>-0.9</x:v>
      </x:c>
      <x:c r="E2434" s="14" t="n">
        <x:v>-0.49</x:v>
      </x:c>
      <x:c r="F2434" s="14" t="n">
        <x:v>0.41</x:v>
      </x:c>
      <x:c r="G2434" s="17" t="n">
        <x:v>1</x:v>
      </x:c>
      <x:c r="H2434" s="14" t="str">
        <x:v>S07-05:A:source_report</x:v>
      </x:c>
    </x:row>
    <x:row r="2435" ht="72" customHeight="1">
      <x:c r="A2435" s="14" t="str">
        <x:v>S07-05:A:report_tail</x:v>
      </x:c>
      <x:c r="B2435" s="14" t="str">
        <x:v>A</x:v>
      </x:c>
      <x:c r="C2435" s="14" t="str">
        <x:v>report_tail</x:v>
      </x:c>
      <x:c r="D2435" s="14" t="n">
        <x:v>-0.49</x:v>
      </x:c>
      <x:c r="E2435" s="14" t="n">
        <x:v>1.2085</x:v>
      </x:c>
      <x:c r="F2435" s="14" t="n">
        <x:v>1.6985</x:v>
      </x:c>
      <x:c r="G2435" s="17" t="n">
        <x:v>1</x:v>
      </x:c>
      <x:c r="H2435" s="14" t="str">
        <x:v>S07-05:A:report_first</x:v>
      </x:c>
    </x:row>
    <x:row r="2436" ht="72" customHeight="1">
      <x:c r="A2436" s="14" t="str">
        <x:v>S07-05:A:burst2_device</x:v>
      </x:c>
      <x:c r="B2436" s="14" t="str">
        <x:v>A</x:v>
      </x:c>
      <x:c r="C2436" s="14" t="str">
        <x:v>burst2_device</x:v>
      </x:c>
      <x:c r="D2436" s="14" t="n">
        <x:v>7.974666667</x:v>
      </x:c>
      <x:c r="E2436" s="14" t="n">
        <x:v>8.014666667</x:v>
      </x:c>
      <x:c r="F2436" s="14" t="n">
        <x:v>0.04</x:v>
      </x:c>
      <x:c r="G2436" s="17" t="n">
        <x:v>1</x:v>
      </x:c>
      <x:c r="H2436" s="14" t="str">
        <x:v>S07-05:A:burst1_played
S07-05:A:report_first</x:v>
      </x:c>
    </x:row>
    <x:row r="2437" ht="72" customHeight="1">
      <x:c r="A2437" s="14" t="str">
        <x:v>S07-05:A:burst2_played</x:v>
      </x:c>
      <x:c r="B2437" s="14" t="str">
        <x:v>A</x:v>
      </x:c>
      <x:c r="C2437" s="14" t="str">
        <x:v>burst2_played</x:v>
      </x:c>
      <x:c r="D2437" s="14" t="n">
        <x:v>8.014666667</x:v>
      </x:c>
      <x:c r="E2437" s="14" t="n">
        <x:v>15.008666667</x:v>
      </x:c>
      <x:c r="F2437" s="14" t="n">
        <x:v>6.994</x:v>
      </x:c>
      <x:c r="G2437" s="17" t="n">
        <x:v>0</x:v>
      </x:c>
      <x:c r="H2437" s="14" t="str">
        <x:v>S07-05:A:burst2_device</x:v>
      </x:c>
    </x:row>
    <x:row r="2438" ht="72" customHeight="1">
      <x:c r="A2438" s="14" t="str">
        <x:v>S07-05:B:origin</x:v>
      </x:c>
      <x:c r="B2438" s="14" t="str">
        <x:v>B</x:v>
      </x:c>
      <x:c r="C2438" s="14" t="str">
        <x:v>origin</x:v>
      </x:c>
      <x:c r="D2438" s="14" t="n">
        <x:v>-6</x:v>
      </x:c>
      <x:c r="E2438" s="14" t="n">
        <x:v>-6</x:v>
      </x:c>
      <x:c r="F2438" s="14" t="n">
        <x:v>0</x:v>
      </x:c>
      <x:c r="G2438" s="17" t="n">
        <x:v>0</x:v>
      </x:c>
      <x:c r="H2438" s="14" t="str"/>
    </x:row>
    <x:row r="2439" ht="72" customHeight="1">
      <x:c r="A2439" s="14" t="str">
        <x:v>S07-05:B:origin_interpretation</x:v>
      </x:c>
      <x:c r="B2439" s="14" t="str">
        <x:v>B</x:v>
      </x:c>
      <x:c r="C2439" s="14" t="str">
        <x:v>origin_interpretation</x:v>
      </x:c>
      <x:c r="D2439" s="14" t="n">
        <x:v>-6</x:v>
      </x:c>
      <x:c r="E2439" s="14" t="n">
        <x:v>-5.16</x:v>
      </x:c>
      <x:c r="F2439" s="14" t="n">
        <x:v>0.84</x:v>
      </x:c>
      <x:c r="G2439" s="17" t="n">
        <x:v>1</x:v>
      </x:c>
      <x:c r="H2439" s="14" t="str">
        <x:v>S07-05:B:origin</x:v>
      </x:c>
    </x:row>
    <x:row r="2440" ht="72" customHeight="1">
      <x:c r="A2440" s="14" t="str">
        <x:v>S07-05:B:original_handoff</x:v>
      </x:c>
      <x:c r="B2440" s="14" t="str">
        <x:v>B</x:v>
      </x:c>
      <x:c r="C2440" s="14" t="str">
        <x:v>original_handoff</x:v>
      </x:c>
      <x:c r="D2440" s="14" t="n">
        <x:v>-5.16</x:v>
      </x:c>
      <x:c r="E2440" s="14" t="n">
        <x:v>-5.04</x:v>
      </x:c>
      <x:c r="F2440" s="14" t="n">
        <x:v>0.12</x:v>
      </x:c>
      <x:c r="G2440" s="17" t="n">
        <x:v>1</x:v>
      </x:c>
      <x:c r="H2440" s="14" t="str">
        <x:v>S07-05:B:origin_interpretation</x:v>
      </x:c>
    </x:row>
    <x:row r="2441" ht="72" customHeight="1">
      <x:c r="A2441" s="14" t="str">
        <x:v>S07-05:B:evaluation_utterance_end</x:v>
      </x:c>
      <x:c r="B2441" s="14" t="str">
        <x:v>B</x:v>
      </x:c>
      <x:c r="C2441" s="14" t="str">
        <x:v>evaluation_utterance_end</x:v>
      </x:c>
      <x:c r="D2441" s="14" t="n">
        <x:v>-6</x:v>
      </x:c>
      <x:c r="E2441" s="14" t="n">
        <x:v>0</x:v>
      </x:c>
      <x:c r="F2441" s="14" t="n">
        <x:v>6</x:v>
      </x:c>
      <x:c r="G2441" s="17" t="n">
        <x:v>0</x:v>
      </x:c>
      <x:c r="H2441" s="14" t="str">
        <x:v>S07-05:B:origin</x:v>
      </x:c>
    </x:row>
    <x:row r="2442" ht="72" customHeight="1">
      <x:c r="A2442" s="14" t="str">
        <x:v>S07-05:B:final_transcript</x:v>
      </x:c>
      <x:c r="B2442" s="14" t="str">
        <x:v>B</x:v>
      </x:c>
      <x:c r="C2442" s="14" t="str">
        <x:v>final_transcript</x:v>
      </x:c>
      <x:c r="D2442" s="14" t="n">
        <x:v>0</x:v>
      </x:c>
      <x:c r="E2442" s="14" t="n">
        <x:v>0.3</x:v>
      </x:c>
      <x:c r="F2442" s="14" t="n">
        <x:v>0.3</x:v>
      </x:c>
      <x:c r="G2442" s="17" t="n">
        <x:v>1</x:v>
      </x:c>
      <x:c r="H2442" s="14" t="str">
        <x:v>S07-05:B:evaluation_utterance_end</x:v>
      </x:c>
    </x:row>
    <x:row r="2443" ht="72" customHeight="1">
      <x:c r="A2443" s="14" t="str">
        <x:v>S07-05:B:meaning_adoption</x:v>
      </x:c>
      <x:c r="B2443" s="14" t="str">
        <x:v>B</x:v>
      </x:c>
      <x:c r="C2443" s="14" t="str">
        <x:v>meaning_adoption</x:v>
      </x:c>
      <x:c r="D2443" s="14" t="n">
        <x:v>0.3</x:v>
      </x:c>
      <x:c r="E2443" s="14" t="n">
        <x:v>0.866666667</x:v>
      </x:c>
      <x:c r="F2443" s="14" t="n">
        <x:v>0.566666667</x:v>
      </x:c>
      <x:c r="G2443" s="17" t="n">
        <x:v>1</x:v>
      </x:c>
      <x:c r="H2443" s="14" t="str">
        <x:v>S07-05:B:final_transcript
S07-05:B:origin_interpretation</x:v>
      </x:c>
    </x:row>
    <x:row r="2444" ht="72" customHeight="1">
      <x:c r="A2444" s="14" t="str">
        <x:v>S07-05:B:apply_relation</x:v>
      </x:c>
      <x:c r="B2444" s="14" t="str">
        <x:v>B</x:v>
      </x:c>
      <x:c r="C2444" s="14" t="str">
        <x:v>apply_relation</x:v>
      </x:c>
      <x:c r="D2444" s="14" t="n">
        <x:v>0.866666667</x:v>
      </x:c>
      <x:c r="E2444" s="14" t="n">
        <x:v>0.906666667</x:v>
      </x:c>
      <x:c r="F2444" s="14" t="n">
        <x:v>0.04</x:v>
      </x:c>
      <x:c r="G2444" s="17" t="n">
        <x:v>1</x:v>
      </x:c>
      <x:c r="H2444" s="14" t="str">
        <x:v>S07-05:B:meaning_adoption</x:v>
      </x:c>
    </x:row>
    <x:row r="2445" ht="72" customHeight="1">
      <x:c r="A2445" s="14" t="str">
        <x:v>S07-05:B:evaluation_first_display</x:v>
      </x:c>
      <x:c r="B2445" s="14" t="str">
        <x:v>B</x:v>
      </x:c>
      <x:c r="C2445" s="14" t="str">
        <x:v>evaluation_first_display</x:v>
      </x:c>
      <x:c r="D2445" s="14" t="n">
        <x:v>0.906666667</x:v>
      </x:c>
      <x:c r="E2445" s="14" t="n">
        <x:v>0.946666667</x:v>
      </x:c>
      <x:c r="F2445" s="14" t="n">
        <x:v>0.04</x:v>
      </x:c>
      <x:c r="G2445" s="17" t="n">
        <x:v>1</x:v>
      </x:c>
      <x:c r="H2445" s="14" t="str">
        <x:v>S07-05:B:apply_relation</x:v>
      </x:c>
    </x:row>
    <x:row r="2446" ht="72" customHeight="1">
      <x:c r="A2446" s="14" t="str">
        <x:v>S07-05:B:source_calendar</x:v>
      </x:c>
      <x:c r="B2446" s="14" t="str">
        <x:v>B</x:v>
      </x:c>
      <x:c r="C2446" s="14" t="str">
        <x:v>source_calendar</x:v>
      </x:c>
      <x:c r="D2446" s="14" t="n">
        <x:v>-5.04</x:v>
      </x:c>
      <x:c r="E2446" s="14" t="n">
        <x:v>-1.4</x:v>
      </x:c>
      <x:c r="F2446" s="14" t="n">
        <x:v>3.64</x:v>
      </x:c>
      <x:c r="G2446" s="17" t="n">
        <x:v>0</x:v>
      </x:c>
      <x:c r="H2446" s="14" t="str">
        <x:v>S07-05:B:original_handoff</x:v>
      </x:c>
    </x:row>
    <x:row r="2447" ht="72" customHeight="1">
      <x:c r="A2447" s="14" t="str">
        <x:v>S07-05:B:display_calendar</x:v>
      </x:c>
      <x:c r="B2447" s="14" t="str">
        <x:v>B</x:v>
      </x:c>
      <x:c r="C2447" s="14" t="str">
        <x:v>display_calendar</x:v>
      </x:c>
      <x:c r="D2447" s="14" t="n">
        <x:v>-1.4</x:v>
      </x:c>
      <x:c r="E2447" s="14" t="n">
        <x:v>-1.36</x:v>
      </x:c>
      <x:c r="F2447" s="14" t="n">
        <x:v>0.04</x:v>
      </x:c>
      <x:c r="G2447" s="17" t="n">
        <x:v>1</x:v>
      </x:c>
      <x:c r="H2447" s="14" t="str">
        <x:v>S07-05:B:source_calendar</x:v>
      </x:c>
    </x:row>
    <x:row r="2448" ht="72" customHeight="1">
      <x:c r="A2448" s="14" t="str">
        <x:v>S07-05:B:source_mail</x:v>
      </x:c>
      <x:c r="B2448" s="14" t="str">
        <x:v>B</x:v>
      </x:c>
      <x:c r="C2448" s="14" t="str">
        <x:v>source_mail</x:v>
      </x:c>
      <x:c r="D2448" s="14" t="n">
        <x:v>-5.04</x:v>
      </x:c>
      <x:c r="E2448" s="14" t="n">
        <x:v>-1.2</x:v>
      </x:c>
      <x:c r="F2448" s="14" t="n">
        <x:v>3.84</x:v>
      </x:c>
      <x:c r="G2448" s="17" t="n">
        <x:v>0</x:v>
      </x:c>
      <x:c r="H2448" s="14" t="str">
        <x:v>S07-05:B:original_handoff</x:v>
      </x:c>
    </x:row>
    <x:row r="2449" ht="72" customHeight="1">
      <x:c r="A2449" s="14" t="str">
        <x:v>S07-05:B:display_mail</x:v>
      </x:c>
      <x:c r="B2449" s="14" t="str">
        <x:v>B</x:v>
      </x:c>
      <x:c r="C2449" s="14" t="str">
        <x:v>display_mail</x:v>
      </x:c>
      <x:c r="D2449" s="14" t="n">
        <x:v>-1.2</x:v>
      </x:c>
      <x:c r="E2449" s="14" t="n">
        <x:v>-1.16</x:v>
      </x:c>
      <x:c r="F2449" s="14" t="n">
        <x:v>0.04</x:v>
      </x:c>
      <x:c r="G2449" s="17" t="n">
        <x:v>1</x:v>
      </x:c>
      <x:c r="H2449" s="14" t="str">
        <x:v>S07-05:B:source_mail</x:v>
      </x:c>
    </x:row>
    <x:row r="2450" ht="72" customHeight="1">
      <x:c r="A2450" s="14" t="str">
        <x:v>S07-05:B:source_report</x:v>
      </x:c>
      <x:c r="B2450" s="14" t="str">
        <x:v>B</x:v>
      </x:c>
      <x:c r="C2450" s="14" t="str">
        <x:v>source_report</x:v>
      </x:c>
      <x:c r="D2450" s="14" t="n">
        <x:v>-5.04</x:v>
      </x:c>
      <x:c r="E2450" s="14" t="n">
        <x:v>-0.9</x:v>
      </x:c>
      <x:c r="F2450" s="14" t="n">
        <x:v>4.14</x:v>
      </x:c>
      <x:c r="G2450" s="17" t="n">
        <x:v>0</x:v>
      </x:c>
      <x:c r="H2450" s="14" t="str">
        <x:v>S07-05:B:original_handoff</x:v>
      </x:c>
    </x:row>
    <x:row r="2451" ht="72" customHeight="1">
      <x:c r="A2451" s="14" t="str">
        <x:v>S07-05:B:display_report</x:v>
      </x:c>
      <x:c r="B2451" s="14" t="str">
        <x:v>B</x:v>
      </x:c>
      <x:c r="C2451" s="14" t="str">
        <x:v>display_report</x:v>
      </x:c>
      <x:c r="D2451" s="14" t="n">
        <x:v>-0.9</x:v>
      </x:c>
      <x:c r="E2451" s="14" t="n">
        <x:v>-0.86</x:v>
      </x:c>
      <x:c r="F2451" s="14" t="n">
        <x:v>0.04</x:v>
      </x:c>
      <x:c r="G2451" s="17" t="n">
        <x:v>1</x:v>
      </x:c>
      <x:c r="H2451" s="14" t="str">
        <x:v>S07-05:B:source_report</x:v>
      </x:c>
    </x:row>
    <x:row r="2452" ht="72" customHeight="1">
      <x:c r="A2452" s="14" t="str">
        <x:v>S07-05:B:calendar_first</x:v>
      </x:c>
      <x:c r="B2452" s="14" t="str">
        <x:v>B</x:v>
      </x:c>
      <x:c r="C2452" s="14" t="str">
        <x:v>calendar_first</x:v>
      </x:c>
      <x:c r="D2452" s="14" t="n">
        <x:v>0.906666667</x:v>
      </x:c>
      <x:c r="E2452" s="14" t="n">
        <x:v>1.309</x:v>
      </x:c>
      <x:c r="F2452" s="14" t="n">
        <x:v>0.402333333</x:v>
      </x:c>
      <x:c r="G2452" s="17" t="n">
        <x:v>1</x:v>
      </x:c>
      <x:c r="H2452" s="14" t="str">
        <x:v>S07-05:B:apply_relation</x:v>
      </x:c>
    </x:row>
    <x:row r="2453" ht="72" customHeight="1">
      <x:c r="A2453" s="14" t="str">
        <x:v>S07-05:B:calendar_tail</x:v>
      </x:c>
      <x:c r="B2453" s="14" t="str">
        <x:v>B</x:v>
      </x:c>
      <x:c r="C2453" s="14" t="str">
        <x:v>calendar_tail</x:v>
      </x:c>
      <x:c r="D2453" s="14" t="n">
        <x:v>1.309</x:v>
      </x:c>
      <x:c r="E2453" s="14" t="n">
        <x:v>2.0075</x:v>
      </x:c>
      <x:c r="F2453" s="14" t="n">
        <x:v>0.6985</x:v>
      </x:c>
      <x:c r="G2453" s="17" t="n">
        <x:v>1</x:v>
      </x:c>
      <x:c r="H2453" s="14" t="str">
        <x:v>S07-05:B:calendar_first</x:v>
      </x:c>
    </x:row>
    <x:row r="2454" ht="72" customHeight="1">
      <x:c r="A2454" s="14" t="str">
        <x:v>S07-05:B:burst0_device</x:v>
      </x:c>
      <x:c r="B2454" s="14" t="str">
        <x:v>B</x:v>
      </x:c>
      <x:c r="C2454" s="14" t="str">
        <x:v>burst0_device</x:v>
      </x:c>
      <x:c r="D2454" s="14" t="n">
        <x:v>1.309</x:v>
      </x:c>
      <x:c r="E2454" s="14" t="n">
        <x:v>1.349</x:v>
      </x:c>
      <x:c r="F2454" s="14" t="n">
        <x:v>0.04</x:v>
      </x:c>
      <x:c r="G2454" s="17" t="n">
        <x:v>1</x:v>
      </x:c>
      <x:c r="H2454" s="14" t="str">
        <x:v>S07-05:B:apply_relation
S07-05:B:calendar_first</x:v>
      </x:c>
    </x:row>
    <x:row r="2455" ht="72" customHeight="1">
      <x:c r="A2455" s="14" t="str">
        <x:v>S07-05:B:burst0_played</x:v>
      </x:c>
      <x:c r="B2455" s="14" t="str">
        <x:v>B</x:v>
      </x:c>
      <x:c r="C2455" s="14" t="str">
        <x:v>burst0_played</x:v>
      </x:c>
      <x:c r="D2455" s="14" t="n">
        <x:v>1.349</x:v>
      </x:c>
      <x:c r="E2455" s="14" t="n">
        <x:v>4.343</x:v>
      </x:c>
      <x:c r="F2455" s="14" t="n">
        <x:v>2.994</x:v>
      </x:c>
      <x:c r="G2455" s="17" t="n">
        <x:v>0</x:v>
      </x:c>
      <x:c r="H2455" s="14" t="str">
        <x:v>S07-05:B:burst0_device</x:v>
      </x:c>
    </x:row>
    <x:row r="2456" ht="72" customHeight="1">
      <x:c r="A2456" s="14" t="str">
        <x:v>S07-05:B:mail_first</x:v>
      </x:c>
      <x:c r="B2456" s="14" t="str">
        <x:v>B</x:v>
      </x:c>
      <x:c r="C2456" s="14" t="str">
        <x:v>mail_first</x:v>
      </x:c>
      <x:c r="D2456" s="14" t="n">
        <x:v>4.343</x:v>
      </x:c>
      <x:c r="E2456" s="14" t="n">
        <x:v>4.749</x:v>
      </x:c>
      <x:c r="F2456" s="14" t="n">
        <x:v>0.406</x:v>
      </x:c>
      <x:c r="G2456" s="17" t="n">
        <x:v>1</x:v>
      </x:c>
      <x:c r="H2456" s="14" t="str">
        <x:v>S07-05:B:burst0_played</x:v>
      </x:c>
    </x:row>
    <x:row r="2457" ht="72" customHeight="1">
      <x:c r="A2457" s="14" t="str">
        <x:v>S07-05:B:mail_tail</x:v>
      </x:c>
      <x:c r="B2457" s="14" t="str">
        <x:v>B</x:v>
      </x:c>
      <x:c r="C2457" s="14" t="str">
        <x:v>mail_tail</x:v>
      </x:c>
      <x:c r="D2457" s="14" t="n">
        <x:v>4.749</x:v>
      </x:c>
      <x:c r="E2457" s="14" t="n">
        <x:v>5.6975</x:v>
      </x:c>
      <x:c r="F2457" s="14" t="n">
        <x:v>0.9485</x:v>
      </x:c>
      <x:c r="G2457" s="17" t="n">
        <x:v>1</x:v>
      </x:c>
      <x:c r="H2457" s="14" t="str">
        <x:v>S07-05:B:mail_first</x:v>
      </x:c>
    </x:row>
    <x:row r="2458" ht="72" customHeight="1">
      <x:c r="A2458" s="14" t="str">
        <x:v>S07-05:B:burst1_device</x:v>
      </x:c>
      <x:c r="B2458" s="14" t="str">
        <x:v>B</x:v>
      </x:c>
      <x:c r="C2458" s="14" t="str">
        <x:v>burst1_device</x:v>
      </x:c>
      <x:c r="D2458" s="14" t="n">
        <x:v>4.749</x:v>
      </x:c>
      <x:c r="E2458" s="14" t="n">
        <x:v>4.789</x:v>
      </x:c>
      <x:c r="F2458" s="14" t="n">
        <x:v>0.04</x:v>
      </x:c>
      <x:c r="G2458" s="17" t="n">
        <x:v>1</x:v>
      </x:c>
      <x:c r="H2458" s="14" t="str">
        <x:v>S07-05:B:burst0_played
S07-05:B:mail_first</x:v>
      </x:c>
    </x:row>
    <x:row r="2459" ht="72" customHeight="1">
      <x:c r="A2459" s="14" t="str">
        <x:v>S07-05:B:burst1_played</x:v>
      </x:c>
      <x:c r="B2459" s="14" t="str">
        <x:v>B</x:v>
      </x:c>
      <x:c r="C2459" s="14" t="str">
        <x:v>burst1_played</x:v>
      </x:c>
      <x:c r="D2459" s="14" t="n">
        <x:v>4.789</x:v>
      </x:c>
      <x:c r="E2459" s="14" t="n">
        <x:v>8.783</x:v>
      </x:c>
      <x:c r="F2459" s="14" t="n">
        <x:v>3.994</x:v>
      </x:c>
      <x:c r="G2459" s="17" t="n">
        <x:v>0</x:v>
      </x:c>
      <x:c r="H2459" s="14" t="str">
        <x:v>S07-05:B:burst1_device</x:v>
      </x:c>
    </x:row>
    <x:row r="2460" ht="72" customHeight="1">
      <x:c r="A2460" s="14" t="str">
        <x:v>S07-05:B:report_first</x:v>
      </x:c>
      <x:c r="B2460" s="14" t="str">
        <x:v>B</x:v>
      </x:c>
      <x:c r="C2460" s="14" t="str">
        <x:v>report_first</x:v>
      </x:c>
      <x:c r="D2460" s="14" t="n">
        <x:v>8.783</x:v>
      </x:c>
      <x:c r="E2460" s="14" t="n">
        <x:v>9.193</x:v>
      </x:c>
      <x:c r="F2460" s="14" t="n">
        <x:v>0.41</x:v>
      </x:c>
      <x:c r="G2460" s="17" t="n">
        <x:v>1</x:v>
      </x:c>
      <x:c r="H2460" s="14" t="str">
        <x:v>S07-05:B:burst1_played</x:v>
      </x:c>
    </x:row>
    <x:row r="2461" ht="72" customHeight="1">
      <x:c r="A2461" s="14" t="str">
        <x:v>S07-05:B:report_tail</x:v>
      </x:c>
      <x:c r="B2461" s="14" t="str">
        <x:v>B</x:v>
      </x:c>
      <x:c r="C2461" s="14" t="str">
        <x:v>report_tail</x:v>
      </x:c>
      <x:c r="D2461" s="14" t="n">
        <x:v>9.193</x:v>
      </x:c>
      <x:c r="E2461" s="14" t="n">
        <x:v>10.8915</x:v>
      </x:c>
      <x:c r="F2461" s="14" t="n">
        <x:v>1.6985</x:v>
      </x:c>
      <x:c r="G2461" s="17" t="n">
        <x:v>1</x:v>
      </x:c>
      <x:c r="H2461" s="14" t="str">
        <x:v>S07-05:B:report_first</x:v>
      </x:c>
    </x:row>
    <x:row r="2462" ht="72" customHeight="1">
      <x:c r="A2462" s="14" t="str">
        <x:v>S07-05:B:burst2_device</x:v>
      </x:c>
      <x:c r="B2462" s="14" t="str">
        <x:v>B</x:v>
      </x:c>
      <x:c r="C2462" s="14" t="str">
        <x:v>burst2_device</x:v>
      </x:c>
      <x:c r="D2462" s="14" t="n">
        <x:v>9.193</x:v>
      </x:c>
      <x:c r="E2462" s="14" t="n">
        <x:v>9.233</x:v>
      </x:c>
      <x:c r="F2462" s="14" t="n">
        <x:v>0.04</x:v>
      </x:c>
      <x:c r="G2462" s="17" t="n">
        <x:v>1</x:v>
      </x:c>
      <x:c r="H2462" s="14" t="str">
        <x:v>S07-05:B:burst1_played
S07-05:B:report_first</x:v>
      </x:c>
    </x:row>
    <x:row r="2463" ht="72" customHeight="1">
      <x:c r="A2463" s="14" t="str">
        <x:v>S07-05:B:burst2_played</x:v>
      </x:c>
      <x:c r="B2463" s="14" t="str">
        <x:v>B</x:v>
      </x:c>
      <x:c r="C2463" s="14" t="str">
        <x:v>burst2_played</x:v>
      </x:c>
      <x:c r="D2463" s="14" t="n">
        <x:v>9.233</x:v>
      </x:c>
      <x:c r="E2463" s="14" t="n">
        <x:v>16.227</x:v>
      </x:c>
      <x:c r="F2463" s="14" t="n">
        <x:v>6.994</x:v>
      </x:c>
      <x:c r="G2463" s="17" t="n">
        <x:v>0</x:v>
      </x:c>
      <x:c r="H2463" s="14" t="str">
        <x:v>S07-05:B:burst2_device</x:v>
      </x:c>
    </x:row>
    <x:row r="2464" ht="72" customHeight="1">
      <x:c r="A2464" s="14" t="str">
        <x:v>S07-06:A:origin</x:v>
      </x:c>
      <x:c r="B2464" s="14" t="str">
        <x:v>A</x:v>
      </x:c>
      <x:c r="C2464" s="14" t="str">
        <x:v>origin</x:v>
      </x:c>
      <x:c r="D2464" s="14" t="n">
        <x:v>-6</x:v>
      </x:c>
      <x:c r="E2464" s="14" t="n">
        <x:v>-6</x:v>
      </x:c>
      <x:c r="F2464" s="14" t="n">
        <x:v>0</x:v>
      </x:c>
      <x:c r="G2464" s="17" t="n">
        <x:v>0</x:v>
      </x:c>
      <x:c r="H2464" s="14" t="str"/>
    </x:row>
    <x:row r="2465" ht="72" customHeight="1">
      <x:c r="A2465" s="14" t="str">
        <x:v>S07-06:A:origin_interpretation</x:v>
      </x:c>
      <x:c r="B2465" s="14" t="str">
        <x:v>A</x:v>
      </x:c>
      <x:c r="C2465" s="14" t="str">
        <x:v>origin_interpretation</x:v>
      </x:c>
      <x:c r="D2465" s="14" t="n">
        <x:v>-6</x:v>
      </x:c>
      <x:c r="E2465" s="14" t="n">
        <x:v>-5.16</x:v>
      </x:c>
      <x:c r="F2465" s="14" t="n">
        <x:v>0.84</x:v>
      </x:c>
      <x:c r="G2465" s="17" t="n">
        <x:v>1</x:v>
      </x:c>
      <x:c r="H2465" s="14" t="str">
        <x:v>S07-06:A:origin</x:v>
      </x:c>
    </x:row>
    <x:row r="2466" ht="72" customHeight="1">
      <x:c r="A2466" s="14" t="str">
        <x:v>S07-06:A:original_handoff</x:v>
      </x:c>
      <x:c r="B2466" s="14" t="str">
        <x:v>A</x:v>
      </x:c>
      <x:c r="C2466" s="14" t="str">
        <x:v>original_handoff</x:v>
      </x:c>
      <x:c r="D2466" s="14" t="n">
        <x:v>-5.16</x:v>
      </x:c>
      <x:c r="E2466" s="14" t="n">
        <x:v>-5.04</x:v>
      </x:c>
      <x:c r="F2466" s="14" t="n">
        <x:v>0.12</x:v>
      </x:c>
      <x:c r="G2466" s="17" t="n">
        <x:v>1</x:v>
      </x:c>
      <x:c r="H2466" s="14" t="str">
        <x:v>S07-06:A:origin_interpretation</x:v>
      </x:c>
    </x:row>
    <x:row r="2467" ht="72" customHeight="1">
      <x:c r="A2467" s="14" t="str">
        <x:v>S07-06:A:evaluation_utterance_end</x:v>
      </x:c>
      <x:c r="B2467" s="14" t="str">
        <x:v>A</x:v>
      </x:c>
      <x:c r="C2467" s="14" t="str">
        <x:v>evaluation_utterance_end</x:v>
      </x:c>
      <x:c r="D2467" s="14" t="n">
        <x:v>-6</x:v>
      </x:c>
      <x:c r="E2467" s="14" t="n">
        <x:v>0</x:v>
      </x:c>
      <x:c r="F2467" s="14" t="n">
        <x:v>6</x:v>
      </x:c>
      <x:c r="G2467" s="17" t="n">
        <x:v>0</x:v>
      </x:c>
      <x:c r="H2467" s="14" t="str">
        <x:v>S07-06:A:origin</x:v>
      </x:c>
    </x:row>
    <x:row r="2468" ht="72" customHeight="1">
      <x:c r="A2468" s="14" t="str">
        <x:v>S07-06:A:final_transcript</x:v>
      </x:c>
      <x:c r="B2468" s="14" t="str">
        <x:v>A</x:v>
      </x:c>
      <x:c r="C2468" s="14" t="str">
        <x:v>final_transcript</x:v>
      </x:c>
      <x:c r="D2468" s="14" t="n">
        <x:v>0</x:v>
      </x:c>
      <x:c r="E2468" s="14" t="n">
        <x:v>0.3</x:v>
      </x:c>
      <x:c r="F2468" s="14" t="n">
        <x:v>0.3</x:v>
      </x:c>
      <x:c r="G2468" s="17" t="n">
        <x:v>1</x:v>
      </x:c>
      <x:c r="H2468" s="14" t="str">
        <x:v>S07-06:A:evaluation_utterance_end</x:v>
      </x:c>
    </x:row>
    <x:row r="2469" ht="72" customHeight="1">
      <x:c r="A2469" s="14" t="str">
        <x:v>S07-06:A:meaning_adoption</x:v>
      </x:c>
      <x:c r="B2469" s="14" t="str">
        <x:v>A</x:v>
      </x:c>
      <x:c r="C2469" s="14" t="str">
        <x:v>meaning_adoption</x:v>
      </x:c>
      <x:c r="D2469" s="14" t="n">
        <x:v>0.3</x:v>
      </x:c>
      <x:c r="E2469" s="14" t="n">
        <x:v>0.82</x:v>
      </x:c>
      <x:c r="F2469" s="14" t="n">
        <x:v>0.52</x:v>
      </x:c>
      <x:c r="G2469" s="17" t="n">
        <x:v>1</x:v>
      </x:c>
      <x:c r="H2469" s="14" t="str">
        <x:v>S07-06:A:final_transcript
S07-06:A:origin_interpretation</x:v>
      </x:c>
    </x:row>
    <x:row r="2470" ht="72" customHeight="1">
      <x:c r="A2470" s="14" t="str">
        <x:v>S07-06:A:apply_relation</x:v>
      </x:c>
      <x:c r="B2470" s="14" t="str">
        <x:v>A</x:v>
      </x:c>
      <x:c r="C2470" s="14" t="str">
        <x:v>apply_relation</x:v>
      </x:c>
      <x:c r="D2470" s="14" t="n">
        <x:v>0.82</x:v>
      </x:c>
      <x:c r="E2470" s="14" t="n">
        <x:v>0.86</x:v>
      </x:c>
      <x:c r="F2470" s="14" t="n">
        <x:v>0.04</x:v>
      </x:c>
      <x:c r="G2470" s="17" t="n">
        <x:v>1</x:v>
      </x:c>
      <x:c r="H2470" s="14" t="str">
        <x:v>S07-06:A:meaning_adoption</x:v>
      </x:c>
    </x:row>
    <x:row r="2471" ht="72" customHeight="1">
      <x:c r="A2471" s="14" t="str">
        <x:v>S07-06:A:evaluation_first_display</x:v>
      </x:c>
      <x:c r="B2471" s="14" t="str">
        <x:v>A</x:v>
      </x:c>
      <x:c r="C2471" s="14" t="str">
        <x:v>evaluation_first_display</x:v>
      </x:c>
      <x:c r="D2471" s="14" t="n">
        <x:v>0.86</x:v>
      </x:c>
      <x:c r="E2471" s="14" t="n">
        <x:v>0.9</x:v>
      </x:c>
      <x:c r="F2471" s="14" t="n">
        <x:v>0.04</x:v>
      </x:c>
      <x:c r="G2471" s="17" t="n">
        <x:v>1</x:v>
      </x:c>
      <x:c r="H2471" s="14" t="str">
        <x:v>S07-06:A:apply_relation</x:v>
      </x:c>
    </x:row>
    <x:row r="2472" ht="72" customHeight="1">
      <x:c r="A2472" s="14" t="str">
        <x:v>S07-06:A:source_calendar</x:v>
      </x:c>
      <x:c r="B2472" s="14" t="str">
        <x:v>A</x:v>
      </x:c>
      <x:c r="C2472" s="14" t="str">
        <x:v>source_calendar</x:v>
      </x:c>
      <x:c r="D2472" s="14" t="n">
        <x:v>-5.04</x:v>
      </x:c>
      <x:c r="E2472" s="14" t="n">
        <x:v>-1.4</x:v>
      </x:c>
      <x:c r="F2472" s="14" t="n">
        <x:v>3.64</x:v>
      </x:c>
      <x:c r="G2472" s="17" t="n">
        <x:v>0</x:v>
      </x:c>
      <x:c r="H2472" s="14" t="str">
        <x:v>S07-06:A:original_handoff</x:v>
      </x:c>
    </x:row>
    <x:row r="2473" ht="72" customHeight="1">
      <x:c r="A2473" s="14" t="str">
        <x:v>S07-06:A:display_calendar</x:v>
      </x:c>
      <x:c r="B2473" s="14" t="str">
        <x:v>A</x:v>
      </x:c>
      <x:c r="C2473" s="14" t="str">
        <x:v>display_calendar</x:v>
      </x:c>
      <x:c r="D2473" s="14" t="n">
        <x:v>-1.4</x:v>
      </x:c>
      <x:c r="E2473" s="14" t="n">
        <x:v>-1.36</x:v>
      </x:c>
      <x:c r="F2473" s="14" t="n">
        <x:v>0.04</x:v>
      </x:c>
      <x:c r="G2473" s="17" t="n">
        <x:v>1</x:v>
      </x:c>
      <x:c r="H2473" s="14" t="str">
        <x:v>S07-06:A:source_calendar</x:v>
      </x:c>
    </x:row>
    <x:row r="2474" ht="72" customHeight="1">
      <x:c r="A2474" s="14" t="str">
        <x:v>S07-06:A:source_mail</x:v>
      </x:c>
      <x:c r="B2474" s="14" t="str">
        <x:v>A</x:v>
      </x:c>
      <x:c r="C2474" s="14" t="str">
        <x:v>source_mail</x:v>
      </x:c>
      <x:c r="D2474" s="14" t="n">
        <x:v>-5.04</x:v>
      </x:c>
      <x:c r="E2474" s="14" t="n">
        <x:v>-1.2</x:v>
      </x:c>
      <x:c r="F2474" s="14" t="n">
        <x:v>3.84</x:v>
      </x:c>
      <x:c r="G2474" s="17" t="n">
        <x:v>0</x:v>
      </x:c>
      <x:c r="H2474" s="14" t="str">
        <x:v>S07-06:A:original_handoff</x:v>
      </x:c>
    </x:row>
    <x:row r="2475" ht="72" customHeight="1">
      <x:c r="A2475" s="14" t="str">
        <x:v>S07-06:A:display_mail</x:v>
      </x:c>
      <x:c r="B2475" s="14" t="str">
        <x:v>A</x:v>
      </x:c>
      <x:c r="C2475" s="14" t="str">
        <x:v>display_mail</x:v>
      </x:c>
      <x:c r="D2475" s="14" t="n">
        <x:v>-1.2</x:v>
      </x:c>
      <x:c r="E2475" s="14" t="n">
        <x:v>-1.16</x:v>
      </x:c>
      <x:c r="F2475" s="14" t="n">
        <x:v>0.04</x:v>
      </x:c>
      <x:c r="G2475" s="17" t="n">
        <x:v>1</x:v>
      </x:c>
      <x:c r="H2475" s="14" t="str">
        <x:v>S07-06:A:source_mail</x:v>
      </x:c>
    </x:row>
    <x:row r="2476" ht="72" customHeight="1">
      <x:c r="A2476" s="14" t="str">
        <x:v>S07-06:A:source_report</x:v>
      </x:c>
      <x:c r="B2476" s="14" t="str">
        <x:v>A</x:v>
      </x:c>
      <x:c r="C2476" s="14" t="str">
        <x:v>source_report</x:v>
      </x:c>
      <x:c r="D2476" s="14" t="n">
        <x:v>-5.04</x:v>
      </x:c>
      <x:c r="E2476" s="14" t="n">
        <x:v>-0.9</x:v>
      </x:c>
      <x:c r="F2476" s="14" t="n">
        <x:v>4.14</x:v>
      </x:c>
      <x:c r="G2476" s="17" t="n">
        <x:v>0</x:v>
      </x:c>
      <x:c r="H2476" s="14" t="str">
        <x:v>S07-06:A:original_handoff</x:v>
      </x:c>
    </x:row>
    <x:row r="2477" ht="72" customHeight="1">
      <x:c r="A2477" s="14" t="str">
        <x:v>S07-06:A:display_report</x:v>
      </x:c>
      <x:c r="B2477" s="14" t="str">
        <x:v>A</x:v>
      </x:c>
      <x:c r="C2477" s="14" t="str">
        <x:v>display_report</x:v>
      </x:c>
      <x:c r="D2477" s="14" t="n">
        <x:v>-0.9</x:v>
      </x:c>
      <x:c r="E2477" s="14" t="n">
        <x:v>-0.86</x:v>
      </x:c>
      <x:c r="F2477" s="14" t="n">
        <x:v>0.04</x:v>
      </x:c>
      <x:c r="G2477" s="17" t="n">
        <x:v>1</x:v>
      </x:c>
      <x:c r="H2477" s="14" t="str">
        <x:v>S07-06:A:source_report</x:v>
      </x:c>
    </x:row>
    <x:row r="2478" ht="72" customHeight="1">
      <x:c r="A2478" s="14" t="str">
        <x:v>S07-06:A:calendar_first</x:v>
      </x:c>
      <x:c r="B2478" s="14" t="str">
        <x:v>A</x:v>
      </x:c>
      <x:c r="C2478" s="14" t="str">
        <x:v>calendar_first</x:v>
      </x:c>
      <x:c r="D2478" s="14" t="n">
        <x:v>-1.4</x:v>
      </x:c>
      <x:c r="E2478" s="14" t="n">
        <x:v>-0.997666667</x:v>
      </x:c>
      <x:c r="F2478" s="14" t="n">
        <x:v>0.402333333</x:v>
      </x:c>
      <x:c r="G2478" s="17" t="n">
        <x:v>1</x:v>
      </x:c>
      <x:c r="H2478" s="14" t="str">
        <x:v>S07-06:A:source_calendar</x:v>
      </x:c>
    </x:row>
    <x:row r="2479" ht="72" customHeight="1">
      <x:c r="A2479" s="14" t="str">
        <x:v>S07-06:A:calendar_tail</x:v>
      </x:c>
      <x:c r="B2479" s="14" t="str">
        <x:v>A</x:v>
      </x:c>
      <x:c r="C2479" s="14" t="str">
        <x:v>calendar_tail</x:v>
      </x:c>
      <x:c r="D2479" s="14" t="n">
        <x:v>-0.997666667</x:v>
      </x:c>
      <x:c r="E2479" s="14" t="n">
        <x:v>-0.296166667</x:v>
      </x:c>
      <x:c r="F2479" s="14" t="n">
        <x:v>0.7015</x:v>
      </x:c>
      <x:c r="G2479" s="17" t="n">
        <x:v>1</x:v>
      </x:c>
      <x:c r="H2479" s="14" t="str">
        <x:v>S07-06:A:calendar_first</x:v>
      </x:c>
    </x:row>
    <x:row r="2480" ht="72" customHeight="1">
      <x:c r="A2480" s="14" t="str">
        <x:v>S07-06:A:burst0_device</x:v>
      </x:c>
      <x:c r="B2480" s="14" t="str">
        <x:v>A</x:v>
      </x:c>
      <x:c r="C2480" s="14" t="str">
        <x:v>burst0_device</x:v>
      </x:c>
      <x:c r="D2480" s="14" t="n">
        <x:v>0.86</x:v>
      </x:c>
      <x:c r="E2480" s="14" t="n">
        <x:v>0.9</x:v>
      </x:c>
      <x:c r="F2480" s="14" t="n">
        <x:v>0.04</x:v>
      </x:c>
      <x:c r="G2480" s="17" t="n">
        <x:v>1</x:v>
      </x:c>
      <x:c r="H2480" s="14" t="str">
        <x:v>S07-06:A:apply_relation
S07-06:A:calendar_first</x:v>
      </x:c>
    </x:row>
    <x:row r="2481" ht="72" customHeight="1">
      <x:c r="A2481" s="14" t="str">
        <x:v>S07-06:A:burst0_played</x:v>
      </x:c>
      <x:c r="B2481" s="14" t="str">
        <x:v>A</x:v>
      </x:c>
      <x:c r="C2481" s="14" t="str">
        <x:v>burst0_played</x:v>
      </x:c>
      <x:c r="D2481" s="14" t="n">
        <x:v>0.9</x:v>
      </x:c>
      <x:c r="E2481" s="14" t="n">
        <x:v>3.906</x:v>
      </x:c>
      <x:c r="F2481" s="14" t="n">
        <x:v>3.006</x:v>
      </x:c>
      <x:c r="G2481" s="17" t="n">
        <x:v>0</x:v>
      </x:c>
      <x:c r="H2481" s="14" t="str">
        <x:v>S07-06:A:burst0_device</x:v>
      </x:c>
    </x:row>
    <x:row r="2482" ht="72" customHeight="1">
      <x:c r="A2482" s="14" t="str">
        <x:v>S07-06:A:mail_first</x:v>
      </x:c>
      <x:c r="B2482" s="14" t="str">
        <x:v>A</x:v>
      </x:c>
      <x:c r="C2482" s="14" t="str">
        <x:v>mail_first</x:v>
      </x:c>
      <x:c r="D2482" s="14" t="n">
        <x:v>-1.2</x:v>
      </x:c>
      <x:c r="E2482" s="14" t="n">
        <x:v>-0.794</x:v>
      </x:c>
      <x:c r="F2482" s="14" t="n">
        <x:v>0.406</x:v>
      </x:c>
      <x:c r="G2482" s="17" t="n">
        <x:v>1</x:v>
      </x:c>
      <x:c r="H2482" s="14" t="str">
        <x:v>S07-06:A:source_mail</x:v>
      </x:c>
    </x:row>
    <x:row r="2483" ht="72" customHeight="1">
      <x:c r="A2483" s="14" t="str">
        <x:v>S07-06:A:mail_tail</x:v>
      </x:c>
      <x:c r="B2483" s="14" t="str">
        <x:v>A</x:v>
      </x:c>
      <x:c r="C2483" s="14" t="str">
        <x:v>mail_tail</x:v>
      </x:c>
      <x:c r="D2483" s="14" t="n">
        <x:v>-0.794</x:v>
      </x:c>
      <x:c r="E2483" s="14" t="n">
        <x:v>0.1575</x:v>
      </x:c>
      <x:c r="F2483" s="14" t="n">
        <x:v>0.9515</x:v>
      </x:c>
      <x:c r="G2483" s="17" t="n">
        <x:v>1</x:v>
      </x:c>
      <x:c r="H2483" s="14" t="str">
        <x:v>S07-06:A:mail_first</x:v>
      </x:c>
    </x:row>
    <x:row r="2484" ht="72" customHeight="1">
      <x:c r="A2484" s="14" t="str">
        <x:v>S07-06:A:burst1_device</x:v>
      </x:c>
      <x:c r="B2484" s="14" t="str">
        <x:v>A</x:v>
      </x:c>
      <x:c r="C2484" s="14" t="str">
        <x:v>burst1_device</x:v>
      </x:c>
      <x:c r="D2484" s="14" t="n">
        <x:v>3.906</x:v>
      </x:c>
      <x:c r="E2484" s="14" t="n">
        <x:v>3.946</x:v>
      </x:c>
      <x:c r="F2484" s="14" t="n">
        <x:v>0.04</x:v>
      </x:c>
      <x:c r="G2484" s="17" t="n">
        <x:v>1</x:v>
      </x:c>
      <x:c r="H2484" s="14" t="str">
        <x:v>S07-06:A:burst0_played
S07-06:A:mail_first</x:v>
      </x:c>
    </x:row>
    <x:row r="2485" ht="72" customHeight="1">
      <x:c r="A2485" s="14" t="str">
        <x:v>S07-06:A:burst1_played</x:v>
      </x:c>
      <x:c r="B2485" s="14" t="str">
        <x:v>A</x:v>
      </x:c>
      <x:c r="C2485" s="14" t="str">
        <x:v>burst1_played</x:v>
      </x:c>
      <x:c r="D2485" s="14" t="n">
        <x:v>3.946</x:v>
      </x:c>
      <x:c r="E2485" s="14" t="n">
        <x:v>7.952</x:v>
      </x:c>
      <x:c r="F2485" s="14" t="n">
        <x:v>4.006</x:v>
      </x:c>
      <x:c r="G2485" s="17" t="n">
        <x:v>0</x:v>
      </x:c>
      <x:c r="H2485" s="14" t="str">
        <x:v>S07-06:A:burst1_device</x:v>
      </x:c>
    </x:row>
    <x:row r="2486" ht="72" customHeight="1">
      <x:c r="A2486" s="14" t="str">
        <x:v>S07-06:A:report_first</x:v>
      </x:c>
      <x:c r="B2486" s="14" t="str">
        <x:v>A</x:v>
      </x:c>
      <x:c r="C2486" s="14" t="str">
        <x:v>report_first</x:v>
      </x:c>
      <x:c r="D2486" s="14" t="n">
        <x:v>-0.9</x:v>
      </x:c>
      <x:c r="E2486" s="14" t="n">
        <x:v>-0.49</x:v>
      </x:c>
      <x:c r="F2486" s="14" t="n">
        <x:v>0.41</x:v>
      </x:c>
      <x:c r="G2486" s="17" t="n">
        <x:v>1</x:v>
      </x:c>
      <x:c r="H2486" s="14" t="str">
        <x:v>S07-06:A:source_report</x:v>
      </x:c>
    </x:row>
    <x:row r="2487" ht="72" customHeight="1">
      <x:c r="A2487" s="14" t="str">
        <x:v>S07-06:A:report_tail</x:v>
      </x:c>
      <x:c r="B2487" s="14" t="str">
        <x:v>A</x:v>
      </x:c>
      <x:c r="C2487" s="14" t="str">
        <x:v>report_tail</x:v>
      </x:c>
      <x:c r="D2487" s="14" t="n">
        <x:v>-0.49</x:v>
      </x:c>
      <x:c r="E2487" s="14" t="n">
        <x:v>1.2115</x:v>
      </x:c>
      <x:c r="F2487" s="14" t="n">
        <x:v>1.7015</x:v>
      </x:c>
      <x:c r="G2487" s="17" t="n">
        <x:v>1</x:v>
      </x:c>
      <x:c r="H2487" s="14" t="str">
        <x:v>S07-06:A:report_first</x:v>
      </x:c>
    </x:row>
    <x:row r="2488" ht="72" customHeight="1">
      <x:c r="A2488" s="14" t="str">
        <x:v>S07-06:A:burst2_device</x:v>
      </x:c>
      <x:c r="B2488" s="14" t="str">
        <x:v>A</x:v>
      </x:c>
      <x:c r="C2488" s="14" t="str">
        <x:v>burst2_device</x:v>
      </x:c>
      <x:c r="D2488" s="14" t="n">
        <x:v>7.952</x:v>
      </x:c>
      <x:c r="E2488" s="14" t="n">
        <x:v>7.992</x:v>
      </x:c>
      <x:c r="F2488" s="14" t="n">
        <x:v>0.04</x:v>
      </x:c>
      <x:c r="G2488" s="17" t="n">
        <x:v>1</x:v>
      </x:c>
      <x:c r="H2488" s="14" t="str">
        <x:v>S07-06:A:burst1_played
S07-06:A:report_first</x:v>
      </x:c>
    </x:row>
    <x:row r="2489" ht="72" customHeight="1">
      <x:c r="A2489" s="14" t="str">
        <x:v>S07-06:A:burst2_played</x:v>
      </x:c>
      <x:c r="B2489" s="14" t="str">
        <x:v>A</x:v>
      </x:c>
      <x:c r="C2489" s="14" t="str">
        <x:v>burst2_played</x:v>
      </x:c>
      <x:c r="D2489" s="14" t="n">
        <x:v>7.992</x:v>
      </x:c>
      <x:c r="E2489" s="14" t="n">
        <x:v>14.998</x:v>
      </x:c>
      <x:c r="F2489" s="14" t="n">
        <x:v>7.006</x:v>
      </x:c>
      <x:c r="G2489" s="17" t="n">
        <x:v>0</x:v>
      </x:c>
      <x:c r="H2489" s="14" t="str">
        <x:v>S07-06:A:burst2_device</x:v>
      </x:c>
    </x:row>
    <x:row r="2490" ht="72" customHeight="1">
      <x:c r="A2490" s="14" t="str">
        <x:v>S07-06:B:origin</x:v>
      </x:c>
      <x:c r="B2490" s="14" t="str">
        <x:v>B</x:v>
      </x:c>
      <x:c r="C2490" s="14" t="str">
        <x:v>origin</x:v>
      </x:c>
      <x:c r="D2490" s="14" t="n">
        <x:v>-6</x:v>
      </x:c>
      <x:c r="E2490" s="14" t="n">
        <x:v>-6</x:v>
      </x:c>
      <x:c r="F2490" s="14" t="n">
        <x:v>0</x:v>
      </x:c>
      <x:c r="G2490" s="17" t="n">
        <x:v>0</x:v>
      </x:c>
      <x:c r="H2490" s="14" t="str"/>
    </x:row>
    <x:row r="2491" ht="72" customHeight="1">
      <x:c r="A2491" s="14" t="str">
        <x:v>S07-06:B:origin_interpretation</x:v>
      </x:c>
      <x:c r="B2491" s="14" t="str">
        <x:v>B</x:v>
      </x:c>
      <x:c r="C2491" s="14" t="str">
        <x:v>origin_interpretation</x:v>
      </x:c>
      <x:c r="D2491" s="14" t="n">
        <x:v>-6</x:v>
      </x:c>
      <x:c r="E2491" s="14" t="n">
        <x:v>-5.16</x:v>
      </x:c>
      <x:c r="F2491" s="14" t="n">
        <x:v>0.84</x:v>
      </x:c>
      <x:c r="G2491" s="17" t="n">
        <x:v>1</x:v>
      </x:c>
      <x:c r="H2491" s="14" t="str">
        <x:v>S07-06:B:origin</x:v>
      </x:c>
    </x:row>
    <x:row r="2492" ht="72" customHeight="1">
      <x:c r="A2492" s="14" t="str">
        <x:v>S07-06:B:original_handoff</x:v>
      </x:c>
      <x:c r="B2492" s="14" t="str">
        <x:v>B</x:v>
      </x:c>
      <x:c r="C2492" s="14" t="str">
        <x:v>original_handoff</x:v>
      </x:c>
      <x:c r="D2492" s="14" t="n">
        <x:v>-5.16</x:v>
      </x:c>
      <x:c r="E2492" s="14" t="n">
        <x:v>-5.04</x:v>
      </x:c>
      <x:c r="F2492" s="14" t="n">
        <x:v>0.12</x:v>
      </x:c>
      <x:c r="G2492" s="17" t="n">
        <x:v>1</x:v>
      </x:c>
      <x:c r="H2492" s="14" t="str">
        <x:v>S07-06:B:origin_interpretation</x:v>
      </x:c>
    </x:row>
    <x:row r="2493" ht="72" customHeight="1">
      <x:c r="A2493" s="14" t="str">
        <x:v>S07-06:B:evaluation_utterance_end</x:v>
      </x:c>
      <x:c r="B2493" s="14" t="str">
        <x:v>B</x:v>
      </x:c>
      <x:c r="C2493" s="14" t="str">
        <x:v>evaluation_utterance_end</x:v>
      </x:c>
      <x:c r="D2493" s="14" t="n">
        <x:v>-6</x:v>
      </x:c>
      <x:c r="E2493" s="14" t="n">
        <x:v>0</x:v>
      </x:c>
      <x:c r="F2493" s="14" t="n">
        <x:v>6</x:v>
      </x:c>
      <x:c r="G2493" s="17" t="n">
        <x:v>0</x:v>
      </x:c>
      <x:c r="H2493" s="14" t="str">
        <x:v>S07-06:B:origin</x:v>
      </x:c>
    </x:row>
    <x:row r="2494" ht="72" customHeight="1">
      <x:c r="A2494" s="14" t="str">
        <x:v>S07-06:B:final_transcript</x:v>
      </x:c>
      <x:c r="B2494" s="14" t="str">
        <x:v>B</x:v>
      </x:c>
      <x:c r="C2494" s="14" t="str">
        <x:v>final_transcript</x:v>
      </x:c>
      <x:c r="D2494" s="14" t="n">
        <x:v>0</x:v>
      </x:c>
      <x:c r="E2494" s="14" t="n">
        <x:v>0.3</x:v>
      </x:c>
      <x:c r="F2494" s="14" t="n">
        <x:v>0.3</x:v>
      </x:c>
      <x:c r="G2494" s="17" t="n">
        <x:v>1</x:v>
      </x:c>
      <x:c r="H2494" s="14" t="str">
        <x:v>S07-06:B:evaluation_utterance_end</x:v>
      </x:c>
    </x:row>
    <x:row r="2495" ht="72" customHeight="1">
      <x:c r="A2495" s="14" t="str">
        <x:v>S07-06:B:meaning_adoption</x:v>
      </x:c>
      <x:c r="B2495" s="14" t="str">
        <x:v>B</x:v>
      </x:c>
      <x:c r="C2495" s="14" t="str">
        <x:v>meaning_adoption</x:v>
      </x:c>
      <x:c r="D2495" s="14" t="n">
        <x:v>0.3</x:v>
      </x:c>
      <x:c r="E2495" s="14" t="n">
        <x:v>0.82</x:v>
      </x:c>
      <x:c r="F2495" s="14" t="n">
        <x:v>0.52</x:v>
      </x:c>
      <x:c r="G2495" s="17" t="n">
        <x:v>1</x:v>
      </x:c>
      <x:c r="H2495" s="14" t="str">
        <x:v>S07-06:B:final_transcript
S07-06:B:origin_interpretation</x:v>
      </x:c>
    </x:row>
    <x:row r="2496" ht="72" customHeight="1">
      <x:c r="A2496" s="14" t="str">
        <x:v>S07-06:B:apply_relation</x:v>
      </x:c>
      <x:c r="B2496" s="14" t="str">
        <x:v>B</x:v>
      </x:c>
      <x:c r="C2496" s="14" t="str">
        <x:v>apply_relation</x:v>
      </x:c>
      <x:c r="D2496" s="14" t="n">
        <x:v>0.82</x:v>
      </x:c>
      <x:c r="E2496" s="14" t="n">
        <x:v>0.86</x:v>
      </x:c>
      <x:c r="F2496" s="14" t="n">
        <x:v>0.04</x:v>
      </x:c>
      <x:c r="G2496" s="17" t="n">
        <x:v>1</x:v>
      </x:c>
      <x:c r="H2496" s="14" t="str">
        <x:v>S07-06:B:meaning_adoption</x:v>
      </x:c>
    </x:row>
    <x:row r="2497" ht="72" customHeight="1">
      <x:c r="A2497" s="14" t="str">
        <x:v>S07-06:B:evaluation_first_display</x:v>
      </x:c>
      <x:c r="B2497" s="14" t="str">
        <x:v>B</x:v>
      </x:c>
      <x:c r="C2497" s="14" t="str">
        <x:v>evaluation_first_display</x:v>
      </x:c>
      <x:c r="D2497" s="14" t="n">
        <x:v>0.86</x:v>
      </x:c>
      <x:c r="E2497" s="14" t="n">
        <x:v>0.9</x:v>
      </x:c>
      <x:c r="F2497" s="14" t="n">
        <x:v>0.04</x:v>
      </x:c>
      <x:c r="G2497" s="17" t="n">
        <x:v>1</x:v>
      </x:c>
      <x:c r="H2497" s="14" t="str">
        <x:v>S07-06:B:apply_relation</x:v>
      </x:c>
    </x:row>
    <x:row r="2498" ht="72" customHeight="1">
      <x:c r="A2498" s="14" t="str">
        <x:v>S07-06:B:source_calendar</x:v>
      </x:c>
      <x:c r="B2498" s="14" t="str">
        <x:v>B</x:v>
      </x:c>
      <x:c r="C2498" s="14" t="str">
        <x:v>source_calendar</x:v>
      </x:c>
      <x:c r="D2498" s="14" t="n">
        <x:v>-5.04</x:v>
      </x:c>
      <x:c r="E2498" s="14" t="n">
        <x:v>-1.4</x:v>
      </x:c>
      <x:c r="F2498" s="14" t="n">
        <x:v>3.64</x:v>
      </x:c>
      <x:c r="G2498" s="17" t="n">
        <x:v>0</x:v>
      </x:c>
      <x:c r="H2498" s="14" t="str">
        <x:v>S07-06:B:original_handoff</x:v>
      </x:c>
    </x:row>
    <x:row r="2499" ht="72" customHeight="1">
      <x:c r="A2499" s="14" t="str">
        <x:v>S07-06:B:display_calendar</x:v>
      </x:c>
      <x:c r="B2499" s="14" t="str">
        <x:v>B</x:v>
      </x:c>
      <x:c r="C2499" s="14" t="str">
        <x:v>display_calendar</x:v>
      </x:c>
      <x:c r="D2499" s="14" t="n">
        <x:v>-1.4</x:v>
      </x:c>
      <x:c r="E2499" s="14" t="n">
        <x:v>-1.36</x:v>
      </x:c>
      <x:c r="F2499" s="14" t="n">
        <x:v>0.04</x:v>
      </x:c>
      <x:c r="G2499" s="17" t="n">
        <x:v>1</x:v>
      </x:c>
      <x:c r="H2499" s="14" t="str">
        <x:v>S07-06:B:source_calendar</x:v>
      </x:c>
    </x:row>
    <x:row r="2500" ht="72" customHeight="1">
      <x:c r="A2500" s="14" t="str">
        <x:v>S07-06:B:source_mail</x:v>
      </x:c>
      <x:c r="B2500" s="14" t="str">
        <x:v>B</x:v>
      </x:c>
      <x:c r="C2500" s="14" t="str">
        <x:v>source_mail</x:v>
      </x:c>
      <x:c r="D2500" s="14" t="n">
        <x:v>-5.04</x:v>
      </x:c>
      <x:c r="E2500" s="14" t="n">
        <x:v>-1.2</x:v>
      </x:c>
      <x:c r="F2500" s="14" t="n">
        <x:v>3.84</x:v>
      </x:c>
      <x:c r="G2500" s="17" t="n">
        <x:v>0</x:v>
      </x:c>
      <x:c r="H2500" s="14" t="str">
        <x:v>S07-06:B:original_handoff</x:v>
      </x:c>
    </x:row>
    <x:row r="2501" ht="72" customHeight="1">
      <x:c r="A2501" s="14" t="str">
        <x:v>S07-06:B:display_mail</x:v>
      </x:c>
      <x:c r="B2501" s="14" t="str">
        <x:v>B</x:v>
      </x:c>
      <x:c r="C2501" s="14" t="str">
        <x:v>display_mail</x:v>
      </x:c>
      <x:c r="D2501" s="14" t="n">
        <x:v>-1.2</x:v>
      </x:c>
      <x:c r="E2501" s="14" t="n">
        <x:v>-1.16</x:v>
      </x:c>
      <x:c r="F2501" s="14" t="n">
        <x:v>0.04</x:v>
      </x:c>
      <x:c r="G2501" s="17" t="n">
        <x:v>1</x:v>
      </x:c>
      <x:c r="H2501" s="14" t="str">
        <x:v>S07-06:B:source_mail</x:v>
      </x:c>
    </x:row>
    <x:row r="2502" ht="72" customHeight="1">
      <x:c r="A2502" s="14" t="str">
        <x:v>S07-06:B:source_report</x:v>
      </x:c>
      <x:c r="B2502" s="14" t="str">
        <x:v>B</x:v>
      </x:c>
      <x:c r="C2502" s="14" t="str">
        <x:v>source_report</x:v>
      </x:c>
      <x:c r="D2502" s="14" t="n">
        <x:v>-5.04</x:v>
      </x:c>
      <x:c r="E2502" s="14" t="n">
        <x:v>-0.9</x:v>
      </x:c>
      <x:c r="F2502" s="14" t="n">
        <x:v>4.14</x:v>
      </x:c>
      <x:c r="G2502" s="17" t="n">
        <x:v>0</x:v>
      </x:c>
      <x:c r="H2502" s="14" t="str">
        <x:v>S07-06:B:original_handoff</x:v>
      </x:c>
    </x:row>
    <x:row r="2503" ht="72" customHeight="1">
      <x:c r="A2503" s="14" t="str">
        <x:v>S07-06:B:display_report</x:v>
      </x:c>
      <x:c r="B2503" s="14" t="str">
        <x:v>B</x:v>
      </x:c>
      <x:c r="C2503" s="14" t="str">
        <x:v>display_report</x:v>
      </x:c>
      <x:c r="D2503" s="14" t="n">
        <x:v>-0.9</x:v>
      </x:c>
      <x:c r="E2503" s="14" t="n">
        <x:v>-0.86</x:v>
      </x:c>
      <x:c r="F2503" s="14" t="n">
        <x:v>0.04</x:v>
      </x:c>
      <x:c r="G2503" s="17" t="n">
        <x:v>1</x:v>
      </x:c>
      <x:c r="H2503" s="14" t="str">
        <x:v>S07-06:B:source_report</x:v>
      </x:c>
    </x:row>
    <x:row r="2504" ht="72" customHeight="1">
      <x:c r="A2504" s="14" t="str">
        <x:v>S07-06:B:calendar_first</x:v>
      </x:c>
      <x:c r="B2504" s="14" t="str">
        <x:v>B</x:v>
      </x:c>
      <x:c r="C2504" s="14" t="str">
        <x:v>calendar_first</x:v>
      </x:c>
      <x:c r="D2504" s="14" t="n">
        <x:v>0.86</x:v>
      </x:c>
      <x:c r="E2504" s="14" t="n">
        <x:v>1.262333333</x:v>
      </x:c>
      <x:c r="F2504" s="14" t="n">
        <x:v>0.402333333</x:v>
      </x:c>
      <x:c r="G2504" s="17" t="n">
        <x:v>1</x:v>
      </x:c>
      <x:c r="H2504" s="14" t="str">
        <x:v>S07-06:B:apply_relation</x:v>
      </x:c>
    </x:row>
    <x:row r="2505" ht="72" customHeight="1">
      <x:c r="A2505" s="14" t="str">
        <x:v>S07-06:B:calendar_tail</x:v>
      </x:c>
      <x:c r="B2505" s="14" t="str">
        <x:v>B</x:v>
      </x:c>
      <x:c r="C2505" s="14" t="str">
        <x:v>calendar_tail</x:v>
      </x:c>
      <x:c r="D2505" s="14" t="n">
        <x:v>1.262333333</x:v>
      </x:c>
      <x:c r="E2505" s="14" t="n">
        <x:v>1.963833333</x:v>
      </x:c>
      <x:c r="F2505" s="14" t="n">
        <x:v>0.7015</x:v>
      </x:c>
      <x:c r="G2505" s="17" t="n">
        <x:v>1</x:v>
      </x:c>
      <x:c r="H2505" s="14" t="str">
        <x:v>S07-06:B:calendar_first</x:v>
      </x:c>
    </x:row>
    <x:row r="2506" ht="72" customHeight="1">
      <x:c r="A2506" s="14" t="str">
        <x:v>S07-06:B:burst0_device</x:v>
      </x:c>
      <x:c r="B2506" s="14" t="str">
        <x:v>B</x:v>
      </x:c>
      <x:c r="C2506" s="14" t="str">
        <x:v>burst0_device</x:v>
      </x:c>
      <x:c r="D2506" s="14" t="n">
        <x:v>1.262333333</x:v>
      </x:c>
      <x:c r="E2506" s="14" t="n">
        <x:v>1.302333333</x:v>
      </x:c>
      <x:c r="F2506" s="14" t="n">
        <x:v>0.04</x:v>
      </x:c>
      <x:c r="G2506" s="17" t="n">
        <x:v>1</x:v>
      </x:c>
      <x:c r="H2506" s="14" t="str">
        <x:v>S07-06:B:apply_relation
S07-06:B:calendar_first</x:v>
      </x:c>
    </x:row>
    <x:row r="2507" ht="72" customHeight="1">
      <x:c r="A2507" s="14" t="str">
        <x:v>S07-06:B:burst0_played</x:v>
      </x:c>
      <x:c r="B2507" s="14" t="str">
        <x:v>B</x:v>
      </x:c>
      <x:c r="C2507" s="14" t="str">
        <x:v>burst0_played</x:v>
      </x:c>
      <x:c r="D2507" s="14" t="n">
        <x:v>1.302333333</x:v>
      </x:c>
      <x:c r="E2507" s="14" t="n">
        <x:v>4.308333333</x:v>
      </x:c>
      <x:c r="F2507" s="14" t="n">
        <x:v>3.006</x:v>
      </x:c>
      <x:c r="G2507" s="17" t="n">
        <x:v>0</x:v>
      </x:c>
      <x:c r="H2507" s="14" t="str">
        <x:v>S07-06:B:burst0_device</x:v>
      </x:c>
    </x:row>
    <x:row r="2508" ht="72" customHeight="1">
      <x:c r="A2508" s="14" t="str">
        <x:v>S07-06:B:mail_first</x:v>
      </x:c>
      <x:c r="B2508" s="14" t="str">
        <x:v>B</x:v>
      </x:c>
      <x:c r="C2508" s="14" t="str">
        <x:v>mail_first</x:v>
      </x:c>
      <x:c r="D2508" s="14" t="n">
        <x:v>4.308333333</x:v>
      </x:c>
      <x:c r="E2508" s="14" t="n">
        <x:v>4.714333333</x:v>
      </x:c>
      <x:c r="F2508" s="14" t="n">
        <x:v>0.406</x:v>
      </x:c>
      <x:c r="G2508" s="17" t="n">
        <x:v>1</x:v>
      </x:c>
      <x:c r="H2508" s="14" t="str">
        <x:v>S07-06:B:burst0_played</x:v>
      </x:c>
    </x:row>
    <x:row r="2509" ht="72" customHeight="1">
      <x:c r="A2509" s="14" t="str">
        <x:v>S07-06:B:mail_tail</x:v>
      </x:c>
      <x:c r="B2509" s="14" t="str">
        <x:v>B</x:v>
      </x:c>
      <x:c r="C2509" s="14" t="str">
        <x:v>mail_tail</x:v>
      </x:c>
      <x:c r="D2509" s="14" t="n">
        <x:v>4.714333333</x:v>
      </x:c>
      <x:c r="E2509" s="14" t="n">
        <x:v>5.665833333</x:v>
      </x:c>
      <x:c r="F2509" s="14" t="n">
        <x:v>0.9515</x:v>
      </x:c>
      <x:c r="G2509" s="17" t="n">
        <x:v>1</x:v>
      </x:c>
      <x:c r="H2509" s="14" t="str">
        <x:v>S07-06:B:mail_first</x:v>
      </x:c>
    </x:row>
    <x:row r="2510" ht="72" customHeight="1">
      <x:c r="A2510" s="14" t="str">
        <x:v>S07-06:B:burst1_device</x:v>
      </x:c>
      <x:c r="B2510" s="14" t="str">
        <x:v>B</x:v>
      </x:c>
      <x:c r="C2510" s="14" t="str">
        <x:v>burst1_device</x:v>
      </x:c>
      <x:c r="D2510" s="14" t="n">
        <x:v>4.714333333</x:v>
      </x:c>
      <x:c r="E2510" s="14" t="n">
        <x:v>4.754333333</x:v>
      </x:c>
      <x:c r="F2510" s="14" t="n">
        <x:v>0.04</x:v>
      </x:c>
      <x:c r="G2510" s="17" t="n">
        <x:v>1</x:v>
      </x:c>
      <x:c r="H2510" s="14" t="str">
        <x:v>S07-06:B:burst0_played
S07-06:B:mail_first</x:v>
      </x:c>
    </x:row>
    <x:row r="2511" ht="72" customHeight="1">
      <x:c r="A2511" s="14" t="str">
        <x:v>S07-06:B:burst1_played</x:v>
      </x:c>
      <x:c r="B2511" s="14" t="str">
        <x:v>B</x:v>
      </x:c>
      <x:c r="C2511" s="14" t="str">
        <x:v>burst1_played</x:v>
      </x:c>
      <x:c r="D2511" s="14" t="n">
        <x:v>4.754333333</x:v>
      </x:c>
      <x:c r="E2511" s="14" t="n">
        <x:v>8.760333333</x:v>
      </x:c>
      <x:c r="F2511" s="14" t="n">
        <x:v>4.006</x:v>
      </x:c>
      <x:c r="G2511" s="17" t="n">
        <x:v>0</x:v>
      </x:c>
      <x:c r="H2511" s="14" t="str">
        <x:v>S07-06:B:burst1_device</x:v>
      </x:c>
    </x:row>
    <x:row r="2512" ht="72" customHeight="1">
      <x:c r="A2512" s="14" t="str">
        <x:v>S07-06:B:report_first</x:v>
      </x:c>
      <x:c r="B2512" s="14" t="str">
        <x:v>B</x:v>
      </x:c>
      <x:c r="C2512" s="14" t="str">
        <x:v>report_first</x:v>
      </x:c>
      <x:c r="D2512" s="14" t="n">
        <x:v>8.760333333</x:v>
      </x:c>
      <x:c r="E2512" s="14" t="n">
        <x:v>9.170333333</x:v>
      </x:c>
      <x:c r="F2512" s="14" t="n">
        <x:v>0.41</x:v>
      </x:c>
      <x:c r="G2512" s="17" t="n">
        <x:v>1</x:v>
      </x:c>
      <x:c r="H2512" s="14" t="str">
        <x:v>S07-06:B:burst1_played</x:v>
      </x:c>
    </x:row>
    <x:row r="2513" ht="72" customHeight="1">
      <x:c r="A2513" s="14" t="str">
        <x:v>S07-06:B:report_tail</x:v>
      </x:c>
      <x:c r="B2513" s="14" t="str">
        <x:v>B</x:v>
      </x:c>
      <x:c r="C2513" s="14" t="str">
        <x:v>report_tail</x:v>
      </x:c>
      <x:c r="D2513" s="14" t="n">
        <x:v>9.170333333</x:v>
      </x:c>
      <x:c r="E2513" s="14" t="n">
        <x:v>10.871833333</x:v>
      </x:c>
      <x:c r="F2513" s="14" t="n">
        <x:v>1.7015</x:v>
      </x:c>
      <x:c r="G2513" s="17" t="n">
        <x:v>1</x:v>
      </x:c>
      <x:c r="H2513" s="14" t="str">
        <x:v>S07-06:B:report_first</x:v>
      </x:c>
    </x:row>
    <x:row r="2514" ht="72" customHeight="1">
      <x:c r="A2514" s="14" t="str">
        <x:v>S07-06:B:burst2_device</x:v>
      </x:c>
      <x:c r="B2514" s="14" t="str">
        <x:v>B</x:v>
      </x:c>
      <x:c r="C2514" s="14" t="str">
        <x:v>burst2_device</x:v>
      </x:c>
      <x:c r="D2514" s="14" t="n">
        <x:v>9.170333333</x:v>
      </x:c>
      <x:c r="E2514" s="14" t="n">
        <x:v>9.210333333</x:v>
      </x:c>
      <x:c r="F2514" s="14" t="n">
        <x:v>0.04</x:v>
      </x:c>
      <x:c r="G2514" s="17" t="n">
        <x:v>1</x:v>
      </x:c>
      <x:c r="H2514" s="14" t="str">
        <x:v>S07-06:B:burst1_played
S07-06:B:report_first</x:v>
      </x:c>
    </x:row>
    <x:row r="2515" ht="72" customHeight="1">
      <x:c r="A2515" s="14" t="str">
        <x:v>S07-06:B:burst2_played</x:v>
      </x:c>
      <x:c r="B2515" s="14" t="str">
        <x:v>B</x:v>
      </x:c>
      <x:c r="C2515" s="14" t="str">
        <x:v>burst2_played</x:v>
      </x:c>
      <x:c r="D2515" s="14" t="n">
        <x:v>9.210333333</x:v>
      </x:c>
      <x:c r="E2515" s="14" t="n">
        <x:v>16.216333333</x:v>
      </x:c>
      <x:c r="F2515" s="14" t="n">
        <x:v>7.006</x:v>
      </x:c>
      <x:c r="G2515" s="17" t="n">
        <x:v>0</x:v>
      </x:c>
      <x:c r="H2515" s="14" t="str">
        <x:v>S07-06:B:burst2_device</x:v>
      </x:c>
    </x:row>
    <x:row r="2516" ht="72" customHeight="1">
      <x:c r="A2516" s="14" t="str">
        <x:v>S07-07:A:origin</x:v>
      </x:c>
      <x:c r="B2516" s="14" t="str">
        <x:v>A</x:v>
      </x:c>
      <x:c r="C2516" s="14" t="str">
        <x:v>origin</x:v>
      </x:c>
      <x:c r="D2516" s="14" t="n">
        <x:v>-6</x:v>
      </x:c>
      <x:c r="E2516" s="14" t="n">
        <x:v>-6</x:v>
      </x:c>
      <x:c r="F2516" s="14" t="n">
        <x:v>0</x:v>
      </x:c>
      <x:c r="G2516" s="17" t="n">
        <x:v>0</x:v>
      </x:c>
      <x:c r="H2516" s="14" t="str"/>
    </x:row>
    <x:row r="2517" ht="72" customHeight="1">
      <x:c r="A2517" s="14" t="str">
        <x:v>S07-07:A:origin_interpretation</x:v>
      </x:c>
      <x:c r="B2517" s="14" t="str">
        <x:v>A</x:v>
      </x:c>
      <x:c r="C2517" s="14" t="str">
        <x:v>origin_interpretation</x:v>
      </x:c>
      <x:c r="D2517" s="14" t="n">
        <x:v>-6</x:v>
      </x:c>
      <x:c r="E2517" s="14" t="n">
        <x:v>-5.16</x:v>
      </x:c>
      <x:c r="F2517" s="14" t="n">
        <x:v>0.84</x:v>
      </x:c>
      <x:c r="G2517" s="17" t="n">
        <x:v>1</x:v>
      </x:c>
      <x:c r="H2517" s="14" t="str">
        <x:v>S07-07:A:origin</x:v>
      </x:c>
    </x:row>
    <x:row r="2518" ht="72" customHeight="1">
      <x:c r="A2518" s="14" t="str">
        <x:v>S07-07:A:original_handoff</x:v>
      </x:c>
      <x:c r="B2518" s="14" t="str">
        <x:v>A</x:v>
      </x:c>
      <x:c r="C2518" s="14" t="str">
        <x:v>original_handoff</x:v>
      </x:c>
      <x:c r="D2518" s="14" t="n">
        <x:v>-5.16</x:v>
      </x:c>
      <x:c r="E2518" s="14" t="n">
        <x:v>-5.04</x:v>
      </x:c>
      <x:c r="F2518" s="14" t="n">
        <x:v>0.12</x:v>
      </x:c>
      <x:c r="G2518" s="17" t="n">
        <x:v>1</x:v>
      </x:c>
      <x:c r="H2518" s="14" t="str">
        <x:v>S07-07:A:origin_interpretation</x:v>
      </x:c>
    </x:row>
    <x:row r="2519" ht="72" customHeight="1">
      <x:c r="A2519" s="14" t="str">
        <x:v>S07-07:A:evaluation_utterance_end</x:v>
      </x:c>
      <x:c r="B2519" s="14" t="str">
        <x:v>A</x:v>
      </x:c>
      <x:c r="C2519" s="14" t="str">
        <x:v>evaluation_utterance_end</x:v>
      </x:c>
      <x:c r="D2519" s="14" t="n">
        <x:v>-6</x:v>
      </x:c>
      <x:c r="E2519" s="14" t="n">
        <x:v>0</x:v>
      </x:c>
      <x:c r="F2519" s="14" t="n">
        <x:v>6</x:v>
      </x:c>
      <x:c r="G2519" s="17" t="n">
        <x:v>0</x:v>
      </x:c>
      <x:c r="H2519" s="14" t="str">
        <x:v>S07-07:A:origin</x:v>
      </x:c>
    </x:row>
    <x:row r="2520" ht="72" customHeight="1">
      <x:c r="A2520" s="14" t="str">
        <x:v>S07-07:A:final_transcript</x:v>
      </x:c>
      <x:c r="B2520" s="14" t="str">
        <x:v>A</x:v>
      </x:c>
      <x:c r="C2520" s="14" t="str">
        <x:v>final_transcript</x:v>
      </x:c>
      <x:c r="D2520" s="14" t="n">
        <x:v>0</x:v>
      </x:c>
      <x:c r="E2520" s="14" t="n">
        <x:v>0.3</x:v>
      </x:c>
      <x:c r="F2520" s="14" t="n">
        <x:v>0.3</x:v>
      </x:c>
      <x:c r="G2520" s="17" t="n">
        <x:v>1</x:v>
      </x:c>
      <x:c r="H2520" s="14" t="str">
        <x:v>S07-07:A:evaluation_utterance_end</x:v>
      </x:c>
    </x:row>
    <x:row r="2521" ht="72" customHeight="1">
      <x:c r="A2521" s="14" t="str">
        <x:v>S07-07:A:meaning_adoption</x:v>
      </x:c>
      <x:c r="B2521" s="14" t="str">
        <x:v>A</x:v>
      </x:c>
      <x:c r="C2521" s="14" t="str">
        <x:v>meaning_adoption</x:v>
      </x:c>
      <x:c r="D2521" s="14" t="n">
        <x:v>0.3</x:v>
      </x:c>
      <x:c r="E2521" s="14" t="n">
        <x:v>0.848333333</x:v>
      </x:c>
      <x:c r="F2521" s="14" t="n">
        <x:v>0.548333333</x:v>
      </x:c>
      <x:c r="G2521" s="17" t="n">
        <x:v>1</x:v>
      </x:c>
      <x:c r="H2521" s="14" t="str">
        <x:v>S07-07:A:final_transcript
S07-07:A:origin_interpretation</x:v>
      </x:c>
    </x:row>
    <x:row r="2522" ht="72" customHeight="1">
      <x:c r="A2522" s="14" t="str">
        <x:v>S07-07:A:apply_relation</x:v>
      </x:c>
      <x:c r="B2522" s="14" t="str">
        <x:v>A</x:v>
      </x:c>
      <x:c r="C2522" s="14" t="str">
        <x:v>apply_relation</x:v>
      </x:c>
      <x:c r="D2522" s="14" t="n">
        <x:v>0.848333333</x:v>
      </x:c>
      <x:c r="E2522" s="14" t="n">
        <x:v>0.888333333</x:v>
      </x:c>
      <x:c r="F2522" s="14" t="n">
        <x:v>0.04</x:v>
      </x:c>
      <x:c r="G2522" s="17" t="n">
        <x:v>1</x:v>
      </x:c>
      <x:c r="H2522" s="14" t="str">
        <x:v>S07-07:A:meaning_adoption</x:v>
      </x:c>
    </x:row>
    <x:row r="2523" ht="72" customHeight="1">
      <x:c r="A2523" s="14" t="str">
        <x:v>S07-07:A:evaluation_first_display</x:v>
      </x:c>
      <x:c r="B2523" s="14" t="str">
        <x:v>A</x:v>
      </x:c>
      <x:c r="C2523" s="14" t="str">
        <x:v>evaluation_first_display</x:v>
      </x:c>
      <x:c r="D2523" s="14" t="n">
        <x:v>0.888333333</x:v>
      </x:c>
      <x:c r="E2523" s="14" t="n">
        <x:v>0.928333333</x:v>
      </x:c>
      <x:c r="F2523" s="14" t="n">
        <x:v>0.04</x:v>
      </x:c>
      <x:c r="G2523" s="17" t="n">
        <x:v>1</x:v>
      </x:c>
      <x:c r="H2523" s="14" t="str">
        <x:v>S07-07:A:apply_relation</x:v>
      </x:c>
    </x:row>
    <x:row r="2524" ht="72" customHeight="1">
      <x:c r="A2524" s="14" t="str">
        <x:v>S07-07:A:source_calendar</x:v>
      </x:c>
      <x:c r="B2524" s="14" t="str">
        <x:v>A</x:v>
      </x:c>
      <x:c r="C2524" s="14" t="str">
        <x:v>source_calendar</x:v>
      </x:c>
      <x:c r="D2524" s="14" t="n">
        <x:v>-5.04</x:v>
      </x:c>
      <x:c r="E2524" s="14" t="n">
        <x:v>-1.4</x:v>
      </x:c>
      <x:c r="F2524" s="14" t="n">
        <x:v>3.64</x:v>
      </x:c>
      <x:c r="G2524" s="17" t="n">
        <x:v>0</x:v>
      </x:c>
      <x:c r="H2524" s="14" t="str">
        <x:v>S07-07:A:original_handoff</x:v>
      </x:c>
    </x:row>
    <x:row r="2525" ht="72" customHeight="1">
      <x:c r="A2525" s="14" t="str">
        <x:v>S07-07:A:display_calendar</x:v>
      </x:c>
      <x:c r="B2525" s="14" t="str">
        <x:v>A</x:v>
      </x:c>
      <x:c r="C2525" s="14" t="str">
        <x:v>display_calendar</x:v>
      </x:c>
      <x:c r="D2525" s="14" t="n">
        <x:v>-1.4</x:v>
      </x:c>
      <x:c r="E2525" s="14" t="n">
        <x:v>-1.36</x:v>
      </x:c>
      <x:c r="F2525" s="14" t="n">
        <x:v>0.04</x:v>
      </x:c>
      <x:c r="G2525" s="17" t="n">
        <x:v>1</x:v>
      </x:c>
      <x:c r="H2525" s="14" t="str">
        <x:v>S07-07:A:source_calendar</x:v>
      </x:c>
    </x:row>
    <x:row r="2526" ht="72" customHeight="1">
      <x:c r="A2526" s="14" t="str">
        <x:v>S07-07:A:source_mail</x:v>
      </x:c>
      <x:c r="B2526" s="14" t="str">
        <x:v>A</x:v>
      </x:c>
      <x:c r="C2526" s="14" t="str">
        <x:v>source_mail</x:v>
      </x:c>
      <x:c r="D2526" s="14" t="n">
        <x:v>-5.04</x:v>
      </x:c>
      <x:c r="E2526" s="14" t="n">
        <x:v>-1.2</x:v>
      </x:c>
      <x:c r="F2526" s="14" t="n">
        <x:v>3.84</x:v>
      </x:c>
      <x:c r="G2526" s="17" t="n">
        <x:v>0</x:v>
      </x:c>
      <x:c r="H2526" s="14" t="str">
        <x:v>S07-07:A:original_handoff</x:v>
      </x:c>
    </x:row>
    <x:row r="2527" ht="72" customHeight="1">
      <x:c r="A2527" s="14" t="str">
        <x:v>S07-07:A:display_mail</x:v>
      </x:c>
      <x:c r="B2527" s="14" t="str">
        <x:v>A</x:v>
      </x:c>
      <x:c r="C2527" s="14" t="str">
        <x:v>display_mail</x:v>
      </x:c>
      <x:c r="D2527" s="14" t="n">
        <x:v>-1.2</x:v>
      </x:c>
      <x:c r="E2527" s="14" t="n">
        <x:v>-1.16</x:v>
      </x:c>
      <x:c r="F2527" s="14" t="n">
        <x:v>0.04</x:v>
      </x:c>
      <x:c r="G2527" s="17" t="n">
        <x:v>1</x:v>
      </x:c>
      <x:c r="H2527" s="14" t="str">
        <x:v>S07-07:A:source_mail</x:v>
      </x:c>
    </x:row>
    <x:row r="2528" ht="72" customHeight="1">
      <x:c r="A2528" s="14" t="str">
        <x:v>S07-07:A:source_report</x:v>
      </x:c>
      <x:c r="B2528" s="14" t="str">
        <x:v>A</x:v>
      </x:c>
      <x:c r="C2528" s="14" t="str">
        <x:v>source_report</x:v>
      </x:c>
      <x:c r="D2528" s="14" t="n">
        <x:v>-5.04</x:v>
      </x:c>
      <x:c r="E2528" s="14" t="n">
        <x:v>-0.9</x:v>
      </x:c>
      <x:c r="F2528" s="14" t="n">
        <x:v>4.14</x:v>
      </x:c>
      <x:c r="G2528" s="17" t="n">
        <x:v>0</x:v>
      </x:c>
      <x:c r="H2528" s="14" t="str">
        <x:v>S07-07:A:original_handoff</x:v>
      </x:c>
    </x:row>
    <x:row r="2529" ht="72" customHeight="1">
      <x:c r="A2529" s="14" t="str">
        <x:v>S07-07:A:display_report</x:v>
      </x:c>
      <x:c r="B2529" s="14" t="str">
        <x:v>A</x:v>
      </x:c>
      <x:c r="C2529" s="14" t="str">
        <x:v>display_report</x:v>
      </x:c>
      <x:c r="D2529" s="14" t="n">
        <x:v>-0.9</x:v>
      </x:c>
      <x:c r="E2529" s="14" t="n">
        <x:v>-0.86</x:v>
      </x:c>
      <x:c r="F2529" s="14" t="n">
        <x:v>0.04</x:v>
      </x:c>
      <x:c r="G2529" s="17" t="n">
        <x:v>1</x:v>
      </x:c>
      <x:c r="H2529" s="14" t="str">
        <x:v>S07-07:A:source_report</x:v>
      </x:c>
    </x:row>
    <x:row r="2530" ht="72" customHeight="1">
      <x:c r="A2530" s="14" t="str">
        <x:v>S07-07:A:calendar_first</x:v>
      </x:c>
      <x:c r="B2530" s="14" t="str">
        <x:v>A</x:v>
      </x:c>
      <x:c r="C2530" s="14" t="str">
        <x:v>calendar_first</x:v>
      </x:c>
      <x:c r="D2530" s="14" t="n">
        <x:v>-1.4</x:v>
      </x:c>
      <x:c r="E2530" s="14" t="n">
        <x:v>-0.997666667</x:v>
      </x:c>
      <x:c r="F2530" s="14" t="n">
        <x:v>0.402333333</x:v>
      </x:c>
      <x:c r="G2530" s="17" t="n">
        <x:v>1</x:v>
      </x:c>
      <x:c r="H2530" s="14" t="str">
        <x:v>S07-07:A:source_calendar</x:v>
      </x:c>
    </x:row>
    <x:row r="2531" ht="72" customHeight="1">
      <x:c r="A2531" s="14" t="str">
        <x:v>S07-07:A:calendar_tail</x:v>
      </x:c>
      <x:c r="B2531" s="14" t="str">
        <x:v>A</x:v>
      </x:c>
      <x:c r="C2531" s="14" t="str">
        <x:v>calendar_tail</x:v>
      </x:c>
      <x:c r="D2531" s="14" t="n">
        <x:v>-0.997666667</x:v>
      </x:c>
      <x:c r="E2531" s="14" t="n">
        <x:v>-0.293166667</x:v>
      </x:c>
      <x:c r="F2531" s="14" t="n">
        <x:v>0.7045</x:v>
      </x:c>
      <x:c r="G2531" s="17" t="n">
        <x:v>1</x:v>
      </x:c>
      <x:c r="H2531" s="14" t="str">
        <x:v>S07-07:A:calendar_first</x:v>
      </x:c>
    </x:row>
    <x:row r="2532" ht="72" customHeight="1">
      <x:c r="A2532" s="14" t="str">
        <x:v>S07-07:A:burst0_device</x:v>
      </x:c>
      <x:c r="B2532" s="14" t="str">
        <x:v>A</x:v>
      </x:c>
      <x:c r="C2532" s="14" t="str">
        <x:v>burst0_device</x:v>
      </x:c>
      <x:c r="D2532" s="14" t="n">
        <x:v>0.888333333</x:v>
      </x:c>
      <x:c r="E2532" s="14" t="n">
        <x:v>0.928333333</x:v>
      </x:c>
      <x:c r="F2532" s="14" t="n">
        <x:v>0.04</x:v>
      </x:c>
      <x:c r="G2532" s="17" t="n">
        <x:v>1</x:v>
      </x:c>
      <x:c r="H2532" s="14" t="str">
        <x:v>S07-07:A:apply_relation
S07-07:A:calendar_first</x:v>
      </x:c>
    </x:row>
    <x:row r="2533" ht="72" customHeight="1">
      <x:c r="A2533" s="14" t="str">
        <x:v>S07-07:A:burst0_played</x:v>
      </x:c>
      <x:c r="B2533" s="14" t="str">
        <x:v>A</x:v>
      </x:c>
      <x:c r="C2533" s="14" t="str">
        <x:v>burst0_played</x:v>
      </x:c>
      <x:c r="D2533" s="14" t="n">
        <x:v>0.928333333</x:v>
      </x:c>
      <x:c r="E2533" s="14" t="n">
        <x:v>3.946333333</x:v>
      </x:c>
      <x:c r="F2533" s="14" t="n">
        <x:v>3.018</x:v>
      </x:c>
      <x:c r="G2533" s="17" t="n">
        <x:v>0</x:v>
      </x:c>
      <x:c r="H2533" s="14" t="str">
        <x:v>S07-07:A:burst0_device</x:v>
      </x:c>
    </x:row>
    <x:row r="2534" ht="72" customHeight="1">
      <x:c r="A2534" s="14" t="str">
        <x:v>S07-07:A:mail_first</x:v>
      </x:c>
      <x:c r="B2534" s="14" t="str">
        <x:v>A</x:v>
      </x:c>
      <x:c r="C2534" s="14" t="str">
        <x:v>mail_first</x:v>
      </x:c>
      <x:c r="D2534" s="14" t="n">
        <x:v>-1.2</x:v>
      </x:c>
      <x:c r="E2534" s="14" t="n">
        <x:v>-0.794</x:v>
      </x:c>
      <x:c r="F2534" s="14" t="n">
        <x:v>0.406</x:v>
      </x:c>
      <x:c r="G2534" s="17" t="n">
        <x:v>1</x:v>
      </x:c>
      <x:c r="H2534" s="14" t="str">
        <x:v>S07-07:A:source_mail</x:v>
      </x:c>
    </x:row>
    <x:row r="2535" ht="72" customHeight="1">
      <x:c r="A2535" s="14" t="str">
        <x:v>S07-07:A:mail_tail</x:v>
      </x:c>
      <x:c r="B2535" s="14" t="str">
        <x:v>A</x:v>
      </x:c>
      <x:c r="C2535" s="14" t="str">
        <x:v>mail_tail</x:v>
      </x:c>
      <x:c r="D2535" s="14" t="n">
        <x:v>-0.794</x:v>
      </x:c>
      <x:c r="E2535" s="14" t="n">
        <x:v>0.1605</x:v>
      </x:c>
      <x:c r="F2535" s="14" t="n">
        <x:v>0.9545</x:v>
      </x:c>
      <x:c r="G2535" s="17" t="n">
        <x:v>1</x:v>
      </x:c>
      <x:c r="H2535" s="14" t="str">
        <x:v>S07-07:A:mail_first</x:v>
      </x:c>
    </x:row>
    <x:row r="2536" ht="72" customHeight="1">
      <x:c r="A2536" s="14" t="str">
        <x:v>S07-07:A:burst1_device</x:v>
      </x:c>
      <x:c r="B2536" s="14" t="str">
        <x:v>A</x:v>
      </x:c>
      <x:c r="C2536" s="14" t="str">
        <x:v>burst1_device</x:v>
      </x:c>
      <x:c r="D2536" s="14" t="n">
        <x:v>3.946333333</x:v>
      </x:c>
      <x:c r="E2536" s="14" t="n">
        <x:v>3.986333333</x:v>
      </x:c>
      <x:c r="F2536" s="14" t="n">
        <x:v>0.04</x:v>
      </x:c>
      <x:c r="G2536" s="17" t="n">
        <x:v>1</x:v>
      </x:c>
      <x:c r="H2536" s="14" t="str">
        <x:v>S07-07:A:burst0_played
S07-07:A:mail_first</x:v>
      </x:c>
    </x:row>
    <x:row r="2537" ht="72" customHeight="1">
      <x:c r="A2537" s="14" t="str">
        <x:v>S07-07:A:burst1_played</x:v>
      </x:c>
      <x:c r="B2537" s="14" t="str">
        <x:v>A</x:v>
      </x:c>
      <x:c r="C2537" s="14" t="str">
        <x:v>burst1_played</x:v>
      </x:c>
      <x:c r="D2537" s="14" t="n">
        <x:v>3.986333333</x:v>
      </x:c>
      <x:c r="E2537" s="14" t="n">
        <x:v>8.004333333</x:v>
      </x:c>
      <x:c r="F2537" s="14" t="n">
        <x:v>4.018</x:v>
      </x:c>
      <x:c r="G2537" s="17" t="n">
        <x:v>0</x:v>
      </x:c>
      <x:c r="H2537" s="14" t="str">
        <x:v>S07-07:A:burst1_device</x:v>
      </x:c>
    </x:row>
    <x:row r="2538" ht="72" customHeight="1">
      <x:c r="A2538" s="14" t="str">
        <x:v>S07-07:A:report_first</x:v>
      </x:c>
      <x:c r="B2538" s="14" t="str">
        <x:v>A</x:v>
      </x:c>
      <x:c r="C2538" s="14" t="str">
        <x:v>report_first</x:v>
      </x:c>
      <x:c r="D2538" s="14" t="n">
        <x:v>-0.9</x:v>
      </x:c>
      <x:c r="E2538" s="14" t="n">
        <x:v>-0.49</x:v>
      </x:c>
      <x:c r="F2538" s="14" t="n">
        <x:v>0.41</x:v>
      </x:c>
      <x:c r="G2538" s="17" t="n">
        <x:v>1</x:v>
      </x:c>
      <x:c r="H2538" s="14" t="str">
        <x:v>S07-07:A:source_report</x:v>
      </x:c>
    </x:row>
    <x:row r="2539" ht="72" customHeight="1">
      <x:c r="A2539" s="14" t="str">
        <x:v>S07-07:A:report_tail</x:v>
      </x:c>
      <x:c r="B2539" s="14" t="str">
        <x:v>A</x:v>
      </x:c>
      <x:c r="C2539" s="14" t="str">
        <x:v>report_tail</x:v>
      </x:c>
      <x:c r="D2539" s="14" t="n">
        <x:v>-0.49</x:v>
      </x:c>
      <x:c r="E2539" s="14" t="n">
        <x:v>1.2145</x:v>
      </x:c>
      <x:c r="F2539" s="14" t="n">
        <x:v>1.7045</x:v>
      </x:c>
      <x:c r="G2539" s="17" t="n">
        <x:v>1</x:v>
      </x:c>
      <x:c r="H2539" s="14" t="str">
        <x:v>S07-07:A:report_first</x:v>
      </x:c>
    </x:row>
    <x:row r="2540" ht="72" customHeight="1">
      <x:c r="A2540" s="14" t="str">
        <x:v>S07-07:A:burst2_device</x:v>
      </x:c>
      <x:c r="B2540" s="14" t="str">
        <x:v>A</x:v>
      </x:c>
      <x:c r="C2540" s="14" t="str">
        <x:v>burst2_device</x:v>
      </x:c>
      <x:c r="D2540" s="14" t="n">
        <x:v>8.004333333</x:v>
      </x:c>
      <x:c r="E2540" s="14" t="n">
        <x:v>8.044333333</x:v>
      </x:c>
      <x:c r="F2540" s="14" t="n">
        <x:v>0.04</x:v>
      </x:c>
      <x:c r="G2540" s="17" t="n">
        <x:v>1</x:v>
      </x:c>
      <x:c r="H2540" s="14" t="str">
        <x:v>S07-07:A:burst1_played
S07-07:A:report_first</x:v>
      </x:c>
    </x:row>
    <x:row r="2541" ht="72" customHeight="1">
      <x:c r="A2541" s="14" t="str">
        <x:v>S07-07:A:burst2_played</x:v>
      </x:c>
      <x:c r="B2541" s="14" t="str">
        <x:v>A</x:v>
      </x:c>
      <x:c r="C2541" s="14" t="str">
        <x:v>burst2_played</x:v>
      </x:c>
      <x:c r="D2541" s="14" t="n">
        <x:v>8.044333333</x:v>
      </x:c>
      <x:c r="E2541" s="14" t="n">
        <x:v>15.062333333</x:v>
      </x:c>
      <x:c r="F2541" s="14" t="n">
        <x:v>7.018</x:v>
      </x:c>
      <x:c r="G2541" s="17" t="n">
        <x:v>0</x:v>
      </x:c>
      <x:c r="H2541" s="14" t="str">
        <x:v>S07-07:A:burst2_device</x:v>
      </x:c>
    </x:row>
    <x:row r="2542" ht="72" customHeight="1">
      <x:c r="A2542" s="14" t="str">
        <x:v>S07-07:B:origin</x:v>
      </x:c>
      <x:c r="B2542" s="14" t="str">
        <x:v>B</x:v>
      </x:c>
      <x:c r="C2542" s="14" t="str">
        <x:v>origin</x:v>
      </x:c>
      <x:c r="D2542" s="14" t="n">
        <x:v>-6</x:v>
      </x:c>
      <x:c r="E2542" s="14" t="n">
        <x:v>-6</x:v>
      </x:c>
      <x:c r="F2542" s="14" t="n">
        <x:v>0</x:v>
      </x:c>
      <x:c r="G2542" s="17" t="n">
        <x:v>0</x:v>
      </x:c>
      <x:c r="H2542" s="14" t="str"/>
    </x:row>
    <x:row r="2543" ht="72" customHeight="1">
      <x:c r="A2543" s="14" t="str">
        <x:v>S07-07:B:origin_interpretation</x:v>
      </x:c>
      <x:c r="B2543" s="14" t="str">
        <x:v>B</x:v>
      </x:c>
      <x:c r="C2543" s="14" t="str">
        <x:v>origin_interpretation</x:v>
      </x:c>
      <x:c r="D2543" s="14" t="n">
        <x:v>-6</x:v>
      </x:c>
      <x:c r="E2543" s="14" t="n">
        <x:v>-5.16</x:v>
      </x:c>
      <x:c r="F2543" s="14" t="n">
        <x:v>0.84</x:v>
      </x:c>
      <x:c r="G2543" s="17" t="n">
        <x:v>1</x:v>
      </x:c>
      <x:c r="H2543" s="14" t="str">
        <x:v>S07-07:B:origin</x:v>
      </x:c>
    </x:row>
    <x:row r="2544" ht="72" customHeight="1">
      <x:c r="A2544" s="14" t="str">
        <x:v>S07-07:B:original_handoff</x:v>
      </x:c>
      <x:c r="B2544" s="14" t="str">
        <x:v>B</x:v>
      </x:c>
      <x:c r="C2544" s="14" t="str">
        <x:v>original_handoff</x:v>
      </x:c>
      <x:c r="D2544" s="14" t="n">
        <x:v>-5.16</x:v>
      </x:c>
      <x:c r="E2544" s="14" t="n">
        <x:v>-5.04</x:v>
      </x:c>
      <x:c r="F2544" s="14" t="n">
        <x:v>0.12</x:v>
      </x:c>
      <x:c r="G2544" s="17" t="n">
        <x:v>1</x:v>
      </x:c>
      <x:c r="H2544" s="14" t="str">
        <x:v>S07-07:B:origin_interpretation</x:v>
      </x:c>
    </x:row>
    <x:row r="2545" ht="72" customHeight="1">
      <x:c r="A2545" s="14" t="str">
        <x:v>S07-07:B:evaluation_utterance_end</x:v>
      </x:c>
      <x:c r="B2545" s="14" t="str">
        <x:v>B</x:v>
      </x:c>
      <x:c r="C2545" s="14" t="str">
        <x:v>evaluation_utterance_end</x:v>
      </x:c>
      <x:c r="D2545" s="14" t="n">
        <x:v>-6</x:v>
      </x:c>
      <x:c r="E2545" s="14" t="n">
        <x:v>0</x:v>
      </x:c>
      <x:c r="F2545" s="14" t="n">
        <x:v>6</x:v>
      </x:c>
      <x:c r="G2545" s="17" t="n">
        <x:v>0</x:v>
      </x:c>
      <x:c r="H2545" s="14" t="str">
        <x:v>S07-07:B:origin</x:v>
      </x:c>
    </x:row>
    <x:row r="2546" ht="72" customHeight="1">
      <x:c r="A2546" s="14" t="str">
        <x:v>S07-07:B:final_transcript</x:v>
      </x:c>
      <x:c r="B2546" s="14" t="str">
        <x:v>B</x:v>
      </x:c>
      <x:c r="C2546" s="14" t="str">
        <x:v>final_transcript</x:v>
      </x:c>
      <x:c r="D2546" s="14" t="n">
        <x:v>0</x:v>
      </x:c>
      <x:c r="E2546" s="14" t="n">
        <x:v>0.3</x:v>
      </x:c>
      <x:c r="F2546" s="14" t="n">
        <x:v>0.3</x:v>
      </x:c>
      <x:c r="G2546" s="17" t="n">
        <x:v>1</x:v>
      </x:c>
      <x:c r="H2546" s="14" t="str">
        <x:v>S07-07:B:evaluation_utterance_end</x:v>
      </x:c>
    </x:row>
    <x:row r="2547" ht="72" customHeight="1">
      <x:c r="A2547" s="14" t="str">
        <x:v>S07-07:B:meaning_adoption</x:v>
      </x:c>
      <x:c r="B2547" s="14" t="str">
        <x:v>B</x:v>
      </x:c>
      <x:c r="C2547" s="14" t="str">
        <x:v>meaning_adoption</x:v>
      </x:c>
      <x:c r="D2547" s="14" t="n">
        <x:v>0.3</x:v>
      </x:c>
      <x:c r="E2547" s="14" t="n">
        <x:v>0.848333333</x:v>
      </x:c>
      <x:c r="F2547" s="14" t="n">
        <x:v>0.548333333</x:v>
      </x:c>
      <x:c r="G2547" s="17" t="n">
        <x:v>1</x:v>
      </x:c>
      <x:c r="H2547" s="14" t="str">
        <x:v>S07-07:B:final_transcript
S07-07:B:origin_interpretation</x:v>
      </x:c>
    </x:row>
    <x:row r="2548" ht="72" customHeight="1">
      <x:c r="A2548" s="14" t="str">
        <x:v>S07-07:B:apply_relation</x:v>
      </x:c>
      <x:c r="B2548" s="14" t="str">
        <x:v>B</x:v>
      </x:c>
      <x:c r="C2548" s="14" t="str">
        <x:v>apply_relation</x:v>
      </x:c>
      <x:c r="D2548" s="14" t="n">
        <x:v>0.848333333</x:v>
      </x:c>
      <x:c r="E2548" s="14" t="n">
        <x:v>0.888333333</x:v>
      </x:c>
      <x:c r="F2548" s="14" t="n">
        <x:v>0.04</x:v>
      </x:c>
      <x:c r="G2548" s="17" t="n">
        <x:v>1</x:v>
      </x:c>
      <x:c r="H2548" s="14" t="str">
        <x:v>S07-07:B:meaning_adoption</x:v>
      </x:c>
    </x:row>
    <x:row r="2549" ht="72" customHeight="1">
      <x:c r="A2549" s="14" t="str">
        <x:v>S07-07:B:evaluation_first_display</x:v>
      </x:c>
      <x:c r="B2549" s="14" t="str">
        <x:v>B</x:v>
      </x:c>
      <x:c r="C2549" s="14" t="str">
        <x:v>evaluation_first_display</x:v>
      </x:c>
      <x:c r="D2549" s="14" t="n">
        <x:v>0.888333333</x:v>
      </x:c>
      <x:c r="E2549" s="14" t="n">
        <x:v>0.928333333</x:v>
      </x:c>
      <x:c r="F2549" s="14" t="n">
        <x:v>0.04</x:v>
      </x:c>
      <x:c r="G2549" s="17" t="n">
        <x:v>1</x:v>
      </x:c>
      <x:c r="H2549" s="14" t="str">
        <x:v>S07-07:B:apply_relation</x:v>
      </x:c>
    </x:row>
    <x:row r="2550" ht="72" customHeight="1">
      <x:c r="A2550" s="14" t="str">
        <x:v>S07-07:B:source_calendar</x:v>
      </x:c>
      <x:c r="B2550" s="14" t="str">
        <x:v>B</x:v>
      </x:c>
      <x:c r="C2550" s="14" t="str">
        <x:v>source_calendar</x:v>
      </x:c>
      <x:c r="D2550" s="14" t="n">
        <x:v>-5.04</x:v>
      </x:c>
      <x:c r="E2550" s="14" t="n">
        <x:v>-1.4</x:v>
      </x:c>
      <x:c r="F2550" s="14" t="n">
        <x:v>3.64</x:v>
      </x:c>
      <x:c r="G2550" s="17" t="n">
        <x:v>0</x:v>
      </x:c>
      <x:c r="H2550" s="14" t="str">
        <x:v>S07-07:B:original_handoff</x:v>
      </x:c>
    </x:row>
    <x:row r="2551" ht="72" customHeight="1">
      <x:c r="A2551" s="14" t="str">
        <x:v>S07-07:B:display_calendar</x:v>
      </x:c>
      <x:c r="B2551" s="14" t="str">
        <x:v>B</x:v>
      </x:c>
      <x:c r="C2551" s="14" t="str">
        <x:v>display_calendar</x:v>
      </x:c>
      <x:c r="D2551" s="14" t="n">
        <x:v>-1.4</x:v>
      </x:c>
      <x:c r="E2551" s="14" t="n">
        <x:v>-1.36</x:v>
      </x:c>
      <x:c r="F2551" s="14" t="n">
        <x:v>0.04</x:v>
      </x:c>
      <x:c r="G2551" s="17" t="n">
        <x:v>1</x:v>
      </x:c>
      <x:c r="H2551" s="14" t="str">
        <x:v>S07-07:B:source_calendar</x:v>
      </x:c>
    </x:row>
    <x:row r="2552" ht="72" customHeight="1">
      <x:c r="A2552" s="14" t="str">
        <x:v>S07-07:B:source_mail</x:v>
      </x:c>
      <x:c r="B2552" s="14" t="str">
        <x:v>B</x:v>
      </x:c>
      <x:c r="C2552" s="14" t="str">
        <x:v>source_mail</x:v>
      </x:c>
      <x:c r="D2552" s="14" t="n">
        <x:v>-5.04</x:v>
      </x:c>
      <x:c r="E2552" s="14" t="n">
        <x:v>-1.2</x:v>
      </x:c>
      <x:c r="F2552" s="14" t="n">
        <x:v>3.84</x:v>
      </x:c>
      <x:c r="G2552" s="17" t="n">
        <x:v>0</x:v>
      </x:c>
      <x:c r="H2552" s="14" t="str">
        <x:v>S07-07:B:original_handoff</x:v>
      </x:c>
    </x:row>
    <x:row r="2553" ht="72" customHeight="1">
      <x:c r="A2553" s="14" t="str">
        <x:v>S07-07:B:display_mail</x:v>
      </x:c>
      <x:c r="B2553" s="14" t="str">
        <x:v>B</x:v>
      </x:c>
      <x:c r="C2553" s="14" t="str">
        <x:v>display_mail</x:v>
      </x:c>
      <x:c r="D2553" s="14" t="n">
        <x:v>-1.2</x:v>
      </x:c>
      <x:c r="E2553" s="14" t="n">
        <x:v>-1.16</x:v>
      </x:c>
      <x:c r="F2553" s="14" t="n">
        <x:v>0.04</x:v>
      </x:c>
      <x:c r="G2553" s="17" t="n">
        <x:v>1</x:v>
      </x:c>
      <x:c r="H2553" s="14" t="str">
        <x:v>S07-07:B:source_mail</x:v>
      </x:c>
    </x:row>
    <x:row r="2554" ht="72" customHeight="1">
      <x:c r="A2554" s="14" t="str">
        <x:v>S07-07:B:source_report</x:v>
      </x:c>
      <x:c r="B2554" s="14" t="str">
        <x:v>B</x:v>
      </x:c>
      <x:c r="C2554" s="14" t="str">
        <x:v>source_report</x:v>
      </x:c>
      <x:c r="D2554" s="14" t="n">
        <x:v>-5.04</x:v>
      </x:c>
      <x:c r="E2554" s="14" t="n">
        <x:v>-0.9</x:v>
      </x:c>
      <x:c r="F2554" s="14" t="n">
        <x:v>4.14</x:v>
      </x:c>
      <x:c r="G2554" s="17" t="n">
        <x:v>0</x:v>
      </x:c>
      <x:c r="H2554" s="14" t="str">
        <x:v>S07-07:B:original_handoff</x:v>
      </x:c>
    </x:row>
    <x:row r="2555" ht="72" customHeight="1">
      <x:c r="A2555" s="14" t="str">
        <x:v>S07-07:B:display_report</x:v>
      </x:c>
      <x:c r="B2555" s="14" t="str">
        <x:v>B</x:v>
      </x:c>
      <x:c r="C2555" s="14" t="str">
        <x:v>display_report</x:v>
      </x:c>
      <x:c r="D2555" s="14" t="n">
        <x:v>-0.9</x:v>
      </x:c>
      <x:c r="E2555" s="14" t="n">
        <x:v>-0.86</x:v>
      </x:c>
      <x:c r="F2555" s="14" t="n">
        <x:v>0.04</x:v>
      </x:c>
      <x:c r="G2555" s="17" t="n">
        <x:v>1</x:v>
      </x:c>
      <x:c r="H2555" s="14" t="str">
        <x:v>S07-07:B:source_report</x:v>
      </x:c>
    </x:row>
    <x:row r="2556" ht="72" customHeight="1">
      <x:c r="A2556" s="14" t="str">
        <x:v>S07-07:B:calendar_first</x:v>
      </x:c>
      <x:c r="B2556" s="14" t="str">
        <x:v>B</x:v>
      </x:c>
      <x:c r="C2556" s="14" t="str">
        <x:v>calendar_first</x:v>
      </x:c>
      <x:c r="D2556" s="14" t="n">
        <x:v>0.888333333</x:v>
      </x:c>
      <x:c r="E2556" s="14" t="n">
        <x:v>1.290666666</x:v>
      </x:c>
      <x:c r="F2556" s="14" t="n">
        <x:v>0.402333333</x:v>
      </x:c>
      <x:c r="G2556" s="17" t="n">
        <x:v>1</x:v>
      </x:c>
      <x:c r="H2556" s="14" t="str">
        <x:v>S07-07:B:apply_relation</x:v>
      </x:c>
    </x:row>
    <x:row r="2557" ht="72" customHeight="1">
      <x:c r="A2557" s="14" t="str">
        <x:v>S07-07:B:calendar_tail</x:v>
      </x:c>
      <x:c r="B2557" s="14" t="str">
        <x:v>B</x:v>
      </x:c>
      <x:c r="C2557" s="14" t="str">
        <x:v>calendar_tail</x:v>
      </x:c>
      <x:c r="D2557" s="14" t="n">
        <x:v>1.290666666</x:v>
      </x:c>
      <x:c r="E2557" s="14" t="n">
        <x:v>1.995166666</x:v>
      </x:c>
      <x:c r="F2557" s="14" t="n">
        <x:v>0.7045</x:v>
      </x:c>
      <x:c r="G2557" s="17" t="n">
        <x:v>1</x:v>
      </x:c>
      <x:c r="H2557" s="14" t="str">
        <x:v>S07-07:B:calendar_first</x:v>
      </x:c>
    </x:row>
    <x:row r="2558" ht="72" customHeight="1">
      <x:c r="A2558" s="14" t="str">
        <x:v>S07-07:B:burst0_device</x:v>
      </x:c>
      <x:c r="B2558" s="14" t="str">
        <x:v>B</x:v>
      </x:c>
      <x:c r="C2558" s="14" t="str">
        <x:v>burst0_device</x:v>
      </x:c>
      <x:c r="D2558" s="14" t="n">
        <x:v>1.290666666</x:v>
      </x:c>
      <x:c r="E2558" s="14" t="n">
        <x:v>1.330666666</x:v>
      </x:c>
      <x:c r="F2558" s="14" t="n">
        <x:v>0.04</x:v>
      </x:c>
      <x:c r="G2558" s="17" t="n">
        <x:v>1</x:v>
      </x:c>
      <x:c r="H2558" s="14" t="str">
        <x:v>S07-07:B:apply_relation
S07-07:B:calendar_first</x:v>
      </x:c>
    </x:row>
    <x:row r="2559" ht="72" customHeight="1">
      <x:c r="A2559" s="14" t="str">
        <x:v>S07-07:B:burst0_played</x:v>
      </x:c>
      <x:c r="B2559" s="14" t="str">
        <x:v>B</x:v>
      </x:c>
      <x:c r="C2559" s="14" t="str">
        <x:v>burst0_played</x:v>
      </x:c>
      <x:c r="D2559" s="14" t="n">
        <x:v>1.330666666</x:v>
      </x:c>
      <x:c r="E2559" s="14" t="n">
        <x:v>4.348666666</x:v>
      </x:c>
      <x:c r="F2559" s="14" t="n">
        <x:v>3.018</x:v>
      </x:c>
      <x:c r="G2559" s="17" t="n">
        <x:v>0</x:v>
      </x:c>
      <x:c r="H2559" s="14" t="str">
        <x:v>S07-07:B:burst0_device</x:v>
      </x:c>
    </x:row>
    <x:row r="2560" ht="72" customHeight="1">
      <x:c r="A2560" s="14" t="str">
        <x:v>S07-07:B:mail_first</x:v>
      </x:c>
      <x:c r="B2560" s="14" t="str">
        <x:v>B</x:v>
      </x:c>
      <x:c r="C2560" s="14" t="str">
        <x:v>mail_first</x:v>
      </x:c>
      <x:c r="D2560" s="14" t="n">
        <x:v>4.348666666</x:v>
      </x:c>
      <x:c r="E2560" s="14" t="n">
        <x:v>4.754666666</x:v>
      </x:c>
      <x:c r="F2560" s="14" t="n">
        <x:v>0.406</x:v>
      </x:c>
      <x:c r="G2560" s="17" t="n">
        <x:v>1</x:v>
      </x:c>
      <x:c r="H2560" s="14" t="str">
        <x:v>S07-07:B:burst0_played</x:v>
      </x:c>
    </x:row>
    <x:row r="2561" ht="72" customHeight="1">
      <x:c r="A2561" s="14" t="str">
        <x:v>S07-07:B:mail_tail</x:v>
      </x:c>
      <x:c r="B2561" s="14" t="str">
        <x:v>B</x:v>
      </x:c>
      <x:c r="C2561" s="14" t="str">
        <x:v>mail_tail</x:v>
      </x:c>
      <x:c r="D2561" s="14" t="n">
        <x:v>4.754666666</x:v>
      </x:c>
      <x:c r="E2561" s="14" t="n">
        <x:v>5.709166666</x:v>
      </x:c>
      <x:c r="F2561" s="14" t="n">
        <x:v>0.9545</x:v>
      </x:c>
      <x:c r="G2561" s="17" t="n">
        <x:v>1</x:v>
      </x:c>
      <x:c r="H2561" s="14" t="str">
        <x:v>S07-07:B:mail_first</x:v>
      </x:c>
    </x:row>
    <x:row r="2562" ht="72" customHeight="1">
      <x:c r="A2562" s="14" t="str">
        <x:v>S07-07:B:burst1_device</x:v>
      </x:c>
      <x:c r="B2562" s="14" t="str">
        <x:v>B</x:v>
      </x:c>
      <x:c r="C2562" s="14" t="str">
        <x:v>burst1_device</x:v>
      </x:c>
      <x:c r="D2562" s="14" t="n">
        <x:v>4.754666666</x:v>
      </x:c>
      <x:c r="E2562" s="14" t="n">
        <x:v>4.794666666</x:v>
      </x:c>
      <x:c r="F2562" s="14" t="n">
        <x:v>0.04</x:v>
      </x:c>
      <x:c r="G2562" s="17" t="n">
        <x:v>1</x:v>
      </x:c>
      <x:c r="H2562" s="14" t="str">
        <x:v>S07-07:B:burst0_played
S07-07:B:mail_first</x:v>
      </x:c>
    </x:row>
    <x:row r="2563" ht="72" customHeight="1">
      <x:c r="A2563" s="14" t="str">
        <x:v>S07-07:B:burst1_played</x:v>
      </x:c>
      <x:c r="B2563" s="14" t="str">
        <x:v>B</x:v>
      </x:c>
      <x:c r="C2563" s="14" t="str">
        <x:v>burst1_played</x:v>
      </x:c>
      <x:c r="D2563" s="14" t="n">
        <x:v>4.794666666</x:v>
      </x:c>
      <x:c r="E2563" s="14" t="n">
        <x:v>8.812666666</x:v>
      </x:c>
      <x:c r="F2563" s="14" t="n">
        <x:v>4.018</x:v>
      </x:c>
      <x:c r="G2563" s="17" t="n">
        <x:v>0</x:v>
      </x:c>
      <x:c r="H2563" s="14" t="str">
        <x:v>S07-07:B:burst1_device</x:v>
      </x:c>
    </x:row>
    <x:row r="2564" ht="72" customHeight="1">
      <x:c r="A2564" s="14" t="str">
        <x:v>S07-07:B:report_first</x:v>
      </x:c>
      <x:c r="B2564" s="14" t="str">
        <x:v>B</x:v>
      </x:c>
      <x:c r="C2564" s="14" t="str">
        <x:v>report_first</x:v>
      </x:c>
      <x:c r="D2564" s="14" t="n">
        <x:v>8.812666666</x:v>
      </x:c>
      <x:c r="E2564" s="14" t="n">
        <x:v>9.222666666</x:v>
      </x:c>
      <x:c r="F2564" s="14" t="n">
        <x:v>0.41</x:v>
      </x:c>
      <x:c r="G2564" s="17" t="n">
        <x:v>1</x:v>
      </x:c>
      <x:c r="H2564" s="14" t="str">
        <x:v>S07-07:B:burst1_played</x:v>
      </x:c>
    </x:row>
    <x:row r="2565" ht="72" customHeight="1">
      <x:c r="A2565" s="14" t="str">
        <x:v>S07-07:B:report_tail</x:v>
      </x:c>
      <x:c r="B2565" s="14" t="str">
        <x:v>B</x:v>
      </x:c>
      <x:c r="C2565" s="14" t="str">
        <x:v>report_tail</x:v>
      </x:c>
      <x:c r="D2565" s="14" t="n">
        <x:v>9.222666666</x:v>
      </x:c>
      <x:c r="E2565" s="14" t="n">
        <x:v>10.927166666</x:v>
      </x:c>
      <x:c r="F2565" s="14" t="n">
        <x:v>1.7045</x:v>
      </x:c>
      <x:c r="G2565" s="17" t="n">
        <x:v>1</x:v>
      </x:c>
      <x:c r="H2565" s="14" t="str">
        <x:v>S07-07:B:report_first</x:v>
      </x:c>
    </x:row>
    <x:row r="2566" ht="72" customHeight="1">
      <x:c r="A2566" s="14" t="str">
        <x:v>S07-07:B:burst2_device</x:v>
      </x:c>
      <x:c r="B2566" s="14" t="str">
        <x:v>B</x:v>
      </x:c>
      <x:c r="C2566" s="14" t="str">
        <x:v>burst2_device</x:v>
      </x:c>
      <x:c r="D2566" s="14" t="n">
        <x:v>9.222666666</x:v>
      </x:c>
      <x:c r="E2566" s="14" t="n">
        <x:v>9.262666666</x:v>
      </x:c>
      <x:c r="F2566" s="14" t="n">
        <x:v>0.04</x:v>
      </x:c>
      <x:c r="G2566" s="17" t="n">
        <x:v>1</x:v>
      </x:c>
      <x:c r="H2566" s="14" t="str">
        <x:v>S07-07:B:burst1_played
S07-07:B:report_first</x:v>
      </x:c>
    </x:row>
    <x:row r="2567" ht="72" customHeight="1">
      <x:c r="A2567" s="14" t="str">
        <x:v>S07-07:B:burst2_played</x:v>
      </x:c>
      <x:c r="B2567" s="14" t="str">
        <x:v>B</x:v>
      </x:c>
      <x:c r="C2567" s="14" t="str">
        <x:v>burst2_played</x:v>
      </x:c>
      <x:c r="D2567" s="14" t="n">
        <x:v>9.262666666</x:v>
      </x:c>
      <x:c r="E2567" s="14" t="n">
        <x:v>16.280666666</x:v>
      </x:c>
      <x:c r="F2567" s="14" t="n">
        <x:v>7.018</x:v>
      </x:c>
      <x:c r="G2567" s="17" t="n">
        <x:v>0</x:v>
      </x:c>
      <x:c r="H2567" s="14" t="str">
        <x:v>S07-07:B:burst2_device</x:v>
      </x:c>
    </x:row>
    <x:row r="2568" ht="72" customHeight="1">
      <x:c r="A2568" s="14" t="str">
        <x:v>S07-08:A:origin</x:v>
      </x:c>
      <x:c r="B2568" s="14" t="str">
        <x:v>A</x:v>
      </x:c>
      <x:c r="C2568" s="14" t="str">
        <x:v>origin</x:v>
      </x:c>
      <x:c r="D2568" s="14" t="n">
        <x:v>-6</x:v>
      </x:c>
      <x:c r="E2568" s="14" t="n">
        <x:v>-6</x:v>
      </x:c>
      <x:c r="F2568" s="14" t="n">
        <x:v>0</x:v>
      </x:c>
      <x:c r="G2568" s="17" t="n">
        <x:v>0</x:v>
      </x:c>
      <x:c r="H2568" s="14" t="str"/>
    </x:row>
    <x:row r="2569" ht="72" customHeight="1">
      <x:c r="A2569" s="14" t="str">
        <x:v>S07-08:A:origin_interpretation</x:v>
      </x:c>
      <x:c r="B2569" s="14" t="str">
        <x:v>A</x:v>
      </x:c>
      <x:c r="C2569" s="14" t="str">
        <x:v>origin_interpretation</x:v>
      </x:c>
      <x:c r="D2569" s="14" t="n">
        <x:v>-6</x:v>
      </x:c>
      <x:c r="E2569" s="14" t="n">
        <x:v>-5.16</x:v>
      </x:c>
      <x:c r="F2569" s="14" t="n">
        <x:v>0.84</x:v>
      </x:c>
      <x:c r="G2569" s="17" t="n">
        <x:v>1</x:v>
      </x:c>
      <x:c r="H2569" s="14" t="str">
        <x:v>S07-08:A:origin</x:v>
      </x:c>
    </x:row>
    <x:row r="2570" ht="72" customHeight="1">
      <x:c r="A2570" s="14" t="str">
        <x:v>S07-08:A:original_handoff</x:v>
      </x:c>
      <x:c r="B2570" s="14" t="str">
        <x:v>A</x:v>
      </x:c>
      <x:c r="C2570" s="14" t="str">
        <x:v>original_handoff</x:v>
      </x:c>
      <x:c r="D2570" s="14" t="n">
        <x:v>-5.16</x:v>
      </x:c>
      <x:c r="E2570" s="14" t="n">
        <x:v>-5.04</x:v>
      </x:c>
      <x:c r="F2570" s="14" t="n">
        <x:v>0.12</x:v>
      </x:c>
      <x:c r="G2570" s="17" t="n">
        <x:v>1</x:v>
      </x:c>
      <x:c r="H2570" s="14" t="str">
        <x:v>S07-08:A:origin_interpretation</x:v>
      </x:c>
    </x:row>
    <x:row r="2571" ht="72" customHeight="1">
      <x:c r="A2571" s="14" t="str">
        <x:v>S07-08:A:evaluation_utterance_end</x:v>
      </x:c>
      <x:c r="B2571" s="14" t="str">
        <x:v>A</x:v>
      </x:c>
      <x:c r="C2571" s="14" t="str">
        <x:v>evaluation_utterance_end</x:v>
      </x:c>
      <x:c r="D2571" s="14" t="n">
        <x:v>-6</x:v>
      </x:c>
      <x:c r="E2571" s="14" t="n">
        <x:v>0</x:v>
      </x:c>
      <x:c r="F2571" s="14" t="n">
        <x:v>6</x:v>
      </x:c>
      <x:c r="G2571" s="17" t="n">
        <x:v>0</x:v>
      </x:c>
      <x:c r="H2571" s="14" t="str">
        <x:v>S07-08:A:origin</x:v>
      </x:c>
    </x:row>
    <x:row r="2572" ht="72" customHeight="1">
      <x:c r="A2572" s="14" t="str">
        <x:v>S07-08:A:final_transcript</x:v>
      </x:c>
      <x:c r="B2572" s="14" t="str">
        <x:v>A</x:v>
      </x:c>
      <x:c r="C2572" s="14" t="str">
        <x:v>final_transcript</x:v>
      </x:c>
      <x:c r="D2572" s="14" t="n">
        <x:v>0</x:v>
      </x:c>
      <x:c r="E2572" s="14" t="n">
        <x:v>0.3</x:v>
      </x:c>
      <x:c r="F2572" s="14" t="n">
        <x:v>0.3</x:v>
      </x:c>
      <x:c r="G2572" s="17" t="n">
        <x:v>1</x:v>
      </x:c>
      <x:c r="H2572" s="14" t="str">
        <x:v>S07-08:A:evaluation_utterance_end</x:v>
      </x:c>
    </x:row>
    <x:row r="2573" ht="72" customHeight="1">
      <x:c r="A2573" s="14" t="str">
        <x:v>S07-08:A:meaning_adoption</x:v>
      </x:c>
      <x:c r="B2573" s="14" t="str">
        <x:v>A</x:v>
      </x:c>
      <x:c r="C2573" s="14" t="str">
        <x:v>meaning_adoption</x:v>
      </x:c>
      <x:c r="D2573" s="14" t="n">
        <x:v>0.3</x:v>
      </x:c>
      <x:c r="E2573" s="14" t="n">
        <x:v>0.876666667</x:v>
      </x:c>
      <x:c r="F2573" s="14" t="n">
        <x:v>0.576666667</x:v>
      </x:c>
      <x:c r="G2573" s="17" t="n">
        <x:v>1</x:v>
      </x:c>
      <x:c r="H2573" s="14" t="str">
        <x:v>S07-08:A:final_transcript
S07-08:A:origin_interpretation</x:v>
      </x:c>
    </x:row>
    <x:row r="2574" ht="72" customHeight="1">
      <x:c r="A2574" s="14" t="str">
        <x:v>S07-08:A:apply_relation</x:v>
      </x:c>
      <x:c r="B2574" s="14" t="str">
        <x:v>A</x:v>
      </x:c>
      <x:c r="C2574" s="14" t="str">
        <x:v>apply_relation</x:v>
      </x:c>
      <x:c r="D2574" s="14" t="n">
        <x:v>0.876666667</x:v>
      </x:c>
      <x:c r="E2574" s="14" t="n">
        <x:v>0.916666667</x:v>
      </x:c>
      <x:c r="F2574" s="14" t="n">
        <x:v>0.04</x:v>
      </x:c>
      <x:c r="G2574" s="17" t="n">
        <x:v>1</x:v>
      </x:c>
      <x:c r="H2574" s="14" t="str">
        <x:v>S07-08:A:meaning_adoption</x:v>
      </x:c>
    </x:row>
    <x:row r="2575" ht="72" customHeight="1">
      <x:c r="A2575" s="14" t="str">
        <x:v>S07-08:A:evaluation_first_display</x:v>
      </x:c>
      <x:c r="B2575" s="14" t="str">
        <x:v>A</x:v>
      </x:c>
      <x:c r="C2575" s="14" t="str">
        <x:v>evaluation_first_display</x:v>
      </x:c>
      <x:c r="D2575" s="14" t="n">
        <x:v>0.916666667</x:v>
      </x:c>
      <x:c r="E2575" s="14" t="n">
        <x:v>0.956666667</x:v>
      </x:c>
      <x:c r="F2575" s="14" t="n">
        <x:v>0.04</x:v>
      </x:c>
      <x:c r="G2575" s="17" t="n">
        <x:v>1</x:v>
      </x:c>
      <x:c r="H2575" s="14" t="str">
        <x:v>S07-08:A:apply_relation</x:v>
      </x:c>
    </x:row>
    <x:row r="2576" ht="72" customHeight="1">
      <x:c r="A2576" s="14" t="str">
        <x:v>S07-08:A:source_calendar</x:v>
      </x:c>
      <x:c r="B2576" s="14" t="str">
        <x:v>A</x:v>
      </x:c>
      <x:c r="C2576" s="14" t="str">
        <x:v>source_calendar</x:v>
      </x:c>
      <x:c r="D2576" s="14" t="n">
        <x:v>-5.04</x:v>
      </x:c>
      <x:c r="E2576" s="14" t="n">
        <x:v>-1.4</x:v>
      </x:c>
      <x:c r="F2576" s="14" t="n">
        <x:v>3.64</x:v>
      </x:c>
      <x:c r="G2576" s="17" t="n">
        <x:v>0</x:v>
      </x:c>
      <x:c r="H2576" s="14" t="str">
        <x:v>S07-08:A:original_handoff</x:v>
      </x:c>
    </x:row>
    <x:row r="2577" ht="72" customHeight="1">
      <x:c r="A2577" s="14" t="str">
        <x:v>S07-08:A:display_calendar</x:v>
      </x:c>
      <x:c r="B2577" s="14" t="str">
        <x:v>A</x:v>
      </x:c>
      <x:c r="C2577" s="14" t="str">
        <x:v>display_calendar</x:v>
      </x:c>
      <x:c r="D2577" s="14" t="n">
        <x:v>-1.4</x:v>
      </x:c>
      <x:c r="E2577" s="14" t="n">
        <x:v>-1.36</x:v>
      </x:c>
      <x:c r="F2577" s="14" t="n">
        <x:v>0.04</x:v>
      </x:c>
      <x:c r="G2577" s="17" t="n">
        <x:v>1</x:v>
      </x:c>
      <x:c r="H2577" s="14" t="str">
        <x:v>S07-08:A:source_calendar</x:v>
      </x:c>
    </x:row>
    <x:row r="2578" ht="72" customHeight="1">
      <x:c r="A2578" s="14" t="str">
        <x:v>S07-08:A:source_mail</x:v>
      </x:c>
      <x:c r="B2578" s="14" t="str">
        <x:v>A</x:v>
      </x:c>
      <x:c r="C2578" s="14" t="str">
        <x:v>source_mail</x:v>
      </x:c>
      <x:c r="D2578" s="14" t="n">
        <x:v>-5.04</x:v>
      </x:c>
      <x:c r="E2578" s="14" t="n">
        <x:v>-1.2</x:v>
      </x:c>
      <x:c r="F2578" s="14" t="n">
        <x:v>3.84</x:v>
      </x:c>
      <x:c r="G2578" s="17" t="n">
        <x:v>0</x:v>
      </x:c>
      <x:c r="H2578" s="14" t="str">
        <x:v>S07-08:A:original_handoff</x:v>
      </x:c>
    </x:row>
    <x:row r="2579" ht="72" customHeight="1">
      <x:c r="A2579" s="14" t="str">
        <x:v>S07-08:A:display_mail</x:v>
      </x:c>
      <x:c r="B2579" s="14" t="str">
        <x:v>A</x:v>
      </x:c>
      <x:c r="C2579" s="14" t="str">
        <x:v>display_mail</x:v>
      </x:c>
      <x:c r="D2579" s="14" t="n">
        <x:v>-1.2</x:v>
      </x:c>
      <x:c r="E2579" s="14" t="n">
        <x:v>-1.16</x:v>
      </x:c>
      <x:c r="F2579" s="14" t="n">
        <x:v>0.04</x:v>
      </x:c>
      <x:c r="G2579" s="17" t="n">
        <x:v>1</x:v>
      </x:c>
      <x:c r="H2579" s="14" t="str">
        <x:v>S07-08:A:source_mail</x:v>
      </x:c>
    </x:row>
    <x:row r="2580" ht="72" customHeight="1">
      <x:c r="A2580" s="14" t="str">
        <x:v>S07-08:A:source_report</x:v>
      </x:c>
      <x:c r="B2580" s="14" t="str">
        <x:v>A</x:v>
      </x:c>
      <x:c r="C2580" s="14" t="str">
        <x:v>source_report</x:v>
      </x:c>
      <x:c r="D2580" s="14" t="n">
        <x:v>-5.04</x:v>
      </x:c>
      <x:c r="E2580" s="14" t="n">
        <x:v>-0.9</x:v>
      </x:c>
      <x:c r="F2580" s="14" t="n">
        <x:v>4.14</x:v>
      </x:c>
      <x:c r="G2580" s="17" t="n">
        <x:v>0</x:v>
      </x:c>
      <x:c r="H2580" s="14" t="str">
        <x:v>S07-08:A:original_handoff</x:v>
      </x:c>
    </x:row>
    <x:row r="2581" ht="72" customHeight="1">
      <x:c r="A2581" s="14" t="str">
        <x:v>S07-08:A:display_report</x:v>
      </x:c>
      <x:c r="B2581" s="14" t="str">
        <x:v>A</x:v>
      </x:c>
      <x:c r="C2581" s="14" t="str">
        <x:v>display_report</x:v>
      </x:c>
      <x:c r="D2581" s="14" t="n">
        <x:v>-0.9</x:v>
      </x:c>
      <x:c r="E2581" s="14" t="n">
        <x:v>-0.86</x:v>
      </x:c>
      <x:c r="F2581" s="14" t="n">
        <x:v>0.04</x:v>
      </x:c>
      <x:c r="G2581" s="17" t="n">
        <x:v>1</x:v>
      </x:c>
      <x:c r="H2581" s="14" t="str">
        <x:v>S07-08:A:source_report</x:v>
      </x:c>
    </x:row>
    <x:row r="2582" ht="72" customHeight="1">
      <x:c r="A2582" s="14" t="str">
        <x:v>S07-08:A:calendar_first</x:v>
      </x:c>
      <x:c r="B2582" s="14" t="str">
        <x:v>A</x:v>
      </x:c>
      <x:c r="C2582" s="14" t="str">
        <x:v>calendar_first</x:v>
      </x:c>
      <x:c r="D2582" s="14" t="n">
        <x:v>-1.4</x:v>
      </x:c>
      <x:c r="E2582" s="14" t="n">
        <x:v>-0.997666667</x:v>
      </x:c>
      <x:c r="F2582" s="14" t="n">
        <x:v>0.402333333</x:v>
      </x:c>
      <x:c r="G2582" s="17" t="n">
        <x:v>1</x:v>
      </x:c>
      <x:c r="H2582" s="14" t="str">
        <x:v>S07-08:A:source_calendar</x:v>
      </x:c>
    </x:row>
    <x:row r="2583" ht="72" customHeight="1">
      <x:c r="A2583" s="14" t="str">
        <x:v>S07-08:A:calendar_tail</x:v>
      </x:c>
      <x:c r="B2583" s="14" t="str">
        <x:v>A</x:v>
      </x:c>
      <x:c r="C2583" s="14" t="str">
        <x:v>calendar_tail</x:v>
      </x:c>
      <x:c r="D2583" s="14" t="n">
        <x:v>-0.997666667</x:v>
      </x:c>
      <x:c r="E2583" s="14" t="n">
        <x:v>-0.290166667</x:v>
      </x:c>
      <x:c r="F2583" s="14" t="n">
        <x:v>0.7075</x:v>
      </x:c>
      <x:c r="G2583" s="17" t="n">
        <x:v>1</x:v>
      </x:c>
      <x:c r="H2583" s="14" t="str">
        <x:v>S07-08:A:calendar_first</x:v>
      </x:c>
    </x:row>
    <x:row r="2584" ht="72" customHeight="1">
      <x:c r="A2584" s="14" t="str">
        <x:v>S07-08:A:burst0_device</x:v>
      </x:c>
      <x:c r="B2584" s="14" t="str">
        <x:v>A</x:v>
      </x:c>
      <x:c r="C2584" s="14" t="str">
        <x:v>burst0_device</x:v>
      </x:c>
      <x:c r="D2584" s="14" t="n">
        <x:v>0.916666667</x:v>
      </x:c>
      <x:c r="E2584" s="14" t="n">
        <x:v>0.956666667</x:v>
      </x:c>
      <x:c r="F2584" s="14" t="n">
        <x:v>0.04</x:v>
      </x:c>
      <x:c r="G2584" s="17" t="n">
        <x:v>1</x:v>
      </x:c>
      <x:c r="H2584" s="14" t="str">
        <x:v>S07-08:A:apply_relation
S07-08:A:calendar_first</x:v>
      </x:c>
    </x:row>
    <x:row r="2585" ht="72" customHeight="1">
      <x:c r="A2585" s="14" t="str">
        <x:v>S07-08:A:burst0_played</x:v>
      </x:c>
      <x:c r="B2585" s="14" t="str">
        <x:v>A</x:v>
      </x:c>
      <x:c r="C2585" s="14" t="str">
        <x:v>burst0_played</x:v>
      </x:c>
      <x:c r="D2585" s="14" t="n">
        <x:v>0.956666667</x:v>
      </x:c>
      <x:c r="E2585" s="14" t="n">
        <x:v>3.986666667</x:v>
      </x:c>
      <x:c r="F2585" s="14" t="n">
        <x:v>3.03</x:v>
      </x:c>
      <x:c r="G2585" s="17" t="n">
        <x:v>0</x:v>
      </x:c>
      <x:c r="H2585" s="14" t="str">
        <x:v>S07-08:A:burst0_device</x:v>
      </x:c>
    </x:row>
    <x:row r="2586" ht="72" customHeight="1">
      <x:c r="A2586" s="14" t="str">
        <x:v>S07-08:A:mail_first</x:v>
      </x:c>
      <x:c r="B2586" s="14" t="str">
        <x:v>A</x:v>
      </x:c>
      <x:c r="C2586" s="14" t="str">
        <x:v>mail_first</x:v>
      </x:c>
      <x:c r="D2586" s="14" t="n">
        <x:v>-1.2</x:v>
      </x:c>
      <x:c r="E2586" s="14" t="n">
        <x:v>-0.794</x:v>
      </x:c>
      <x:c r="F2586" s="14" t="n">
        <x:v>0.406</x:v>
      </x:c>
      <x:c r="G2586" s="17" t="n">
        <x:v>1</x:v>
      </x:c>
      <x:c r="H2586" s="14" t="str">
        <x:v>S07-08:A:source_mail</x:v>
      </x:c>
    </x:row>
    <x:row r="2587" ht="72" customHeight="1">
      <x:c r="A2587" s="14" t="str">
        <x:v>S07-08:A:mail_tail</x:v>
      </x:c>
      <x:c r="B2587" s="14" t="str">
        <x:v>A</x:v>
      </x:c>
      <x:c r="C2587" s="14" t="str">
        <x:v>mail_tail</x:v>
      </x:c>
      <x:c r="D2587" s="14" t="n">
        <x:v>-0.794</x:v>
      </x:c>
      <x:c r="E2587" s="14" t="n">
        <x:v>0.1635</x:v>
      </x:c>
      <x:c r="F2587" s="14" t="n">
        <x:v>0.9575</x:v>
      </x:c>
      <x:c r="G2587" s="17" t="n">
        <x:v>1</x:v>
      </x:c>
      <x:c r="H2587" s="14" t="str">
        <x:v>S07-08:A:mail_first</x:v>
      </x:c>
    </x:row>
    <x:row r="2588" ht="72" customHeight="1">
      <x:c r="A2588" s="14" t="str">
        <x:v>S07-08:A:burst1_device</x:v>
      </x:c>
      <x:c r="B2588" s="14" t="str">
        <x:v>A</x:v>
      </x:c>
      <x:c r="C2588" s="14" t="str">
        <x:v>burst1_device</x:v>
      </x:c>
      <x:c r="D2588" s="14" t="n">
        <x:v>3.986666667</x:v>
      </x:c>
      <x:c r="E2588" s="14" t="n">
        <x:v>4.026666667</x:v>
      </x:c>
      <x:c r="F2588" s="14" t="n">
        <x:v>0.04</x:v>
      </x:c>
      <x:c r="G2588" s="17" t="n">
        <x:v>1</x:v>
      </x:c>
      <x:c r="H2588" s="14" t="str">
        <x:v>S07-08:A:burst0_played
S07-08:A:mail_first</x:v>
      </x:c>
    </x:row>
    <x:row r="2589" ht="72" customHeight="1">
      <x:c r="A2589" s="14" t="str">
        <x:v>S07-08:A:burst1_played</x:v>
      </x:c>
      <x:c r="B2589" s="14" t="str">
        <x:v>A</x:v>
      </x:c>
      <x:c r="C2589" s="14" t="str">
        <x:v>burst1_played</x:v>
      </x:c>
      <x:c r="D2589" s="14" t="n">
        <x:v>4.026666667</x:v>
      </x:c>
      <x:c r="E2589" s="14" t="n">
        <x:v>8.056666667</x:v>
      </x:c>
      <x:c r="F2589" s="14" t="n">
        <x:v>4.03</x:v>
      </x:c>
      <x:c r="G2589" s="17" t="n">
        <x:v>0</x:v>
      </x:c>
      <x:c r="H2589" s="14" t="str">
        <x:v>S07-08:A:burst1_device</x:v>
      </x:c>
    </x:row>
    <x:row r="2590" ht="72" customHeight="1">
      <x:c r="A2590" s="14" t="str">
        <x:v>S07-08:A:report_first</x:v>
      </x:c>
      <x:c r="B2590" s="14" t="str">
        <x:v>A</x:v>
      </x:c>
      <x:c r="C2590" s="14" t="str">
        <x:v>report_first</x:v>
      </x:c>
      <x:c r="D2590" s="14" t="n">
        <x:v>-0.9</x:v>
      </x:c>
      <x:c r="E2590" s="14" t="n">
        <x:v>-0.49</x:v>
      </x:c>
      <x:c r="F2590" s="14" t="n">
        <x:v>0.41</x:v>
      </x:c>
      <x:c r="G2590" s="17" t="n">
        <x:v>1</x:v>
      </x:c>
      <x:c r="H2590" s="14" t="str">
        <x:v>S07-08:A:source_report</x:v>
      </x:c>
    </x:row>
    <x:row r="2591" ht="72" customHeight="1">
      <x:c r="A2591" s="14" t="str">
        <x:v>S07-08:A:report_tail</x:v>
      </x:c>
      <x:c r="B2591" s="14" t="str">
        <x:v>A</x:v>
      </x:c>
      <x:c r="C2591" s="14" t="str">
        <x:v>report_tail</x:v>
      </x:c>
      <x:c r="D2591" s="14" t="n">
        <x:v>-0.49</x:v>
      </x:c>
      <x:c r="E2591" s="14" t="n">
        <x:v>1.2175</x:v>
      </x:c>
      <x:c r="F2591" s="14" t="n">
        <x:v>1.7075</x:v>
      </x:c>
      <x:c r="G2591" s="17" t="n">
        <x:v>1</x:v>
      </x:c>
      <x:c r="H2591" s="14" t="str">
        <x:v>S07-08:A:report_first</x:v>
      </x:c>
    </x:row>
    <x:row r="2592" ht="72" customHeight="1">
      <x:c r="A2592" s="14" t="str">
        <x:v>S07-08:A:burst2_device</x:v>
      </x:c>
      <x:c r="B2592" s="14" t="str">
        <x:v>A</x:v>
      </x:c>
      <x:c r="C2592" s="14" t="str">
        <x:v>burst2_device</x:v>
      </x:c>
      <x:c r="D2592" s="14" t="n">
        <x:v>8.056666667</x:v>
      </x:c>
      <x:c r="E2592" s="14" t="n">
        <x:v>8.096666667</x:v>
      </x:c>
      <x:c r="F2592" s="14" t="n">
        <x:v>0.04</x:v>
      </x:c>
      <x:c r="G2592" s="17" t="n">
        <x:v>1</x:v>
      </x:c>
      <x:c r="H2592" s="14" t="str">
        <x:v>S07-08:A:burst1_played
S07-08:A:report_first</x:v>
      </x:c>
    </x:row>
    <x:row r="2593" ht="72" customHeight="1">
      <x:c r="A2593" s="14" t="str">
        <x:v>S07-08:A:burst2_played</x:v>
      </x:c>
      <x:c r="B2593" s="14" t="str">
        <x:v>A</x:v>
      </x:c>
      <x:c r="C2593" s="14" t="str">
        <x:v>burst2_played</x:v>
      </x:c>
      <x:c r="D2593" s="14" t="n">
        <x:v>8.096666667</x:v>
      </x:c>
      <x:c r="E2593" s="14" t="n">
        <x:v>15.126666667</x:v>
      </x:c>
      <x:c r="F2593" s="14" t="n">
        <x:v>7.03</x:v>
      </x:c>
      <x:c r="G2593" s="17" t="n">
        <x:v>0</x:v>
      </x:c>
      <x:c r="H2593" s="14" t="str">
        <x:v>S07-08:A:burst2_device</x:v>
      </x:c>
    </x:row>
    <x:row r="2594" ht="72" customHeight="1">
      <x:c r="A2594" s="14" t="str">
        <x:v>S07-08:B:origin</x:v>
      </x:c>
      <x:c r="B2594" s="14" t="str">
        <x:v>B</x:v>
      </x:c>
      <x:c r="C2594" s="14" t="str">
        <x:v>origin</x:v>
      </x:c>
      <x:c r="D2594" s="14" t="n">
        <x:v>-6</x:v>
      </x:c>
      <x:c r="E2594" s="14" t="n">
        <x:v>-6</x:v>
      </x:c>
      <x:c r="F2594" s="14" t="n">
        <x:v>0</x:v>
      </x:c>
      <x:c r="G2594" s="17" t="n">
        <x:v>0</x:v>
      </x:c>
      <x:c r="H2594" s="14" t="str"/>
    </x:row>
    <x:row r="2595" ht="72" customHeight="1">
      <x:c r="A2595" s="14" t="str">
        <x:v>S07-08:B:origin_interpretation</x:v>
      </x:c>
      <x:c r="B2595" s="14" t="str">
        <x:v>B</x:v>
      </x:c>
      <x:c r="C2595" s="14" t="str">
        <x:v>origin_interpretation</x:v>
      </x:c>
      <x:c r="D2595" s="14" t="n">
        <x:v>-6</x:v>
      </x:c>
      <x:c r="E2595" s="14" t="n">
        <x:v>-5.16</x:v>
      </x:c>
      <x:c r="F2595" s="14" t="n">
        <x:v>0.84</x:v>
      </x:c>
      <x:c r="G2595" s="17" t="n">
        <x:v>1</x:v>
      </x:c>
      <x:c r="H2595" s="14" t="str">
        <x:v>S07-08:B:origin</x:v>
      </x:c>
    </x:row>
    <x:row r="2596" ht="72" customHeight="1">
      <x:c r="A2596" s="14" t="str">
        <x:v>S07-08:B:original_handoff</x:v>
      </x:c>
      <x:c r="B2596" s="14" t="str">
        <x:v>B</x:v>
      </x:c>
      <x:c r="C2596" s="14" t="str">
        <x:v>original_handoff</x:v>
      </x:c>
      <x:c r="D2596" s="14" t="n">
        <x:v>-5.16</x:v>
      </x:c>
      <x:c r="E2596" s="14" t="n">
        <x:v>-5.04</x:v>
      </x:c>
      <x:c r="F2596" s="14" t="n">
        <x:v>0.12</x:v>
      </x:c>
      <x:c r="G2596" s="17" t="n">
        <x:v>1</x:v>
      </x:c>
      <x:c r="H2596" s="14" t="str">
        <x:v>S07-08:B:origin_interpretation</x:v>
      </x:c>
    </x:row>
    <x:row r="2597" ht="72" customHeight="1">
      <x:c r="A2597" s="14" t="str">
        <x:v>S07-08:B:evaluation_utterance_end</x:v>
      </x:c>
      <x:c r="B2597" s="14" t="str">
        <x:v>B</x:v>
      </x:c>
      <x:c r="C2597" s="14" t="str">
        <x:v>evaluation_utterance_end</x:v>
      </x:c>
      <x:c r="D2597" s="14" t="n">
        <x:v>-6</x:v>
      </x:c>
      <x:c r="E2597" s="14" t="n">
        <x:v>0</x:v>
      </x:c>
      <x:c r="F2597" s="14" t="n">
        <x:v>6</x:v>
      </x:c>
      <x:c r="G2597" s="17" t="n">
        <x:v>0</x:v>
      </x:c>
      <x:c r="H2597" s="14" t="str">
        <x:v>S07-08:B:origin</x:v>
      </x:c>
    </x:row>
    <x:row r="2598" ht="72" customHeight="1">
      <x:c r="A2598" s="14" t="str">
        <x:v>S07-08:B:final_transcript</x:v>
      </x:c>
      <x:c r="B2598" s="14" t="str">
        <x:v>B</x:v>
      </x:c>
      <x:c r="C2598" s="14" t="str">
        <x:v>final_transcript</x:v>
      </x:c>
      <x:c r="D2598" s="14" t="n">
        <x:v>0</x:v>
      </x:c>
      <x:c r="E2598" s="14" t="n">
        <x:v>0.3</x:v>
      </x:c>
      <x:c r="F2598" s="14" t="n">
        <x:v>0.3</x:v>
      </x:c>
      <x:c r="G2598" s="17" t="n">
        <x:v>1</x:v>
      </x:c>
      <x:c r="H2598" s="14" t="str">
        <x:v>S07-08:B:evaluation_utterance_end</x:v>
      </x:c>
    </x:row>
    <x:row r="2599" ht="72" customHeight="1">
      <x:c r="A2599" s="14" t="str">
        <x:v>S07-08:B:meaning_adoption</x:v>
      </x:c>
      <x:c r="B2599" s="14" t="str">
        <x:v>B</x:v>
      </x:c>
      <x:c r="C2599" s="14" t="str">
        <x:v>meaning_adoption</x:v>
      </x:c>
      <x:c r="D2599" s="14" t="n">
        <x:v>0.3</x:v>
      </x:c>
      <x:c r="E2599" s="14" t="n">
        <x:v>0.876666667</x:v>
      </x:c>
      <x:c r="F2599" s="14" t="n">
        <x:v>0.576666667</x:v>
      </x:c>
      <x:c r="G2599" s="17" t="n">
        <x:v>1</x:v>
      </x:c>
      <x:c r="H2599" s="14" t="str">
        <x:v>S07-08:B:final_transcript
S07-08:B:origin_interpretation</x:v>
      </x:c>
    </x:row>
    <x:row r="2600" ht="72" customHeight="1">
      <x:c r="A2600" s="14" t="str">
        <x:v>S07-08:B:apply_relation</x:v>
      </x:c>
      <x:c r="B2600" s="14" t="str">
        <x:v>B</x:v>
      </x:c>
      <x:c r="C2600" s="14" t="str">
        <x:v>apply_relation</x:v>
      </x:c>
      <x:c r="D2600" s="14" t="n">
        <x:v>0.876666667</x:v>
      </x:c>
      <x:c r="E2600" s="14" t="n">
        <x:v>0.916666667</x:v>
      </x:c>
      <x:c r="F2600" s="14" t="n">
        <x:v>0.04</x:v>
      </x:c>
      <x:c r="G2600" s="17" t="n">
        <x:v>1</x:v>
      </x:c>
      <x:c r="H2600" s="14" t="str">
        <x:v>S07-08:B:meaning_adoption</x:v>
      </x:c>
    </x:row>
    <x:row r="2601" ht="72" customHeight="1">
      <x:c r="A2601" s="14" t="str">
        <x:v>S07-08:B:evaluation_first_display</x:v>
      </x:c>
      <x:c r="B2601" s="14" t="str">
        <x:v>B</x:v>
      </x:c>
      <x:c r="C2601" s="14" t="str">
        <x:v>evaluation_first_display</x:v>
      </x:c>
      <x:c r="D2601" s="14" t="n">
        <x:v>0.916666667</x:v>
      </x:c>
      <x:c r="E2601" s="14" t="n">
        <x:v>0.956666667</x:v>
      </x:c>
      <x:c r="F2601" s="14" t="n">
        <x:v>0.04</x:v>
      </x:c>
      <x:c r="G2601" s="17" t="n">
        <x:v>1</x:v>
      </x:c>
      <x:c r="H2601" s="14" t="str">
        <x:v>S07-08:B:apply_relation</x:v>
      </x:c>
    </x:row>
    <x:row r="2602" ht="72" customHeight="1">
      <x:c r="A2602" s="14" t="str">
        <x:v>S07-08:B:source_calendar</x:v>
      </x:c>
      <x:c r="B2602" s="14" t="str">
        <x:v>B</x:v>
      </x:c>
      <x:c r="C2602" s="14" t="str">
        <x:v>source_calendar</x:v>
      </x:c>
      <x:c r="D2602" s="14" t="n">
        <x:v>-5.04</x:v>
      </x:c>
      <x:c r="E2602" s="14" t="n">
        <x:v>-1.4</x:v>
      </x:c>
      <x:c r="F2602" s="14" t="n">
        <x:v>3.64</x:v>
      </x:c>
      <x:c r="G2602" s="17" t="n">
        <x:v>0</x:v>
      </x:c>
      <x:c r="H2602" s="14" t="str">
        <x:v>S07-08:B:original_handoff</x:v>
      </x:c>
    </x:row>
    <x:row r="2603" ht="72" customHeight="1">
      <x:c r="A2603" s="14" t="str">
        <x:v>S07-08:B:display_calendar</x:v>
      </x:c>
      <x:c r="B2603" s="14" t="str">
        <x:v>B</x:v>
      </x:c>
      <x:c r="C2603" s="14" t="str">
        <x:v>display_calendar</x:v>
      </x:c>
      <x:c r="D2603" s="14" t="n">
        <x:v>-1.4</x:v>
      </x:c>
      <x:c r="E2603" s="14" t="n">
        <x:v>-1.36</x:v>
      </x:c>
      <x:c r="F2603" s="14" t="n">
        <x:v>0.04</x:v>
      </x:c>
      <x:c r="G2603" s="17" t="n">
        <x:v>1</x:v>
      </x:c>
      <x:c r="H2603" s="14" t="str">
        <x:v>S07-08:B:source_calendar</x:v>
      </x:c>
    </x:row>
    <x:row r="2604" ht="72" customHeight="1">
      <x:c r="A2604" s="14" t="str">
        <x:v>S07-08:B:source_mail</x:v>
      </x:c>
      <x:c r="B2604" s="14" t="str">
        <x:v>B</x:v>
      </x:c>
      <x:c r="C2604" s="14" t="str">
        <x:v>source_mail</x:v>
      </x:c>
      <x:c r="D2604" s="14" t="n">
        <x:v>-5.04</x:v>
      </x:c>
      <x:c r="E2604" s="14" t="n">
        <x:v>-1.2</x:v>
      </x:c>
      <x:c r="F2604" s="14" t="n">
        <x:v>3.84</x:v>
      </x:c>
      <x:c r="G2604" s="17" t="n">
        <x:v>0</x:v>
      </x:c>
      <x:c r="H2604" s="14" t="str">
        <x:v>S07-08:B:original_handoff</x:v>
      </x:c>
    </x:row>
    <x:row r="2605" ht="72" customHeight="1">
      <x:c r="A2605" s="14" t="str">
        <x:v>S07-08:B:display_mail</x:v>
      </x:c>
      <x:c r="B2605" s="14" t="str">
        <x:v>B</x:v>
      </x:c>
      <x:c r="C2605" s="14" t="str">
        <x:v>display_mail</x:v>
      </x:c>
      <x:c r="D2605" s="14" t="n">
        <x:v>-1.2</x:v>
      </x:c>
      <x:c r="E2605" s="14" t="n">
        <x:v>-1.16</x:v>
      </x:c>
      <x:c r="F2605" s="14" t="n">
        <x:v>0.04</x:v>
      </x:c>
      <x:c r="G2605" s="17" t="n">
        <x:v>1</x:v>
      </x:c>
      <x:c r="H2605" s="14" t="str">
        <x:v>S07-08:B:source_mail</x:v>
      </x:c>
    </x:row>
    <x:row r="2606" ht="72" customHeight="1">
      <x:c r="A2606" s="14" t="str">
        <x:v>S07-08:B:source_report</x:v>
      </x:c>
      <x:c r="B2606" s="14" t="str">
        <x:v>B</x:v>
      </x:c>
      <x:c r="C2606" s="14" t="str">
        <x:v>source_report</x:v>
      </x:c>
      <x:c r="D2606" s="14" t="n">
        <x:v>-5.04</x:v>
      </x:c>
      <x:c r="E2606" s="14" t="n">
        <x:v>-0.9</x:v>
      </x:c>
      <x:c r="F2606" s="14" t="n">
        <x:v>4.14</x:v>
      </x:c>
      <x:c r="G2606" s="17" t="n">
        <x:v>0</x:v>
      </x:c>
      <x:c r="H2606" s="14" t="str">
        <x:v>S07-08:B:original_handoff</x:v>
      </x:c>
    </x:row>
    <x:row r="2607" ht="72" customHeight="1">
      <x:c r="A2607" s="14" t="str">
        <x:v>S07-08:B:display_report</x:v>
      </x:c>
      <x:c r="B2607" s="14" t="str">
        <x:v>B</x:v>
      </x:c>
      <x:c r="C2607" s="14" t="str">
        <x:v>display_report</x:v>
      </x:c>
      <x:c r="D2607" s="14" t="n">
        <x:v>-0.9</x:v>
      </x:c>
      <x:c r="E2607" s="14" t="n">
        <x:v>-0.86</x:v>
      </x:c>
      <x:c r="F2607" s="14" t="n">
        <x:v>0.04</x:v>
      </x:c>
      <x:c r="G2607" s="17" t="n">
        <x:v>1</x:v>
      </x:c>
      <x:c r="H2607" s="14" t="str">
        <x:v>S07-08:B:source_report</x:v>
      </x:c>
    </x:row>
    <x:row r="2608" ht="72" customHeight="1">
      <x:c r="A2608" s="14" t="str">
        <x:v>S07-08:B:calendar_first</x:v>
      </x:c>
      <x:c r="B2608" s="14" t="str">
        <x:v>B</x:v>
      </x:c>
      <x:c r="C2608" s="14" t="str">
        <x:v>calendar_first</x:v>
      </x:c>
      <x:c r="D2608" s="14" t="n">
        <x:v>0.916666667</x:v>
      </x:c>
      <x:c r="E2608" s="14" t="n">
        <x:v>1.319</x:v>
      </x:c>
      <x:c r="F2608" s="14" t="n">
        <x:v>0.402333333</x:v>
      </x:c>
      <x:c r="G2608" s="17" t="n">
        <x:v>1</x:v>
      </x:c>
      <x:c r="H2608" s="14" t="str">
        <x:v>S07-08:B:apply_relation</x:v>
      </x:c>
    </x:row>
    <x:row r="2609" ht="72" customHeight="1">
      <x:c r="A2609" s="14" t="str">
        <x:v>S07-08:B:calendar_tail</x:v>
      </x:c>
      <x:c r="B2609" s="14" t="str">
        <x:v>B</x:v>
      </x:c>
      <x:c r="C2609" s="14" t="str">
        <x:v>calendar_tail</x:v>
      </x:c>
      <x:c r="D2609" s="14" t="n">
        <x:v>1.319</x:v>
      </x:c>
      <x:c r="E2609" s="14" t="n">
        <x:v>2.0265</x:v>
      </x:c>
      <x:c r="F2609" s="14" t="n">
        <x:v>0.7075</x:v>
      </x:c>
      <x:c r="G2609" s="17" t="n">
        <x:v>1</x:v>
      </x:c>
      <x:c r="H2609" s="14" t="str">
        <x:v>S07-08:B:calendar_first</x:v>
      </x:c>
    </x:row>
    <x:row r="2610" ht="72" customHeight="1">
      <x:c r="A2610" s="14" t="str">
        <x:v>S07-08:B:burst0_device</x:v>
      </x:c>
      <x:c r="B2610" s="14" t="str">
        <x:v>B</x:v>
      </x:c>
      <x:c r="C2610" s="14" t="str">
        <x:v>burst0_device</x:v>
      </x:c>
      <x:c r="D2610" s="14" t="n">
        <x:v>1.319</x:v>
      </x:c>
      <x:c r="E2610" s="14" t="n">
        <x:v>1.359</x:v>
      </x:c>
      <x:c r="F2610" s="14" t="n">
        <x:v>0.04</x:v>
      </x:c>
      <x:c r="G2610" s="17" t="n">
        <x:v>1</x:v>
      </x:c>
      <x:c r="H2610" s="14" t="str">
        <x:v>S07-08:B:apply_relation
S07-08:B:calendar_first</x:v>
      </x:c>
    </x:row>
    <x:row r="2611" ht="72" customHeight="1">
      <x:c r="A2611" s="14" t="str">
        <x:v>S07-08:B:burst0_played</x:v>
      </x:c>
      <x:c r="B2611" s="14" t="str">
        <x:v>B</x:v>
      </x:c>
      <x:c r="C2611" s="14" t="str">
        <x:v>burst0_played</x:v>
      </x:c>
      <x:c r="D2611" s="14" t="n">
        <x:v>1.359</x:v>
      </x:c>
      <x:c r="E2611" s="14" t="n">
        <x:v>4.389</x:v>
      </x:c>
      <x:c r="F2611" s="14" t="n">
        <x:v>3.03</x:v>
      </x:c>
      <x:c r="G2611" s="17" t="n">
        <x:v>0</x:v>
      </x:c>
      <x:c r="H2611" s="14" t="str">
        <x:v>S07-08:B:burst0_device</x:v>
      </x:c>
    </x:row>
    <x:row r="2612" ht="72" customHeight="1">
      <x:c r="A2612" s="14" t="str">
        <x:v>S07-08:B:mail_first</x:v>
      </x:c>
      <x:c r="B2612" s="14" t="str">
        <x:v>B</x:v>
      </x:c>
      <x:c r="C2612" s="14" t="str">
        <x:v>mail_first</x:v>
      </x:c>
      <x:c r="D2612" s="14" t="n">
        <x:v>4.389</x:v>
      </x:c>
      <x:c r="E2612" s="14" t="n">
        <x:v>4.795</x:v>
      </x:c>
      <x:c r="F2612" s="14" t="n">
        <x:v>0.406</x:v>
      </x:c>
      <x:c r="G2612" s="17" t="n">
        <x:v>1</x:v>
      </x:c>
      <x:c r="H2612" s="14" t="str">
        <x:v>S07-08:B:burst0_played</x:v>
      </x:c>
    </x:row>
    <x:row r="2613" ht="72" customHeight="1">
      <x:c r="A2613" s="14" t="str">
        <x:v>S07-08:B:mail_tail</x:v>
      </x:c>
      <x:c r="B2613" s="14" t="str">
        <x:v>B</x:v>
      </x:c>
      <x:c r="C2613" s="14" t="str">
        <x:v>mail_tail</x:v>
      </x:c>
      <x:c r="D2613" s="14" t="n">
        <x:v>4.795</x:v>
      </x:c>
      <x:c r="E2613" s="14" t="n">
        <x:v>5.7525</x:v>
      </x:c>
      <x:c r="F2613" s="14" t="n">
        <x:v>0.9575</x:v>
      </x:c>
      <x:c r="G2613" s="17" t="n">
        <x:v>1</x:v>
      </x:c>
      <x:c r="H2613" s="14" t="str">
        <x:v>S07-08:B:mail_first</x:v>
      </x:c>
    </x:row>
    <x:row r="2614" ht="72" customHeight="1">
      <x:c r="A2614" s="14" t="str">
        <x:v>S07-08:B:burst1_device</x:v>
      </x:c>
      <x:c r="B2614" s="14" t="str">
        <x:v>B</x:v>
      </x:c>
      <x:c r="C2614" s="14" t="str">
        <x:v>burst1_device</x:v>
      </x:c>
      <x:c r="D2614" s="14" t="n">
        <x:v>4.795</x:v>
      </x:c>
      <x:c r="E2614" s="14" t="n">
        <x:v>4.835</x:v>
      </x:c>
      <x:c r="F2614" s="14" t="n">
        <x:v>0.04</x:v>
      </x:c>
      <x:c r="G2614" s="17" t="n">
        <x:v>1</x:v>
      </x:c>
      <x:c r="H2614" s="14" t="str">
        <x:v>S07-08:B:burst0_played
S07-08:B:mail_first</x:v>
      </x:c>
    </x:row>
    <x:row r="2615" ht="72" customHeight="1">
      <x:c r="A2615" s="14" t="str">
        <x:v>S07-08:B:burst1_played</x:v>
      </x:c>
      <x:c r="B2615" s="14" t="str">
        <x:v>B</x:v>
      </x:c>
      <x:c r="C2615" s="14" t="str">
        <x:v>burst1_played</x:v>
      </x:c>
      <x:c r="D2615" s="14" t="n">
        <x:v>4.835</x:v>
      </x:c>
      <x:c r="E2615" s="14" t="n">
        <x:v>8.865</x:v>
      </x:c>
      <x:c r="F2615" s="14" t="n">
        <x:v>4.03</x:v>
      </x:c>
      <x:c r="G2615" s="17" t="n">
        <x:v>0</x:v>
      </x:c>
      <x:c r="H2615" s="14" t="str">
        <x:v>S07-08:B:burst1_device</x:v>
      </x:c>
    </x:row>
    <x:row r="2616" ht="72" customHeight="1">
      <x:c r="A2616" s="14" t="str">
        <x:v>S07-08:B:report_first</x:v>
      </x:c>
      <x:c r="B2616" s="14" t="str">
        <x:v>B</x:v>
      </x:c>
      <x:c r="C2616" s="14" t="str">
        <x:v>report_first</x:v>
      </x:c>
      <x:c r="D2616" s="14" t="n">
        <x:v>8.865</x:v>
      </x:c>
      <x:c r="E2616" s="14" t="n">
        <x:v>9.275</x:v>
      </x:c>
      <x:c r="F2616" s="14" t="n">
        <x:v>0.41</x:v>
      </x:c>
      <x:c r="G2616" s="17" t="n">
        <x:v>1</x:v>
      </x:c>
      <x:c r="H2616" s="14" t="str">
        <x:v>S07-08:B:burst1_played</x:v>
      </x:c>
    </x:row>
    <x:row r="2617" ht="72" customHeight="1">
      <x:c r="A2617" s="14" t="str">
        <x:v>S07-08:B:report_tail</x:v>
      </x:c>
      <x:c r="B2617" s="14" t="str">
        <x:v>B</x:v>
      </x:c>
      <x:c r="C2617" s="14" t="str">
        <x:v>report_tail</x:v>
      </x:c>
      <x:c r="D2617" s="14" t="n">
        <x:v>9.275</x:v>
      </x:c>
      <x:c r="E2617" s="14" t="n">
        <x:v>10.9825</x:v>
      </x:c>
      <x:c r="F2617" s="14" t="n">
        <x:v>1.7075</x:v>
      </x:c>
      <x:c r="G2617" s="17" t="n">
        <x:v>1</x:v>
      </x:c>
      <x:c r="H2617" s="14" t="str">
        <x:v>S07-08:B:report_first</x:v>
      </x:c>
    </x:row>
    <x:row r="2618" ht="72" customHeight="1">
      <x:c r="A2618" s="14" t="str">
        <x:v>S07-08:B:burst2_device</x:v>
      </x:c>
      <x:c r="B2618" s="14" t="str">
        <x:v>B</x:v>
      </x:c>
      <x:c r="C2618" s="14" t="str">
        <x:v>burst2_device</x:v>
      </x:c>
      <x:c r="D2618" s="14" t="n">
        <x:v>9.275</x:v>
      </x:c>
      <x:c r="E2618" s="14" t="n">
        <x:v>9.315</x:v>
      </x:c>
      <x:c r="F2618" s="14" t="n">
        <x:v>0.04</x:v>
      </x:c>
      <x:c r="G2618" s="17" t="n">
        <x:v>1</x:v>
      </x:c>
      <x:c r="H2618" s="14" t="str">
        <x:v>S07-08:B:burst1_played
S07-08:B:report_first</x:v>
      </x:c>
    </x:row>
    <x:row r="2619" ht="72" customHeight="1">
      <x:c r="A2619" s="14" t="str">
        <x:v>S07-08:B:burst2_played</x:v>
      </x:c>
      <x:c r="B2619" s="14" t="str">
        <x:v>B</x:v>
      </x:c>
      <x:c r="C2619" s="14" t="str">
        <x:v>burst2_played</x:v>
      </x:c>
      <x:c r="D2619" s="14" t="n">
        <x:v>9.315</x:v>
      </x:c>
      <x:c r="E2619" s="14" t="n">
        <x:v>16.345</x:v>
      </x:c>
      <x:c r="F2619" s="14" t="n">
        <x:v>7.03</x:v>
      </x:c>
      <x:c r="G2619" s="17" t="n">
        <x:v>0</x:v>
      </x:c>
      <x:c r="H2619" s="14" t="str">
        <x:v>S07-08:B:burst2_device</x:v>
      </x:c>
    </x:row>
    <x:row r="2620" ht="72" customHeight="1">
      <x:c r="A2620" s="14" t="str">
        <x:v>S07-09:A:origin</x:v>
      </x:c>
      <x:c r="B2620" s="14" t="str">
        <x:v>A</x:v>
      </x:c>
      <x:c r="C2620" s="14" t="str">
        <x:v>origin</x:v>
      </x:c>
      <x:c r="D2620" s="14" t="n">
        <x:v>-6</x:v>
      </x:c>
      <x:c r="E2620" s="14" t="n">
        <x:v>-6</x:v>
      </x:c>
      <x:c r="F2620" s="14" t="n">
        <x:v>0</x:v>
      </x:c>
      <x:c r="G2620" s="17" t="n">
        <x:v>0</x:v>
      </x:c>
      <x:c r="H2620" s="14" t="str"/>
    </x:row>
    <x:row r="2621" ht="72" customHeight="1">
      <x:c r="A2621" s="14" t="str">
        <x:v>S07-09:A:origin_interpretation</x:v>
      </x:c>
      <x:c r="B2621" s="14" t="str">
        <x:v>A</x:v>
      </x:c>
      <x:c r="C2621" s="14" t="str">
        <x:v>origin_interpretation</x:v>
      </x:c>
      <x:c r="D2621" s="14" t="n">
        <x:v>-6</x:v>
      </x:c>
      <x:c r="E2621" s="14" t="n">
        <x:v>-5.16</x:v>
      </x:c>
      <x:c r="F2621" s="14" t="n">
        <x:v>0.84</x:v>
      </x:c>
      <x:c r="G2621" s="17" t="n">
        <x:v>1</x:v>
      </x:c>
      <x:c r="H2621" s="14" t="str">
        <x:v>S07-09:A:origin</x:v>
      </x:c>
    </x:row>
    <x:row r="2622" ht="72" customHeight="1">
      <x:c r="A2622" s="14" t="str">
        <x:v>S07-09:A:original_handoff</x:v>
      </x:c>
      <x:c r="B2622" s="14" t="str">
        <x:v>A</x:v>
      </x:c>
      <x:c r="C2622" s="14" t="str">
        <x:v>original_handoff</x:v>
      </x:c>
      <x:c r="D2622" s="14" t="n">
        <x:v>-5.16</x:v>
      </x:c>
      <x:c r="E2622" s="14" t="n">
        <x:v>-5.04</x:v>
      </x:c>
      <x:c r="F2622" s="14" t="n">
        <x:v>0.12</x:v>
      </x:c>
      <x:c r="G2622" s="17" t="n">
        <x:v>1</x:v>
      </x:c>
      <x:c r="H2622" s="14" t="str">
        <x:v>S07-09:A:origin_interpretation</x:v>
      </x:c>
    </x:row>
    <x:row r="2623" ht="72" customHeight="1">
      <x:c r="A2623" s="14" t="str">
        <x:v>S07-09:A:evaluation_utterance_end</x:v>
      </x:c>
      <x:c r="B2623" s="14" t="str">
        <x:v>A</x:v>
      </x:c>
      <x:c r="C2623" s="14" t="str">
        <x:v>evaluation_utterance_end</x:v>
      </x:c>
      <x:c r="D2623" s="14" t="n">
        <x:v>-6</x:v>
      </x:c>
      <x:c r="E2623" s="14" t="n">
        <x:v>0</x:v>
      </x:c>
      <x:c r="F2623" s="14" t="n">
        <x:v>6</x:v>
      </x:c>
      <x:c r="G2623" s="17" t="n">
        <x:v>0</x:v>
      </x:c>
      <x:c r="H2623" s="14" t="str">
        <x:v>S07-09:A:origin</x:v>
      </x:c>
    </x:row>
    <x:row r="2624" ht="72" customHeight="1">
      <x:c r="A2624" s="14" t="str">
        <x:v>S07-09:A:final_transcript</x:v>
      </x:c>
      <x:c r="B2624" s="14" t="str">
        <x:v>A</x:v>
      </x:c>
      <x:c r="C2624" s="14" t="str">
        <x:v>final_transcript</x:v>
      </x:c>
      <x:c r="D2624" s="14" t="n">
        <x:v>0</x:v>
      </x:c>
      <x:c r="E2624" s="14" t="n">
        <x:v>0.3</x:v>
      </x:c>
      <x:c r="F2624" s="14" t="n">
        <x:v>0.3</x:v>
      </x:c>
      <x:c r="G2624" s="17" t="n">
        <x:v>1</x:v>
      </x:c>
      <x:c r="H2624" s="14" t="str">
        <x:v>S07-09:A:evaluation_utterance_end</x:v>
      </x:c>
    </x:row>
    <x:row r="2625" ht="72" customHeight="1">
      <x:c r="A2625" s="14" t="str">
        <x:v>S07-09:A:meaning_adoption</x:v>
      </x:c>
      <x:c r="B2625" s="14" t="str">
        <x:v>A</x:v>
      </x:c>
      <x:c r="C2625" s="14" t="str">
        <x:v>meaning_adoption</x:v>
      </x:c>
      <x:c r="D2625" s="14" t="n">
        <x:v>0.3</x:v>
      </x:c>
      <x:c r="E2625" s="14" t="n">
        <x:v>0.83</x:v>
      </x:c>
      <x:c r="F2625" s="14" t="n">
        <x:v>0.53</x:v>
      </x:c>
      <x:c r="G2625" s="17" t="n">
        <x:v>1</x:v>
      </x:c>
      <x:c r="H2625" s="14" t="str">
        <x:v>S07-09:A:final_transcript
S07-09:A:origin_interpretation</x:v>
      </x:c>
    </x:row>
    <x:row r="2626" ht="72" customHeight="1">
      <x:c r="A2626" s="14" t="str">
        <x:v>S07-09:A:apply_relation</x:v>
      </x:c>
      <x:c r="B2626" s="14" t="str">
        <x:v>A</x:v>
      </x:c>
      <x:c r="C2626" s="14" t="str">
        <x:v>apply_relation</x:v>
      </x:c>
      <x:c r="D2626" s="14" t="n">
        <x:v>0.83</x:v>
      </x:c>
      <x:c r="E2626" s="14" t="n">
        <x:v>0.87</x:v>
      </x:c>
      <x:c r="F2626" s="14" t="n">
        <x:v>0.04</x:v>
      </x:c>
      <x:c r="G2626" s="17" t="n">
        <x:v>1</x:v>
      </x:c>
      <x:c r="H2626" s="14" t="str">
        <x:v>S07-09:A:meaning_adoption</x:v>
      </x:c>
    </x:row>
    <x:row r="2627" ht="72" customHeight="1">
      <x:c r="A2627" s="14" t="str">
        <x:v>S07-09:A:evaluation_first_display</x:v>
      </x:c>
      <x:c r="B2627" s="14" t="str">
        <x:v>A</x:v>
      </x:c>
      <x:c r="C2627" s="14" t="str">
        <x:v>evaluation_first_display</x:v>
      </x:c>
      <x:c r="D2627" s="14" t="n">
        <x:v>0.87</x:v>
      </x:c>
      <x:c r="E2627" s="14" t="n">
        <x:v>0.91</x:v>
      </x:c>
      <x:c r="F2627" s="14" t="n">
        <x:v>0.04</x:v>
      </x:c>
      <x:c r="G2627" s="17" t="n">
        <x:v>1</x:v>
      </x:c>
      <x:c r="H2627" s="14" t="str">
        <x:v>S07-09:A:apply_relation</x:v>
      </x:c>
    </x:row>
    <x:row r="2628" ht="72" customHeight="1">
      <x:c r="A2628" s="14" t="str">
        <x:v>S07-09:A:source_calendar</x:v>
      </x:c>
      <x:c r="B2628" s="14" t="str">
        <x:v>A</x:v>
      </x:c>
      <x:c r="C2628" s="14" t="str">
        <x:v>source_calendar</x:v>
      </x:c>
      <x:c r="D2628" s="14" t="n">
        <x:v>-5.04</x:v>
      </x:c>
      <x:c r="E2628" s="14" t="n">
        <x:v>-1.4</x:v>
      </x:c>
      <x:c r="F2628" s="14" t="n">
        <x:v>3.64</x:v>
      </x:c>
      <x:c r="G2628" s="17" t="n">
        <x:v>0</x:v>
      </x:c>
      <x:c r="H2628" s="14" t="str">
        <x:v>S07-09:A:original_handoff</x:v>
      </x:c>
    </x:row>
    <x:row r="2629" ht="72" customHeight="1">
      <x:c r="A2629" s="14" t="str">
        <x:v>S07-09:A:display_calendar</x:v>
      </x:c>
      <x:c r="B2629" s="14" t="str">
        <x:v>A</x:v>
      </x:c>
      <x:c r="C2629" s="14" t="str">
        <x:v>display_calendar</x:v>
      </x:c>
      <x:c r="D2629" s="14" t="n">
        <x:v>-1.4</x:v>
      </x:c>
      <x:c r="E2629" s="14" t="n">
        <x:v>-1.36</x:v>
      </x:c>
      <x:c r="F2629" s="14" t="n">
        <x:v>0.04</x:v>
      </x:c>
      <x:c r="G2629" s="17" t="n">
        <x:v>1</x:v>
      </x:c>
      <x:c r="H2629" s="14" t="str">
        <x:v>S07-09:A:source_calendar</x:v>
      </x:c>
    </x:row>
    <x:row r="2630" ht="72" customHeight="1">
      <x:c r="A2630" s="14" t="str">
        <x:v>S07-09:A:source_mail</x:v>
      </x:c>
      <x:c r="B2630" s="14" t="str">
        <x:v>A</x:v>
      </x:c>
      <x:c r="C2630" s="14" t="str">
        <x:v>source_mail</x:v>
      </x:c>
      <x:c r="D2630" s="14" t="n">
        <x:v>-5.04</x:v>
      </x:c>
      <x:c r="E2630" s="14" t="n">
        <x:v>-1.2</x:v>
      </x:c>
      <x:c r="F2630" s="14" t="n">
        <x:v>3.84</x:v>
      </x:c>
      <x:c r="G2630" s="17" t="n">
        <x:v>0</x:v>
      </x:c>
      <x:c r="H2630" s="14" t="str">
        <x:v>S07-09:A:original_handoff</x:v>
      </x:c>
    </x:row>
    <x:row r="2631" ht="72" customHeight="1">
      <x:c r="A2631" s="14" t="str">
        <x:v>S07-09:A:display_mail</x:v>
      </x:c>
      <x:c r="B2631" s="14" t="str">
        <x:v>A</x:v>
      </x:c>
      <x:c r="C2631" s="14" t="str">
        <x:v>display_mail</x:v>
      </x:c>
      <x:c r="D2631" s="14" t="n">
        <x:v>-1.2</x:v>
      </x:c>
      <x:c r="E2631" s="14" t="n">
        <x:v>-1.16</x:v>
      </x:c>
      <x:c r="F2631" s="14" t="n">
        <x:v>0.04</x:v>
      </x:c>
      <x:c r="G2631" s="17" t="n">
        <x:v>1</x:v>
      </x:c>
      <x:c r="H2631" s="14" t="str">
        <x:v>S07-09:A:source_mail</x:v>
      </x:c>
    </x:row>
    <x:row r="2632" ht="72" customHeight="1">
      <x:c r="A2632" s="14" t="str">
        <x:v>S07-09:A:source_report</x:v>
      </x:c>
      <x:c r="B2632" s="14" t="str">
        <x:v>A</x:v>
      </x:c>
      <x:c r="C2632" s="14" t="str">
        <x:v>source_report</x:v>
      </x:c>
      <x:c r="D2632" s="14" t="n">
        <x:v>-5.04</x:v>
      </x:c>
      <x:c r="E2632" s="14" t="n">
        <x:v>-0.9</x:v>
      </x:c>
      <x:c r="F2632" s="14" t="n">
        <x:v>4.14</x:v>
      </x:c>
      <x:c r="G2632" s="17" t="n">
        <x:v>0</x:v>
      </x:c>
      <x:c r="H2632" s="14" t="str">
        <x:v>S07-09:A:original_handoff</x:v>
      </x:c>
    </x:row>
    <x:row r="2633" ht="72" customHeight="1">
      <x:c r="A2633" s="14" t="str">
        <x:v>S07-09:A:display_report</x:v>
      </x:c>
      <x:c r="B2633" s="14" t="str">
        <x:v>A</x:v>
      </x:c>
      <x:c r="C2633" s="14" t="str">
        <x:v>display_report</x:v>
      </x:c>
      <x:c r="D2633" s="14" t="n">
        <x:v>-0.9</x:v>
      </x:c>
      <x:c r="E2633" s="14" t="n">
        <x:v>-0.86</x:v>
      </x:c>
      <x:c r="F2633" s="14" t="n">
        <x:v>0.04</x:v>
      </x:c>
      <x:c r="G2633" s="17" t="n">
        <x:v>1</x:v>
      </x:c>
      <x:c r="H2633" s="14" t="str">
        <x:v>S07-09:A:source_report</x:v>
      </x:c>
    </x:row>
    <x:row r="2634" ht="72" customHeight="1">
      <x:c r="A2634" s="14" t="str">
        <x:v>S07-09:A:calendar_first</x:v>
      </x:c>
      <x:c r="B2634" s="14" t="str">
        <x:v>A</x:v>
      </x:c>
      <x:c r="C2634" s="14" t="str">
        <x:v>calendar_first</x:v>
      </x:c>
      <x:c r="D2634" s="14" t="n">
        <x:v>-1.4</x:v>
      </x:c>
      <x:c r="E2634" s="14" t="n">
        <x:v>-0.997666667</x:v>
      </x:c>
      <x:c r="F2634" s="14" t="n">
        <x:v>0.402333333</x:v>
      </x:c>
      <x:c r="G2634" s="17" t="n">
        <x:v>1</x:v>
      </x:c>
      <x:c r="H2634" s="14" t="str">
        <x:v>S07-09:A:source_calendar</x:v>
      </x:c>
    </x:row>
    <x:row r="2635" ht="72" customHeight="1">
      <x:c r="A2635" s="14" t="str">
        <x:v>S07-09:A:calendar_tail</x:v>
      </x:c>
      <x:c r="B2635" s="14" t="str">
        <x:v>A</x:v>
      </x:c>
      <x:c r="C2635" s="14" t="str">
        <x:v>calendar_tail</x:v>
      </x:c>
      <x:c r="D2635" s="14" t="n">
        <x:v>-0.997666667</x:v>
      </x:c>
      <x:c r="E2635" s="14" t="n">
        <x:v>-0.287166667</x:v>
      </x:c>
      <x:c r="F2635" s="14" t="n">
        <x:v>0.7105</x:v>
      </x:c>
      <x:c r="G2635" s="17" t="n">
        <x:v>1</x:v>
      </x:c>
      <x:c r="H2635" s="14" t="str">
        <x:v>S07-09:A:calendar_first</x:v>
      </x:c>
    </x:row>
    <x:row r="2636" ht="72" customHeight="1">
      <x:c r="A2636" s="14" t="str">
        <x:v>S07-09:A:burst0_device</x:v>
      </x:c>
      <x:c r="B2636" s="14" t="str">
        <x:v>A</x:v>
      </x:c>
      <x:c r="C2636" s="14" t="str">
        <x:v>burst0_device</x:v>
      </x:c>
      <x:c r="D2636" s="14" t="n">
        <x:v>0.87</x:v>
      </x:c>
      <x:c r="E2636" s="14" t="n">
        <x:v>0.91</x:v>
      </x:c>
      <x:c r="F2636" s="14" t="n">
        <x:v>0.04</x:v>
      </x:c>
      <x:c r="G2636" s="17" t="n">
        <x:v>1</x:v>
      </x:c>
      <x:c r="H2636" s="14" t="str">
        <x:v>S07-09:A:apply_relation
S07-09:A:calendar_first</x:v>
      </x:c>
    </x:row>
    <x:row r="2637" ht="72" customHeight="1">
      <x:c r="A2637" s="14" t="str">
        <x:v>S07-09:A:burst0_played</x:v>
      </x:c>
      <x:c r="B2637" s="14" t="str">
        <x:v>A</x:v>
      </x:c>
      <x:c r="C2637" s="14" t="str">
        <x:v>burst0_played</x:v>
      </x:c>
      <x:c r="D2637" s="14" t="n">
        <x:v>0.91</x:v>
      </x:c>
      <x:c r="E2637" s="14" t="n">
        <x:v>3.952</x:v>
      </x:c>
      <x:c r="F2637" s="14" t="n">
        <x:v>3.042</x:v>
      </x:c>
      <x:c r="G2637" s="17" t="n">
        <x:v>0</x:v>
      </x:c>
      <x:c r="H2637" s="14" t="str">
        <x:v>S07-09:A:burst0_device</x:v>
      </x:c>
    </x:row>
    <x:row r="2638" ht="72" customHeight="1">
      <x:c r="A2638" s="14" t="str">
        <x:v>S07-09:A:mail_first</x:v>
      </x:c>
      <x:c r="B2638" s="14" t="str">
        <x:v>A</x:v>
      </x:c>
      <x:c r="C2638" s="14" t="str">
        <x:v>mail_first</x:v>
      </x:c>
      <x:c r="D2638" s="14" t="n">
        <x:v>-1.2</x:v>
      </x:c>
      <x:c r="E2638" s="14" t="n">
        <x:v>-0.794</x:v>
      </x:c>
      <x:c r="F2638" s="14" t="n">
        <x:v>0.406</x:v>
      </x:c>
      <x:c r="G2638" s="17" t="n">
        <x:v>1</x:v>
      </x:c>
      <x:c r="H2638" s="14" t="str">
        <x:v>S07-09:A:source_mail</x:v>
      </x:c>
    </x:row>
    <x:row r="2639" ht="72" customHeight="1">
      <x:c r="A2639" s="14" t="str">
        <x:v>S07-09:A:mail_tail</x:v>
      </x:c>
      <x:c r="B2639" s="14" t="str">
        <x:v>A</x:v>
      </x:c>
      <x:c r="C2639" s="14" t="str">
        <x:v>mail_tail</x:v>
      </x:c>
      <x:c r="D2639" s="14" t="n">
        <x:v>-0.794</x:v>
      </x:c>
      <x:c r="E2639" s="14" t="n">
        <x:v>0.1665</x:v>
      </x:c>
      <x:c r="F2639" s="14" t="n">
        <x:v>0.9605</x:v>
      </x:c>
      <x:c r="G2639" s="17" t="n">
        <x:v>1</x:v>
      </x:c>
      <x:c r="H2639" s="14" t="str">
        <x:v>S07-09:A:mail_first</x:v>
      </x:c>
    </x:row>
    <x:row r="2640" ht="72" customHeight="1">
      <x:c r="A2640" s="14" t="str">
        <x:v>S07-09:A:burst1_device</x:v>
      </x:c>
      <x:c r="B2640" s="14" t="str">
        <x:v>A</x:v>
      </x:c>
      <x:c r="C2640" s="14" t="str">
        <x:v>burst1_device</x:v>
      </x:c>
      <x:c r="D2640" s="14" t="n">
        <x:v>3.952</x:v>
      </x:c>
      <x:c r="E2640" s="14" t="n">
        <x:v>3.992</x:v>
      </x:c>
      <x:c r="F2640" s="14" t="n">
        <x:v>0.04</x:v>
      </x:c>
      <x:c r="G2640" s="17" t="n">
        <x:v>1</x:v>
      </x:c>
      <x:c r="H2640" s="14" t="str">
        <x:v>S07-09:A:burst0_played
S07-09:A:mail_first</x:v>
      </x:c>
    </x:row>
    <x:row r="2641" ht="72" customHeight="1">
      <x:c r="A2641" s="14" t="str">
        <x:v>S07-09:A:burst1_played</x:v>
      </x:c>
      <x:c r="B2641" s="14" t="str">
        <x:v>A</x:v>
      </x:c>
      <x:c r="C2641" s="14" t="str">
        <x:v>burst1_played</x:v>
      </x:c>
      <x:c r="D2641" s="14" t="n">
        <x:v>3.992</x:v>
      </x:c>
      <x:c r="E2641" s="14" t="n">
        <x:v>8.034</x:v>
      </x:c>
      <x:c r="F2641" s="14" t="n">
        <x:v>4.042</x:v>
      </x:c>
      <x:c r="G2641" s="17" t="n">
        <x:v>0</x:v>
      </x:c>
      <x:c r="H2641" s="14" t="str">
        <x:v>S07-09:A:burst1_device</x:v>
      </x:c>
    </x:row>
    <x:row r="2642" ht="72" customHeight="1">
      <x:c r="A2642" s="14" t="str">
        <x:v>S07-09:A:report_first</x:v>
      </x:c>
      <x:c r="B2642" s="14" t="str">
        <x:v>A</x:v>
      </x:c>
      <x:c r="C2642" s="14" t="str">
        <x:v>report_first</x:v>
      </x:c>
      <x:c r="D2642" s="14" t="n">
        <x:v>-0.9</x:v>
      </x:c>
      <x:c r="E2642" s="14" t="n">
        <x:v>-0.49</x:v>
      </x:c>
      <x:c r="F2642" s="14" t="n">
        <x:v>0.41</x:v>
      </x:c>
      <x:c r="G2642" s="17" t="n">
        <x:v>1</x:v>
      </x:c>
      <x:c r="H2642" s="14" t="str">
        <x:v>S07-09:A:source_report</x:v>
      </x:c>
    </x:row>
    <x:row r="2643" ht="72" customHeight="1">
      <x:c r="A2643" s="14" t="str">
        <x:v>S07-09:A:report_tail</x:v>
      </x:c>
      <x:c r="B2643" s="14" t="str">
        <x:v>A</x:v>
      </x:c>
      <x:c r="C2643" s="14" t="str">
        <x:v>report_tail</x:v>
      </x:c>
      <x:c r="D2643" s="14" t="n">
        <x:v>-0.49</x:v>
      </x:c>
      <x:c r="E2643" s="14" t="n">
        <x:v>1.2205</x:v>
      </x:c>
      <x:c r="F2643" s="14" t="n">
        <x:v>1.7105</x:v>
      </x:c>
      <x:c r="G2643" s="17" t="n">
        <x:v>1</x:v>
      </x:c>
      <x:c r="H2643" s="14" t="str">
        <x:v>S07-09:A:report_first</x:v>
      </x:c>
    </x:row>
    <x:row r="2644" ht="72" customHeight="1">
      <x:c r="A2644" s="14" t="str">
        <x:v>S07-09:A:burst2_device</x:v>
      </x:c>
      <x:c r="B2644" s="14" t="str">
        <x:v>A</x:v>
      </x:c>
      <x:c r="C2644" s="14" t="str">
        <x:v>burst2_device</x:v>
      </x:c>
      <x:c r="D2644" s="14" t="n">
        <x:v>8.034</x:v>
      </x:c>
      <x:c r="E2644" s="14" t="n">
        <x:v>8.074</x:v>
      </x:c>
      <x:c r="F2644" s="14" t="n">
        <x:v>0.04</x:v>
      </x:c>
      <x:c r="G2644" s="17" t="n">
        <x:v>1</x:v>
      </x:c>
      <x:c r="H2644" s="14" t="str">
        <x:v>S07-09:A:burst1_played
S07-09:A:report_first</x:v>
      </x:c>
    </x:row>
    <x:row r="2645" ht="72" customHeight="1">
      <x:c r="A2645" s="14" t="str">
        <x:v>S07-09:A:burst2_played</x:v>
      </x:c>
      <x:c r="B2645" s="14" t="str">
        <x:v>A</x:v>
      </x:c>
      <x:c r="C2645" s="14" t="str">
        <x:v>burst2_played</x:v>
      </x:c>
      <x:c r="D2645" s="14" t="n">
        <x:v>8.074</x:v>
      </x:c>
      <x:c r="E2645" s="14" t="n">
        <x:v>15.116</x:v>
      </x:c>
      <x:c r="F2645" s="14" t="n">
        <x:v>7.042</x:v>
      </x:c>
      <x:c r="G2645" s="17" t="n">
        <x:v>0</x:v>
      </x:c>
      <x:c r="H2645" s="14" t="str">
        <x:v>S07-09:A:burst2_device</x:v>
      </x:c>
    </x:row>
    <x:row r="2646" ht="72" customHeight="1">
      <x:c r="A2646" s="14" t="str">
        <x:v>S07-09:B:origin</x:v>
      </x:c>
      <x:c r="B2646" s="14" t="str">
        <x:v>B</x:v>
      </x:c>
      <x:c r="C2646" s="14" t="str">
        <x:v>origin</x:v>
      </x:c>
      <x:c r="D2646" s="14" t="n">
        <x:v>-6</x:v>
      </x:c>
      <x:c r="E2646" s="14" t="n">
        <x:v>-6</x:v>
      </x:c>
      <x:c r="F2646" s="14" t="n">
        <x:v>0</x:v>
      </x:c>
      <x:c r="G2646" s="17" t="n">
        <x:v>0</x:v>
      </x:c>
      <x:c r="H2646" s="14" t="str"/>
    </x:row>
    <x:row r="2647" ht="72" customHeight="1">
      <x:c r="A2647" s="14" t="str">
        <x:v>S07-09:B:origin_interpretation</x:v>
      </x:c>
      <x:c r="B2647" s="14" t="str">
        <x:v>B</x:v>
      </x:c>
      <x:c r="C2647" s="14" t="str">
        <x:v>origin_interpretation</x:v>
      </x:c>
      <x:c r="D2647" s="14" t="n">
        <x:v>-6</x:v>
      </x:c>
      <x:c r="E2647" s="14" t="n">
        <x:v>-5.16</x:v>
      </x:c>
      <x:c r="F2647" s="14" t="n">
        <x:v>0.84</x:v>
      </x:c>
      <x:c r="G2647" s="17" t="n">
        <x:v>1</x:v>
      </x:c>
      <x:c r="H2647" s="14" t="str">
        <x:v>S07-09:B:origin</x:v>
      </x:c>
    </x:row>
    <x:row r="2648" ht="72" customHeight="1">
      <x:c r="A2648" s="14" t="str">
        <x:v>S07-09:B:original_handoff</x:v>
      </x:c>
      <x:c r="B2648" s="14" t="str">
        <x:v>B</x:v>
      </x:c>
      <x:c r="C2648" s="14" t="str">
        <x:v>original_handoff</x:v>
      </x:c>
      <x:c r="D2648" s="14" t="n">
        <x:v>-5.16</x:v>
      </x:c>
      <x:c r="E2648" s="14" t="n">
        <x:v>-5.04</x:v>
      </x:c>
      <x:c r="F2648" s="14" t="n">
        <x:v>0.12</x:v>
      </x:c>
      <x:c r="G2648" s="17" t="n">
        <x:v>1</x:v>
      </x:c>
      <x:c r="H2648" s="14" t="str">
        <x:v>S07-09:B:origin_interpretation</x:v>
      </x:c>
    </x:row>
    <x:row r="2649" ht="72" customHeight="1">
      <x:c r="A2649" s="14" t="str">
        <x:v>S07-09:B:evaluation_utterance_end</x:v>
      </x:c>
      <x:c r="B2649" s="14" t="str">
        <x:v>B</x:v>
      </x:c>
      <x:c r="C2649" s="14" t="str">
        <x:v>evaluation_utterance_end</x:v>
      </x:c>
      <x:c r="D2649" s="14" t="n">
        <x:v>-6</x:v>
      </x:c>
      <x:c r="E2649" s="14" t="n">
        <x:v>0</x:v>
      </x:c>
      <x:c r="F2649" s="14" t="n">
        <x:v>6</x:v>
      </x:c>
      <x:c r="G2649" s="17" t="n">
        <x:v>0</x:v>
      </x:c>
      <x:c r="H2649" s="14" t="str">
        <x:v>S07-09:B:origin</x:v>
      </x:c>
    </x:row>
    <x:row r="2650" ht="72" customHeight="1">
      <x:c r="A2650" s="14" t="str">
        <x:v>S07-09:B:final_transcript</x:v>
      </x:c>
      <x:c r="B2650" s="14" t="str">
        <x:v>B</x:v>
      </x:c>
      <x:c r="C2650" s="14" t="str">
        <x:v>final_transcript</x:v>
      </x:c>
      <x:c r="D2650" s="14" t="n">
        <x:v>0</x:v>
      </x:c>
      <x:c r="E2650" s="14" t="n">
        <x:v>0.3</x:v>
      </x:c>
      <x:c r="F2650" s="14" t="n">
        <x:v>0.3</x:v>
      </x:c>
      <x:c r="G2650" s="17" t="n">
        <x:v>1</x:v>
      </x:c>
      <x:c r="H2650" s="14" t="str">
        <x:v>S07-09:B:evaluation_utterance_end</x:v>
      </x:c>
    </x:row>
    <x:row r="2651" ht="72" customHeight="1">
      <x:c r="A2651" s="14" t="str">
        <x:v>S07-09:B:meaning_adoption</x:v>
      </x:c>
      <x:c r="B2651" s="14" t="str">
        <x:v>B</x:v>
      </x:c>
      <x:c r="C2651" s="14" t="str">
        <x:v>meaning_adoption</x:v>
      </x:c>
      <x:c r="D2651" s="14" t="n">
        <x:v>0.3</x:v>
      </x:c>
      <x:c r="E2651" s="14" t="n">
        <x:v>0.83</x:v>
      </x:c>
      <x:c r="F2651" s="14" t="n">
        <x:v>0.53</x:v>
      </x:c>
      <x:c r="G2651" s="17" t="n">
        <x:v>1</x:v>
      </x:c>
      <x:c r="H2651" s="14" t="str">
        <x:v>S07-09:B:final_transcript
S07-09:B:origin_interpretation</x:v>
      </x:c>
    </x:row>
    <x:row r="2652" ht="72" customHeight="1">
      <x:c r="A2652" s="14" t="str">
        <x:v>S07-09:B:apply_relation</x:v>
      </x:c>
      <x:c r="B2652" s="14" t="str">
        <x:v>B</x:v>
      </x:c>
      <x:c r="C2652" s="14" t="str">
        <x:v>apply_relation</x:v>
      </x:c>
      <x:c r="D2652" s="14" t="n">
        <x:v>0.83</x:v>
      </x:c>
      <x:c r="E2652" s="14" t="n">
        <x:v>0.87</x:v>
      </x:c>
      <x:c r="F2652" s="14" t="n">
        <x:v>0.04</x:v>
      </x:c>
      <x:c r="G2652" s="17" t="n">
        <x:v>1</x:v>
      </x:c>
      <x:c r="H2652" s="14" t="str">
        <x:v>S07-09:B:meaning_adoption</x:v>
      </x:c>
    </x:row>
    <x:row r="2653" ht="72" customHeight="1">
      <x:c r="A2653" s="14" t="str">
        <x:v>S07-09:B:evaluation_first_display</x:v>
      </x:c>
      <x:c r="B2653" s="14" t="str">
        <x:v>B</x:v>
      </x:c>
      <x:c r="C2653" s="14" t="str">
        <x:v>evaluation_first_display</x:v>
      </x:c>
      <x:c r="D2653" s="14" t="n">
        <x:v>0.87</x:v>
      </x:c>
      <x:c r="E2653" s="14" t="n">
        <x:v>0.91</x:v>
      </x:c>
      <x:c r="F2653" s="14" t="n">
        <x:v>0.04</x:v>
      </x:c>
      <x:c r="G2653" s="17" t="n">
        <x:v>1</x:v>
      </x:c>
      <x:c r="H2653" s="14" t="str">
        <x:v>S07-09:B:apply_relation</x:v>
      </x:c>
    </x:row>
    <x:row r="2654" ht="72" customHeight="1">
      <x:c r="A2654" s="14" t="str">
        <x:v>S07-09:B:source_calendar</x:v>
      </x:c>
      <x:c r="B2654" s="14" t="str">
        <x:v>B</x:v>
      </x:c>
      <x:c r="C2654" s="14" t="str">
        <x:v>source_calendar</x:v>
      </x:c>
      <x:c r="D2654" s="14" t="n">
        <x:v>-5.04</x:v>
      </x:c>
      <x:c r="E2654" s="14" t="n">
        <x:v>-1.4</x:v>
      </x:c>
      <x:c r="F2654" s="14" t="n">
        <x:v>3.64</x:v>
      </x:c>
      <x:c r="G2654" s="17" t="n">
        <x:v>0</x:v>
      </x:c>
      <x:c r="H2654" s="14" t="str">
        <x:v>S07-09:B:original_handoff</x:v>
      </x:c>
    </x:row>
    <x:row r="2655" ht="72" customHeight="1">
      <x:c r="A2655" s="14" t="str">
        <x:v>S07-09:B:display_calendar</x:v>
      </x:c>
      <x:c r="B2655" s="14" t="str">
        <x:v>B</x:v>
      </x:c>
      <x:c r="C2655" s="14" t="str">
        <x:v>display_calendar</x:v>
      </x:c>
      <x:c r="D2655" s="14" t="n">
        <x:v>-1.4</x:v>
      </x:c>
      <x:c r="E2655" s="14" t="n">
        <x:v>-1.36</x:v>
      </x:c>
      <x:c r="F2655" s="14" t="n">
        <x:v>0.04</x:v>
      </x:c>
      <x:c r="G2655" s="17" t="n">
        <x:v>1</x:v>
      </x:c>
      <x:c r="H2655" s="14" t="str">
        <x:v>S07-09:B:source_calendar</x:v>
      </x:c>
    </x:row>
    <x:row r="2656" ht="72" customHeight="1">
      <x:c r="A2656" s="14" t="str">
        <x:v>S07-09:B:source_mail</x:v>
      </x:c>
      <x:c r="B2656" s="14" t="str">
        <x:v>B</x:v>
      </x:c>
      <x:c r="C2656" s="14" t="str">
        <x:v>source_mail</x:v>
      </x:c>
      <x:c r="D2656" s="14" t="n">
        <x:v>-5.04</x:v>
      </x:c>
      <x:c r="E2656" s="14" t="n">
        <x:v>-1.2</x:v>
      </x:c>
      <x:c r="F2656" s="14" t="n">
        <x:v>3.84</x:v>
      </x:c>
      <x:c r="G2656" s="17" t="n">
        <x:v>0</x:v>
      </x:c>
      <x:c r="H2656" s="14" t="str">
        <x:v>S07-09:B:original_handoff</x:v>
      </x:c>
    </x:row>
    <x:row r="2657" ht="72" customHeight="1">
      <x:c r="A2657" s="14" t="str">
        <x:v>S07-09:B:display_mail</x:v>
      </x:c>
      <x:c r="B2657" s="14" t="str">
        <x:v>B</x:v>
      </x:c>
      <x:c r="C2657" s="14" t="str">
        <x:v>display_mail</x:v>
      </x:c>
      <x:c r="D2657" s="14" t="n">
        <x:v>-1.2</x:v>
      </x:c>
      <x:c r="E2657" s="14" t="n">
        <x:v>-1.16</x:v>
      </x:c>
      <x:c r="F2657" s="14" t="n">
        <x:v>0.04</x:v>
      </x:c>
      <x:c r="G2657" s="17" t="n">
        <x:v>1</x:v>
      </x:c>
      <x:c r="H2657" s="14" t="str">
        <x:v>S07-09:B:source_mail</x:v>
      </x:c>
    </x:row>
    <x:row r="2658" ht="72" customHeight="1">
      <x:c r="A2658" s="14" t="str">
        <x:v>S07-09:B:source_report</x:v>
      </x:c>
      <x:c r="B2658" s="14" t="str">
        <x:v>B</x:v>
      </x:c>
      <x:c r="C2658" s="14" t="str">
        <x:v>source_report</x:v>
      </x:c>
      <x:c r="D2658" s="14" t="n">
        <x:v>-5.04</x:v>
      </x:c>
      <x:c r="E2658" s="14" t="n">
        <x:v>-0.9</x:v>
      </x:c>
      <x:c r="F2658" s="14" t="n">
        <x:v>4.14</x:v>
      </x:c>
      <x:c r="G2658" s="17" t="n">
        <x:v>0</x:v>
      </x:c>
      <x:c r="H2658" s="14" t="str">
        <x:v>S07-09:B:original_handoff</x:v>
      </x:c>
    </x:row>
    <x:row r="2659" ht="72" customHeight="1">
      <x:c r="A2659" s="14" t="str">
        <x:v>S07-09:B:display_report</x:v>
      </x:c>
      <x:c r="B2659" s="14" t="str">
        <x:v>B</x:v>
      </x:c>
      <x:c r="C2659" s="14" t="str">
        <x:v>display_report</x:v>
      </x:c>
      <x:c r="D2659" s="14" t="n">
        <x:v>-0.9</x:v>
      </x:c>
      <x:c r="E2659" s="14" t="n">
        <x:v>-0.86</x:v>
      </x:c>
      <x:c r="F2659" s="14" t="n">
        <x:v>0.04</x:v>
      </x:c>
      <x:c r="G2659" s="17" t="n">
        <x:v>1</x:v>
      </x:c>
      <x:c r="H2659" s="14" t="str">
        <x:v>S07-09:B:source_report</x:v>
      </x:c>
    </x:row>
    <x:row r="2660" ht="72" customHeight="1">
      <x:c r="A2660" s="14" t="str">
        <x:v>S07-09:B:calendar_first</x:v>
      </x:c>
      <x:c r="B2660" s="14" t="str">
        <x:v>B</x:v>
      </x:c>
      <x:c r="C2660" s="14" t="str">
        <x:v>calendar_first</x:v>
      </x:c>
      <x:c r="D2660" s="14" t="n">
        <x:v>0.87</x:v>
      </x:c>
      <x:c r="E2660" s="14" t="n">
        <x:v>1.272333333</x:v>
      </x:c>
      <x:c r="F2660" s="14" t="n">
        <x:v>0.402333333</x:v>
      </x:c>
      <x:c r="G2660" s="17" t="n">
        <x:v>1</x:v>
      </x:c>
      <x:c r="H2660" s="14" t="str">
        <x:v>S07-09:B:apply_relation</x:v>
      </x:c>
    </x:row>
    <x:row r="2661" ht="72" customHeight="1">
      <x:c r="A2661" s="14" t="str">
        <x:v>S07-09:B:calendar_tail</x:v>
      </x:c>
      <x:c r="B2661" s="14" t="str">
        <x:v>B</x:v>
      </x:c>
      <x:c r="C2661" s="14" t="str">
        <x:v>calendar_tail</x:v>
      </x:c>
      <x:c r="D2661" s="14" t="n">
        <x:v>1.272333333</x:v>
      </x:c>
      <x:c r="E2661" s="14" t="n">
        <x:v>1.982833333</x:v>
      </x:c>
      <x:c r="F2661" s="14" t="n">
        <x:v>0.7105</x:v>
      </x:c>
      <x:c r="G2661" s="17" t="n">
        <x:v>1</x:v>
      </x:c>
      <x:c r="H2661" s="14" t="str">
        <x:v>S07-09:B:calendar_first</x:v>
      </x:c>
    </x:row>
    <x:row r="2662" ht="72" customHeight="1">
      <x:c r="A2662" s="14" t="str">
        <x:v>S07-09:B:burst0_device</x:v>
      </x:c>
      <x:c r="B2662" s="14" t="str">
        <x:v>B</x:v>
      </x:c>
      <x:c r="C2662" s="14" t="str">
        <x:v>burst0_device</x:v>
      </x:c>
      <x:c r="D2662" s="14" t="n">
        <x:v>1.272333333</x:v>
      </x:c>
      <x:c r="E2662" s="14" t="n">
        <x:v>1.312333333</x:v>
      </x:c>
      <x:c r="F2662" s="14" t="n">
        <x:v>0.04</x:v>
      </x:c>
      <x:c r="G2662" s="17" t="n">
        <x:v>1</x:v>
      </x:c>
      <x:c r="H2662" s="14" t="str">
        <x:v>S07-09:B:apply_relation
S07-09:B:calendar_first</x:v>
      </x:c>
    </x:row>
    <x:row r="2663" ht="72" customHeight="1">
      <x:c r="A2663" s="14" t="str">
        <x:v>S07-09:B:burst0_played</x:v>
      </x:c>
      <x:c r="B2663" s="14" t="str">
        <x:v>B</x:v>
      </x:c>
      <x:c r="C2663" s="14" t="str">
        <x:v>burst0_played</x:v>
      </x:c>
      <x:c r="D2663" s="14" t="n">
        <x:v>1.312333333</x:v>
      </x:c>
      <x:c r="E2663" s="14" t="n">
        <x:v>4.354333333</x:v>
      </x:c>
      <x:c r="F2663" s="14" t="n">
        <x:v>3.042</x:v>
      </x:c>
      <x:c r="G2663" s="17" t="n">
        <x:v>0</x:v>
      </x:c>
      <x:c r="H2663" s="14" t="str">
        <x:v>S07-09:B:burst0_device</x:v>
      </x:c>
    </x:row>
    <x:row r="2664" ht="72" customHeight="1">
      <x:c r="A2664" s="14" t="str">
        <x:v>S07-09:B:mail_first</x:v>
      </x:c>
      <x:c r="B2664" s="14" t="str">
        <x:v>B</x:v>
      </x:c>
      <x:c r="C2664" s="14" t="str">
        <x:v>mail_first</x:v>
      </x:c>
      <x:c r="D2664" s="14" t="n">
        <x:v>4.354333333</x:v>
      </x:c>
      <x:c r="E2664" s="14" t="n">
        <x:v>4.760333333</x:v>
      </x:c>
      <x:c r="F2664" s="14" t="n">
        <x:v>0.406</x:v>
      </x:c>
      <x:c r="G2664" s="17" t="n">
        <x:v>1</x:v>
      </x:c>
      <x:c r="H2664" s="14" t="str">
        <x:v>S07-09:B:burst0_played</x:v>
      </x:c>
    </x:row>
    <x:row r="2665" ht="72" customHeight="1">
      <x:c r="A2665" s="14" t="str">
        <x:v>S07-09:B:mail_tail</x:v>
      </x:c>
      <x:c r="B2665" s="14" t="str">
        <x:v>B</x:v>
      </x:c>
      <x:c r="C2665" s="14" t="str">
        <x:v>mail_tail</x:v>
      </x:c>
      <x:c r="D2665" s="14" t="n">
        <x:v>4.760333333</x:v>
      </x:c>
      <x:c r="E2665" s="14" t="n">
        <x:v>5.720833333</x:v>
      </x:c>
      <x:c r="F2665" s="14" t="n">
        <x:v>0.9605</x:v>
      </x:c>
      <x:c r="G2665" s="17" t="n">
        <x:v>1</x:v>
      </x:c>
      <x:c r="H2665" s="14" t="str">
        <x:v>S07-09:B:mail_first</x:v>
      </x:c>
    </x:row>
    <x:row r="2666" ht="72" customHeight="1">
      <x:c r="A2666" s="14" t="str">
        <x:v>S07-09:B:burst1_device</x:v>
      </x:c>
      <x:c r="B2666" s="14" t="str">
        <x:v>B</x:v>
      </x:c>
      <x:c r="C2666" s="14" t="str">
        <x:v>burst1_device</x:v>
      </x:c>
      <x:c r="D2666" s="14" t="n">
        <x:v>4.760333333</x:v>
      </x:c>
      <x:c r="E2666" s="14" t="n">
        <x:v>4.800333333</x:v>
      </x:c>
      <x:c r="F2666" s="14" t="n">
        <x:v>0.04</x:v>
      </x:c>
      <x:c r="G2666" s="17" t="n">
        <x:v>1</x:v>
      </x:c>
      <x:c r="H2666" s="14" t="str">
        <x:v>S07-09:B:burst0_played
S07-09:B:mail_first</x:v>
      </x:c>
    </x:row>
    <x:row r="2667" ht="72" customHeight="1">
      <x:c r="A2667" s="14" t="str">
        <x:v>S07-09:B:burst1_played</x:v>
      </x:c>
      <x:c r="B2667" s="14" t="str">
        <x:v>B</x:v>
      </x:c>
      <x:c r="C2667" s="14" t="str">
        <x:v>burst1_played</x:v>
      </x:c>
      <x:c r="D2667" s="14" t="n">
        <x:v>4.800333333</x:v>
      </x:c>
      <x:c r="E2667" s="14" t="n">
        <x:v>8.842333333</x:v>
      </x:c>
      <x:c r="F2667" s="14" t="n">
        <x:v>4.042</x:v>
      </x:c>
      <x:c r="G2667" s="17" t="n">
        <x:v>0</x:v>
      </x:c>
      <x:c r="H2667" s="14" t="str">
        <x:v>S07-09:B:burst1_device</x:v>
      </x:c>
    </x:row>
    <x:row r="2668" ht="72" customHeight="1">
      <x:c r="A2668" s="14" t="str">
        <x:v>S07-09:B:report_first</x:v>
      </x:c>
      <x:c r="B2668" s="14" t="str">
        <x:v>B</x:v>
      </x:c>
      <x:c r="C2668" s="14" t="str">
        <x:v>report_first</x:v>
      </x:c>
      <x:c r="D2668" s="14" t="n">
        <x:v>8.842333333</x:v>
      </x:c>
      <x:c r="E2668" s="14" t="n">
        <x:v>9.252333333</x:v>
      </x:c>
      <x:c r="F2668" s="14" t="n">
        <x:v>0.41</x:v>
      </x:c>
      <x:c r="G2668" s="17" t="n">
        <x:v>1</x:v>
      </x:c>
      <x:c r="H2668" s="14" t="str">
        <x:v>S07-09:B:burst1_played</x:v>
      </x:c>
    </x:row>
    <x:row r="2669" ht="72" customHeight="1">
      <x:c r="A2669" s="14" t="str">
        <x:v>S07-09:B:report_tail</x:v>
      </x:c>
      <x:c r="B2669" s="14" t="str">
        <x:v>B</x:v>
      </x:c>
      <x:c r="C2669" s="14" t="str">
        <x:v>report_tail</x:v>
      </x:c>
      <x:c r="D2669" s="14" t="n">
        <x:v>9.252333333</x:v>
      </x:c>
      <x:c r="E2669" s="14" t="n">
        <x:v>10.962833333</x:v>
      </x:c>
      <x:c r="F2669" s="14" t="n">
        <x:v>1.7105</x:v>
      </x:c>
      <x:c r="G2669" s="17" t="n">
        <x:v>1</x:v>
      </x:c>
      <x:c r="H2669" s="14" t="str">
        <x:v>S07-09:B:report_first</x:v>
      </x:c>
    </x:row>
    <x:row r="2670" ht="72" customHeight="1">
      <x:c r="A2670" s="14" t="str">
        <x:v>S07-09:B:burst2_device</x:v>
      </x:c>
      <x:c r="B2670" s="14" t="str">
        <x:v>B</x:v>
      </x:c>
      <x:c r="C2670" s="14" t="str">
        <x:v>burst2_device</x:v>
      </x:c>
      <x:c r="D2670" s="14" t="n">
        <x:v>9.252333333</x:v>
      </x:c>
      <x:c r="E2670" s="14" t="n">
        <x:v>9.292333333</x:v>
      </x:c>
      <x:c r="F2670" s="14" t="n">
        <x:v>0.04</x:v>
      </x:c>
      <x:c r="G2670" s="17" t="n">
        <x:v>1</x:v>
      </x:c>
      <x:c r="H2670" s="14" t="str">
        <x:v>S07-09:B:burst1_played
S07-09:B:report_first</x:v>
      </x:c>
    </x:row>
    <x:row r="2671" ht="72" customHeight="1">
      <x:c r="A2671" s="14" t="str">
        <x:v>S07-09:B:burst2_played</x:v>
      </x:c>
      <x:c r="B2671" s="14" t="str">
        <x:v>B</x:v>
      </x:c>
      <x:c r="C2671" s="14" t="str">
        <x:v>burst2_played</x:v>
      </x:c>
      <x:c r="D2671" s="14" t="n">
        <x:v>9.292333333</x:v>
      </x:c>
      <x:c r="E2671" s="14" t="n">
        <x:v>16.334333333</x:v>
      </x:c>
      <x:c r="F2671" s="14" t="n">
        <x:v>7.042</x:v>
      </x:c>
      <x:c r="G2671" s="17" t="n">
        <x:v>0</x:v>
      </x:c>
      <x:c r="H2671" s="14" t="str">
        <x:v>S07-09:B:burst2_device</x:v>
      </x:c>
    </x:row>
    <x:row r="2672" ht="72" customHeight="1">
      <x:c r="A2672" s="14" t="str">
        <x:v>S07-10:A:origin</x:v>
      </x:c>
      <x:c r="B2672" s="14" t="str">
        <x:v>A</x:v>
      </x:c>
      <x:c r="C2672" s="14" t="str">
        <x:v>origin</x:v>
      </x:c>
      <x:c r="D2672" s="14" t="n">
        <x:v>-6</x:v>
      </x:c>
      <x:c r="E2672" s="14" t="n">
        <x:v>-6</x:v>
      </x:c>
      <x:c r="F2672" s="14" t="n">
        <x:v>0</x:v>
      </x:c>
      <x:c r="G2672" s="17" t="n">
        <x:v>0</x:v>
      </x:c>
      <x:c r="H2672" s="14" t="str"/>
    </x:row>
    <x:row r="2673" ht="72" customHeight="1">
      <x:c r="A2673" s="14" t="str">
        <x:v>S07-10:A:origin_interpretation</x:v>
      </x:c>
      <x:c r="B2673" s="14" t="str">
        <x:v>A</x:v>
      </x:c>
      <x:c r="C2673" s="14" t="str">
        <x:v>origin_interpretation</x:v>
      </x:c>
      <x:c r="D2673" s="14" t="n">
        <x:v>-6</x:v>
      </x:c>
      <x:c r="E2673" s="14" t="n">
        <x:v>-5.16</x:v>
      </x:c>
      <x:c r="F2673" s="14" t="n">
        <x:v>0.84</x:v>
      </x:c>
      <x:c r="G2673" s="17" t="n">
        <x:v>1</x:v>
      </x:c>
      <x:c r="H2673" s="14" t="str">
        <x:v>S07-10:A:origin</x:v>
      </x:c>
    </x:row>
    <x:row r="2674" ht="72" customHeight="1">
      <x:c r="A2674" s="14" t="str">
        <x:v>S07-10:A:original_handoff</x:v>
      </x:c>
      <x:c r="B2674" s="14" t="str">
        <x:v>A</x:v>
      </x:c>
      <x:c r="C2674" s="14" t="str">
        <x:v>original_handoff</x:v>
      </x:c>
      <x:c r="D2674" s="14" t="n">
        <x:v>-5.16</x:v>
      </x:c>
      <x:c r="E2674" s="14" t="n">
        <x:v>-5.04</x:v>
      </x:c>
      <x:c r="F2674" s="14" t="n">
        <x:v>0.12</x:v>
      </x:c>
      <x:c r="G2674" s="17" t="n">
        <x:v>1</x:v>
      </x:c>
      <x:c r="H2674" s="14" t="str">
        <x:v>S07-10:A:origin_interpretation</x:v>
      </x:c>
    </x:row>
    <x:row r="2675" ht="72" customHeight="1">
      <x:c r="A2675" s="14" t="str">
        <x:v>S07-10:A:evaluation_utterance_end</x:v>
      </x:c>
      <x:c r="B2675" s="14" t="str">
        <x:v>A</x:v>
      </x:c>
      <x:c r="C2675" s="14" t="str">
        <x:v>evaluation_utterance_end</x:v>
      </x:c>
      <x:c r="D2675" s="14" t="n">
        <x:v>-6</x:v>
      </x:c>
      <x:c r="E2675" s="14" t="n">
        <x:v>0</x:v>
      </x:c>
      <x:c r="F2675" s="14" t="n">
        <x:v>6</x:v>
      </x:c>
      <x:c r="G2675" s="17" t="n">
        <x:v>0</x:v>
      </x:c>
      <x:c r="H2675" s="14" t="str">
        <x:v>S07-10:A:origin</x:v>
      </x:c>
    </x:row>
    <x:row r="2676" ht="72" customHeight="1">
      <x:c r="A2676" s="14" t="str">
        <x:v>S07-10:A:final_transcript</x:v>
      </x:c>
      <x:c r="B2676" s="14" t="str">
        <x:v>A</x:v>
      </x:c>
      <x:c r="C2676" s="14" t="str">
        <x:v>final_transcript</x:v>
      </x:c>
      <x:c r="D2676" s="14" t="n">
        <x:v>0</x:v>
      </x:c>
      <x:c r="E2676" s="14" t="n">
        <x:v>0.3</x:v>
      </x:c>
      <x:c r="F2676" s="14" t="n">
        <x:v>0.3</x:v>
      </x:c>
      <x:c r="G2676" s="17" t="n">
        <x:v>1</x:v>
      </x:c>
      <x:c r="H2676" s="14" t="str">
        <x:v>S07-10:A:evaluation_utterance_end</x:v>
      </x:c>
    </x:row>
    <x:row r="2677" ht="72" customHeight="1">
      <x:c r="A2677" s="14" t="str">
        <x:v>S07-10:A:meaning_adoption</x:v>
      </x:c>
      <x:c r="B2677" s="14" t="str">
        <x:v>A</x:v>
      </x:c>
      <x:c r="C2677" s="14" t="str">
        <x:v>meaning_adoption</x:v>
      </x:c>
      <x:c r="D2677" s="14" t="n">
        <x:v>0.3</x:v>
      </x:c>
      <x:c r="E2677" s="14" t="n">
        <x:v>0.858333333</x:v>
      </x:c>
      <x:c r="F2677" s="14" t="n">
        <x:v>0.558333333</x:v>
      </x:c>
      <x:c r="G2677" s="17" t="n">
        <x:v>1</x:v>
      </x:c>
      <x:c r="H2677" s="14" t="str">
        <x:v>S07-10:A:final_transcript
S07-10:A:origin_interpretation</x:v>
      </x:c>
    </x:row>
    <x:row r="2678" ht="72" customHeight="1">
      <x:c r="A2678" s="14" t="str">
        <x:v>S07-10:A:apply_relation</x:v>
      </x:c>
      <x:c r="B2678" s="14" t="str">
        <x:v>A</x:v>
      </x:c>
      <x:c r="C2678" s="14" t="str">
        <x:v>apply_relation</x:v>
      </x:c>
      <x:c r="D2678" s="14" t="n">
        <x:v>0.858333333</x:v>
      </x:c>
      <x:c r="E2678" s="14" t="n">
        <x:v>0.898333333</x:v>
      </x:c>
      <x:c r="F2678" s="14" t="n">
        <x:v>0.04</x:v>
      </x:c>
      <x:c r="G2678" s="17" t="n">
        <x:v>1</x:v>
      </x:c>
      <x:c r="H2678" s="14" t="str">
        <x:v>S07-10:A:meaning_adoption</x:v>
      </x:c>
    </x:row>
    <x:row r="2679" ht="72" customHeight="1">
      <x:c r="A2679" s="14" t="str">
        <x:v>S07-10:A:evaluation_first_display</x:v>
      </x:c>
      <x:c r="B2679" s="14" t="str">
        <x:v>A</x:v>
      </x:c>
      <x:c r="C2679" s="14" t="str">
        <x:v>evaluation_first_display</x:v>
      </x:c>
      <x:c r="D2679" s="14" t="n">
        <x:v>0.898333333</x:v>
      </x:c>
      <x:c r="E2679" s="14" t="n">
        <x:v>0.938333333</x:v>
      </x:c>
      <x:c r="F2679" s="14" t="n">
        <x:v>0.04</x:v>
      </x:c>
      <x:c r="G2679" s="17" t="n">
        <x:v>1</x:v>
      </x:c>
      <x:c r="H2679" s="14" t="str">
        <x:v>S07-10:A:apply_relation</x:v>
      </x:c>
    </x:row>
    <x:row r="2680" ht="72" customHeight="1">
      <x:c r="A2680" s="14" t="str">
        <x:v>S07-10:A:source_calendar</x:v>
      </x:c>
      <x:c r="B2680" s="14" t="str">
        <x:v>A</x:v>
      </x:c>
      <x:c r="C2680" s="14" t="str">
        <x:v>source_calendar</x:v>
      </x:c>
      <x:c r="D2680" s="14" t="n">
        <x:v>-5.04</x:v>
      </x:c>
      <x:c r="E2680" s="14" t="n">
        <x:v>-1.4</x:v>
      </x:c>
      <x:c r="F2680" s="14" t="n">
        <x:v>3.64</x:v>
      </x:c>
      <x:c r="G2680" s="17" t="n">
        <x:v>0</x:v>
      </x:c>
      <x:c r="H2680" s="14" t="str">
        <x:v>S07-10:A:original_handoff</x:v>
      </x:c>
    </x:row>
    <x:row r="2681" ht="72" customHeight="1">
      <x:c r="A2681" s="14" t="str">
        <x:v>S07-10:A:display_calendar</x:v>
      </x:c>
      <x:c r="B2681" s="14" t="str">
        <x:v>A</x:v>
      </x:c>
      <x:c r="C2681" s="14" t="str">
        <x:v>display_calendar</x:v>
      </x:c>
      <x:c r="D2681" s="14" t="n">
        <x:v>-1.4</x:v>
      </x:c>
      <x:c r="E2681" s="14" t="n">
        <x:v>-1.36</x:v>
      </x:c>
      <x:c r="F2681" s="14" t="n">
        <x:v>0.04</x:v>
      </x:c>
      <x:c r="G2681" s="17" t="n">
        <x:v>1</x:v>
      </x:c>
      <x:c r="H2681" s="14" t="str">
        <x:v>S07-10:A:source_calendar</x:v>
      </x:c>
    </x:row>
    <x:row r="2682" ht="72" customHeight="1">
      <x:c r="A2682" s="14" t="str">
        <x:v>S07-10:A:source_mail</x:v>
      </x:c>
      <x:c r="B2682" s="14" t="str">
        <x:v>A</x:v>
      </x:c>
      <x:c r="C2682" s="14" t="str">
        <x:v>source_mail</x:v>
      </x:c>
      <x:c r="D2682" s="14" t="n">
        <x:v>-5.04</x:v>
      </x:c>
      <x:c r="E2682" s="14" t="n">
        <x:v>-1.2</x:v>
      </x:c>
      <x:c r="F2682" s="14" t="n">
        <x:v>3.84</x:v>
      </x:c>
      <x:c r="G2682" s="17" t="n">
        <x:v>0</x:v>
      </x:c>
      <x:c r="H2682" s="14" t="str">
        <x:v>S07-10:A:original_handoff</x:v>
      </x:c>
    </x:row>
    <x:row r="2683" ht="72" customHeight="1">
      <x:c r="A2683" s="14" t="str">
        <x:v>S07-10:A:display_mail</x:v>
      </x:c>
      <x:c r="B2683" s="14" t="str">
        <x:v>A</x:v>
      </x:c>
      <x:c r="C2683" s="14" t="str">
        <x:v>display_mail</x:v>
      </x:c>
      <x:c r="D2683" s="14" t="n">
        <x:v>-1.2</x:v>
      </x:c>
      <x:c r="E2683" s="14" t="n">
        <x:v>-1.16</x:v>
      </x:c>
      <x:c r="F2683" s="14" t="n">
        <x:v>0.04</x:v>
      </x:c>
      <x:c r="G2683" s="17" t="n">
        <x:v>1</x:v>
      </x:c>
      <x:c r="H2683" s="14" t="str">
        <x:v>S07-10:A:source_mail</x:v>
      </x:c>
    </x:row>
    <x:row r="2684" ht="72" customHeight="1">
      <x:c r="A2684" s="14" t="str">
        <x:v>S07-10:A:source_report</x:v>
      </x:c>
      <x:c r="B2684" s="14" t="str">
        <x:v>A</x:v>
      </x:c>
      <x:c r="C2684" s="14" t="str">
        <x:v>source_report</x:v>
      </x:c>
      <x:c r="D2684" s="14" t="n">
        <x:v>-5.04</x:v>
      </x:c>
      <x:c r="E2684" s="14" t="n">
        <x:v>-0.9</x:v>
      </x:c>
      <x:c r="F2684" s="14" t="n">
        <x:v>4.14</x:v>
      </x:c>
      <x:c r="G2684" s="17" t="n">
        <x:v>0</x:v>
      </x:c>
      <x:c r="H2684" s="14" t="str">
        <x:v>S07-10:A:original_handoff</x:v>
      </x:c>
    </x:row>
    <x:row r="2685" ht="72" customHeight="1">
      <x:c r="A2685" s="14" t="str">
        <x:v>S07-10:A:display_report</x:v>
      </x:c>
      <x:c r="B2685" s="14" t="str">
        <x:v>A</x:v>
      </x:c>
      <x:c r="C2685" s="14" t="str">
        <x:v>display_report</x:v>
      </x:c>
      <x:c r="D2685" s="14" t="n">
        <x:v>-0.9</x:v>
      </x:c>
      <x:c r="E2685" s="14" t="n">
        <x:v>-0.86</x:v>
      </x:c>
      <x:c r="F2685" s="14" t="n">
        <x:v>0.04</x:v>
      </x:c>
      <x:c r="G2685" s="17" t="n">
        <x:v>1</x:v>
      </x:c>
      <x:c r="H2685" s="14" t="str">
        <x:v>S07-10:A:source_report</x:v>
      </x:c>
    </x:row>
    <x:row r="2686" ht="72" customHeight="1">
      <x:c r="A2686" s="14" t="str">
        <x:v>S07-10:A:calendar_first</x:v>
      </x:c>
      <x:c r="B2686" s="14" t="str">
        <x:v>A</x:v>
      </x:c>
      <x:c r="C2686" s="14" t="str">
        <x:v>calendar_first</x:v>
      </x:c>
      <x:c r="D2686" s="14" t="n">
        <x:v>-1.4</x:v>
      </x:c>
      <x:c r="E2686" s="14" t="n">
        <x:v>-0.997666667</x:v>
      </x:c>
      <x:c r="F2686" s="14" t="n">
        <x:v>0.402333333</x:v>
      </x:c>
      <x:c r="G2686" s="17" t="n">
        <x:v>1</x:v>
      </x:c>
      <x:c r="H2686" s="14" t="str">
        <x:v>S07-10:A:source_calendar</x:v>
      </x:c>
    </x:row>
    <x:row r="2687" ht="72" customHeight="1">
      <x:c r="A2687" s="14" t="str">
        <x:v>S07-10:A:calendar_tail</x:v>
      </x:c>
      <x:c r="B2687" s="14" t="str">
        <x:v>A</x:v>
      </x:c>
      <x:c r="C2687" s="14" t="str">
        <x:v>calendar_tail</x:v>
      </x:c>
      <x:c r="D2687" s="14" t="n">
        <x:v>-0.997666667</x:v>
      </x:c>
      <x:c r="E2687" s="14" t="n">
        <x:v>-0.284166667</x:v>
      </x:c>
      <x:c r="F2687" s="14" t="n">
        <x:v>0.7135</x:v>
      </x:c>
      <x:c r="G2687" s="17" t="n">
        <x:v>1</x:v>
      </x:c>
      <x:c r="H2687" s="14" t="str">
        <x:v>S07-10:A:calendar_first</x:v>
      </x:c>
    </x:row>
    <x:row r="2688" ht="72" customHeight="1">
      <x:c r="A2688" s="14" t="str">
        <x:v>S07-10:A:burst0_device</x:v>
      </x:c>
      <x:c r="B2688" s="14" t="str">
        <x:v>A</x:v>
      </x:c>
      <x:c r="C2688" s="14" t="str">
        <x:v>burst0_device</x:v>
      </x:c>
      <x:c r="D2688" s="14" t="n">
        <x:v>0.898333333</x:v>
      </x:c>
      <x:c r="E2688" s="14" t="n">
        <x:v>0.938333333</x:v>
      </x:c>
      <x:c r="F2688" s="14" t="n">
        <x:v>0.04</x:v>
      </x:c>
      <x:c r="G2688" s="17" t="n">
        <x:v>1</x:v>
      </x:c>
      <x:c r="H2688" s="14" t="str">
        <x:v>S07-10:A:apply_relation
S07-10:A:calendar_first</x:v>
      </x:c>
    </x:row>
    <x:row r="2689" ht="72" customHeight="1">
      <x:c r="A2689" s="14" t="str">
        <x:v>S07-10:A:burst0_played</x:v>
      </x:c>
      <x:c r="B2689" s="14" t="str">
        <x:v>A</x:v>
      </x:c>
      <x:c r="C2689" s="14" t="str">
        <x:v>burst0_played</x:v>
      </x:c>
      <x:c r="D2689" s="14" t="n">
        <x:v>0.938333333</x:v>
      </x:c>
      <x:c r="E2689" s="14" t="n">
        <x:v>3.992333333</x:v>
      </x:c>
      <x:c r="F2689" s="14" t="n">
        <x:v>3.054</x:v>
      </x:c>
      <x:c r="G2689" s="17" t="n">
        <x:v>0</x:v>
      </x:c>
      <x:c r="H2689" s="14" t="str">
        <x:v>S07-10:A:burst0_device</x:v>
      </x:c>
    </x:row>
    <x:row r="2690" ht="72" customHeight="1">
      <x:c r="A2690" s="14" t="str">
        <x:v>S07-10:A:mail_first</x:v>
      </x:c>
      <x:c r="B2690" s="14" t="str">
        <x:v>A</x:v>
      </x:c>
      <x:c r="C2690" s="14" t="str">
        <x:v>mail_first</x:v>
      </x:c>
      <x:c r="D2690" s="14" t="n">
        <x:v>-1.2</x:v>
      </x:c>
      <x:c r="E2690" s="14" t="n">
        <x:v>-0.794</x:v>
      </x:c>
      <x:c r="F2690" s="14" t="n">
        <x:v>0.406</x:v>
      </x:c>
      <x:c r="G2690" s="17" t="n">
        <x:v>1</x:v>
      </x:c>
      <x:c r="H2690" s="14" t="str">
        <x:v>S07-10:A:source_mail</x:v>
      </x:c>
    </x:row>
    <x:row r="2691" ht="72" customHeight="1">
      <x:c r="A2691" s="14" t="str">
        <x:v>S07-10:A:mail_tail</x:v>
      </x:c>
      <x:c r="B2691" s="14" t="str">
        <x:v>A</x:v>
      </x:c>
      <x:c r="C2691" s="14" t="str">
        <x:v>mail_tail</x:v>
      </x:c>
      <x:c r="D2691" s="14" t="n">
        <x:v>-0.794</x:v>
      </x:c>
      <x:c r="E2691" s="14" t="n">
        <x:v>0.1695</x:v>
      </x:c>
      <x:c r="F2691" s="14" t="n">
        <x:v>0.9635</x:v>
      </x:c>
      <x:c r="G2691" s="17" t="n">
        <x:v>1</x:v>
      </x:c>
      <x:c r="H2691" s="14" t="str">
        <x:v>S07-10:A:mail_first</x:v>
      </x:c>
    </x:row>
    <x:row r="2692" ht="72" customHeight="1">
      <x:c r="A2692" s="14" t="str">
        <x:v>S07-10:A:burst1_device</x:v>
      </x:c>
      <x:c r="B2692" s="14" t="str">
        <x:v>A</x:v>
      </x:c>
      <x:c r="C2692" s="14" t="str">
        <x:v>burst1_device</x:v>
      </x:c>
      <x:c r="D2692" s="14" t="n">
        <x:v>3.992333333</x:v>
      </x:c>
      <x:c r="E2692" s="14" t="n">
        <x:v>4.032333333</x:v>
      </x:c>
      <x:c r="F2692" s="14" t="n">
        <x:v>0.04</x:v>
      </x:c>
      <x:c r="G2692" s="17" t="n">
        <x:v>1</x:v>
      </x:c>
      <x:c r="H2692" s="14" t="str">
        <x:v>S07-10:A:burst0_played
S07-10:A:mail_first</x:v>
      </x:c>
    </x:row>
    <x:row r="2693" ht="72" customHeight="1">
      <x:c r="A2693" s="14" t="str">
        <x:v>S07-10:A:burst1_played</x:v>
      </x:c>
      <x:c r="B2693" s="14" t="str">
        <x:v>A</x:v>
      </x:c>
      <x:c r="C2693" s="14" t="str">
        <x:v>burst1_played</x:v>
      </x:c>
      <x:c r="D2693" s="14" t="n">
        <x:v>4.032333333</x:v>
      </x:c>
      <x:c r="E2693" s="14" t="n">
        <x:v>8.086333333</x:v>
      </x:c>
      <x:c r="F2693" s="14" t="n">
        <x:v>4.054</x:v>
      </x:c>
      <x:c r="G2693" s="17" t="n">
        <x:v>0</x:v>
      </x:c>
      <x:c r="H2693" s="14" t="str">
        <x:v>S07-10:A:burst1_device</x:v>
      </x:c>
    </x:row>
    <x:row r="2694" ht="72" customHeight="1">
      <x:c r="A2694" s="14" t="str">
        <x:v>S07-10:A:report_first</x:v>
      </x:c>
      <x:c r="B2694" s="14" t="str">
        <x:v>A</x:v>
      </x:c>
      <x:c r="C2694" s="14" t="str">
        <x:v>report_first</x:v>
      </x:c>
      <x:c r="D2694" s="14" t="n">
        <x:v>-0.9</x:v>
      </x:c>
      <x:c r="E2694" s="14" t="n">
        <x:v>-0.49</x:v>
      </x:c>
      <x:c r="F2694" s="14" t="n">
        <x:v>0.41</x:v>
      </x:c>
      <x:c r="G2694" s="17" t="n">
        <x:v>1</x:v>
      </x:c>
      <x:c r="H2694" s="14" t="str">
        <x:v>S07-10:A:source_report</x:v>
      </x:c>
    </x:row>
    <x:row r="2695" ht="72" customHeight="1">
      <x:c r="A2695" s="14" t="str">
        <x:v>S07-10:A:report_tail</x:v>
      </x:c>
      <x:c r="B2695" s="14" t="str">
        <x:v>A</x:v>
      </x:c>
      <x:c r="C2695" s="14" t="str">
        <x:v>report_tail</x:v>
      </x:c>
      <x:c r="D2695" s="14" t="n">
        <x:v>-0.49</x:v>
      </x:c>
      <x:c r="E2695" s="14" t="n">
        <x:v>1.2235</x:v>
      </x:c>
      <x:c r="F2695" s="14" t="n">
        <x:v>1.7135</x:v>
      </x:c>
      <x:c r="G2695" s="17" t="n">
        <x:v>1</x:v>
      </x:c>
      <x:c r="H2695" s="14" t="str">
        <x:v>S07-10:A:report_first</x:v>
      </x:c>
    </x:row>
    <x:row r="2696" ht="72" customHeight="1">
      <x:c r="A2696" s="14" t="str">
        <x:v>S07-10:A:burst2_device</x:v>
      </x:c>
      <x:c r="B2696" s="14" t="str">
        <x:v>A</x:v>
      </x:c>
      <x:c r="C2696" s="14" t="str">
        <x:v>burst2_device</x:v>
      </x:c>
      <x:c r="D2696" s="14" t="n">
        <x:v>8.086333333</x:v>
      </x:c>
      <x:c r="E2696" s="14" t="n">
        <x:v>8.126333333</x:v>
      </x:c>
      <x:c r="F2696" s="14" t="n">
        <x:v>0.04</x:v>
      </x:c>
      <x:c r="G2696" s="17" t="n">
        <x:v>1</x:v>
      </x:c>
      <x:c r="H2696" s="14" t="str">
        <x:v>S07-10:A:burst1_played
S07-10:A:report_first</x:v>
      </x:c>
    </x:row>
    <x:row r="2697" ht="72" customHeight="1">
      <x:c r="A2697" s="14" t="str">
        <x:v>S07-10:A:burst2_played</x:v>
      </x:c>
      <x:c r="B2697" s="14" t="str">
        <x:v>A</x:v>
      </x:c>
      <x:c r="C2697" s="14" t="str">
        <x:v>burst2_played</x:v>
      </x:c>
      <x:c r="D2697" s="14" t="n">
        <x:v>8.126333333</x:v>
      </x:c>
      <x:c r="E2697" s="14" t="n">
        <x:v>15.180333333</x:v>
      </x:c>
      <x:c r="F2697" s="14" t="n">
        <x:v>7.054</x:v>
      </x:c>
      <x:c r="G2697" s="17" t="n">
        <x:v>0</x:v>
      </x:c>
      <x:c r="H2697" s="14" t="str">
        <x:v>S07-10:A:burst2_device</x:v>
      </x:c>
    </x:row>
    <x:row r="2698" ht="72" customHeight="1">
      <x:c r="A2698" s="14" t="str">
        <x:v>S07-10:B:origin</x:v>
      </x:c>
      <x:c r="B2698" s="14" t="str">
        <x:v>B</x:v>
      </x:c>
      <x:c r="C2698" s="14" t="str">
        <x:v>origin</x:v>
      </x:c>
      <x:c r="D2698" s="14" t="n">
        <x:v>-6</x:v>
      </x:c>
      <x:c r="E2698" s="14" t="n">
        <x:v>-6</x:v>
      </x:c>
      <x:c r="F2698" s="14" t="n">
        <x:v>0</x:v>
      </x:c>
      <x:c r="G2698" s="17" t="n">
        <x:v>0</x:v>
      </x:c>
      <x:c r="H2698" s="14" t="str"/>
    </x:row>
    <x:row r="2699" ht="72" customHeight="1">
      <x:c r="A2699" s="14" t="str">
        <x:v>S07-10:B:origin_interpretation</x:v>
      </x:c>
      <x:c r="B2699" s="14" t="str">
        <x:v>B</x:v>
      </x:c>
      <x:c r="C2699" s="14" t="str">
        <x:v>origin_interpretation</x:v>
      </x:c>
      <x:c r="D2699" s="14" t="n">
        <x:v>-6</x:v>
      </x:c>
      <x:c r="E2699" s="14" t="n">
        <x:v>-5.16</x:v>
      </x:c>
      <x:c r="F2699" s="14" t="n">
        <x:v>0.84</x:v>
      </x:c>
      <x:c r="G2699" s="17" t="n">
        <x:v>1</x:v>
      </x:c>
      <x:c r="H2699" s="14" t="str">
        <x:v>S07-10:B:origin</x:v>
      </x:c>
    </x:row>
    <x:row r="2700" ht="72" customHeight="1">
      <x:c r="A2700" s="14" t="str">
        <x:v>S07-10:B:original_handoff</x:v>
      </x:c>
      <x:c r="B2700" s="14" t="str">
        <x:v>B</x:v>
      </x:c>
      <x:c r="C2700" s="14" t="str">
        <x:v>original_handoff</x:v>
      </x:c>
      <x:c r="D2700" s="14" t="n">
        <x:v>-5.16</x:v>
      </x:c>
      <x:c r="E2700" s="14" t="n">
        <x:v>-5.04</x:v>
      </x:c>
      <x:c r="F2700" s="14" t="n">
        <x:v>0.12</x:v>
      </x:c>
      <x:c r="G2700" s="17" t="n">
        <x:v>1</x:v>
      </x:c>
      <x:c r="H2700" s="14" t="str">
        <x:v>S07-10:B:origin_interpretation</x:v>
      </x:c>
    </x:row>
    <x:row r="2701" ht="72" customHeight="1">
      <x:c r="A2701" s="14" t="str">
        <x:v>S07-10:B:evaluation_utterance_end</x:v>
      </x:c>
      <x:c r="B2701" s="14" t="str">
        <x:v>B</x:v>
      </x:c>
      <x:c r="C2701" s="14" t="str">
        <x:v>evaluation_utterance_end</x:v>
      </x:c>
      <x:c r="D2701" s="14" t="n">
        <x:v>-6</x:v>
      </x:c>
      <x:c r="E2701" s="14" t="n">
        <x:v>0</x:v>
      </x:c>
      <x:c r="F2701" s="14" t="n">
        <x:v>6</x:v>
      </x:c>
      <x:c r="G2701" s="17" t="n">
        <x:v>0</x:v>
      </x:c>
      <x:c r="H2701" s="14" t="str">
        <x:v>S07-10:B:origin</x:v>
      </x:c>
    </x:row>
    <x:row r="2702" ht="72" customHeight="1">
      <x:c r="A2702" s="14" t="str">
        <x:v>S07-10:B:final_transcript</x:v>
      </x:c>
      <x:c r="B2702" s="14" t="str">
        <x:v>B</x:v>
      </x:c>
      <x:c r="C2702" s="14" t="str">
        <x:v>final_transcript</x:v>
      </x:c>
      <x:c r="D2702" s="14" t="n">
        <x:v>0</x:v>
      </x:c>
      <x:c r="E2702" s="14" t="n">
        <x:v>0.3</x:v>
      </x:c>
      <x:c r="F2702" s="14" t="n">
        <x:v>0.3</x:v>
      </x:c>
      <x:c r="G2702" s="17" t="n">
        <x:v>1</x:v>
      </x:c>
      <x:c r="H2702" s="14" t="str">
        <x:v>S07-10:B:evaluation_utterance_end</x:v>
      </x:c>
    </x:row>
    <x:row r="2703" ht="72" customHeight="1">
      <x:c r="A2703" s="14" t="str">
        <x:v>S07-10:B:meaning_adoption</x:v>
      </x:c>
      <x:c r="B2703" s="14" t="str">
        <x:v>B</x:v>
      </x:c>
      <x:c r="C2703" s="14" t="str">
        <x:v>meaning_adoption</x:v>
      </x:c>
      <x:c r="D2703" s="14" t="n">
        <x:v>0.3</x:v>
      </x:c>
      <x:c r="E2703" s="14" t="n">
        <x:v>0.858333333</x:v>
      </x:c>
      <x:c r="F2703" s="14" t="n">
        <x:v>0.558333333</x:v>
      </x:c>
      <x:c r="G2703" s="17" t="n">
        <x:v>1</x:v>
      </x:c>
      <x:c r="H2703" s="14" t="str">
        <x:v>S07-10:B:final_transcript
S07-10:B:origin_interpretation</x:v>
      </x:c>
    </x:row>
    <x:row r="2704" ht="72" customHeight="1">
      <x:c r="A2704" s="14" t="str">
        <x:v>S07-10:B:apply_relation</x:v>
      </x:c>
      <x:c r="B2704" s="14" t="str">
        <x:v>B</x:v>
      </x:c>
      <x:c r="C2704" s="14" t="str">
        <x:v>apply_relation</x:v>
      </x:c>
      <x:c r="D2704" s="14" t="n">
        <x:v>0.858333333</x:v>
      </x:c>
      <x:c r="E2704" s="14" t="n">
        <x:v>0.898333333</x:v>
      </x:c>
      <x:c r="F2704" s="14" t="n">
        <x:v>0.04</x:v>
      </x:c>
      <x:c r="G2704" s="17" t="n">
        <x:v>1</x:v>
      </x:c>
      <x:c r="H2704" s="14" t="str">
        <x:v>S07-10:B:meaning_adoption</x:v>
      </x:c>
    </x:row>
    <x:row r="2705" ht="72" customHeight="1">
      <x:c r="A2705" s="14" t="str">
        <x:v>S07-10:B:evaluation_first_display</x:v>
      </x:c>
      <x:c r="B2705" s="14" t="str">
        <x:v>B</x:v>
      </x:c>
      <x:c r="C2705" s="14" t="str">
        <x:v>evaluation_first_display</x:v>
      </x:c>
      <x:c r="D2705" s="14" t="n">
        <x:v>0.898333333</x:v>
      </x:c>
      <x:c r="E2705" s="14" t="n">
        <x:v>0.938333333</x:v>
      </x:c>
      <x:c r="F2705" s="14" t="n">
        <x:v>0.04</x:v>
      </x:c>
      <x:c r="G2705" s="17" t="n">
        <x:v>1</x:v>
      </x:c>
      <x:c r="H2705" s="14" t="str">
        <x:v>S07-10:B:apply_relation</x:v>
      </x:c>
    </x:row>
    <x:row r="2706" ht="72" customHeight="1">
      <x:c r="A2706" s="14" t="str">
        <x:v>S07-10:B:source_calendar</x:v>
      </x:c>
      <x:c r="B2706" s="14" t="str">
        <x:v>B</x:v>
      </x:c>
      <x:c r="C2706" s="14" t="str">
        <x:v>source_calendar</x:v>
      </x:c>
      <x:c r="D2706" s="14" t="n">
        <x:v>-5.04</x:v>
      </x:c>
      <x:c r="E2706" s="14" t="n">
        <x:v>-1.4</x:v>
      </x:c>
      <x:c r="F2706" s="14" t="n">
        <x:v>3.64</x:v>
      </x:c>
      <x:c r="G2706" s="17" t="n">
        <x:v>0</x:v>
      </x:c>
      <x:c r="H2706" s="14" t="str">
        <x:v>S07-10:B:original_handoff</x:v>
      </x:c>
    </x:row>
    <x:row r="2707" ht="72" customHeight="1">
      <x:c r="A2707" s="14" t="str">
        <x:v>S07-10:B:display_calendar</x:v>
      </x:c>
      <x:c r="B2707" s="14" t="str">
        <x:v>B</x:v>
      </x:c>
      <x:c r="C2707" s="14" t="str">
        <x:v>display_calendar</x:v>
      </x:c>
      <x:c r="D2707" s="14" t="n">
        <x:v>-1.4</x:v>
      </x:c>
      <x:c r="E2707" s="14" t="n">
        <x:v>-1.36</x:v>
      </x:c>
      <x:c r="F2707" s="14" t="n">
        <x:v>0.04</x:v>
      </x:c>
      <x:c r="G2707" s="17" t="n">
        <x:v>1</x:v>
      </x:c>
      <x:c r="H2707" s="14" t="str">
        <x:v>S07-10:B:source_calendar</x:v>
      </x:c>
    </x:row>
    <x:row r="2708" ht="72" customHeight="1">
      <x:c r="A2708" s="14" t="str">
        <x:v>S07-10:B:source_mail</x:v>
      </x:c>
      <x:c r="B2708" s="14" t="str">
        <x:v>B</x:v>
      </x:c>
      <x:c r="C2708" s="14" t="str">
        <x:v>source_mail</x:v>
      </x:c>
      <x:c r="D2708" s="14" t="n">
        <x:v>-5.04</x:v>
      </x:c>
      <x:c r="E2708" s="14" t="n">
        <x:v>-1.2</x:v>
      </x:c>
      <x:c r="F2708" s="14" t="n">
        <x:v>3.84</x:v>
      </x:c>
      <x:c r="G2708" s="17" t="n">
        <x:v>0</x:v>
      </x:c>
      <x:c r="H2708" s="14" t="str">
        <x:v>S07-10:B:original_handoff</x:v>
      </x:c>
    </x:row>
    <x:row r="2709" ht="72" customHeight="1">
      <x:c r="A2709" s="14" t="str">
        <x:v>S07-10:B:display_mail</x:v>
      </x:c>
      <x:c r="B2709" s="14" t="str">
        <x:v>B</x:v>
      </x:c>
      <x:c r="C2709" s="14" t="str">
        <x:v>display_mail</x:v>
      </x:c>
      <x:c r="D2709" s="14" t="n">
        <x:v>-1.2</x:v>
      </x:c>
      <x:c r="E2709" s="14" t="n">
        <x:v>-1.16</x:v>
      </x:c>
      <x:c r="F2709" s="14" t="n">
        <x:v>0.04</x:v>
      </x:c>
      <x:c r="G2709" s="17" t="n">
        <x:v>1</x:v>
      </x:c>
      <x:c r="H2709" s="14" t="str">
        <x:v>S07-10:B:source_mail</x:v>
      </x:c>
    </x:row>
    <x:row r="2710" ht="72" customHeight="1">
      <x:c r="A2710" s="14" t="str">
        <x:v>S07-10:B:source_report</x:v>
      </x:c>
      <x:c r="B2710" s="14" t="str">
        <x:v>B</x:v>
      </x:c>
      <x:c r="C2710" s="14" t="str">
        <x:v>source_report</x:v>
      </x:c>
      <x:c r="D2710" s="14" t="n">
        <x:v>-5.04</x:v>
      </x:c>
      <x:c r="E2710" s="14" t="n">
        <x:v>-0.9</x:v>
      </x:c>
      <x:c r="F2710" s="14" t="n">
        <x:v>4.14</x:v>
      </x:c>
      <x:c r="G2710" s="17" t="n">
        <x:v>0</x:v>
      </x:c>
      <x:c r="H2710" s="14" t="str">
        <x:v>S07-10:B:original_handoff</x:v>
      </x:c>
    </x:row>
    <x:row r="2711" ht="72" customHeight="1">
      <x:c r="A2711" s="14" t="str">
        <x:v>S07-10:B:display_report</x:v>
      </x:c>
      <x:c r="B2711" s="14" t="str">
        <x:v>B</x:v>
      </x:c>
      <x:c r="C2711" s="14" t="str">
        <x:v>display_report</x:v>
      </x:c>
      <x:c r="D2711" s="14" t="n">
        <x:v>-0.9</x:v>
      </x:c>
      <x:c r="E2711" s="14" t="n">
        <x:v>-0.86</x:v>
      </x:c>
      <x:c r="F2711" s="14" t="n">
        <x:v>0.04</x:v>
      </x:c>
      <x:c r="G2711" s="17" t="n">
        <x:v>1</x:v>
      </x:c>
      <x:c r="H2711" s="14" t="str">
        <x:v>S07-10:B:source_report</x:v>
      </x:c>
    </x:row>
    <x:row r="2712" ht="72" customHeight="1">
      <x:c r="A2712" s="14" t="str">
        <x:v>S07-10:B:calendar_first</x:v>
      </x:c>
      <x:c r="B2712" s="14" t="str">
        <x:v>B</x:v>
      </x:c>
      <x:c r="C2712" s="14" t="str">
        <x:v>calendar_first</x:v>
      </x:c>
      <x:c r="D2712" s="14" t="n">
        <x:v>0.898333333</x:v>
      </x:c>
      <x:c r="E2712" s="14" t="n">
        <x:v>1.300666666</x:v>
      </x:c>
      <x:c r="F2712" s="14" t="n">
        <x:v>0.402333333</x:v>
      </x:c>
      <x:c r="G2712" s="17" t="n">
        <x:v>1</x:v>
      </x:c>
      <x:c r="H2712" s="14" t="str">
        <x:v>S07-10:B:apply_relation</x:v>
      </x:c>
    </x:row>
    <x:row r="2713" ht="72" customHeight="1">
      <x:c r="A2713" s="14" t="str">
        <x:v>S07-10:B:calendar_tail</x:v>
      </x:c>
      <x:c r="B2713" s="14" t="str">
        <x:v>B</x:v>
      </x:c>
      <x:c r="C2713" s="14" t="str">
        <x:v>calendar_tail</x:v>
      </x:c>
      <x:c r="D2713" s="14" t="n">
        <x:v>1.300666666</x:v>
      </x:c>
      <x:c r="E2713" s="14" t="n">
        <x:v>2.014166666</x:v>
      </x:c>
      <x:c r="F2713" s="14" t="n">
        <x:v>0.7135</x:v>
      </x:c>
      <x:c r="G2713" s="17" t="n">
        <x:v>1</x:v>
      </x:c>
      <x:c r="H2713" s="14" t="str">
        <x:v>S07-10:B:calendar_first</x:v>
      </x:c>
    </x:row>
    <x:row r="2714" ht="72" customHeight="1">
      <x:c r="A2714" s="14" t="str">
        <x:v>S07-10:B:burst0_device</x:v>
      </x:c>
      <x:c r="B2714" s="14" t="str">
        <x:v>B</x:v>
      </x:c>
      <x:c r="C2714" s="14" t="str">
        <x:v>burst0_device</x:v>
      </x:c>
      <x:c r="D2714" s="14" t="n">
        <x:v>1.300666666</x:v>
      </x:c>
      <x:c r="E2714" s="14" t="n">
        <x:v>1.340666666</x:v>
      </x:c>
      <x:c r="F2714" s="14" t="n">
        <x:v>0.04</x:v>
      </x:c>
      <x:c r="G2714" s="17" t="n">
        <x:v>1</x:v>
      </x:c>
      <x:c r="H2714" s="14" t="str">
        <x:v>S07-10:B:apply_relation
S07-10:B:calendar_first</x:v>
      </x:c>
    </x:row>
    <x:row r="2715" ht="72" customHeight="1">
      <x:c r="A2715" s="14" t="str">
        <x:v>S07-10:B:burst0_played</x:v>
      </x:c>
      <x:c r="B2715" s="14" t="str">
        <x:v>B</x:v>
      </x:c>
      <x:c r="C2715" s="14" t="str">
        <x:v>burst0_played</x:v>
      </x:c>
      <x:c r="D2715" s="14" t="n">
        <x:v>1.340666666</x:v>
      </x:c>
      <x:c r="E2715" s="14" t="n">
        <x:v>4.394666666</x:v>
      </x:c>
      <x:c r="F2715" s="14" t="n">
        <x:v>3.054</x:v>
      </x:c>
      <x:c r="G2715" s="17" t="n">
        <x:v>0</x:v>
      </x:c>
      <x:c r="H2715" s="14" t="str">
        <x:v>S07-10:B:burst0_device</x:v>
      </x:c>
    </x:row>
    <x:row r="2716" ht="72" customHeight="1">
      <x:c r="A2716" s="14" t="str">
        <x:v>S07-10:B:mail_first</x:v>
      </x:c>
      <x:c r="B2716" s="14" t="str">
        <x:v>B</x:v>
      </x:c>
      <x:c r="C2716" s="14" t="str">
        <x:v>mail_first</x:v>
      </x:c>
      <x:c r="D2716" s="14" t="n">
        <x:v>4.394666666</x:v>
      </x:c>
      <x:c r="E2716" s="14" t="n">
        <x:v>4.800666666</x:v>
      </x:c>
      <x:c r="F2716" s="14" t="n">
        <x:v>0.406</x:v>
      </x:c>
      <x:c r="G2716" s="17" t="n">
        <x:v>1</x:v>
      </x:c>
      <x:c r="H2716" s="14" t="str">
        <x:v>S07-10:B:burst0_played</x:v>
      </x:c>
    </x:row>
    <x:row r="2717" ht="72" customHeight="1">
      <x:c r="A2717" s="14" t="str">
        <x:v>S07-10:B:mail_tail</x:v>
      </x:c>
      <x:c r="B2717" s="14" t="str">
        <x:v>B</x:v>
      </x:c>
      <x:c r="C2717" s="14" t="str">
        <x:v>mail_tail</x:v>
      </x:c>
      <x:c r="D2717" s="14" t="n">
        <x:v>4.800666666</x:v>
      </x:c>
      <x:c r="E2717" s="14" t="n">
        <x:v>5.764166666</x:v>
      </x:c>
      <x:c r="F2717" s="14" t="n">
        <x:v>0.9635</x:v>
      </x:c>
      <x:c r="G2717" s="17" t="n">
        <x:v>1</x:v>
      </x:c>
      <x:c r="H2717" s="14" t="str">
        <x:v>S07-10:B:mail_first</x:v>
      </x:c>
    </x:row>
    <x:row r="2718" ht="72" customHeight="1">
      <x:c r="A2718" s="14" t="str">
        <x:v>S07-10:B:burst1_device</x:v>
      </x:c>
      <x:c r="B2718" s="14" t="str">
        <x:v>B</x:v>
      </x:c>
      <x:c r="C2718" s="14" t="str">
        <x:v>burst1_device</x:v>
      </x:c>
      <x:c r="D2718" s="14" t="n">
        <x:v>4.800666666</x:v>
      </x:c>
      <x:c r="E2718" s="14" t="n">
        <x:v>4.840666666</x:v>
      </x:c>
      <x:c r="F2718" s="14" t="n">
        <x:v>0.04</x:v>
      </x:c>
      <x:c r="G2718" s="17" t="n">
        <x:v>1</x:v>
      </x:c>
      <x:c r="H2718" s="14" t="str">
        <x:v>S07-10:B:burst0_played
S07-10:B:mail_first</x:v>
      </x:c>
    </x:row>
    <x:row r="2719" ht="72" customHeight="1">
      <x:c r="A2719" s="14" t="str">
        <x:v>S07-10:B:burst1_played</x:v>
      </x:c>
      <x:c r="B2719" s="14" t="str">
        <x:v>B</x:v>
      </x:c>
      <x:c r="C2719" s="14" t="str">
        <x:v>burst1_played</x:v>
      </x:c>
      <x:c r="D2719" s="14" t="n">
        <x:v>4.840666666</x:v>
      </x:c>
      <x:c r="E2719" s="14" t="n">
        <x:v>8.894666666</x:v>
      </x:c>
      <x:c r="F2719" s="14" t="n">
        <x:v>4.054</x:v>
      </x:c>
      <x:c r="G2719" s="17" t="n">
        <x:v>0</x:v>
      </x:c>
      <x:c r="H2719" s="14" t="str">
        <x:v>S07-10:B:burst1_device</x:v>
      </x:c>
    </x:row>
    <x:row r="2720" ht="72" customHeight="1">
      <x:c r="A2720" s="14" t="str">
        <x:v>S07-10:B:report_first</x:v>
      </x:c>
      <x:c r="B2720" s="14" t="str">
        <x:v>B</x:v>
      </x:c>
      <x:c r="C2720" s="14" t="str">
        <x:v>report_first</x:v>
      </x:c>
      <x:c r="D2720" s="14" t="n">
        <x:v>8.894666666</x:v>
      </x:c>
      <x:c r="E2720" s="14" t="n">
        <x:v>9.304666666</x:v>
      </x:c>
      <x:c r="F2720" s="14" t="n">
        <x:v>0.41</x:v>
      </x:c>
      <x:c r="G2720" s="17" t="n">
        <x:v>1</x:v>
      </x:c>
      <x:c r="H2720" s="14" t="str">
        <x:v>S07-10:B:burst1_played</x:v>
      </x:c>
    </x:row>
    <x:row r="2721" ht="72" customHeight="1">
      <x:c r="A2721" s="14" t="str">
        <x:v>S07-10:B:report_tail</x:v>
      </x:c>
      <x:c r="B2721" s="14" t="str">
        <x:v>B</x:v>
      </x:c>
      <x:c r="C2721" s="14" t="str">
        <x:v>report_tail</x:v>
      </x:c>
      <x:c r="D2721" s="14" t="n">
        <x:v>9.304666666</x:v>
      </x:c>
      <x:c r="E2721" s="14" t="n">
        <x:v>11.018166666</x:v>
      </x:c>
      <x:c r="F2721" s="14" t="n">
        <x:v>1.7135</x:v>
      </x:c>
      <x:c r="G2721" s="17" t="n">
        <x:v>1</x:v>
      </x:c>
      <x:c r="H2721" s="14" t="str">
        <x:v>S07-10:B:report_first</x:v>
      </x:c>
    </x:row>
    <x:row r="2722" ht="72" customHeight="1">
      <x:c r="A2722" s="14" t="str">
        <x:v>S07-10:B:burst2_device</x:v>
      </x:c>
      <x:c r="B2722" s="14" t="str">
        <x:v>B</x:v>
      </x:c>
      <x:c r="C2722" s="14" t="str">
        <x:v>burst2_device</x:v>
      </x:c>
      <x:c r="D2722" s="14" t="n">
        <x:v>9.304666666</x:v>
      </x:c>
      <x:c r="E2722" s="14" t="n">
        <x:v>9.344666666</x:v>
      </x:c>
      <x:c r="F2722" s="14" t="n">
        <x:v>0.04</x:v>
      </x:c>
      <x:c r="G2722" s="17" t="n">
        <x:v>1</x:v>
      </x:c>
      <x:c r="H2722" s="14" t="str">
        <x:v>S07-10:B:burst1_played
S07-10:B:report_first</x:v>
      </x:c>
    </x:row>
    <x:row r="2723" ht="72" customHeight="1">
      <x:c r="A2723" s="14" t="str">
        <x:v>S07-10:B:burst2_played</x:v>
      </x:c>
      <x:c r="B2723" s="14" t="str">
        <x:v>B</x:v>
      </x:c>
      <x:c r="C2723" s="14" t="str">
        <x:v>burst2_played</x:v>
      </x:c>
      <x:c r="D2723" s="14" t="n">
        <x:v>9.344666666</x:v>
      </x:c>
      <x:c r="E2723" s="14" t="n">
        <x:v>16.398666666</x:v>
      </x:c>
      <x:c r="F2723" s="14" t="n">
        <x:v>7.054</x:v>
      </x:c>
      <x:c r="G2723" s="17" t="n">
        <x:v>0</x:v>
      </x:c>
      <x:c r="H2723" s="14" t="str">
        <x:v>S07-10:B:burst2_device</x:v>
      </x:c>
    </x:row>
    <x:row r="2724" ht="72" customHeight="1">
      <x:c r="A2724" s="14" t="str">
        <x:v>S08-01:A:origin</x:v>
      </x:c>
      <x:c r="B2724" s="14" t="str">
        <x:v>A</x:v>
      </x:c>
      <x:c r="C2724" s="14" t="str">
        <x:v>origin</x:v>
      </x:c>
      <x:c r="D2724" s="14" t="n">
        <x:v>-6</x:v>
      </x:c>
      <x:c r="E2724" s="14" t="n">
        <x:v>-6</x:v>
      </x:c>
      <x:c r="F2724" s="14" t="n">
        <x:v>0</x:v>
      </x:c>
      <x:c r="G2724" s="17" t="n">
        <x:v>0</x:v>
      </x:c>
      <x:c r="H2724" s="14" t="str"/>
    </x:row>
    <x:row r="2725" ht="72" customHeight="1">
      <x:c r="A2725" s="14" t="str">
        <x:v>S08-01:A:origin_interpretation</x:v>
      </x:c>
      <x:c r="B2725" s="14" t="str">
        <x:v>A</x:v>
      </x:c>
      <x:c r="C2725" s="14" t="str">
        <x:v>origin_interpretation</x:v>
      </x:c>
      <x:c r="D2725" s="14" t="n">
        <x:v>-6</x:v>
      </x:c>
      <x:c r="E2725" s="14" t="n">
        <x:v>-5.16</x:v>
      </x:c>
      <x:c r="F2725" s="14" t="n">
        <x:v>0.84</x:v>
      </x:c>
      <x:c r="G2725" s="17" t="n">
        <x:v>1</x:v>
      </x:c>
      <x:c r="H2725" s="14" t="str">
        <x:v>S08-01:A:origin</x:v>
      </x:c>
    </x:row>
    <x:row r="2726" ht="72" customHeight="1">
      <x:c r="A2726" s="14" t="str">
        <x:v>S08-01:A:original_handoff</x:v>
      </x:c>
      <x:c r="B2726" s="14" t="str">
        <x:v>A</x:v>
      </x:c>
      <x:c r="C2726" s="14" t="str">
        <x:v>original_handoff</x:v>
      </x:c>
      <x:c r="D2726" s="14" t="n">
        <x:v>-5.16</x:v>
      </x:c>
      <x:c r="E2726" s="14" t="n">
        <x:v>-5.04</x:v>
      </x:c>
      <x:c r="F2726" s="14" t="n">
        <x:v>0.12</x:v>
      </x:c>
      <x:c r="G2726" s="17" t="n">
        <x:v>1</x:v>
      </x:c>
      <x:c r="H2726" s="14" t="str">
        <x:v>S08-01:A:origin_interpretation</x:v>
      </x:c>
    </x:row>
    <x:row r="2727" ht="72" customHeight="1">
      <x:c r="A2727" s="14" t="str">
        <x:v>S08-01:A:evaluation_utterance_end</x:v>
      </x:c>
      <x:c r="B2727" s="14" t="str">
        <x:v>A</x:v>
      </x:c>
      <x:c r="C2727" s="14" t="str">
        <x:v>evaluation_utterance_end</x:v>
      </x:c>
      <x:c r="D2727" s="14" t="n">
        <x:v>-6</x:v>
      </x:c>
      <x:c r="E2727" s="14" t="n">
        <x:v>0</x:v>
      </x:c>
      <x:c r="F2727" s="14" t="n">
        <x:v>6</x:v>
      </x:c>
      <x:c r="G2727" s="17" t="n">
        <x:v>0</x:v>
      </x:c>
      <x:c r="H2727" s="14" t="str">
        <x:v>S08-01:A:origin</x:v>
      </x:c>
    </x:row>
    <x:row r="2728" ht="72" customHeight="1">
      <x:c r="A2728" s="14" t="str">
        <x:v>S08-01:A:final_transcript</x:v>
      </x:c>
      <x:c r="B2728" s="14" t="str">
        <x:v>A</x:v>
      </x:c>
      <x:c r="C2728" s="14" t="str">
        <x:v>final_transcript</x:v>
      </x:c>
      <x:c r="D2728" s="14" t="n">
        <x:v>0</x:v>
      </x:c>
      <x:c r="E2728" s="14" t="n">
        <x:v>0.3</x:v>
      </x:c>
      <x:c r="F2728" s="14" t="n">
        <x:v>0.3</x:v>
      </x:c>
      <x:c r="G2728" s="17" t="n">
        <x:v>1</x:v>
      </x:c>
      <x:c r="H2728" s="14" t="str">
        <x:v>S08-01:A:evaluation_utterance_end</x:v>
      </x:c>
    </x:row>
    <x:row r="2729" ht="72" customHeight="1">
      <x:c r="A2729" s="14" t="str">
        <x:v>S08-01:A:meaning_adoption</x:v>
      </x:c>
      <x:c r="B2729" s="14" t="str">
        <x:v>A</x:v>
      </x:c>
      <x:c r="C2729" s="14" t="str">
        <x:v>meaning_adoption</x:v>
      </x:c>
      <x:c r="D2729" s="14" t="n">
        <x:v>0.3</x:v>
      </x:c>
      <x:c r="E2729" s="14" t="n">
        <x:v>0.828333333</x:v>
      </x:c>
      <x:c r="F2729" s="14" t="n">
        <x:v>0.528333333</x:v>
      </x:c>
      <x:c r="G2729" s="17" t="n">
        <x:v>1</x:v>
      </x:c>
      <x:c r="H2729" s="14" t="str">
        <x:v>S08-01:A:final_transcript
S08-01:A:origin_interpretation</x:v>
      </x:c>
    </x:row>
    <x:row r="2730" ht="72" customHeight="1">
      <x:c r="A2730" s="14" t="str">
        <x:v>S08-01:A:apply_relation</x:v>
      </x:c>
      <x:c r="B2730" s="14" t="str">
        <x:v>A</x:v>
      </x:c>
      <x:c r="C2730" s="14" t="str">
        <x:v>apply_relation</x:v>
      </x:c>
      <x:c r="D2730" s="14" t="n">
        <x:v>0.828333333</x:v>
      </x:c>
      <x:c r="E2730" s="14" t="n">
        <x:v>0.868333333</x:v>
      </x:c>
      <x:c r="F2730" s="14" t="n">
        <x:v>0.04</x:v>
      </x:c>
      <x:c r="G2730" s="17" t="n">
        <x:v>1</x:v>
      </x:c>
      <x:c r="H2730" s="14" t="str">
        <x:v>S08-01:A:meaning_adoption</x:v>
      </x:c>
    </x:row>
    <x:row r="2731" ht="72" customHeight="1">
      <x:c r="A2731" s="14" t="str">
        <x:v>S08-01:A:evaluation_first_display</x:v>
      </x:c>
      <x:c r="B2731" s="14" t="str">
        <x:v>A</x:v>
      </x:c>
      <x:c r="C2731" s="14" t="str">
        <x:v>evaluation_first_display</x:v>
      </x:c>
      <x:c r="D2731" s="14" t="n">
        <x:v>0.868333333</x:v>
      </x:c>
      <x:c r="E2731" s="14" t="n">
        <x:v>0.908333333</x:v>
      </x:c>
      <x:c r="F2731" s="14" t="n">
        <x:v>0.04</x:v>
      </x:c>
      <x:c r="G2731" s="17" t="n">
        <x:v>1</x:v>
      </x:c>
      <x:c r="H2731" s="14" t="str">
        <x:v>S08-01:A:apply_relation</x:v>
      </x:c>
    </x:row>
    <x:row r="2732" ht="72" customHeight="1">
      <x:c r="A2732" s="14" t="str">
        <x:v>S08-01:A:source_question</x:v>
      </x:c>
      <x:c r="B2732" s="14" t="str">
        <x:v>A</x:v>
      </x:c>
      <x:c r="C2732" s="14" t="str">
        <x:v>source_question</x:v>
      </x:c>
      <x:c r="D2732" s="14" t="n">
        <x:v>-5.04</x:v>
      </x:c>
      <x:c r="E2732" s="14" t="n">
        <x:v>0.818333333</x:v>
      </x:c>
      <x:c r="F2732" s="14" t="n">
        <x:v>5.858333333</x:v>
      </x:c>
      <x:c r="G2732" s="17" t="n">
        <x:v>0</x:v>
      </x:c>
      <x:c r="H2732" s="14" t="str">
        <x:v>S08-01:A:original_handoff</x:v>
      </x:c>
    </x:row>
    <x:row r="2733" ht="72" customHeight="1">
      <x:c r="A2733" s="14" t="str">
        <x:v>S08-01:A:display_question</x:v>
      </x:c>
      <x:c r="B2733" s="14" t="str">
        <x:v>A</x:v>
      </x:c>
      <x:c r="C2733" s="14" t="str">
        <x:v>display_question</x:v>
      </x:c>
      <x:c r="D2733" s="14" t="n">
        <x:v>0.818333333</x:v>
      </x:c>
      <x:c r="E2733" s="14" t="n">
        <x:v>0.858333333</x:v>
      </x:c>
      <x:c r="F2733" s="14" t="n">
        <x:v>0.04</x:v>
      </x:c>
      <x:c r="G2733" s="17" t="n">
        <x:v>1</x:v>
      </x:c>
      <x:c r="H2733" s="14" t="str">
        <x:v>S08-01:A:source_question</x:v>
      </x:c>
    </x:row>
    <x:row r="2734" ht="72" customHeight="1">
      <x:c r="A2734" s="14" t="str">
        <x:v>S08-01:A:select_question</x:v>
      </x:c>
      <x:c r="B2734" s="14" t="str">
        <x:v>A</x:v>
      </x:c>
      <x:c r="C2734" s="14" t="str">
        <x:v>select_question</x:v>
      </x:c>
      <x:c r="D2734" s="14" t="n">
        <x:v>0.868333333</x:v>
      </x:c>
      <x:c r="E2734" s="14" t="n">
        <x:v>0.868333333</x:v>
      </x:c>
      <x:c r="F2734" s="14" t="n">
        <x:v>0</x:v>
      </x:c>
      <x:c r="G2734" s="17" t="n">
        <x:v>1</x:v>
      </x:c>
      <x:c r="H2734" s="14" t="str">
        <x:v>S08-01:A:apply_relation
S08-01:A:source_question</x:v>
      </x:c>
    </x:row>
    <x:row r="2735" ht="72" customHeight="1">
      <x:c r="A2735" s="14" t="str">
        <x:v>S08-01:A:question_first</x:v>
      </x:c>
      <x:c r="B2735" s="14" t="str">
        <x:v>A</x:v>
      </x:c>
      <x:c r="C2735" s="14" t="str">
        <x:v>question_first</x:v>
      </x:c>
      <x:c r="D2735" s="14" t="n">
        <x:v>0.818333333</x:v>
      </x:c>
      <x:c r="E2735" s="14" t="n">
        <x:v>1.219333333</x:v>
      </x:c>
      <x:c r="F2735" s="14" t="n">
        <x:v>0.401</x:v>
      </x:c>
      <x:c r="G2735" s="17" t="n">
        <x:v>1</x:v>
      </x:c>
      <x:c r="H2735" s="14" t="str">
        <x:v>S08-01:A:source_question</x:v>
      </x:c>
    </x:row>
    <x:row r="2736" ht="72" customHeight="1">
      <x:c r="A2736" s="14" t="str">
        <x:v>S08-01:A:question_tail</x:v>
      </x:c>
      <x:c r="B2736" s="14" t="str">
        <x:v>A</x:v>
      </x:c>
      <x:c r="C2736" s="14" t="str">
        <x:v>question_tail</x:v>
      </x:c>
      <x:c r="D2736" s="14" t="n">
        <x:v>1.219333333</x:v>
      </x:c>
      <x:c r="E2736" s="14" t="n">
        <x:v>1.855833333</x:v>
      </x:c>
      <x:c r="F2736" s="14" t="n">
        <x:v>0.6365</x:v>
      </x:c>
      <x:c r="G2736" s="17" t="n">
        <x:v>1</x:v>
      </x:c>
      <x:c r="H2736" s="14" t="str">
        <x:v>S08-01:A:question_first</x:v>
      </x:c>
    </x:row>
    <x:row r="2737" ht="72" customHeight="1">
      <x:c r="A2737" s="14" t="str">
        <x:v>S08-01:A:question_device</x:v>
      </x:c>
      <x:c r="B2737" s="14" t="str">
        <x:v>A</x:v>
      </x:c>
      <x:c r="C2737" s="14" t="str">
        <x:v>question_device</x:v>
      </x:c>
      <x:c r="D2737" s="14" t="n">
        <x:v>1.219333333</x:v>
      </x:c>
      <x:c r="E2737" s="14" t="n">
        <x:v>1.259333333</x:v>
      </x:c>
      <x:c r="F2737" s="14" t="n">
        <x:v>0.04</x:v>
      </x:c>
      <x:c r="G2737" s="17" t="n">
        <x:v>1</x:v>
      </x:c>
      <x:c r="H2737" s="14" t="str">
        <x:v>S08-01:A:select_question
S08-01:A:question_first</x:v>
      </x:c>
    </x:row>
    <x:row r="2738" ht="72" customHeight="1">
      <x:c r="A2738" s="14" t="str">
        <x:v>S08-01:A:question_played</x:v>
      </x:c>
      <x:c r="B2738" s="14" t="str">
        <x:v>A</x:v>
      </x:c>
      <x:c r="C2738" s="14" t="str">
        <x:v>question_played</x:v>
      </x:c>
      <x:c r="D2738" s="14" t="n">
        <x:v>1.259333333</x:v>
      </x:c>
      <x:c r="E2738" s="14" t="n">
        <x:v>4.005333333</x:v>
      </x:c>
      <x:c r="F2738" s="14" t="n">
        <x:v>2.746</x:v>
      </x:c>
      <x:c r="G2738" s="17" t="n">
        <x:v>0</x:v>
      </x:c>
      <x:c r="H2738" s="14" t="str">
        <x:v>S08-01:A:question_device</x:v>
      </x:c>
    </x:row>
    <x:row r="2739" ht="72" customHeight="1">
      <x:c r="A2739" s="14" t="str">
        <x:v>S08-01:B:origin</x:v>
      </x:c>
      <x:c r="B2739" s="14" t="str">
        <x:v>B</x:v>
      </x:c>
      <x:c r="C2739" s="14" t="str">
        <x:v>origin</x:v>
      </x:c>
      <x:c r="D2739" s="14" t="n">
        <x:v>-6</x:v>
      </x:c>
      <x:c r="E2739" s="14" t="n">
        <x:v>-6</x:v>
      </x:c>
      <x:c r="F2739" s="14" t="n">
        <x:v>0</x:v>
      </x:c>
      <x:c r="G2739" s="17" t="n">
        <x:v>0</x:v>
      </x:c>
      <x:c r="H2739" s="14" t="str"/>
    </x:row>
    <x:row r="2740" ht="72" customHeight="1">
      <x:c r="A2740" s="14" t="str">
        <x:v>S08-01:B:origin_interpretation</x:v>
      </x:c>
      <x:c r="B2740" s="14" t="str">
        <x:v>B</x:v>
      </x:c>
      <x:c r="C2740" s="14" t="str">
        <x:v>origin_interpretation</x:v>
      </x:c>
      <x:c r="D2740" s="14" t="n">
        <x:v>-6</x:v>
      </x:c>
      <x:c r="E2740" s="14" t="n">
        <x:v>-5.16</x:v>
      </x:c>
      <x:c r="F2740" s="14" t="n">
        <x:v>0.84</x:v>
      </x:c>
      <x:c r="G2740" s="17" t="n">
        <x:v>1</x:v>
      </x:c>
      <x:c r="H2740" s="14" t="str">
        <x:v>S08-01:B:origin</x:v>
      </x:c>
    </x:row>
    <x:row r="2741" ht="72" customHeight="1">
      <x:c r="A2741" s="14" t="str">
        <x:v>S08-01:B:original_handoff</x:v>
      </x:c>
      <x:c r="B2741" s="14" t="str">
        <x:v>B</x:v>
      </x:c>
      <x:c r="C2741" s="14" t="str">
        <x:v>original_handoff</x:v>
      </x:c>
      <x:c r="D2741" s="14" t="n">
        <x:v>-5.16</x:v>
      </x:c>
      <x:c r="E2741" s="14" t="n">
        <x:v>-5.04</x:v>
      </x:c>
      <x:c r="F2741" s="14" t="n">
        <x:v>0.12</x:v>
      </x:c>
      <x:c r="G2741" s="17" t="n">
        <x:v>1</x:v>
      </x:c>
      <x:c r="H2741" s="14" t="str">
        <x:v>S08-01:B:origin_interpretation</x:v>
      </x:c>
    </x:row>
    <x:row r="2742" ht="72" customHeight="1">
      <x:c r="A2742" s="14" t="str">
        <x:v>S08-01:B:evaluation_utterance_end</x:v>
      </x:c>
      <x:c r="B2742" s="14" t="str">
        <x:v>B</x:v>
      </x:c>
      <x:c r="C2742" s="14" t="str">
        <x:v>evaluation_utterance_end</x:v>
      </x:c>
      <x:c r="D2742" s="14" t="n">
        <x:v>-6</x:v>
      </x:c>
      <x:c r="E2742" s="14" t="n">
        <x:v>0</x:v>
      </x:c>
      <x:c r="F2742" s="14" t="n">
        <x:v>6</x:v>
      </x:c>
      <x:c r="G2742" s="17" t="n">
        <x:v>0</x:v>
      </x:c>
      <x:c r="H2742" s="14" t="str">
        <x:v>S08-01:B:origin</x:v>
      </x:c>
    </x:row>
    <x:row r="2743" ht="72" customHeight="1">
      <x:c r="A2743" s="14" t="str">
        <x:v>S08-01:B:final_transcript</x:v>
      </x:c>
      <x:c r="B2743" s="14" t="str">
        <x:v>B</x:v>
      </x:c>
      <x:c r="C2743" s="14" t="str">
        <x:v>final_transcript</x:v>
      </x:c>
      <x:c r="D2743" s="14" t="n">
        <x:v>0</x:v>
      </x:c>
      <x:c r="E2743" s="14" t="n">
        <x:v>0.3</x:v>
      </x:c>
      <x:c r="F2743" s="14" t="n">
        <x:v>0.3</x:v>
      </x:c>
      <x:c r="G2743" s="17" t="n">
        <x:v>1</x:v>
      </x:c>
      <x:c r="H2743" s="14" t="str">
        <x:v>S08-01:B:evaluation_utterance_end</x:v>
      </x:c>
    </x:row>
    <x:row r="2744" ht="72" customHeight="1">
      <x:c r="A2744" s="14" t="str">
        <x:v>S08-01:B:meaning_adoption</x:v>
      </x:c>
      <x:c r="B2744" s="14" t="str">
        <x:v>B</x:v>
      </x:c>
      <x:c r="C2744" s="14" t="str">
        <x:v>meaning_adoption</x:v>
      </x:c>
      <x:c r="D2744" s="14" t="n">
        <x:v>0.3</x:v>
      </x:c>
      <x:c r="E2744" s="14" t="n">
        <x:v>0.828333333</x:v>
      </x:c>
      <x:c r="F2744" s="14" t="n">
        <x:v>0.528333333</x:v>
      </x:c>
      <x:c r="G2744" s="17" t="n">
        <x:v>1</x:v>
      </x:c>
      <x:c r="H2744" s="14" t="str">
        <x:v>S08-01:B:final_transcript
S08-01:B:origin_interpretation</x:v>
      </x:c>
    </x:row>
    <x:row r="2745" ht="72" customHeight="1">
      <x:c r="A2745" s="14" t="str">
        <x:v>S08-01:B:apply_relation</x:v>
      </x:c>
      <x:c r="B2745" s="14" t="str">
        <x:v>B</x:v>
      </x:c>
      <x:c r="C2745" s="14" t="str">
        <x:v>apply_relation</x:v>
      </x:c>
      <x:c r="D2745" s="14" t="n">
        <x:v>0.828333333</x:v>
      </x:c>
      <x:c r="E2745" s="14" t="n">
        <x:v>0.868333333</x:v>
      </x:c>
      <x:c r="F2745" s="14" t="n">
        <x:v>0.04</x:v>
      </x:c>
      <x:c r="G2745" s="17" t="n">
        <x:v>1</x:v>
      </x:c>
      <x:c r="H2745" s="14" t="str">
        <x:v>S08-01:B:meaning_adoption</x:v>
      </x:c>
    </x:row>
    <x:row r="2746" ht="72" customHeight="1">
      <x:c r="A2746" s="14" t="str">
        <x:v>S08-01:B:evaluation_first_display</x:v>
      </x:c>
      <x:c r="B2746" s="14" t="str">
        <x:v>B</x:v>
      </x:c>
      <x:c r="C2746" s="14" t="str">
        <x:v>evaluation_first_display</x:v>
      </x:c>
      <x:c r="D2746" s="14" t="n">
        <x:v>0.868333333</x:v>
      </x:c>
      <x:c r="E2746" s="14" t="n">
        <x:v>0.908333333</x:v>
      </x:c>
      <x:c r="F2746" s="14" t="n">
        <x:v>0.04</x:v>
      </x:c>
      <x:c r="G2746" s="17" t="n">
        <x:v>1</x:v>
      </x:c>
      <x:c r="H2746" s="14" t="str">
        <x:v>S08-01:B:apply_relation</x:v>
      </x:c>
    </x:row>
    <x:row r="2747" ht="72" customHeight="1">
      <x:c r="A2747" s="14" t="str">
        <x:v>S08-01:B:source_question</x:v>
      </x:c>
      <x:c r="B2747" s="14" t="str">
        <x:v>B</x:v>
      </x:c>
      <x:c r="C2747" s="14" t="str">
        <x:v>source_question</x:v>
      </x:c>
      <x:c r="D2747" s="14" t="n">
        <x:v>-5.04</x:v>
      </x:c>
      <x:c r="E2747" s="14" t="n">
        <x:v>0.818333333</x:v>
      </x:c>
      <x:c r="F2747" s="14" t="n">
        <x:v>5.858333333</x:v>
      </x:c>
      <x:c r="G2747" s="17" t="n">
        <x:v>0</x:v>
      </x:c>
      <x:c r="H2747" s="14" t="str">
        <x:v>S08-01:B:original_handoff</x:v>
      </x:c>
    </x:row>
    <x:row r="2748" ht="72" customHeight="1">
      <x:c r="A2748" s="14" t="str">
        <x:v>S08-01:B:display_question</x:v>
      </x:c>
      <x:c r="B2748" s="14" t="str">
        <x:v>B</x:v>
      </x:c>
      <x:c r="C2748" s="14" t="str">
        <x:v>display_question</x:v>
      </x:c>
      <x:c r="D2748" s="14" t="n">
        <x:v>0.818333333</x:v>
      </x:c>
      <x:c r="E2748" s="14" t="n">
        <x:v>0.858333333</x:v>
      </x:c>
      <x:c r="F2748" s="14" t="n">
        <x:v>0.04</x:v>
      </x:c>
      <x:c r="G2748" s="17" t="n">
        <x:v>1</x:v>
      </x:c>
      <x:c r="H2748" s="14" t="str">
        <x:v>S08-01:B:source_question</x:v>
      </x:c>
    </x:row>
    <x:row r="2749" ht="72" customHeight="1">
      <x:c r="A2749" s="14" t="str">
        <x:v>S08-01:B:select_question</x:v>
      </x:c>
      <x:c r="B2749" s="14" t="str">
        <x:v>B</x:v>
      </x:c>
      <x:c r="C2749" s="14" t="str">
        <x:v>select_question</x:v>
      </x:c>
      <x:c r="D2749" s="14" t="n">
        <x:v>0.868333333</x:v>
      </x:c>
      <x:c r="E2749" s="14" t="n">
        <x:v>0.868333333</x:v>
      </x:c>
      <x:c r="F2749" s="14" t="n">
        <x:v>0</x:v>
      </x:c>
      <x:c r="G2749" s="17" t="n">
        <x:v>1</x:v>
      </x:c>
      <x:c r="H2749" s="14" t="str">
        <x:v>S08-01:B:apply_relation
S08-01:B:source_question</x:v>
      </x:c>
    </x:row>
    <x:row r="2750" ht="72" customHeight="1">
      <x:c r="A2750" s="14" t="str">
        <x:v>S08-01:B:question_first</x:v>
      </x:c>
      <x:c r="B2750" s="14" t="str">
        <x:v>B</x:v>
      </x:c>
      <x:c r="C2750" s="14" t="str">
        <x:v>question_first</x:v>
      </x:c>
      <x:c r="D2750" s="14" t="n">
        <x:v>0.868333333</x:v>
      </x:c>
      <x:c r="E2750" s="14" t="n">
        <x:v>1.269333333</x:v>
      </x:c>
      <x:c r="F2750" s="14" t="n">
        <x:v>0.401</x:v>
      </x:c>
      <x:c r="G2750" s="17" t="n">
        <x:v>1</x:v>
      </x:c>
      <x:c r="H2750" s="14" t="str">
        <x:v>S08-01:B:select_question</x:v>
      </x:c>
    </x:row>
    <x:row r="2751" ht="72" customHeight="1">
      <x:c r="A2751" s="14" t="str">
        <x:v>S08-01:B:question_tail</x:v>
      </x:c>
      <x:c r="B2751" s="14" t="str">
        <x:v>B</x:v>
      </x:c>
      <x:c r="C2751" s="14" t="str">
        <x:v>question_tail</x:v>
      </x:c>
      <x:c r="D2751" s="14" t="n">
        <x:v>1.269333333</x:v>
      </x:c>
      <x:c r="E2751" s="14" t="n">
        <x:v>1.905833333</x:v>
      </x:c>
      <x:c r="F2751" s="14" t="n">
        <x:v>0.6365</x:v>
      </x:c>
      <x:c r="G2751" s="17" t="n">
        <x:v>1</x:v>
      </x:c>
      <x:c r="H2751" s="14" t="str">
        <x:v>S08-01:B:question_first</x:v>
      </x:c>
    </x:row>
    <x:row r="2752" ht="72" customHeight="1">
      <x:c r="A2752" s="14" t="str">
        <x:v>S08-01:B:question_device</x:v>
      </x:c>
      <x:c r="B2752" s="14" t="str">
        <x:v>B</x:v>
      </x:c>
      <x:c r="C2752" s="14" t="str">
        <x:v>question_device</x:v>
      </x:c>
      <x:c r="D2752" s="14" t="n">
        <x:v>1.269333333</x:v>
      </x:c>
      <x:c r="E2752" s="14" t="n">
        <x:v>1.309333333</x:v>
      </x:c>
      <x:c r="F2752" s="14" t="n">
        <x:v>0.04</x:v>
      </x:c>
      <x:c r="G2752" s="17" t="n">
        <x:v>1</x:v>
      </x:c>
      <x:c r="H2752" s="14" t="str">
        <x:v>S08-01:B:select_question
S08-01:B:question_first</x:v>
      </x:c>
    </x:row>
    <x:row r="2753" ht="72" customHeight="1">
      <x:c r="A2753" s="14" t="str">
        <x:v>S08-01:B:question_played</x:v>
      </x:c>
      <x:c r="B2753" s="14" t="str">
        <x:v>B</x:v>
      </x:c>
      <x:c r="C2753" s="14" t="str">
        <x:v>question_played</x:v>
      </x:c>
      <x:c r="D2753" s="14" t="n">
        <x:v>1.309333333</x:v>
      </x:c>
      <x:c r="E2753" s="14" t="n">
        <x:v>4.055333333</x:v>
      </x:c>
      <x:c r="F2753" s="14" t="n">
        <x:v>2.746</x:v>
      </x:c>
      <x:c r="G2753" s="17" t="n">
        <x:v>0</x:v>
      </x:c>
      <x:c r="H2753" s="14" t="str">
        <x:v>S08-01:B:question_device</x:v>
      </x:c>
    </x:row>
    <x:row r="2754" ht="72" customHeight="1">
      <x:c r="A2754" s="14" t="str">
        <x:v>S08-02:A:origin</x:v>
      </x:c>
      <x:c r="B2754" s="14" t="str">
        <x:v>A</x:v>
      </x:c>
      <x:c r="C2754" s="14" t="str">
        <x:v>origin</x:v>
      </x:c>
      <x:c r="D2754" s="14" t="n">
        <x:v>-6</x:v>
      </x:c>
      <x:c r="E2754" s="14" t="n">
        <x:v>-6</x:v>
      </x:c>
      <x:c r="F2754" s="14" t="n">
        <x:v>0</x:v>
      </x:c>
      <x:c r="G2754" s="17" t="n">
        <x:v>0</x:v>
      </x:c>
      <x:c r="H2754" s="14" t="str"/>
    </x:row>
    <x:row r="2755" ht="72" customHeight="1">
      <x:c r="A2755" s="14" t="str">
        <x:v>S08-02:A:origin_interpretation</x:v>
      </x:c>
      <x:c r="B2755" s="14" t="str">
        <x:v>A</x:v>
      </x:c>
      <x:c r="C2755" s="14" t="str">
        <x:v>origin_interpretation</x:v>
      </x:c>
      <x:c r="D2755" s="14" t="n">
        <x:v>-6</x:v>
      </x:c>
      <x:c r="E2755" s="14" t="n">
        <x:v>-5.16</x:v>
      </x:c>
      <x:c r="F2755" s="14" t="n">
        <x:v>0.84</x:v>
      </x:c>
      <x:c r="G2755" s="17" t="n">
        <x:v>1</x:v>
      </x:c>
      <x:c r="H2755" s="14" t="str">
        <x:v>S08-02:A:origin</x:v>
      </x:c>
    </x:row>
    <x:row r="2756" ht="72" customHeight="1">
      <x:c r="A2756" s="14" t="str">
        <x:v>S08-02:A:original_handoff</x:v>
      </x:c>
      <x:c r="B2756" s="14" t="str">
        <x:v>A</x:v>
      </x:c>
      <x:c r="C2756" s="14" t="str">
        <x:v>original_handoff</x:v>
      </x:c>
      <x:c r="D2756" s="14" t="n">
        <x:v>-5.16</x:v>
      </x:c>
      <x:c r="E2756" s="14" t="n">
        <x:v>-5.04</x:v>
      </x:c>
      <x:c r="F2756" s="14" t="n">
        <x:v>0.12</x:v>
      </x:c>
      <x:c r="G2756" s="17" t="n">
        <x:v>1</x:v>
      </x:c>
      <x:c r="H2756" s="14" t="str">
        <x:v>S08-02:A:origin_interpretation</x:v>
      </x:c>
    </x:row>
    <x:row r="2757" ht="72" customHeight="1">
      <x:c r="A2757" s="14" t="str">
        <x:v>S08-02:A:evaluation_utterance_end</x:v>
      </x:c>
      <x:c r="B2757" s="14" t="str">
        <x:v>A</x:v>
      </x:c>
      <x:c r="C2757" s="14" t="str">
        <x:v>evaluation_utterance_end</x:v>
      </x:c>
      <x:c r="D2757" s="14" t="n">
        <x:v>-6</x:v>
      </x:c>
      <x:c r="E2757" s="14" t="n">
        <x:v>0</x:v>
      </x:c>
      <x:c r="F2757" s="14" t="n">
        <x:v>6</x:v>
      </x:c>
      <x:c r="G2757" s="17" t="n">
        <x:v>0</x:v>
      </x:c>
      <x:c r="H2757" s="14" t="str">
        <x:v>S08-02:A:origin</x:v>
      </x:c>
    </x:row>
    <x:row r="2758" ht="72" customHeight="1">
      <x:c r="A2758" s="14" t="str">
        <x:v>S08-02:A:final_transcript</x:v>
      </x:c>
      <x:c r="B2758" s="14" t="str">
        <x:v>A</x:v>
      </x:c>
      <x:c r="C2758" s="14" t="str">
        <x:v>final_transcript</x:v>
      </x:c>
      <x:c r="D2758" s="14" t="n">
        <x:v>0</x:v>
      </x:c>
      <x:c r="E2758" s="14" t="n">
        <x:v>0.3</x:v>
      </x:c>
      <x:c r="F2758" s="14" t="n">
        <x:v>0.3</x:v>
      </x:c>
      <x:c r="G2758" s="17" t="n">
        <x:v>1</x:v>
      </x:c>
      <x:c r="H2758" s="14" t="str">
        <x:v>S08-02:A:evaluation_utterance_end</x:v>
      </x:c>
    </x:row>
    <x:row r="2759" ht="72" customHeight="1">
      <x:c r="A2759" s="14" t="str">
        <x:v>S08-02:A:meaning_adoption</x:v>
      </x:c>
      <x:c r="B2759" s="14" t="str">
        <x:v>A</x:v>
      </x:c>
      <x:c r="C2759" s="14" t="str">
        <x:v>meaning_adoption</x:v>
      </x:c>
      <x:c r="D2759" s="14" t="n">
        <x:v>0.3</x:v>
      </x:c>
      <x:c r="E2759" s="14" t="n">
        <x:v>0.856666667</x:v>
      </x:c>
      <x:c r="F2759" s="14" t="n">
        <x:v>0.556666667</x:v>
      </x:c>
      <x:c r="G2759" s="17" t="n">
        <x:v>1</x:v>
      </x:c>
      <x:c r="H2759" s="14" t="str">
        <x:v>S08-02:A:final_transcript
S08-02:A:origin_interpretation</x:v>
      </x:c>
    </x:row>
    <x:row r="2760" ht="72" customHeight="1">
      <x:c r="A2760" s="14" t="str">
        <x:v>S08-02:A:apply_relation</x:v>
      </x:c>
      <x:c r="B2760" s="14" t="str">
        <x:v>A</x:v>
      </x:c>
      <x:c r="C2760" s="14" t="str">
        <x:v>apply_relation</x:v>
      </x:c>
      <x:c r="D2760" s="14" t="n">
        <x:v>0.856666667</x:v>
      </x:c>
      <x:c r="E2760" s="14" t="n">
        <x:v>0.896666667</x:v>
      </x:c>
      <x:c r="F2760" s="14" t="n">
        <x:v>0.04</x:v>
      </x:c>
      <x:c r="G2760" s="17" t="n">
        <x:v>1</x:v>
      </x:c>
      <x:c r="H2760" s="14" t="str">
        <x:v>S08-02:A:meaning_adoption</x:v>
      </x:c>
    </x:row>
    <x:row r="2761" ht="72" customHeight="1">
      <x:c r="A2761" s="14" t="str">
        <x:v>S08-02:A:evaluation_first_display</x:v>
      </x:c>
      <x:c r="B2761" s="14" t="str">
        <x:v>A</x:v>
      </x:c>
      <x:c r="C2761" s="14" t="str">
        <x:v>evaluation_first_display</x:v>
      </x:c>
      <x:c r="D2761" s="14" t="n">
        <x:v>0.896666667</x:v>
      </x:c>
      <x:c r="E2761" s="14" t="n">
        <x:v>0.936666667</x:v>
      </x:c>
      <x:c r="F2761" s="14" t="n">
        <x:v>0.04</x:v>
      </x:c>
      <x:c r="G2761" s="17" t="n">
        <x:v>1</x:v>
      </x:c>
      <x:c r="H2761" s="14" t="str">
        <x:v>S08-02:A:apply_relation</x:v>
      </x:c>
    </x:row>
    <x:row r="2762" ht="72" customHeight="1">
      <x:c r="A2762" s="14" t="str">
        <x:v>S08-02:A:source_question</x:v>
      </x:c>
      <x:c r="B2762" s="14" t="str">
        <x:v>A</x:v>
      </x:c>
      <x:c r="C2762" s="14" t="str">
        <x:v>source_question</x:v>
      </x:c>
      <x:c r="D2762" s="14" t="n">
        <x:v>-5.04</x:v>
      </x:c>
      <x:c r="E2762" s="14" t="n">
        <x:v>0.846666667</x:v>
      </x:c>
      <x:c r="F2762" s="14" t="n">
        <x:v>5.886666667</x:v>
      </x:c>
      <x:c r="G2762" s="17" t="n">
        <x:v>0</x:v>
      </x:c>
      <x:c r="H2762" s="14" t="str">
        <x:v>S08-02:A:original_handoff</x:v>
      </x:c>
    </x:row>
    <x:row r="2763" ht="72" customHeight="1">
      <x:c r="A2763" s="14" t="str">
        <x:v>S08-02:A:display_question</x:v>
      </x:c>
      <x:c r="B2763" s="14" t="str">
        <x:v>A</x:v>
      </x:c>
      <x:c r="C2763" s="14" t="str">
        <x:v>display_question</x:v>
      </x:c>
      <x:c r="D2763" s="14" t="n">
        <x:v>0.846666667</x:v>
      </x:c>
      <x:c r="E2763" s="14" t="n">
        <x:v>0.886666667</x:v>
      </x:c>
      <x:c r="F2763" s="14" t="n">
        <x:v>0.04</x:v>
      </x:c>
      <x:c r="G2763" s="17" t="n">
        <x:v>1</x:v>
      </x:c>
      <x:c r="H2763" s="14" t="str">
        <x:v>S08-02:A:source_question</x:v>
      </x:c>
    </x:row>
    <x:row r="2764" ht="72" customHeight="1">
      <x:c r="A2764" s="14" t="str">
        <x:v>S08-02:A:select_question</x:v>
      </x:c>
      <x:c r="B2764" s="14" t="str">
        <x:v>A</x:v>
      </x:c>
      <x:c r="C2764" s="14" t="str">
        <x:v>select_question</x:v>
      </x:c>
      <x:c r="D2764" s="14" t="n">
        <x:v>0.896666667</x:v>
      </x:c>
      <x:c r="E2764" s="14" t="n">
        <x:v>0.896666667</x:v>
      </x:c>
      <x:c r="F2764" s="14" t="n">
        <x:v>0</x:v>
      </x:c>
      <x:c r="G2764" s="17" t="n">
        <x:v>1</x:v>
      </x:c>
      <x:c r="H2764" s="14" t="str">
        <x:v>S08-02:A:apply_relation
S08-02:A:source_question</x:v>
      </x:c>
    </x:row>
    <x:row r="2765" ht="72" customHeight="1">
      <x:c r="A2765" s="14" t="str">
        <x:v>S08-02:A:question_first</x:v>
      </x:c>
      <x:c r="B2765" s="14" t="str">
        <x:v>A</x:v>
      </x:c>
      <x:c r="C2765" s="14" t="str">
        <x:v>question_first</x:v>
      </x:c>
      <x:c r="D2765" s="14" t="n">
        <x:v>0.846666667</x:v>
      </x:c>
      <x:c r="E2765" s="14" t="n">
        <x:v>1.247666667</x:v>
      </x:c>
      <x:c r="F2765" s="14" t="n">
        <x:v>0.401</x:v>
      </x:c>
      <x:c r="G2765" s="17" t="n">
        <x:v>1</x:v>
      </x:c>
      <x:c r="H2765" s="14" t="str">
        <x:v>S08-02:A:source_question</x:v>
      </x:c>
    </x:row>
    <x:row r="2766" ht="72" customHeight="1">
      <x:c r="A2766" s="14" t="str">
        <x:v>S08-02:A:question_tail</x:v>
      </x:c>
      <x:c r="B2766" s="14" t="str">
        <x:v>A</x:v>
      </x:c>
      <x:c r="C2766" s="14" t="str">
        <x:v>question_tail</x:v>
      </x:c>
      <x:c r="D2766" s="14" t="n">
        <x:v>1.247666667</x:v>
      </x:c>
      <x:c r="E2766" s="14" t="n">
        <x:v>1.887166667</x:v>
      </x:c>
      <x:c r="F2766" s="14" t="n">
        <x:v>0.6395</x:v>
      </x:c>
      <x:c r="G2766" s="17" t="n">
        <x:v>1</x:v>
      </x:c>
      <x:c r="H2766" s="14" t="str">
        <x:v>S08-02:A:question_first</x:v>
      </x:c>
    </x:row>
    <x:row r="2767" ht="72" customHeight="1">
      <x:c r="A2767" s="14" t="str">
        <x:v>S08-02:A:question_device</x:v>
      </x:c>
      <x:c r="B2767" s="14" t="str">
        <x:v>A</x:v>
      </x:c>
      <x:c r="C2767" s="14" t="str">
        <x:v>question_device</x:v>
      </x:c>
      <x:c r="D2767" s="14" t="n">
        <x:v>1.247666667</x:v>
      </x:c>
      <x:c r="E2767" s="14" t="n">
        <x:v>1.287666667</x:v>
      </x:c>
      <x:c r="F2767" s="14" t="n">
        <x:v>0.04</x:v>
      </x:c>
      <x:c r="G2767" s="17" t="n">
        <x:v>1</x:v>
      </x:c>
      <x:c r="H2767" s="14" t="str">
        <x:v>S08-02:A:select_question
S08-02:A:question_first</x:v>
      </x:c>
    </x:row>
    <x:row r="2768" ht="72" customHeight="1">
      <x:c r="A2768" s="14" t="str">
        <x:v>S08-02:A:question_played</x:v>
      </x:c>
      <x:c r="B2768" s="14" t="str">
        <x:v>A</x:v>
      </x:c>
      <x:c r="C2768" s="14" t="str">
        <x:v>question_played</x:v>
      </x:c>
      <x:c r="D2768" s="14" t="n">
        <x:v>1.287666667</x:v>
      </x:c>
      <x:c r="E2768" s="14" t="n">
        <x:v>4.045666667</x:v>
      </x:c>
      <x:c r="F2768" s="14" t="n">
        <x:v>2.758</x:v>
      </x:c>
      <x:c r="G2768" s="17" t="n">
        <x:v>0</x:v>
      </x:c>
      <x:c r="H2768" s="14" t="str">
        <x:v>S08-02:A:question_device</x:v>
      </x:c>
    </x:row>
    <x:row r="2769" ht="72" customHeight="1">
      <x:c r="A2769" s="14" t="str">
        <x:v>S08-02:B:origin</x:v>
      </x:c>
      <x:c r="B2769" s="14" t="str">
        <x:v>B</x:v>
      </x:c>
      <x:c r="C2769" s="14" t="str">
        <x:v>origin</x:v>
      </x:c>
      <x:c r="D2769" s="14" t="n">
        <x:v>-6</x:v>
      </x:c>
      <x:c r="E2769" s="14" t="n">
        <x:v>-6</x:v>
      </x:c>
      <x:c r="F2769" s="14" t="n">
        <x:v>0</x:v>
      </x:c>
      <x:c r="G2769" s="17" t="n">
        <x:v>0</x:v>
      </x:c>
      <x:c r="H2769" s="14" t="str"/>
    </x:row>
    <x:row r="2770" ht="72" customHeight="1">
      <x:c r="A2770" s="14" t="str">
        <x:v>S08-02:B:origin_interpretation</x:v>
      </x:c>
      <x:c r="B2770" s="14" t="str">
        <x:v>B</x:v>
      </x:c>
      <x:c r="C2770" s="14" t="str">
        <x:v>origin_interpretation</x:v>
      </x:c>
      <x:c r="D2770" s="14" t="n">
        <x:v>-6</x:v>
      </x:c>
      <x:c r="E2770" s="14" t="n">
        <x:v>-5.16</x:v>
      </x:c>
      <x:c r="F2770" s="14" t="n">
        <x:v>0.84</x:v>
      </x:c>
      <x:c r="G2770" s="17" t="n">
        <x:v>1</x:v>
      </x:c>
      <x:c r="H2770" s="14" t="str">
        <x:v>S08-02:B:origin</x:v>
      </x:c>
    </x:row>
    <x:row r="2771" ht="72" customHeight="1">
      <x:c r="A2771" s="14" t="str">
        <x:v>S08-02:B:original_handoff</x:v>
      </x:c>
      <x:c r="B2771" s="14" t="str">
        <x:v>B</x:v>
      </x:c>
      <x:c r="C2771" s="14" t="str">
        <x:v>original_handoff</x:v>
      </x:c>
      <x:c r="D2771" s="14" t="n">
        <x:v>-5.16</x:v>
      </x:c>
      <x:c r="E2771" s="14" t="n">
        <x:v>-5.04</x:v>
      </x:c>
      <x:c r="F2771" s="14" t="n">
        <x:v>0.12</x:v>
      </x:c>
      <x:c r="G2771" s="17" t="n">
        <x:v>1</x:v>
      </x:c>
      <x:c r="H2771" s="14" t="str">
        <x:v>S08-02:B:origin_interpretation</x:v>
      </x:c>
    </x:row>
    <x:row r="2772" ht="72" customHeight="1">
      <x:c r="A2772" s="14" t="str">
        <x:v>S08-02:B:evaluation_utterance_end</x:v>
      </x:c>
      <x:c r="B2772" s="14" t="str">
        <x:v>B</x:v>
      </x:c>
      <x:c r="C2772" s="14" t="str">
        <x:v>evaluation_utterance_end</x:v>
      </x:c>
      <x:c r="D2772" s="14" t="n">
        <x:v>-6</x:v>
      </x:c>
      <x:c r="E2772" s="14" t="n">
        <x:v>0</x:v>
      </x:c>
      <x:c r="F2772" s="14" t="n">
        <x:v>6</x:v>
      </x:c>
      <x:c r="G2772" s="17" t="n">
        <x:v>0</x:v>
      </x:c>
      <x:c r="H2772" s="14" t="str">
        <x:v>S08-02:B:origin</x:v>
      </x:c>
    </x:row>
    <x:row r="2773" ht="72" customHeight="1">
      <x:c r="A2773" s="14" t="str">
        <x:v>S08-02:B:final_transcript</x:v>
      </x:c>
      <x:c r="B2773" s="14" t="str">
        <x:v>B</x:v>
      </x:c>
      <x:c r="C2773" s="14" t="str">
        <x:v>final_transcript</x:v>
      </x:c>
      <x:c r="D2773" s="14" t="n">
        <x:v>0</x:v>
      </x:c>
      <x:c r="E2773" s="14" t="n">
        <x:v>0.3</x:v>
      </x:c>
      <x:c r="F2773" s="14" t="n">
        <x:v>0.3</x:v>
      </x:c>
      <x:c r="G2773" s="17" t="n">
        <x:v>1</x:v>
      </x:c>
      <x:c r="H2773" s="14" t="str">
        <x:v>S08-02:B:evaluation_utterance_end</x:v>
      </x:c>
    </x:row>
    <x:row r="2774" ht="72" customHeight="1">
      <x:c r="A2774" s="14" t="str">
        <x:v>S08-02:B:meaning_adoption</x:v>
      </x:c>
      <x:c r="B2774" s="14" t="str">
        <x:v>B</x:v>
      </x:c>
      <x:c r="C2774" s="14" t="str">
        <x:v>meaning_adoption</x:v>
      </x:c>
      <x:c r="D2774" s="14" t="n">
        <x:v>0.3</x:v>
      </x:c>
      <x:c r="E2774" s="14" t="n">
        <x:v>0.856666667</x:v>
      </x:c>
      <x:c r="F2774" s="14" t="n">
        <x:v>0.556666667</x:v>
      </x:c>
      <x:c r="G2774" s="17" t="n">
        <x:v>1</x:v>
      </x:c>
      <x:c r="H2774" s="14" t="str">
        <x:v>S08-02:B:final_transcript
S08-02:B:origin_interpretation</x:v>
      </x:c>
    </x:row>
    <x:row r="2775" ht="72" customHeight="1">
      <x:c r="A2775" s="14" t="str">
        <x:v>S08-02:B:apply_relation</x:v>
      </x:c>
      <x:c r="B2775" s="14" t="str">
        <x:v>B</x:v>
      </x:c>
      <x:c r="C2775" s="14" t="str">
        <x:v>apply_relation</x:v>
      </x:c>
      <x:c r="D2775" s="14" t="n">
        <x:v>0.856666667</x:v>
      </x:c>
      <x:c r="E2775" s="14" t="n">
        <x:v>0.896666667</x:v>
      </x:c>
      <x:c r="F2775" s="14" t="n">
        <x:v>0.04</x:v>
      </x:c>
      <x:c r="G2775" s="17" t="n">
        <x:v>1</x:v>
      </x:c>
      <x:c r="H2775" s="14" t="str">
        <x:v>S08-02:B:meaning_adoption</x:v>
      </x:c>
    </x:row>
    <x:row r="2776" ht="72" customHeight="1">
      <x:c r="A2776" s="14" t="str">
        <x:v>S08-02:B:evaluation_first_display</x:v>
      </x:c>
      <x:c r="B2776" s="14" t="str">
        <x:v>B</x:v>
      </x:c>
      <x:c r="C2776" s="14" t="str">
        <x:v>evaluation_first_display</x:v>
      </x:c>
      <x:c r="D2776" s="14" t="n">
        <x:v>0.896666667</x:v>
      </x:c>
      <x:c r="E2776" s="14" t="n">
        <x:v>0.936666667</x:v>
      </x:c>
      <x:c r="F2776" s="14" t="n">
        <x:v>0.04</x:v>
      </x:c>
      <x:c r="G2776" s="17" t="n">
        <x:v>1</x:v>
      </x:c>
      <x:c r="H2776" s="14" t="str">
        <x:v>S08-02:B:apply_relation</x:v>
      </x:c>
    </x:row>
    <x:row r="2777" ht="72" customHeight="1">
      <x:c r="A2777" s="14" t="str">
        <x:v>S08-02:B:source_question</x:v>
      </x:c>
      <x:c r="B2777" s="14" t="str">
        <x:v>B</x:v>
      </x:c>
      <x:c r="C2777" s="14" t="str">
        <x:v>source_question</x:v>
      </x:c>
      <x:c r="D2777" s="14" t="n">
        <x:v>-5.04</x:v>
      </x:c>
      <x:c r="E2777" s="14" t="n">
        <x:v>0.846666667</x:v>
      </x:c>
      <x:c r="F2777" s="14" t="n">
        <x:v>5.886666667</x:v>
      </x:c>
      <x:c r="G2777" s="17" t="n">
        <x:v>0</x:v>
      </x:c>
      <x:c r="H2777" s="14" t="str">
        <x:v>S08-02:B:original_handoff</x:v>
      </x:c>
    </x:row>
    <x:row r="2778" ht="72" customHeight="1">
      <x:c r="A2778" s="14" t="str">
        <x:v>S08-02:B:display_question</x:v>
      </x:c>
      <x:c r="B2778" s="14" t="str">
        <x:v>B</x:v>
      </x:c>
      <x:c r="C2778" s="14" t="str">
        <x:v>display_question</x:v>
      </x:c>
      <x:c r="D2778" s="14" t="n">
        <x:v>0.846666667</x:v>
      </x:c>
      <x:c r="E2778" s="14" t="n">
        <x:v>0.886666667</x:v>
      </x:c>
      <x:c r="F2778" s="14" t="n">
        <x:v>0.04</x:v>
      </x:c>
      <x:c r="G2778" s="17" t="n">
        <x:v>1</x:v>
      </x:c>
      <x:c r="H2778" s="14" t="str">
        <x:v>S08-02:B:source_question</x:v>
      </x:c>
    </x:row>
    <x:row r="2779" ht="72" customHeight="1">
      <x:c r="A2779" s="14" t="str">
        <x:v>S08-02:B:select_question</x:v>
      </x:c>
      <x:c r="B2779" s="14" t="str">
        <x:v>B</x:v>
      </x:c>
      <x:c r="C2779" s="14" t="str">
        <x:v>select_question</x:v>
      </x:c>
      <x:c r="D2779" s="14" t="n">
        <x:v>0.896666667</x:v>
      </x:c>
      <x:c r="E2779" s="14" t="n">
        <x:v>0.896666667</x:v>
      </x:c>
      <x:c r="F2779" s="14" t="n">
        <x:v>0</x:v>
      </x:c>
      <x:c r="G2779" s="17" t="n">
        <x:v>1</x:v>
      </x:c>
      <x:c r="H2779" s="14" t="str">
        <x:v>S08-02:B:apply_relation
S08-02:B:source_question</x:v>
      </x:c>
    </x:row>
    <x:row r="2780" ht="72" customHeight="1">
      <x:c r="A2780" s="14" t="str">
        <x:v>S08-02:B:question_first</x:v>
      </x:c>
      <x:c r="B2780" s="14" t="str">
        <x:v>B</x:v>
      </x:c>
      <x:c r="C2780" s="14" t="str">
        <x:v>question_first</x:v>
      </x:c>
      <x:c r="D2780" s="14" t="n">
        <x:v>0.896666667</x:v>
      </x:c>
      <x:c r="E2780" s="14" t="n">
        <x:v>1.297666667</x:v>
      </x:c>
      <x:c r="F2780" s="14" t="n">
        <x:v>0.401</x:v>
      </x:c>
      <x:c r="G2780" s="17" t="n">
        <x:v>1</x:v>
      </x:c>
      <x:c r="H2780" s="14" t="str">
        <x:v>S08-02:B:select_question</x:v>
      </x:c>
    </x:row>
    <x:row r="2781" ht="72" customHeight="1">
      <x:c r="A2781" s="14" t="str">
        <x:v>S08-02:B:question_tail</x:v>
      </x:c>
      <x:c r="B2781" s="14" t="str">
        <x:v>B</x:v>
      </x:c>
      <x:c r="C2781" s="14" t="str">
        <x:v>question_tail</x:v>
      </x:c>
      <x:c r="D2781" s="14" t="n">
        <x:v>1.297666667</x:v>
      </x:c>
      <x:c r="E2781" s="14" t="n">
        <x:v>1.937166667</x:v>
      </x:c>
      <x:c r="F2781" s="14" t="n">
        <x:v>0.6395</x:v>
      </x:c>
      <x:c r="G2781" s="17" t="n">
        <x:v>1</x:v>
      </x:c>
      <x:c r="H2781" s="14" t="str">
        <x:v>S08-02:B:question_first</x:v>
      </x:c>
    </x:row>
    <x:row r="2782" ht="72" customHeight="1">
      <x:c r="A2782" s="14" t="str">
        <x:v>S08-02:B:question_device</x:v>
      </x:c>
      <x:c r="B2782" s="14" t="str">
        <x:v>B</x:v>
      </x:c>
      <x:c r="C2782" s="14" t="str">
        <x:v>question_device</x:v>
      </x:c>
      <x:c r="D2782" s="14" t="n">
        <x:v>1.297666667</x:v>
      </x:c>
      <x:c r="E2782" s="14" t="n">
        <x:v>1.337666667</x:v>
      </x:c>
      <x:c r="F2782" s="14" t="n">
        <x:v>0.04</x:v>
      </x:c>
      <x:c r="G2782" s="17" t="n">
        <x:v>1</x:v>
      </x:c>
      <x:c r="H2782" s="14" t="str">
        <x:v>S08-02:B:select_question
S08-02:B:question_first</x:v>
      </x:c>
    </x:row>
    <x:row r="2783" ht="72" customHeight="1">
      <x:c r="A2783" s="14" t="str">
        <x:v>S08-02:B:question_played</x:v>
      </x:c>
      <x:c r="B2783" s="14" t="str">
        <x:v>B</x:v>
      </x:c>
      <x:c r="C2783" s="14" t="str">
        <x:v>question_played</x:v>
      </x:c>
      <x:c r="D2783" s="14" t="n">
        <x:v>1.337666667</x:v>
      </x:c>
      <x:c r="E2783" s="14" t="n">
        <x:v>4.095666667</x:v>
      </x:c>
      <x:c r="F2783" s="14" t="n">
        <x:v>2.758</x:v>
      </x:c>
      <x:c r="G2783" s="17" t="n">
        <x:v>0</x:v>
      </x:c>
      <x:c r="H2783" s="14" t="str">
        <x:v>S08-02:B:question_device</x:v>
      </x:c>
    </x:row>
    <x:row r="2784" ht="72" customHeight="1">
      <x:c r="A2784" s="14" t="str">
        <x:v>S08-03:A:origin</x:v>
      </x:c>
      <x:c r="B2784" s="14" t="str">
        <x:v>A</x:v>
      </x:c>
      <x:c r="C2784" s="14" t="str">
        <x:v>origin</x:v>
      </x:c>
      <x:c r="D2784" s="14" t="n">
        <x:v>-6</x:v>
      </x:c>
      <x:c r="E2784" s="14" t="n">
        <x:v>-6</x:v>
      </x:c>
      <x:c r="F2784" s="14" t="n">
        <x:v>0</x:v>
      </x:c>
      <x:c r="G2784" s="17" t="n">
        <x:v>0</x:v>
      </x:c>
      <x:c r="H2784" s="14" t="str"/>
    </x:row>
    <x:row r="2785" ht="72" customHeight="1">
      <x:c r="A2785" s="14" t="str">
        <x:v>S08-03:A:origin_interpretation</x:v>
      </x:c>
      <x:c r="B2785" s="14" t="str">
        <x:v>A</x:v>
      </x:c>
      <x:c r="C2785" s="14" t="str">
        <x:v>origin_interpretation</x:v>
      </x:c>
      <x:c r="D2785" s="14" t="n">
        <x:v>-6</x:v>
      </x:c>
      <x:c r="E2785" s="14" t="n">
        <x:v>-5.16</x:v>
      </x:c>
      <x:c r="F2785" s="14" t="n">
        <x:v>0.84</x:v>
      </x:c>
      <x:c r="G2785" s="17" t="n">
        <x:v>1</x:v>
      </x:c>
      <x:c r="H2785" s="14" t="str">
        <x:v>S08-03:A:origin</x:v>
      </x:c>
    </x:row>
    <x:row r="2786" ht="72" customHeight="1">
      <x:c r="A2786" s="14" t="str">
        <x:v>S08-03:A:original_handoff</x:v>
      </x:c>
      <x:c r="B2786" s="14" t="str">
        <x:v>A</x:v>
      </x:c>
      <x:c r="C2786" s="14" t="str">
        <x:v>original_handoff</x:v>
      </x:c>
      <x:c r="D2786" s="14" t="n">
        <x:v>-5.16</x:v>
      </x:c>
      <x:c r="E2786" s="14" t="n">
        <x:v>-5.04</x:v>
      </x:c>
      <x:c r="F2786" s="14" t="n">
        <x:v>0.12</x:v>
      </x:c>
      <x:c r="G2786" s="17" t="n">
        <x:v>1</x:v>
      </x:c>
      <x:c r="H2786" s="14" t="str">
        <x:v>S08-03:A:origin_interpretation</x:v>
      </x:c>
    </x:row>
    <x:row r="2787" ht="72" customHeight="1">
      <x:c r="A2787" s="14" t="str">
        <x:v>S08-03:A:evaluation_utterance_end</x:v>
      </x:c>
      <x:c r="B2787" s="14" t="str">
        <x:v>A</x:v>
      </x:c>
      <x:c r="C2787" s="14" t="str">
        <x:v>evaluation_utterance_end</x:v>
      </x:c>
      <x:c r="D2787" s="14" t="n">
        <x:v>-6</x:v>
      </x:c>
      <x:c r="E2787" s="14" t="n">
        <x:v>0</x:v>
      </x:c>
      <x:c r="F2787" s="14" t="n">
        <x:v>6</x:v>
      </x:c>
      <x:c r="G2787" s="17" t="n">
        <x:v>0</x:v>
      </x:c>
      <x:c r="H2787" s="14" t="str">
        <x:v>S08-03:A:origin</x:v>
      </x:c>
    </x:row>
    <x:row r="2788" ht="72" customHeight="1">
      <x:c r="A2788" s="14" t="str">
        <x:v>S08-03:A:final_transcript</x:v>
      </x:c>
      <x:c r="B2788" s="14" t="str">
        <x:v>A</x:v>
      </x:c>
      <x:c r="C2788" s="14" t="str">
        <x:v>final_transcript</x:v>
      </x:c>
      <x:c r="D2788" s="14" t="n">
        <x:v>0</x:v>
      </x:c>
      <x:c r="E2788" s="14" t="n">
        <x:v>0.3</x:v>
      </x:c>
      <x:c r="F2788" s="14" t="n">
        <x:v>0.3</x:v>
      </x:c>
      <x:c r="G2788" s="17" t="n">
        <x:v>1</x:v>
      </x:c>
      <x:c r="H2788" s="14" t="str">
        <x:v>S08-03:A:evaluation_utterance_end</x:v>
      </x:c>
    </x:row>
    <x:row r="2789" ht="72" customHeight="1">
      <x:c r="A2789" s="14" t="str">
        <x:v>S08-03:A:meaning_adoption</x:v>
      </x:c>
      <x:c r="B2789" s="14" t="str">
        <x:v>A</x:v>
      </x:c>
      <x:c r="C2789" s="14" t="str">
        <x:v>meaning_adoption</x:v>
      </x:c>
      <x:c r="D2789" s="14" t="n">
        <x:v>0.3</x:v>
      </x:c>
      <x:c r="E2789" s="14" t="n">
        <x:v>0.81</x:v>
      </x:c>
      <x:c r="F2789" s="14" t="n">
        <x:v>0.51</x:v>
      </x:c>
      <x:c r="G2789" s="17" t="n">
        <x:v>1</x:v>
      </x:c>
      <x:c r="H2789" s="14" t="str">
        <x:v>S08-03:A:final_transcript
S08-03:A:origin_interpretation</x:v>
      </x:c>
    </x:row>
    <x:row r="2790" ht="72" customHeight="1">
      <x:c r="A2790" s="14" t="str">
        <x:v>S08-03:A:apply_relation</x:v>
      </x:c>
      <x:c r="B2790" s="14" t="str">
        <x:v>A</x:v>
      </x:c>
      <x:c r="C2790" s="14" t="str">
        <x:v>apply_relation</x:v>
      </x:c>
      <x:c r="D2790" s="14" t="n">
        <x:v>0.81</x:v>
      </x:c>
      <x:c r="E2790" s="14" t="n">
        <x:v>0.85</x:v>
      </x:c>
      <x:c r="F2790" s="14" t="n">
        <x:v>0.04</x:v>
      </x:c>
      <x:c r="G2790" s="17" t="n">
        <x:v>1</x:v>
      </x:c>
      <x:c r="H2790" s="14" t="str">
        <x:v>S08-03:A:meaning_adoption</x:v>
      </x:c>
    </x:row>
    <x:row r="2791" ht="72" customHeight="1">
      <x:c r="A2791" s="14" t="str">
        <x:v>S08-03:A:evaluation_first_display</x:v>
      </x:c>
      <x:c r="B2791" s="14" t="str">
        <x:v>A</x:v>
      </x:c>
      <x:c r="C2791" s="14" t="str">
        <x:v>evaluation_first_display</x:v>
      </x:c>
      <x:c r="D2791" s="14" t="n">
        <x:v>0.85</x:v>
      </x:c>
      <x:c r="E2791" s="14" t="n">
        <x:v>0.89</x:v>
      </x:c>
      <x:c r="F2791" s="14" t="n">
        <x:v>0.04</x:v>
      </x:c>
      <x:c r="G2791" s="17" t="n">
        <x:v>1</x:v>
      </x:c>
      <x:c r="H2791" s="14" t="str">
        <x:v>S08-03:A:apply_relation</x:v>
      </x:c>
    </x:row>
    <x:row r="2792" ht="72" customHeight="1">
      <x:c r="A2792" s="14" t="str">
        <x:v>S08-03:A:source_question</x:v>
      </x:c>
      <x:c r="B2792" s="14" t="str">
        <x:v>A</x:v>
      </x:c>
      <x:c r="C2792" s="14" t="str">
        <x:v>source_question</x:v>
      </x:c>
      <x:c r="D2792" s="14" t="n">
        <x:v>-5.04</x:v>
      </x:c>
      <x:c r="E2792" s="14" t="n">
        <x:v>0.8</x:v>
      </x:c>
      <x:c r="F2792" s="14" t="n">
        <x:v>5.84</x:v>
      </x:c>
      <x:c r="G2792" s="17" t="n">
        <x:v>0</x:v>
      </x:c>
      <x:c r="H2792" s="14" t="str">
        <x:v>S08-03:A:original_handoff</x:v>
      </x:c>
    </x:row>
    <x:row r="2793" ht="72" customHeight="1">
      <x:c r="A2793" s="14" t="str">
        <x:v>S08-03:A:display_question</x:v>
      </x:c>
      <x:c r="B2793" s="14" t="str">
        <x:v>A</x:v>
      </x:c>
      <x:c r="C2793" s="14" t="str">
        <x:v>display_question</x:v>
      </x:c>
      <x:c r="D2793" s="14" t="n">
        <x:v>0.8</x:v>
      </x:c>
      <x:c r="E2793" s="14" t="n">
        <x:v>0.84</x:v>
      </x:c>
      <x:c r="F2793" s="14" t="n">
        <x:v>0.04</x:v>
      </x:c>
      <x:c r="G2793" s="17" t="n">
        <x:v>1</x:v>
      </x:c>
      <x:c r="H2793" s="14" t="str">
        <x:v>S08-03:A:source_question</x:v>
      </x:c>
    </x:row>
    <x:row r="2794" ht="72" customHeight="1">
      <x:c r="A2794" s="14" t="str">
        <x:v>S08-03:A:select_question</x:v>
      </x:c>
      <x:c r="B2794" s="14" t="str">
        <x:v>A</x:v>
      </x:c>
      <x:c r="C2794" s="14" t="str">
        <x:v>select_question</x:v>
      </x:c>
      <x:c r="D2794" s="14" t="n">
        <x:v>0.85</x:v>
      </x:c>
      <x:c r="E2794" s="14" t="n">
        <x:v>0.85</x:v>
      </x:c>
      <x:c r="F2794" s="14" t="n">
        <x:v>0</x:v>
      </x:c>
      <x:c r="G2794" s="17" t="n">
        <x:v>1</x:v>
      </x:c>
      <x:c r="H2794" s="14" t="str">
        <x:v>S08-03:A:apply_relation
S08-03:A:source_question</x:v>
      </x:c>
    </x:row>
    <x:row r="2795" ht="72" customHeight="1">
      <x:c r="A2795" s="14" t="str">
        <x:v>S08-03:A:question_first</x:v>
      </x:c>
      <x:c r="B2795" s="14" t="str">
        <x:v>A</x:v>
      </x:c>
      <x:c r="C2795" s="14" t="str">
        <x:v>question_first</x:v>
      </x:c>
      <x:c r="D2795" s="14" t="n">
        <x:v>0.8</x:v>
      </x:c>
      <x:c r="E2795" s="14" t="n">
        <x:v>1.201</x:v>
      </x:c>
      <x:c r="F2795" s="14" t="n">
        <x:v>0.401</x:v>
      </x:c>
      <x:c r="G2795" s="17" t="n">
        <x:v>1</x:v>
      </x:c>
      <x:c r="H2795" s="14" t="str">
        <x:v>S08-03:A:source_question</x:v>
      </x:c>
    </x:row>
    <x:row r="2796" ht="72" customHeight="1">
      <x:c r="A2796" s="14" t="str">
        <x:v>S08-03:A:question_tail</x:v>
      </x:c>
      <x:c r="B2796" s="14" t="str">
        <x:v>A</x:v>
      </x:c>
      <x:c r="C2796" s="14" t="str">
        <x:v>question_tail</x:v>
      </x:c>
      <x:c r="D2796" s="14" t="n">
        <x:v>1.201</x:v>
      </x:c>
      <x:c r="E2796" s="14" t="n">
        <x:v>1.8435</x:v>
      </x:c>
      <x:c r="F2796" s="14" t="n">
        <x:v>0.6425</x:v>
      </x:c>
      <x:c r="G2796" s="17" t="n">
        <x:v>1</x:v>
      </x:c>
      <x:c r="H2796" s="14" t="str">
        <x:v>S08-03:A:question_first</x:v>
      </x:c>
    </x:row>
    <x:row r="2797" ht="72" customHeight="1">
      <x:c r="A2797" s="14" t="str">
        <x:v>S08-03:A:question_device</x:v>
      </x:c>
      <x:c r="B2797" s="14" t="str">
        <x:v>A</x:v>
      </x:c>
      <x:c r="C2797" s="14" t="str">
        <x:v>question_device</x:v>
      </x:c>
      <x:c r="D2797" s="14" t="n">
        <x:v>1.201</x:v>
      </x:c>
      <x:c r="E2797" s="14" t="n">
        <x:v>1.241</x:v>
      </x:c>
      <x:c r="F2797" s="14" t="n">
        <x:v>0.04</x:v>
      </x:c>
      <x:c r="G2797" s="17" t="n">
        <x:v>1</x:v>
      </x:c>
      <x:c r="H2797" s="14" t="str">
        <x:v>S08-03:A:select_question
S08-03:A:question_first</x:v>
      </x:c>
    </x:row>
    <x:row r="2798" ht="72" customHeight="1">
      <x:c r="A2798" s="14" t="str">
        <x:v>S08-03:A:question_played</x:v>
      </x:c>
      <x:c r="B2798" s="14" t="str">
        <x:v>A</x:v>
      </x:c>
      <x:c r="C2798" s="14" t="str">
        <x:v>question_played</x:v>
      </x:c>
      <x:c r="D2798" s="14" t="n">
        <x:v>1.241</x:v>
      </x:c>
      <x:c r="E2798" s="14" t="n">
        <x:v>4.011</x:v>
      </x:c>
      <x:c r="F2798" s="14" t="n">
        <x:v>2.77</x:v>
      </x:c>
      <x:c r="G2798" s="17" t="n">
        <x:v>0</x:v>
      </x:c>
      <x:c r="H2798" s="14" t="str">
        <x:v>S08-03:A:question_device</x:v>
      </x:c>
    </x:row>
    <x:row r="2799" ht="72" customHeight="1">
      <x:c r="A2799" s="14" t="str">
        <x:v>S08-03:B:origin</x:v>
      </x:c>
      <x:c r="B2799" s="14" t="str">
        <x:v>B</x:v>
      </x:c>
      <x:c r="C2799" s="14" t="str">
        <x:v>origin</x:v>
      </x:c>
      <x:c r="D2799" s="14" t="n">
        <x:v>-6</x:v>
      </x:c>
      <x:c r="E2799" s="14" t="n">
        <x:v>-6</x:v>
      </x:c>
      <x:c r="F2799" s="14" t="n">
        <x:v>0</x:v>
      </x:c>
      <x:c r="G2799" s="17" t="n">
        <x:v>0</x:v>
      </x:c>
      <x:c r="H2799" s="14" t="str"/>
    </x:row>
    <x:row r="2800" ht="72" customHeight="1">
      <x:c r="A2800" s="14" t="str">
        <x:v>S08-03:B:origin_interpretation</x:v>
      </x:c>
      <x:c r="B2800" s="14" t="str">
        <x:v>B</x:v>
      </x:c>
      <x:c r="C2800" s="14" t="str">
        <x:v>origin_interpretation</x:v>
      </x:c>
      <x:c r="D2800" s="14" t="n">
        <x:v>-6</x:v>
      </x:c>
      <x:c r="E2800" s="14" t="n">
        <x:v>-5.16</x:v>
      </x:c>
      <x:c r="F2800" s="14" t="n">
        <x:v>0.84</x:v>
      </x:c>
      <x:c r="G2800" s="17" t="n">
        <x:v>1</x:v>
      </x:c>
      <x:c r="H2800" s="14" t="str">
        <x:v>S08-03:B:origin</x:v>
      </x:c>
    </x:row>
    <x:row r="2801" ht="72" customHeight="1">
      <x:c r="A2801" s="14" t="str">
        <x:v>S08-03:B:original_handoff</x:v>
      </x:c>
      <x:c r="B2801" s="14" t="str">
        <x:v>B</x:v>
      </x:c>
      <x:c r="C2801" s="14" t="str">
        <x:v>original_handoff</x:v>
      </x:c>
      <x:c r="D2801" s="14" t="n">
        <x:v>-5.16</x:v>
      </x:c>
      <x:c r="E2801" s="14" t="n">
        <x:v>-5.04</x:v>
      </x:c>
      <x:c r="F2801" s="14" t="n">
        <x:v>0.12</x:v>
      </x:c>
      <x:c r="G2801" s="17" t="n">
        <x:v>1</x:v>
      </x:c>
      <x:c r="H2801" s="14" t="str">
        <x:v>S08-03:B:origin_interpretation</x:v>
      </x:c>
    </x:row>
    <x:row r="2802" ht="72" customHeight="1">
      <x:c r="A2802" s="14" t="str">
        <x:v>S08-03:B:evaluation_utterance_end</x:v>
      </x:c>
      <x:c r="B2802" s="14" t="str">
        <x:v>B</x:v>
      </x:c>
      <x:c r="C2802" s="14" t="str">
        <x:v>evaluation_utterance_end</x:v>
      </x:c>
      <x:c r="D2802" s="14" t="n">
        <x:v>-6</x:v>
      </x:c>
      <x:c r="E2802" s="14" t="n">
        <x:v>0</x:v>
      </x:c>
      <x:c r="F2802" s="14" t="n">
        <x:v>6</x:v>
      </x:c>
      <x:c r="G2802" s="17" t="n">
        <x:v>0</x:v>
      </x:c>
      <x:c r="H2802" s="14" t="str">
        <x:v>S08-03:B:origin</x:v>
      </x:c>
    </x:row>
    <x:row r="2803" ht="72" customHeight="1">
      <x:c r="A2803" s="14" t="str">
        <x:v>S08-03:B:final_transcript</x:v>
      </x:c>
      <x:c r="B2803" s="14" t="str">
        <x:v>B</x:v>
      </x:c>
      <x:c r="C2803" s="14" t="str">
        <x:v>final_transcript</x:v>
      </x:c>
      <x:c r="D2803" s="14" t="n">
        <x:v>0</x:v>
      </x:c>
      <x:c r="E2803" s="14" t="n">
        <x:v>0.3</x:v>
      </x:c>
      <x:c r="F2803" s="14" t="n">
        <x:v>0.3</x:v>
      </x:c>
      <x:c r="G2803" s="17" t="n">
        <x:v>1</x:v>
      </x:c>
      <x:c r="H2803" s="14" t="str">
        <x:v>S08-03:B:evaluation_utterance_end</x:v>
      </x:c>
    </x:row>
    <x:row r="2804" ht="72" customHeight="1">
      <x:c r="A2804" s="14" t="str">
        <x:v>S08-03:B:meaning_adoption</x:v>
      </x:c>
      <x:c r="B2804" s="14" t="str">
        <x:v>B</x:v>
      </x:c>
      <x:c r="C2804" s="14" t="str">
        <x:v>meaning_adoption</x:v>
      </x:c>
      <x:c r="D2804" s="14" t="n">
        <x:v>0.3</x:v>
      </x:c>
      <x:c r="E2804" s="14" t="n">
        <x:v>0.81</x:v>
      </x:c>
      <x:c r="F2804" s="14" t="n">
        <x:v>0.51</x:v>
      </x:c>
      <x:c r="G2804" s="17" t="n">
        <x:v>1</x:v>
      </x:c>
      <x:c r="H2804" s="14" t="str">
        <x:v>S08-03:B:final_transcript
S08-03:B:origin_interpretation</x:v>
      </x:c>
    </x:row>
    <x:row r="2805" ht="72" customHeight="1">
      <x:c r="A2805" s="14" t="str">
        <x:v>S08-03:B:apply_relation</x:v>
      </x:c>
      <x:c r="B2805" s="14" t="str">
        <x:v>B</x:v>
      </x:c>
      <x:c r="C2805" s="14" t="str">
        <x:v>apply_relation</x:v>
      </x:c>
      <x:c r="D2805" s="14" t="n">
        <x:v>0.81</x:v>
      </x:c>
      <x:c r="E2805" s="14" t="n">
        <x:v>0.85</x:v>
      </x:c>
      <x:c r="F2805" s="14" t="n">
        <x:v>0.04</x:v>
      </x:c>
      <x:c r="G2805" s="17" t="n">
        <x:v>1</x:v>
      </x:c>
      <x:c r="H2805" s="14" t="str">
        <x:v>S08-03:B:meaning_adoption</x:v>
      </x:c>
    </x:row>
    <x:row r="2806" ht="72" customHeight="1">
      <x:c r="A2806" s="14" t="str">
        <x:v>S08-03:B:evaluation_first_display</x:v>
      </x:c>
      <x:c r="B2806" s="14" t="str">
        <x:v>B</x:v>
      </x:c>
      <x:c r="C2806" s="14" t="str">
        <x:v>evaluation_first_display</x:v>
      </x:c>
      <x:c r="D2806" s="14" t="n">
        <x:v>0.85</x:v>
      </x:c>
      <x:c r="E2806" s="14" t="n">
        <x:v>0.89</x:v>
      </x:c>
      <x:c r="F2806" s="14" t="n">
        <x:v>0.04</x:v>
      </x:c>
      <x:c r="G2806" s="17" t="n">
        <x:v>1</x:v>
      </x:c>
      <x:c r="H2806" s="14" t="str">
        <x:v>S08-03:B:apply_relation</x:v>
      </x:c>
    </x:row>
    <x:row r="2807" ht="72" customHeight="1">
      <x:c r="A2807" s="14" t="str">
        <x:v>S08-03:B:source_question</x:v>
      </x:c>
      <x:c r="B2807" s="14" t="str">
        <x:v>B</x:v>
      </x:c>
      <x:c r="C2807" s="14" t="str">
        <x:v>source_question</x:v>
      </x:c>
      <x:c r="D2807" s="14" t="n">
        <x:v>-5.04</x:v>
      </x:c>
      <x:c r="E2807" s="14" t="n">
        <x:v>0.8</x:v>
      </x:c>
      <x:c r="F2807" s="14" t="n">
        <x:v>5.84</x:v>
      </x:c>
      <x:c r="G2807" s="17" t="n">
        <x:v>0</x:v>
      </x:c>
      <x:c r="H2807" s="14" t="str">
        <x:v>S08-03:B:original_handoff</x:v>
      </x:c>
    </x:row>
    <x:row r="2808" ht="72" customHeight="1">
      <x:c r="A2808" s="14" t="str">
        <x:v>S08-03:B:display_question</x:v>
      </x:c>
      <x:c r="B2808" s="14" t="str">
        <x:v>B</x:v>
      </x:c>
      <x:c r="C2808" s="14" t="str">
        <x:v>display_question</x:v>
      </x:c>
      <x:c r="D2808" s="14" t="n">
        <x:v>0.8</x:v>
      </x:c>
      <x:c r="E2808" s="14" t="n">
        <x:v>0.84</x:v>
      </x:c>
      <x:c r="F2808" s="14" t="n">
        <x:v>0.04</x:v>
      </x:c>
      <x:c r="G2808" s="17" t="n">
        <x:v>1</x:v>
      </x:c>
      <x:c r="H2808" s="14" t="str">
        <x:v>S08-03:B:source_question</x:v>
      </x:c>
    </x:row>
    <x:row r="2809" ht="72" customHeight="1">
      <x:c r="A2809" s="14" t="str">
        <x:v>S08-03:B:select_question</x:v>
      </x:c>
      <x:c r="B2809" s="14" t="str">
        <x:v>B</x:v>
      </x:c>
      <x:c r="C2809" s="14" t="str">
        <x:v>select_question</x:v>
      </x:c>
      <x:c r="D2809" s="14" t="n">
        <x:v>0.85</x:v>
      </x:c>
      <x:c r="E2809" s="14" t="n">
        <x:v>0.85</x:v>
      </x:c>
      <x:c r="F2809" s="14" t="n">
        <x:v>0</x:v>
      </x:c>
      <x:c r="G2809" s="17" t="n">
        <x:v>1</x:v>
      </x:c>
      <x:c r="H2809" s="14" t="str">
        <x:v>S08-03:B:apply_relation
S08-03:B:source_question</x:v>
      </x:c>
    </x:row>
    <x:row r="2810" ht="72" customHeight="1">
      <x:c r="A2810" s="14" t="str">
        <x:v>S08-03:B:question_first</x:v>
      </x:c>
      <x:c r="B2810" s="14" t="str">
        <x:v>B</x:v>
      </x:c>
      <x:c r="C2810" s="14" t="str">
        <x:v>question_first</x:v>
      </x:c>
      <x:c r="D2810" s="14" t="n">
        <x:v>0.85</x:v>
      </x:c>
      <x:c r="E2810" s="14" t="n">
        <x:v>1.251</x:v>
      </x:c>
      <x:c r="F2810" s="14" t="n">
        <x:v>0.401</x:v>
      </x:c>
      <x:c r="G2810" s="17" t="n">
        <x:v>1</x:v>
      </x:c>
      <x:c r="H2810" s="14" t="str">
        <x:v>S08-03:B:select_question</x:v>
      </x:c>
    </x:row>
    <x:row r="2811" ht="72" customHeight="1">
      <x:c r="A2811" s="14" t="str">
        <x:v>S08-03:B:question_tail</x:v>
      </x:c>
      <x:c r="B2811" s="14" t="str">
        <x:v>B</x:v>
      </x:c>
      <x:c r="C2811" s="14" t="str">
        <x:v>question_tail</x:v>
      </x:c>
      <x:c r="D2811" s="14" t="n">
        <x:v>1.251</x:v>
      </x:c>
      <x:c r="E2811" s="14" t="n">
        <x:v>1.8935</x:v>
      </x:c>
      <x:c r="F2811" s="14" t="n">
        <x:v>0.6425</x:v>
      </x:c>
      <x:c r="G2811" s="17" t="n">
        <x:v>1</x:v>
      </x:c>
      <x:c r="H2811" s="14" t="str">
        <x:v>S08-03:B:question_first</x:v>
      </x:c>
    </x:row>
    <x:row r="2812" ht="72" customHeight="1">
      <x:c r="A2812" s="14" t="str">
        <x:v>S08-03:B:question_device</x:v>
      </x:c>
      <x:c r="B2812" s="14" t="str">
        <x:v>B</x:v>
      </x:c>
      <x:c r="C2812" s="14" t="str">
        <x:v>question_device</x:v>
      </x:c>
      <x:c r="D2812" s="14" t="n">
        <x:v>1.251</x:v>
      </x:c>
      <x:c r="E2812" s="14" t="n">
        <x:v>1.291</x:v>
      </x:c>
      <x:c r="F2812" s="14" t="n">
        <x:v>0.04</x:v>
      </x:c>
      <x:c r="G2812" s="17" t="n">
        <x:v>1</x:v>
      </x:c>
      <x:c r="H2812" s="14" t="str">
        <x:v>S08-03:B:select_question
S08-03:B:question_first</x:v>
      </x:c>
    </x:row>
    <x:row r="2813" ht="72" customHeight="1">
      <x:c r="A2813" s="14" t="str">
        <x:v>S08-03:B:question_played</x:v>
      </x:c>
      <x:c r="B2813" s="14" t="str">
        <x:v>B</x:v>
      </x:c>
      <x:c r="C2813" s="14" t="str">
        <x:v>question_played</x:v>
      </x:c>
      <x:c r="D2813" s="14" t="n">
        <x:v>1.291</x:v>
      </x:c>
      <x:c r="E2813" s="14" t="n">
        <x:v>4.061</x:v>
      </x:c>
      <x:c r="F2813" s="14" t="n">
        <x:v>2.77</x:v>
      </x:c>
      <x:c r="G2813" s="17" t="n">
        <x:v>0</x:v>
      </x:c>
      <x:c r="H2813" s="14" t="str">
        <x:v>S08-03:B:question_device</x:v>
      </x:c>
    </x:row>
    <x:row r="2814" ht="72" customHeight="1">
      <x:c r="A2814" s="14" t="str">
        <x:v>S08-04:A:origin</x:v>
      </x:c>
      <x:c r="B2814" s="14" t="str">
        <x:v>A</x:v>
      </x:c>
      <x:c r="C2814" s="14" t="str">
        <x:v>origin</x:v>
      </x:c>
      <x:c r="D2814" s="14" t="n">
        <x:v>-6</x:v>
      </x:c>
      <x:c r="E2814" s="14" t="n">
        <x:v>-6</x:v>
      </x:c>
      <x:c r="F2814" s="14" t="n">
        <x:v>0</x:v>
      </x:c>
      <x:c r="G2814" s="17" t="n">
        <x:v>0</x:v>
      </x:c>
      <x:c r="H2814" s="14" t="str"/>
    </x:row>
    <x:row r="2815" ht="72" customHeight="1">
      <x:c r="A2815" s="14" t="str">
        <x:v>S08-04:A:origin_interpretation</x:v>
      </x:c>
      <x:c r="B2815" s="14" t="str">
        <x:v>A</x:v>
      </x:c>
      <x:c r="C2815" s="14" t="str">
        <x:v>origin_interpretation</x:v>
      </x:c>
      <x:c r="D2815" s="14" t="n">
        <x:v>-6</x:v>
      </x:c>
      <x:c r="E2815" s="14" t="n">
        <x:v>-5.16</x:v>
      </x:c>
      <x:c r="F2815" s="14" t="n">
        <x:v>0.84</x:v>
      </x:c>
      <x:c r="G2815" s="17" t="n">
        <x:v>1</x:v>
      </x:c>
      <x:c r="H2815" s="14" t="str">
        <x:v>S08-04:A:origin</x:v>
      </x:c>
    </x:row>
    <x:row r="2816" ht="72" customHeight="1">
      <x:c r="A2816" s="14" t="str">
        <x:v>S08-04:A:original_handoff</x:v>
      </x:c>
      <x:c r="B2816" s="14" t="str">
        <x:v>A</x:v>
      </x:c>
      <x:c r="C2816" s="14" t="str">
        <x:v>original_handoff</x:v>
      </x:c>
      <x:c r="D2816" s="14" t="n">
        <x:v>-5.16</x:v>
      </x:c>
      <x:c r="E2816" s="14" t="n">
        <x:v>-5.04</x:v>
      </x:c>
      <x:c r="F2816" s="14" t="n">
        <x:v>0.12</x:v>
      </x:c>
      <x:c r="G2816" s="17" t="n">
        <x:v>1</x:v>
      </x:c>
      <x:c r="H2816" s="14" t="str">
        <x:v>S08-04:A:origin_interpretation</x:v>
      </x:c>
    </x:row>
    <x:row r="2817" ht="72" customHeight="1">
      <x:c r="A2817" s="14" t="str">
        <x:v>S08-04:A:evaluation_utterance_end</x:v>
      </x:c>
      <x:c r="B2817" s="14" t="str">
        <x:v>A</x:v>
      </x:c>
      <x:c r="C2817" s="14" t="str">
        <x:v>evaluation_utterance_end</x:v>
      </x:c>
      <x:c r="D2817" s="14" t="n">
        <x:v>-6</x:v>
      </x:c>
      <x:c r="E2817" s="14" t="n">
        <x:v>0</x:v>
      </x:c>
      <x:c r="F2817" s="14" t="n">
        <x:v>6</x:v>
      </x:c>
      <x:c r="G2817" s="17" t="n">
        <x:v>0</x:v>
      </x:c>
      <x:c r="H2817" s="14" t="str">
        <x:v>S08-04:A:origin</x:v>
      </x:c>
    </x:row>
    <x:row r="2818" ht="72" customHeight="1">
      <x:c r="A2818" s="14" t="str">
        <x:v>S08-04:A:final_transcript</x:v>
      </x:c>
      <x:c r="B2818" s="14" t="str">
        <x:v>A</x:v>
      </x:c>
      <x:c r="C2818" s="14" t="str">
        <x:v>final_transcript</x:v>
      </x:c>
      <x:c r="D2818" s="14" t="n">
        <x:v>0</x:v>
      </x:c>
      <x:c r="E2818" s="14" t="n">
        <x:v>0.3</x:v>
      </x:c>
      <x:c r="F2818" s="14" t="n">
        <x:v>0.3</x:v>
      </x:c>
      <x:c r="G2818" s="17" t="n">
        <x:v>1</x:v>
      </x:c>
      <x:c r="H2818" s="14" t="str">
        <x:v>S08-04:A:evaluation_utterance_end</x:v>
      </x:c>
    </x:row>
    <x:row r="2819" ht="72" customHeight="1">
      <x:c r="A2819" s="14" t="str">
        <x:v>S08-04:A:meaning_adoption</x:v>
      </x:c>
      <x:c r="B2819" s="14" t="str">
        <x:v>A</x:v>
      </x:c>
      <x:c r="C2819" s="14" t="str">
        <x:v>meaning_adoption</x:v>
      </x:c>
      <x:c r="D2819" s="14" t="n">
        <x:v>0.3</x:v>
      </x:c>
      <x:c r="E2819" s="14" t="n">
        <x:v>0.838333333</x:v>
      </x:c>
      <x:c r="F2819" s="14" t="n">
        <x:v>0.538333333</x:v>
      </x:c>
      <x:c r="G2819" s="17" t="n">
        <x:v>1</x:v>
      </x:c>
      <x:c r="H2819" s="14" t="str">
        <x:v>S08-04:A:final_transcript
S08-04:A:origin_interpretation</x:v>
      </x:c>
    </x:row>
    <x:row r="2820" ht="72" customHeight="1">
      <x:c r="A2820" s="14" t="str">
        <x:v>S08-04:A:apply_relation</x:v>
      </x:c>
      <x:c r="B2820" s="14" t="str">
        <x:v>A</x:v>
      </x:c>
      <x:c r="C2820" s="14" t="str">
        <x:v>apply_relation</x:v>
      </x:c>
      <x:c r="D2820" s="14" t="n">
        <x:v>0.838333333</x:v>
      </x:c>
      <x:c r="E2820" s="14" t="n">
        <x:v>0.878333333</x:v>
      </x:c>
      <x:c r="F2820" s="14" t="n">
        <x:v>0.04</x:v>
      </x:c>
      <x:c r="G2820" s="17" t="n">
        <x:v>1</x:v>
      </x:c>
      <x:c r="H2820" s="14" t="str">
        <x:v>S08-04:A:meaning_adoption</x:v>
      </x:c>
    </x:row>
    <x:row r="2821" ht="72" customHeight="1">
      <x:c r="A2821" s="14" t="str">
        <x:v>S08-04:A:evaluation_first_display</x:v>
      </x:c>
      <x:c r="B2821" s="14" t="str">
        <x:v>A</x:v>
      </x:c>
      <x:c r="C2821" s="14" t="str">
        <x:v>evaluation_first_display</x:v>
      </x:c>
      <x:c r="D2821" s="14" t="n">
        <x:v>0.878333333</x:v>
      </x:c>
      <x:c r="E2821" s="14" t="n">
        <x:v>0.918333333</x:v>
      </x:c>
      <x:c r="F2821" s="14" t="n">
        <x:v>0.04</x:v>
      </x:c>
      <x:c r="G2821" s="17" t="n">
        <x:v>1</x:v>
      </x:c>
      <x:c r="H2821" s="14" t="str">
        <x:v>S08-04:A:apply_relation</x:v>
      </x:c>
    </x:row>
    <x:row r="2822" ht="72" customHeight="1">
      <x:c r="A2822" s="14" t="str">
        <x:v>S08-04:A:source_question</x:v>
      </x:c>
      <x:c r="B2822" s="14" t="str">
        <x:v>A</x:v>
      </x:c>
      <x:c r="C2822" s="14" t="str">
        <x:v>source_question</x:v>
      </x:c>
      <x:c r="D2822" s="14" t="n">
        <x:v>-5.04</x:v>
      </x:c>
      <x:c r="E2822" s="14" t="n">
        <x:v>0.828333333</x:v>
      </x:c>
      <x:c r="F2822" s="14" t="n">
        <x:v>5.868333333</x:v>
      </x:c>
      <x:c r="G2822" s="17" t="n">
        <x:v>0</x:v>
      </x:c>
      <x:c r="H2822" s="14" t="str">
        <x:v>S08-04:A:original_handoff</x:v>
      </x:c>
    </x:row>
    <x:row r="2823" ht="72" customHeight="1">
      <x:c r="A2823" s="14" t="str">
        <x:v>S08-04:A:display_question</x:v>
      </x:c>
      <x:c r="B2823" s="14" t="str">
        <x:v>A</x:v>
      </x:c>
      <x:c r="C2823" s="14" t="str">
        <x:v>display_question</x:v>
      </x:c>
      <x:c r="D2823" s="14" t="n">
        <x:v>0.828333333</x:v>
      </x:c>
      <x:c r="E2823" s="14" t="n">
        <x:v>0.868333333</x:v>
      </x:c>
      <x:c r="F2823" s="14" t="n">
        <x:v>0.04</x:v>
      </x:c>
      <x:c r="G2823" s="17" t="n">
        <x:v>1</x:v>
      </x:c>
      <x:c r="H2823" s="14" t="str">
        <x:v>S08-04:A:source_question</x:v>
      </x:c>
    </x:row>
    <x:row r="2824" ht="72" customHeight="1">
      <x:c r="A2824" s="14" t="str">
        <x:v>S08-04:A:select_question</x:v>
      </x:c>
      <x:c r="B2824" s="14" t="str">
        <x:v>A</x:v>
      </x:c>
      <x:c r="C2824" s="14" t="str">
        <x:v>select_question</x:v>
      </x:c>
      <x:c r="D2824" s="14" t="n">
        <x:v>0.878333333</x:v>
      </x:c>
      <x:c r="E2824" s="14" t="n">
        <x:v>0.878333333</x:v>
      </x:c>
      <x:c r="F2824" s="14" t="n">
        <x:v>0</x:v>
      </x:c>
      <x:c r="G2824" s="17" t="n">
        <x:v>1</x:v>
      </x:c>
      <x:c r="H2824" s="14" t="str">
        <x:v>S08-04:A:apply_relation
S08-04:A:source_question</x:v>
      </x:c>
    </x:row>
    <x:row r="2825" ht="72" customHeight="1">
      <x:c r="A2825" s="14" t="str">
        <x:v>S08-04:A:question_first</x:v>
      </x:c>
      <x:c r="B2825" s="14" t="str">
        <x:v>A</x:v>
      </x:c>
      <x:c r="C2825" s="14" t="str">
        <x:v>question_first</x:v>
      </x:c>
      <x:c r="D2825" s="14" t="n">
        <x:v>0.828333333</x:v>
      </x:c>
      <x:c r="E2825" s="14" t="n">
        <x:v>1.229333333</x:v>
      </x:c>
      <x:c r="F2825" s="14" t="n">
        <x:v>0.401</x:v>
      </x:c>
      <x:c r="G2825" s="17" t="n">
        <x:v>1</x:v>
      </x:c>
      <x:c r="H2825" s="14" t="str">
        <x:v>S08-04:A:source_question</x:v>
      </x:c>
    </x:row>
    <x:row r="2826" ht="72" customHeight="1">
      <x:c r="A2826" s="14" t="str">
        <x:v>S08-04:A:question_tail</x:v>
      </x:c>
      <x:c r="B2826" s="14" t="str">
        <x:v>A</x:v>
      </x:c>
      <x:c r="C2826" s="14" t="str">
        <x:v>question_tail</x:v>
      </x:c>
      <x:c r="D2826" s="14" t="n">
        <x:v>1.229333333</x:v>
      </x:c>
      <x:c r="E2826" s="14" t="n">
        <x:v>1.874833333</x:v>
      </x:c>
      <x:c r="F2826" s="14" t="n">
        <x:v>0.6455</x:v>
      </x:c>
      <x:c r="G2826" s="17" t="n">
        <x:v>1</x:v>
      </x:c>
      <x:c r="H2826" s="14" t="str">
        <x:v>S08-04:A:question_first</x:v>
      </x:c>
    </x:row>
    <x:row r="2827" ht="72" customHeight="1">
      <x:c r="A2827" s="14" t="str">
        <x:v>S08-04:A:question_device</x:v>
      </x:c>
      <x:c r="B2827" s="14" t="str">
        <x:v>A</x:v>
      </x:c>
      <x:c r="C2827" s="14" t="str">
        <x:v>question_device</x:v>
      </x:c>
      <x:c r="D2827" s="14" t="n">
        <x:v>1.229333333</x:v>
      </x:c>
      <x:c r="E2827" s="14" t="n">
        <x:v>1.269333333</x:v>
      </x:c>
      <x:c r="F2827" s="14" t="n">
        <x:v>0.04</x:v>
      </x:c>
      <x:c r="G2827" s="17" t="n">
        <x:v>1</x:v>
      </x:c>
      <x:c r="H2827" s="14" t="str">
        <x:v>S08-04:A:select_question
S08-04:A:question_first</x:v>
      </x:c>
    </x:row>
    <x:row r="2828" ht="72" customHeight="1">
      <x:c r="A2828" s="14" t="str">
        <x:v>S08-04:A:question_played</x:v>
      </x:c>
      <x:c r="B2828" s="14" t="str">
        <x:v>A</x:v>
      </x:c>
      <x:c r="C2828" s="14" t="str">
        <x:v>question_played</x:v>
      </x:c>
      <x:c r="D2828" s="14" t="n">
        <x:v>1.269333333</x:v>
      </x:c>
      <x:c r="E2828" s="14" t="n">
        <x:v>4.051333333</x:v>
      </x:c>
      <x:c r="F2828" s="14" t="n">
        <x:v>2.782</x:v>
      </x:c>
      <x:c r="G2828" s="17" t="n">
        <x:v>0</x:v>
      </x:c>
      <x:c r="H2828" s="14" t="str">
        <x:v>S08-04:A:question_device</x:v>
      </x:c>
    </x:row>
    <x:row r="2829" ht="72" customHeight="1">
      <x:c r="A2829" s="14" t="str">
        <x:v>S08-04:B:origin</x:v>
      </x:c>
      <x:c r="B2829" s="14" t="str">
        <x:v>B</x:v>
      </x:c>
      <x:c r="C2829" s="14" t="str">
        <x:v>origin</x:v>
      </x:c>
      <x:c r="D2829" s="14" t="n">
        <x:v>-6</x:v>
      </x:c>
      <x:c r="E2829" s="14" t="n">
        <x:v>-6</x:v>
      </x:c>
      <x:c r="F2829" s="14" t="n">
        <x:v>0</x:v>
      </x:c>
      <x:c r="G2829" s="17" t="n">
        <x:v>0</x:v>
      </x:c>
      <x:c r="H2829" s="14" t="str"/>
    </x:row>
    <x:row r="2830" ht="72" customHeight="1">
      <x:c r="A2830" s="14" t="str">
        <x:v>S08-04:B:origin_interpretation</x:v>
      </x:c>
      <x:c r="B2830" s="14" t="str">
        <x:v>B</x:v>
      </x:c>
      <x:c r="C2830" s="14" t="str">
        <x:v>origin_interpretation</x:v>
      </x:c>
      <x:c r="D2830" s="14" t="n">
        <x:v>-6</x:v>
      </x:c>
      <x:c r="E2830" s="14" t="n">
        <x:v>-5.16</x:v>
      </x:c>
      <x:c r="F2830" s="14" t="n">
        <x:v>0.84</x:v>
      </x:c>
      <x:c r="G2830" s="17" t="n">
        <x:v>1</x:v>
      </x:c>
      <x:c r="H2830" s="14" t="str">
        <x:v>S08-04:B:origin</x:v>
      </x:c>
    </x:row>
    <x:row r="2831" ht="72" customHeight="1">
      <x:c r="A2831" s="14" t="str">
        <x:v>S08-04:B:original_handoff</x:v>
      </x:c>
      <x:c r="B2831" s="14" t="str">
        <x:v>B</x:v>
      </x:c>
      <x:c r="C2831" s="14" t="str">
        <x:v>original_handoff</x:v>
      </x:c>
      <x:c r="D2831" s="14" t="n">
        <x:v>-5.16</x:v>
      </x:c>
      <x:c r="E2831" s="14" t="n">
        <x:v>-5.04</x:v>
      </x:c>
      <x:c r="F2831" s="14" t="n">
        <x:v>0.12</x:v>
      </x:c>
      <x:c r="G2831" s="17" t="n">
        <x:v>1</x:v>
      </x:c>
      <x:c r="H2831" s="14" t="str">
        <x:v>S08-04:B:origin_interpretation</x:v>
      </x:c>
    </x:row>
    <x:row r="2832" ht="72" customHeight="1">
      <x:c r="A2832" s="14" t="str">
        <x:v>S08-04:B:evaluation_utterance_end</x:v>
      </x:c>
      <x:c r="B2832" s="14" t="str">
        <x:v>B</x:v>
      </x:c>
      <x:c r="C2832" s="14" t="str">
        <x:v>evaluation_utterance_end</x:v>
      </x:c>
      <x:c r="D2832" s="14" t="n">
        <x:v>-6</x:v>
      </x:c>
      <x:c r="E2832" s="14" t="n">
        <x:v>0</x:v>
      </x:c>
      <x:c r="F2832" s="14" t="n">
        <x:v>6</x:v>
      </x:c>
      <x:c r="G2832" s="17" t="n">
        <x:v>0</x:v>
      </x:c>
      <x:c r="H2832" s="14" t="str">
        <x:v>S08-04:B:origin</x:v>
      </x:c>
    </x:row>
    <x:row r="2833" ht="72" customHeight="1">
      <x:c r="A2833" s="14" t="str">
        <x:v>S08-04:B:final_transcript</x:v>
      </x:c>
      <x:c r="B2833" s="14" t="str">
        <x:v>B</x:v>
      </x:c>
      <x:c r="C2833" s="14" t="str">
        <x:v>final_transcript</x:v>
      </x:c>
      <x:c r="D2833" s="14" t="n">
        <x:v>0</x:v>
      </x:c>
      <x:c r="E2833" s="14" t="n">
        <x:v>0.3</x:v>
      </x:c>
      <x:c r="F2833" s="14" t="n">
        <x:v>0.3</x:v>
      </x:c>
      <x:c r="G2833" s="17" t="n">
        <x:v>1</x:v>
      </x:c>
      <x:c r="H2833" s="14" t="str">
        <x:v>S08-04:B:evaluation_utterance_end</x:v>
      </x:c>
    </x:row>
    <x:row r="2834" ht="72" customHeight="1">
      <x:c r="A2834" s="14" t="str">
        <x:v>S08-04:B:meaning_adoption</x:v>
      </x:c>
      <x:c r="B2834" s="14" t="str">
        <x:v>B</x:v>
      </x:c>
      <x:c r="C2834" s="14" t="str">
        <x:v>meaning_adoption</x:v>
      </x:c>
      <x:c r="D2834" s="14" t="n">
        <x:v>0.3</x:v>
      </x:c>
      <x:c r="E2834" s="14" t="n">
        <x:v>0.838333333</x:v>
      </x:c>
      <x:c r="F2834" s="14" t="n">
        <x:v>0.538333333</x:v>
      </x:c>
      <x:c r="G2834" s="17" t="n">
        <x:v>1</x:v>
      </x:c>
      <x:c r="H2834" s="14" t="str">
        <x:v>S08-04:B:final_transcript
S08-04:B:origin_interpretation</x:v>
      </x:c>
    </x:row>
    <x:row r="2835" ht="72" customHeight="1">
      <x:c r="A2835" s="14" t="str">
        <x:v>S08-04:B:apply_relation</x:v>
      </x:c>
      <x:c r="B2835" s="14" t="str">
        <x:v>B</x:v>
      </x:c>
      <x:c r="C2835" s="14" t="str">
        <x:v>apply_relation</x:v>
      </x:c>
      <x:c r="D2835" s="14" t="n">
        <x:v>0.838333333</x:v>
      </x:c>
      <x:c r="E2835" s="14" t="n">
        <x:v>0.878333333</x:v>
      </x:c>
      <x:c r="F2835" s="14" t="n">
        <x:v>0.04</x:v>
      </x:c>
      <x:c r="G2835" s="17" t="n">
        <x:v>1</x:v>
      </x:c>
      <x:c r="H2835" s="14" t="str">
        <x:v>S08-04:B:meaning_adoption</x:v>
      </x:c>
    </x:row>
    <x:row r="2836" ht="72" customHeight="1">
      <x:c r="A2836" s="14" t="str">
        <x:v>S08-04:B:evaluation_first_display</x:v>
      </x:c>
      <x:c r="B2836" s="14" t="str">
        <x:v>B</x:v>
      </x:c>
      <x:c r="C2836" s="14" t="str">
        <x:v>evaluation_first_display</x:v>
      </x:c>
      <x:c r="D2836" s="14" t="n">
        <x:v>0.878333333</x:v>
      </x:c>
      <x:c r="E2836" s="14" t="n">
        <x:v>0.918333333</x:v>
      </x:c>
      <x:c r="F2836" s="14" t="n">
        <x:v>0.04</x:v>
      </x:c>
      <x:c r="G2836" s="17" t="n">
        <x:v>1</x:v>
      </x:c>
      <x:c r="H2836" s="14" t="str">
        <x:v>S08-04:B:apply_relation</x:v>
      </x:c>
    </x:row>
    <x:row r="2837" ht="72" customHeight="1">
      <x:c r="A2837" s="14" t="str">
        <x:v>S08-04:B:source_question</x:v>
      </x:c>
      <x:c r="B2837" s="14" t="str">
        <x:v>B</x:v>
      </x:c>
      <x:c r="C2837" s="14" t="str">
        <x:v>source_question</x:v>
      </x:c>
      <x:c r="D2837" s="14" t="n">
        <x:v>-5.04</x:v>
      </x:c>
      <x:c r="E2837" s="14" t="n">
        <x:v>0.828333333</x:v>
      </x:c>
      <x:c r="F2837" s="14" t="n">
        <x:v>5.868333333</x:v>
      </x:c>
      <x:c r="G2837" s="17" t="n">
        <x:v>0</x:v>
      </x:c>
      <x:c r="H2837" s="14" t="str">
        <x:v>S08-04:B:original_handoff</x:v>
      </x:c>
    </x:row>
    <x:row r="2838" ht="72" customHeight="1">
      <x:c r="A2838" s="14" t="str">
        <x:v>S08-04:B:display_question</x:v>
      </x:c>
      <x:c r="B2838" s="14" t="str">
        <x:v>B</x:v>
      </x:c>
      <x:c r="C2838" s="14" t="str">
        <x:v>display_question</x:v>
      </x:c>
      <x:c r="D2838" s="14" t="n">
        <x:v>0.828333333</x:v>
      </x:c>
      <x:c r="E2838" s="14" t="n">
        <x:v>0.868333333</x:v>
      </x:c>
      <x:c r="F2838" s="14" t="n">
        <x:v>0.04</x:v>
      </x:c>
      <x:c r="G2838" s="17" t="n">
        <x:v>1</x:v>
      </x:c>
      <x:c r="H2838" s="14" t="str">
        <x:v>S08-04:B:source_question</x:v>
      </x:c>
    </x:row>
    <x:row r="2839" ht="72" customHeight="1">
      <x:c r="A2839" s="14" t="str">
        <x:v>S08-04:B:select_question</x:v>
      </x:c>
      <x:c r="B2839" s="14" t="str">
        <x:v>B</x:v>
      </x:c>
      <x:c r="C2839" s="14" t="str">
        <x:v>select_question</x:v>
      </x:c>
      <x:c r="D2839" s="14" t="n">
        <x:v>0.878333333</x:v>
      </x:c>
      <x:c r="E2839" s="14" t="n">
        <x:v>0.878333333</x:v>
      </x:c>
      <x:c r="F2839" s="14" t="n">
        <x:v>0</x:v>
      </x:c>
      <x:c r="G2839" s="17" t="n">
        <x:v>1</x:v>
      </x:c>
      <x:c r="H2839" s="14" t="str">
        <x:v>S08-04:B:apply_relation
S08-04:B:source_question</x:v>
      </x:c>
    </x:row>
    <x:row r="2840" ht="72" customHeight="1">
      <x:c r="A2840" s="14" t="str">
        <x:v>S08-04:B:question_first</x:v>
      </x:c>
      <x:c r="B2840" s="14" t="str">
        <x:v>B</x:v>
      </x:c>
      <x:c r="C2840" s="14" t="str">
        <x:v>question_first</x:v>
      </x:c>
      <x:c r="D2840" s="14" t="n">
        <x:v>0.878333333</x:v>
      </x:c>
      <x:c r="E2840" s="14" t="n">
        <x:v>1.279333333</x:v>
      </x:c>
      <x:c r="F2840" s="14" t="n">
        <x:v>0.401</x:v>
      </x:c>
      <x:c r="G2840" s="17" t="n">
        <x:v>1</x:v>
      </x:c>
      <x:c r="H2840" s="14" t="str">
        <x:v>S08-04:B:select_question</x:v>
      </x:c>
    </x:row>
    <x:row r="2841" ht="72" customHeight="1">
      <x:c r="A2841" s="14" t="str">
        <x:v>S08-04:B:question_tail</x:v>
      </x:c>
      <x:c r="B2841" s="14" t="str">
        <x:v>B</x:v>
      </x:c>
      <x:c r="C2841" s="14" t="str">
        <x:v>question_tail</x:v>
      </x:c>
      <x:c r="D2841" s="14" t="n">
        <x:v>1.279333333</x:v>
      </x:c>
      <x:c r="E2841" s="14" t="n">
        <x:v>1.924833333</x:v>
      </x:c>
      <x:c r="F2841" s="14" t="n">
        <x:v>0.6455</x:v>
      </x:c>
      <x:c r="G2841" s="17" t="n">
        <x:v>1</x:v>
      </x:c>
      <x:c r="H2841" s="14" t="str">
        <x:v>S08-04:B:question_first</x:v>
      </x:c>
    </x:row>
    <x:row r="2842" ht="72" customHeight="1">
      <x:c r="A2842" s="14" t="str">
        <x:v>S08-04:B:question_device</x:v>
      </x:c>
      <x:c r="B2842" s="14" t="str">
        <x:v>B</x:v>
      </x:c>
      <x:c r="C2842" s="14" t="str">
        <x:v>question_device</x:v>
      </x:c>
      <x:c r="D2842" s="14" t="n">
        <x:v>1.279333333</x:v>
      </x:c>
      <x:c r="E2842" s="14" t="n">
        <x:v>1.319333333</x:v>
      </x:c>
      <x:c r="F2842" s="14" t="n">
        <x:v>0.04</x:v>
      </x:c>
      <x:c r="G2842" s="17" t="n">
        <x:v>1</x:v>
      </x:c>
      <x:c r="H2842" s="14" t="str">
        <x:v>S08-04:B:select_question
S08-04:B:question_first</x:v>
      </x:c>
    </x:row>
    <x:row r="2843" ht="72" customHeight="1">
      <x:c r="A2843" s="14" t="str">
        <x:v>S08-04:B:question_played</x:v>
      </x:c>
      <x:c r="B2843" s="14" t="str">
        <x:v>B</x:v>
      </x:c>
      <x:c r="C2843" s="14" t="str">
        <x:v>question_played</x:v>
      </x:c>
      <x:c r="D2843" s="14" t="n">
        <x:v>1.319333333</x:v>
      </x:c>
      <x:c r="E2843" s="14" t="n">
        <x:v>4.101333333</x:v>
      </x:c>
      <x:c r="F2843" s="14" t="n">
        <x:v>2.782</x:v>
      </x:c>
      <x:c r="G2843" s="17" t="n">
        <x:v>0</x:v>
      </x:c>
      <x:c r="H2843" s="14" t="str">
        <x:v>S08-04:B:question_device</x:v>
      </x:c>
    </x:row>
    <x:row r="2844" ht="72" customHeight="1">
      <x:c r="A2844" s="14" t="str">
        <x:v>S08-05:A:origin</x:v>
      </x:c>
      <x:c r="B2844" s="14" t="str">
        <x:v>A</x:v>
      </x:c>
      <x:c r="C2844" s="14" t="str">
        <x:v>origin</x:v>
      </x:c>
      <x:c r="D2844" s="14" t="n">
        <x:v>-6</x:v>
      </x:c>
      <x:c r="E2844" s="14" t="n">
        <x:v>-6</x:v>
      </x:c>
      <x:c r="F2844" s="14" t="n">
        <x:v>0</x:v>
      </x:c>
      <x:c r="G2844" s="17" t="n">
        <x:v>0</x:v>
      </x:c>
      <x:c r="H2844" s="14" t="str"/>
    </x:row>
    <x:row r="2845" ht="72" customHeight="1">
      <x:c r="A2845" s="14" t="str">
        <x:v>S08-05:A:origin_interpretation</x:v>
      </x:c>
      <x:c r="B2845" s="14" t="str">
        <x:v>A</x:v>
      </x:c>
      <x:c r="C2845" s="14" t="str">
        <x:v>origin_interpretation</x:v>
      </x:c>
      <x:c r="D2845" s="14" t="n">
        <x:v>-6</x:v>
      </x:c>
      <x:c r="E2845" s="14" t="n">
        <x:v>-5.16</x:v>
      </x:c>
      <x:c r="F2845" s="14" t="n">
        <x:v>0.84</x:v>
      </x:c>
      <x:c r="G2845" s="17" t="n">
        <x:v>1</x:v>
      </x:c>
      <x:c r="H2845" s="14" t="str">
        <x:v>S08-05:A:origin</x:v>
      </x:c>
    </x:row>
    <x:row r="2846" ht="72" customHeight="1">
      <x:c r="A2846" s="14" t="str">
        <x:v>S08-05:A:original_handoff</x:v>
      </x:c>
      <x:c r="B2846" s="14" t="str">
        <x:v>A</x:v>
      </x:c>
      <x:c r="C2846" s="14" t="str">
        <x:v>original_handoff</x:v>
      </x:c>
      <x:c r="D2846" s="14" t="n">
        <x:v>-5.16</x:v>
      </x:c>
      <x:c r="E2846" s="14" t="n">
        <x:v>-5.04</x:v>
      </x:c>
      <x:c r="F2846" s="14" t="n">
        <x:v>0.12</x:v>
      </x:c>
      <x:c r="G2846" s="17" t="n">
        <x:v>1</x:v>
      </x:c>
      <x:c r="H2846" s="14" t="str">
        <x:v>S08-05:A:origin_interpretation</x:v>
      </x:c>
    </x:row>
    <x:row r="2847" ht="72" customHeight="1">
      <x:c r="A2847" s="14" t="str">
        <x:v>S08-05:A:evaluation_utterance_end</x:v>
      </x:c>
      <x:c r="B2847" s="14" t="str">
        <x:v>A</x:v>
      </x:c>
      <x:c r="C2847" s="14" t="str">
        <x:v>evaluation_utterance_end</x:v>
      </x:c>
      <x:c r="D2847" s="14" t="n">
        <x:v>-6</x:v>
      </x:c>
      <x:c r="E2847" s="14" t="n">
        <x:v>0</x:v>
      </x:c>
      <x:c r="F2847" s="14" t="n">
        <x:v>6</x:v>
      </x:c>
      <x:c r="G2847" s="17" t="n">
        <x:v>0</x:v>
      </x:c>
      <x:c r="H2847" s="14" t="str">
        <x:v>S08-05:A:origin</x:v>
      </x:c>
    </x:row>
    <x:row r="2848" ht="72" customHeight="1">
      <x:c r="A2848" s="14" t="str">
        <x:v>S08-05:A:final_transcript</x:v>
      </x:c>
      <x:c r="B2848" s="14" t="str">
        <x:v>A</x:v>
      </x:c>
      <x:c r="C2848" s="14" t="str">
        <x:v>final_transcript</x:v>
      </x:c>
      <x:c r="D2848" s="14" t="n">
        <x:v>0</x:v>
      </x:c>
      <x:c r="E2848" s="14" t="n">
        <x:v>0.3</x:v>
      </x:c>
      <x:c r="F2848" s="14" t="n">
        <x:v>0.3</x:v>
      </x:c>
      <x:c r="G2848" s="17" t="n">
        <x:v>1</x:v>
      </x:c>
      <x:c r="H2848" s="14" t="str">
        <x:v>S08-05:A:evaluation_utterance_end</x:v>
      </x:c>
    </x:row>
    <x:row r="2849" ht="72" customHeight="1">
      <x:c r="A2849" s="14" t="str">
        <x:v>S08-05:A:meaning_adoption</x:v>
      </x:c>
      <x:c r="B2849" s="14" t="str">
        <x:v>A</x:v>
      </x:c>
      <x:c r="C2849" s="14" t="str">
        <x:v>meaning_adoption</x:v>
      </x:c>
      <x:c r="D2849" s="14" t="n">
        <x:v>0.3</x:v>
      </x:c>
      <x:c r="E2849" s="14" t="n">
        <x:v>0.866666667</x:v>
      </x:c>
      <x:c r="F2849" s="14" t="n">
        <x:v>0.566666667</x:v>
      </x:c>
      <x:c r="G2849" s="17" t="n">
        <x:v>1</x:v>
      </x:c>
      <x:c r="H2849" s="14" t="str">
        <x:v>S08-05:A:final_transcript
S08-05:A:origin_interpretation</x:v>
      </x:c>
    </x:row>
    <x:row r="2850" ht="72" customHeight="1">
      <x:c r="A2850" s="14" t="str">
        <x:v>S08-05:A:apply_relation</x:v>
      </x:c>
      <x:c r="B2850" s="14" t="str">
        <x:v>A</x:v>
      </x:c>
      <x:c r="C2850" s="14" t="str">
        <x:v>apply_relation</x:v>
      </x:c>
      <x:c r="D2850" s="14" t="n">
        <x:v>0.866666667</x:v>
      </x:c>
      <x:c r="E2850" s="14" t="n">
        <x:v>0.906666667</x:v>
      </x:c>
      <x:c r="F2850" s="14" t="n">
        <x:v>0.04</x:v>
      </x:c>
      <x:c r="G2850" s="17" t="n">
        <x:v>1</x:v>
      </x:c>
      <x:c r="H2850" s="14" t="str">
        <x:v>S08-05:A:meaning_adoption</x:v>
      </x:c>
    </x:row>
    <x:row r="2851" ht="72" customHeight="1">
      <x:c r="A2851" s="14" t="str">
        <x:v>S08-05:A:evaluation_first_display</x:v>
      </x:c>
      <x:c r="B2851" s="14" t="str">
        <x:v>A</x:v>
      </x:c>
      <x:c r="C2851" s="14" t="str">
        <x:v>evaluation_first_display</x:v>
      </x:c>
      <x:c r="D2851" s="14" t="n">
        <x:v>0.906666667</x:v>
      </x:c>
      <x:c r="E2851" s="14" t="n">
        <x:v>0.946666667</x:v>
      </x:c>
      <x:c r="F2851" s="14" t="n">
        <x:v>0.04</x:v>
      </x:c>
      <x:c r="G2851" s="17" t="n">
        <x:v>1</x:v>
      </x:c>
      <x:c r="H2851" s="14" t="str">
        <x:v>S08-05:A:apply_relation</x:v>
      </x:c>
    </x:row>
    <x:row r="2852" ht="72" customHeight="1">
      <x:c r="A2852" s="14" t="str">
        <x:v>S08-05:A:source_question</x:v>
      </x:c>
      <x:c r="B2852" s="14" t="str">
        <x:v>A</x:v>
      </x:c>
      <x:c r="C2852" s="14" t="str">
        <x:v>source_question</x:v>
      </x:c>
      <x:c r="D2852" s="14" t="n">
        <x:v>-5.04</x:v>
      </x:c>
      <x:c r="E2852" s="14" t="n">
        <x:v>0.856666667</x:v>
      </x:c>
      <x:c r="F2852" s="14" t="n">
        <x:v>5.896666667</x:v>
      </x:c>
      <x:c r="G2852" s="17" t="n">
        <x:v>0</x:v>
      </x:c>
      <x:c r="H2852" s="14" t="str">
        <x:v>S08-05:A:original_handoff</x:v>
      </x:c>
    </x:row>
    <x:row r="2853" ht="72" customHeight="1">
      <x:c r="A2853" s="14" t="str">
        <x:v>S08-05:A:display_question</x:v>
      </x:c>
      <x:c r="B2853" s="14" t="str">
        <x:v>A</x:v>
      </x:c>
      <x:c r="C2853" s="14" t="str">
        <x:v>display_question</x:v>
      </x:c>
      <x:c r="D2853" s="14" t="n">
        <x:v>0.856666667</x:v>
      </x:c>
      <x:c r="E2853" s="14" t="n">
        <x:v>0.896666667</x:v>
      </x:c>
      <x:c r="F2853" s="14" t="n">
        <x:v>0.04</x:v>
      </x:c>
      <x:c r="G2853" s="17" t="n">
        <x:v>1</x:v>
      </x:c>
      <x:c r="H2853" s="14" t="str">
        <x:v>S08-05:A:source_question</x:v>
      </x:c>
    </x:row>
    <x:row r="2854" ht="72" customHeight="1">
      <x:c r="A2854" s="14" t="str">
        <x:v>S08-05:A:select_question</x:v>
      </x:c>
      <x:c r="B2854" s="14" t="str">
        <x:v>A</x:v>
      </x:c>
      <x:c r="C2854" s="14" t="str">
        <x:v>select_question</x:v>
      </x:c>
      <x:c r="D2854" s="14" t="n">
        <x:v>0.906666667</x:v>
      </x:c>
      <x:c r="E2854" s="14" t="n">
        <x:v>0.906666667</x:v>
      </x:c>
      <x:c r="F2854" s="14" t="n">
        <x:v>0</x:v>
      </x:c>
      <x:c r="G2854" s="17" t="n">
        <x:v>1</x:v>
      </x:c>
      <x:c r="H2854" s="14" t="str">
        <x:v>S08-05:A:apply_relation
S08-05:A:source_question</x:v>
      </x:c>
    </x:row>
    <x:row r="2855" ht="72" customHeight="1">
      <x:c r="A2855" s="14" t="str">
        <x:v>S08-05:A:question_first</x:v>
      </x:c>
      <x:c r="B2855" s="14" t="str">
        <x:v>A</x:v>
      </x:c>
      <x:c r="C2855" s="14" t="str">
        <x:v>question_first</x:v>
      </x:c>
      <x:c r="D2855" s="14" t="n">
        <x:v>0.856666667</x:v>
      </x:c>
      <x:c r="E2855" s="14" t="n">
        <x:v>1.257666667</x:v>
      </x:c>
      <x:c r="F2855" s="14" t="n">
        <x:v>0.401</x:v>
      </x:c>
      <x:c r="G2855" s="17" t="n">
        <x:v>1</x:v>
      </x:c>
      <x:c r="H2855" s="14" t="str">
        <x:v>S08-05:A:source_question</x:v>
      </x:c>
    </x:row>
    <x:row r="2856" ht="72" customHeight="1">
      <x:c r="A2856" s="14" t="str">
        <x:v>S08-05:A:question_tail</x:v>
      </x:c>
      <x:c r="B2856" s="14" t="str">
        <x:v>A</x:v>
      </x:c>
      <x:c r="C2856" s="14" t="str">
        <x:v>question_tail</x:v>
      </x:c>
      <x:c r="D2856" s="14" t="n">
        <x:v>1.257666667</x:v>
      </x:c>
      <x:c r="E2856" s="14" t="n">
        <x:v>1.906166667</x:v>
      </x:c>
      <x:c r="F2856" s="14" t="n">
        <x:v>0.6485</x:v>
      </x:c>
      <x:c r="G2856" s="17" t="n">
        <x:v>1</x:v>
      </x:c>
      <x:c r="H2856" s="14" t="str">
        <x:v>S08-05:A:question_first</x:v>
      </x:c>
    </x:row>
    <x:row r="2857" ht="72" customHeight="1">
      <x:c r="A2857" s="14" t="str">
        <x:v>S08-05:A:question_device</x:v>
      </x:c>
      <x:c r="B2857" s="14" t="str">
        <x:v>A</x:v>
      </x:c>
      <x:c r="C2857" s="14" t="str">
        <x:v>question_device</x:v>
      </x:c>
      <x:c r="D2857" s="14" t="n">
        <x:v>1.257666667</x:v>
      </x:c>
      <x:c r="E2857" s="14" t="n">
        <x:v>1.297666667</x:v>
      </x:c>
      <x:c r="F2857" s="14" t="n">
        <x:v>0.04</x:v>
      </x:c>
      <x:c r="G2857" s="17" t="n">
        <x:v>1</x:v>
      </x:c>
      <x:c r="H2857" s="14" t="str">
        <x:v>S08-05:A:select_question
S08-05:A:question_first</x:v>
      </x:c>
    </x:row>
    <x:row r="2858" ht="72" customHeight="1">
      <x:c r="A2858" s="14" t="str">
        <x:v>S08-05:A:question_played</x:v>
      </x:c>
      <x:c r="B2858" s="14" t="str">
        <x:v>A</x:v>
      </x:c>
      <x:c r="C2858" s="14" t="str">
        <x:v>question_played</x:v>
      </x:c>
      <x:c r="D2858" s="14" t="n">
        <x:v>1.297666667</x:v>
      </x:c>
      <x:c r="E2858" s="14" t="n">
        <x:v>4.091666667</x:v>
      </x:c>
      <x:c r="F2858" s="14" t="n">
        <x:v>2.794</x:v>
      </x:c>
      <x:c r="G2858" s="17" t="n">
        <x:v>0</x:v>
      </x:c>
      <x:c r="H2858" s="14" t="str">
        <x:v>S08-05:A:question_device</x:v>
      </x:c>
    </x:row>
    <x:row r="2859" ht="72" customHeight="1">
      <x:c r="A2859" s="14" t="str">
        <x:v>S08-05:B:origin</x:v>
      </x:c>
      <x:c r="B2859" s="14" t="str">
        <x:v>B</x:v>
      </x:c>
      <x:c r="C2859" s="14" t="str">
        <x:v>origin</x:v>
      </x:c>
      <x:c r="D2859" s="14" t="n">
        <x:v>-6</x:v>
      </x:c>
      <x:c r="E2859" s="14" t="n">
        <x:v>-6</x:v>
      </x:c>
      <x:c r="F2859" s="14" t="n">
        <x:v>0</x:v>
      </x:c>
      <x:c r="G2859" s="17" t="n">
        <x:v>0</x:v>
      </x:c>
      <x:c r="H2859" s="14" t="str"/>
    </x:row>
    <x:row r="2860" ht="72" customHeight="1">
      <x:c r="A2860" s="14" t="str">
        <x:v>S08-05:B:origin_interpretation</x:v>
      </x:c>
      <x:c r="B2860" s="14" t="str">
        <x:v>B</x:v>
      </x:c>
      <x:c r="C2860" s="14" t="str">
        <x:v>origin_interpretation</x:v>
      </x:c>
      <x:c r="D2860" s="14" t="n">
        <x:v>-6</x:v>
      </x:c>
      <x:c r="E2860" s="14" t="n">
        <x:v>-5.16</x:v>
      </x:c>
      <x:c r="F2860" s="14" t="n">
        <x:v>0.84</x:v>
      </x:c>
      <x:c r="G2860" s="17" t="n">
        <x:v>1</x:v>
      </x:c>
      <x:c r="H2860" s="14" t="str">
        <x:v>S08-05:B:origin</x:v>
      </x:c>
    </x:row>
    <x:row r="2861" ht="72" customHeight="1">
      <x:c r="A2861" s="14" t="str">
        <x:v>S08-05:B:original_handoff</x:v>
      </x:c>
      <x:c r="B2861" s="14" t="str">
        <x:v>B</x:v>
      </x:c>
      <x:c r="C2861" s="14" t="str">
        <x:v>original_handoff</x:v>
      </x:c>
      <x:c r="D2861" s="14" t="n">
        <x:v>-5.16</x:v>
      </x:c>
      <x:c r="E2861" s="14" t="n">
        <x:v>-5.04</x:v>
      </x:c>
      <x:c r="F2861" s="14" t="n">
        <x:v>0.12</x:v>
      </x:c>
      <x:c r="G2861" s="17" t="n">
        <x:v>1</x:v>
      </x:c>
      <x:c r="H2861" s="14" t="str">
        <x:v>S08-05:B:origin_interpretation</x:v>
      </x:c>
    </x:row>
    <x:row r="2862" ht="72" customHeight="1">
      <x:c r="A2862" s="14" t="str">
        <x:v>S08-05:B:evaluation_utterance_end</x:v>
      </x:c>
      <x:c r="B2862" s="14" t="str">
        <x:v>B</x:v>
      </x:c>
      <x:c r="C2862" s="14" t="str">
        <x:v>evaluation_utterance_end</x:v>
      </x:c>
      <x:c r="D2862" s="14" t="n">
        <x:v>-6</x:v>
      </x:c>
      <x:c r="E2862" s="14" t="n">
        <x:v>0</x:v>
      </x:c>
      <x:c r="F2862" s="14" t="n">
        <x:v>6</x:v>
      </x:c>
      <x:c r="G2862" s="17" t="n">
        <x:v>0</x:v>
      </x:c>
      <x:c r="H2862" s="14" t="str">
        <x:v>S08-05:B:origin</x:v>
      </x:c>
    </x:row>
    <x:row r="2863" ht="72" customHeight="1">
      <x:c r="A2863" s="14" t="str">
        <x:v>S08-05:B:final_transcript</x:v>
      </x:c>
      <x:c r="B2863" s="14" t="str">
        <x:v>B</x:v>
      </x:c>
      <x:c r="C2863" s="14" t="str">
        <x:v>final_transcript</x:v>
      </x:c>
      <x:c r="D2863" s="14" t="n">
        <x:v>0</x:v>
      </x:c>
      <x:c r="E2863" s="14" t="n">
        <x:v>0.3</x:v>
      </x:c>
      <x:c r="F2863" s="14" t="n">
        <x:v>0.3</x:v>
      </x:c>
      <x:c r="G2863" s="17" t="n">
        <x:v>1</x:v>
      </x:c>
      <x:c r="H2863" s="14" t="str">
        <x:v>S08-05:B:evaluation_utterance_end</x:v>
      </x:c>
    </x:row>
    <x:row r="2864" ht="72" customHeight="1">
      <x:c r="A2864" s="14" t="str">
        <x:v>S08-05:B:meaning_adoption</x:v>
      </x:c>
      <x:c r="B2864" s="14" t="str">
        <x:v>B</x:v>
      </x:c>
      <x:c r="C2864" s="14" t="str">
        <x:v>meaning_adoption</x:v>
      </x:c>
      <x:c r="D2864" s="14" t="n">
        <x:v>0.3</x:v>
      </x:c>
      <x:c r="E2864" s="14" t="n">
        <x:v>0.866666667</x:v>
      </x:c>
      <x:c r="F2864" s="14" t="n">
        <x:v>0.566666667</x:v>
      </x:c>
      <x:c r="G2864" s="17" t="n">
        <x:v>1</x:v>
      </x:c>
      <x:c r="H2864" s="14" t="str">
        <x:v>S08-05:B:final_transcript
S08-05:B:origin_interpretation</x:v>
      </x:c>
    </x:row>
    <x:row r="2865" ht="72" customHeight="1">
      <x:c r="A2865" s="14" t="str">
        <x:v>S08-05:B:apply_relation</x:v>
      </x:c>
      <x:c r="B2865" s="14" t="str">
        <x:v>B</x:v>
      </x:c>
      <x:c r="C2865" s="14" t="str">
        <x:v>apply_relation</x:v>
      </x:c>
      <x:c r="D2865" s="14" t="n">
        <x:v>0.866666667</x:v>
      </x:c>
      <x:c r="E2865" s="14" t="n">
        <x:v>0.906666667</x:v>
      </x:c>
      <x:c r="F2865" s="14" t="n">
        <x:v>0.04</x:v>
      </x:c>
      <x:c r="G2865" s="17" t="n">
        <x:v>1</x:v>
      </x:c>
      <x:c r="H2865" s="14" t="str">
        <x:v>S08-05:B:meaning_adoption</x:v>
      </x:c>
    </x:row>
    <x:row r="2866" ht="72" customHeight="1">
      <x:c r="A2866" s="14" t="str">
        <x:v>S08-05:B:evaluation_first_display</x:v>
      </x:c>
      <x:c r="B2866" s="14" t="str">
        <x:v>B</x:v>
      </x:c>
      <x:c r="C2866" s="14" t="str">
        <x:v>evaluation_first_display</x:v>
      </x:c>
      <x:c r="D2866" s="14" t="n">
        <x:v>0.906666667</x:v>
      </x:c>
      <x:c r="E2866" s="14" t="n">
        <x:v>0.946666667</x:v>
      </x:c>
      <x:c r="F2866" s="14" t="n">
        <x:v>0.04</x:v>
      </x:c>
      <x:c r="G2866" s="17" t="n">
        <x:v>1</x:v>
      </x:c>
      <x:c r="H2866" s="14" t="str">
        <x:v>S08-05:B:apply_relation</x:v>
      </x:c>
    </x:row>
    <x:row r="2867" ht="72" customHeight="1">
      <x:c r="A2867" s="14" t="str">
        <x:v>S08-05:B:source_question</x:v>
      </x:c>
      <x:c r="B2867" s="14" t="str">
        <x:v>B</x:v>
      </x:c>
      <x:c r="C2867" s="14" t="str">
        <x:v>source_question</x:v>
      </x:c>
      <x:c r="D2867" s="14" t="n">
        <x:v>-5.04</x:v>
      </x:c>
      <x:c r="E2867" s="14" t="n">
        <x:v>0.856666667</x:v>
      </x:c>
      <x:c r="F2867" s="14" t="n">
        <x:v>5.896666667</x:v>
      </x:c>
      <x:c r="G2867" s="17" t="n">
        <x:v>0</x:v>
      </x:c>
      <x:c r="H2867" s="14" t="str">
        <x:v>S08-05:B:original_handoff</x:v>
      </x:c>
    </x:row>
    <x:row r="2868" ht="72" customHeight="1">
      <x:c r="A2868" s="14" t="str">
        <x:v>S08-05:B:display_question</x:v>
      </x:c>
      <x:c r="B2868" s="14" t="str">
        <x:v>B</x:v>
      </x:c>
      <x:c r="C2868" s="14" t="str">
        <x:v>display_question</x:v>
      </x:c>
      <x:c r="D2868" s="14" t="n">
        <x:v>0.856666667</x:v>
      </x:c>
      <x:c r="E2868" s="14" t="n">
        <x:v>0.896666667</x:v>
      </x:c>
      <x:c r="F2868" s="14" t="n">
        <x:v>0.04</x:v>
      </x:c>
      <x:c r="G2868" s="17" t="n">
        <x:v>1</x:v>
      </x:c>
      <x:c r="H2868" s="14" t="str">
        <x:v>S08-05:B:source_question</x:v>
      </x:c>
    </x:row>
    <x:row r="2869" ht="72" customHeight="1">
      <x:c r="A2869" s="14" t="str">
        <x:v>S08-05:B:select_question</x:v>
      </x:c>
      <x:c r="B2869" s="14" t="str">
        <x:v>B</x:v>
      </x:c>
      <x:c r="C2869" s="14" t="str">
        <x:v>select_question</x:v>
      </x:c>
      <x:c r="D2869" s="14" t="n">
        <x:v>0.906666667</x:v>
      </x:c>
      <x:c r="E2869" s="14" t="n">
        <x:v>0.906666667</x:v>
      </x:c>
      <x:c r="F2869" s="14" t="n">
        <x:v>0</x:v>
      </x:c>
      <x:c r="G2869" s="17" t="n">
        <x:v>1</x:v>
      </x:c>
      <x:c r="H2869" s="14" t="str">
        <x:v>S08-05:B:apply_relation
S08-05:B:source_question</x:v>
      </x:c>
    </x:row>
    <x:row r="2870" ht="72" customHeight="1">
      <x:c r="A2870" s="14" t="str">
        <x:v>S08-05:B:question_first</x:v>
      </x:c>
      <x:c r="B2870" s="14" t="str">
        <x:v>B</x:v>
      </x:c>
      <x:c r="C2870" s="14" t="str">
        <x:v>question_first</x:v>
      </x:c>
      <x:c r="D2870" s="14" t="n">
        <x:v>0.906666667</x:v>
      </x:c>
      <x:c r="E2870" s="14" t="n">
        <x:v>1.307666667</x:v>
      </x:c>
      <x:c r="F2870" s="14" t="n">
        <x:v>0.401</x:v>
      </x:c>
      <x:c r="G2870" s="17" t="n">
        <x:v>1</x:v>
      </x:c>
      <x:c r="H2870" s="14" t="str">
        <x:v>S08-05:B:select_question</x:v>
      </x:c>
    </x:row>
    <x:row r="2871" ht="72" customHeight="1">
      <x:c r="A2871" s="14" t="str">
        <x:v>S08-05:B:question_tail</x:v>
      </x:c>
      <x:c r="B2871" s="14" t="str">
        <x:v>B</x:v>
      </x:c>
      <x:c r="C2871" s="14" t="str">
        <x:v>question_tail</x:v>
      </x:c>
      <x:c r="D2871" s="14" t="n">
        <x:v>1.307666667</x:v>
      </x:c>
      <x:c r="E2871" s="14" t="n">
        <x:v>1.956166667</x:v>
      </x:c>
      <x:c r="F2871" s="14" t="n">
        <x:v>0.6485</x:v>
      </x:c>
      <x:c r="G2871" s="17" t="n">
        <x:v>1</x:v>
      </x:c>
      <x:c r="H2871" s="14" t="str">
        <x:v>S08-05:B:question_first</x:v>
      </x:c>
    </x:row>
    <x:row r="2872" ht="72" customHeight="1">
      <x:c r="A2872" s="14" t="str">
        <x:v>S08-05:B:question_device</x:v>
      </x:c>
      <x:c r="B2872" s="14" t="str">
        <x:v>B</x:v>
      </x:c>
      <x:c r="C2872" s="14" t="str">
        <x:v>question_device</x:v>
      </x:c>
      <x:c r="D2872" s="14" t="n">
        <x:v>1.307666667</x:v>
      </x:c>
      <x:c r="E2872" s="14" t="n">
        <x:v>1.347666667</x:v>
      </x:c>
      <x:c r="F2872" s="14" t="n">
        <x:v>0.04</x:v>
      </x:c>
      <x:c r="G2872" s="17" t="n">
        <x:v>1</x:v>
      </x:c>
      <x:c r="H2872" s="14" t="str">
        <x:v>S08-05:B:select_question
S08-05:B:question_first</x:v>
      </x:c>
    </x:row>
    <x:row r="2873" ht="72" customHeight="1">
      <x:c r="A2873" s="14" t="str">
        <x:v>S08-05:B:question_played</x:v>
      </x:c>
      <x:c r="B2873" s="14" t="str">
        <x:v>B</x:v>
      </x:c>
      <x:c r="C2873" s="14" t="str">
        <x:v>question_played</x:v>
      </x:c>
      <x:c r="D2873" s="14" t="n">
        <x:v>1.347666667</x:v>
      </x:c>
      <x:c r="E2873" s="14" t="n">
        <x:v>4.141666667</x:v>
      </x:c>
      <x:c r="F2873" s="14" t="n">
        <x:v>2.794</x:v>
      </x:c>
      <x:c r="G2873" s="17" t="n">
        <x:v>0</x:v>
      </x:c>
      <x:c r="H2873" s="14" t="str">
        <x:v>S08-05:B:question_device</x:v>
      </x:c>
    </x:row>
    <x:row r="2874" ht="72" customHeight="1">
      <x:c r="A2874" s="14" t="str">
        <x:v>S08-06:A:origin</x:v>
      </x:c>
      <x:c r="B2874" s="14" t="str">
        <x:v>A</x:v>
      </x:c>
      <x:c r="C2874" s="14" t="str">
        <x:v>origin</x:v>
      </x:c>
      <x:c r="D2874" s="14" t="n">
        <x:v>-6</x:v>
      </x:c>
      <x:c r="E2874" s="14" t="n">
        <x:v>-6</x:v>
      </x:c>
      <x:c r="F2874" s="14" t="n">
        <x:v>0</x:v>
      </x:c>
      <x:c r="G2874" s="17" t="n">
        <x:v>0</x:v>
      </x:c>
      <x:c r="H2874" s="14" t="str"/>
    </x:row>
    <x:row r="2875" ht="72" customHeight="1">
      <x:c r="A2875" s="14" t="str">
        <x:v>S08-06:A:origin_interpretation</x:v>
      </x:c>
      <x:c r="B2875" s="14" t="str">
        <x:v>A</x:v>
      </x:c>
      <x:c r="C2875" s="14" t="str">
        <x:v>origin_interpretation</x:v>
      </x:c>
      <x:c r="D2875" s="14" t="n">
        <x:v>-6</x:v>
      </x:c>
      <x:c r="E2875" s="14" t="n">
        <x:v>-5.16</x:v>
      </x:c>
      <x:c r="F2875" s="14" t="n">
        <x:v>0.84</x:v>
      </x:c>
      <x:c r="G2875" s="17" t="n">
        <x:v>1</x:v>
      </x:c>
      <x:c r="H2875" s="14" t="str">
        <x:v>S08-06:A:origin</x:v>
      </x:c>
    </x:row>
    <x:row r="2876" ht="72" customHeight="1">
      <x:c r="A2876" s="14" t="str">
        <x:v>S08-06:A:original_handoff</x:v>
      </x:c>
      <x:c r="B2876" s="14" t="str">
        <x:v>A</x:v>
      </x:c>
      <x:c r="C2876" s="14" t="str">
        <x:v>original_handoff</x:v>
      </x:c>
      <x:c r="D2876" s="14" t="n">
        <x:v>-5.16</x:v>
      </x:c>
      <x:c r="E2876" s="14" t="n">
        <x:v>-5.04</x:v>
      </x:c>
      <x:c r="F2876" s="14" t="n">
        <x:v>0.12</x:v>
      </x:c>
      <x:c r="G2876" s="17" t="n">
        <x:v>1</x:v>
      </x:c>
      <x:c r="H2876" s="14" t="str">
        <x:v>S08-06:A:origin_interpretation</x:v>
      </x:c>
    </x:row>
    <x:row r="2877" ht="72" customHeight="1">
      <x:c r="A2877" s="14" t="str">
        <x:v>S08-06:A:evaluation_utterance_end</x:v>
      </x:c>
      <x:c r="B2877" s="14" t="str">
        <x:v>A</x:v>
      </x:c>
      <x:c r="C2877" s="14" t="str">
        <x:v>evaluation_utterance_end</x:v>
      </x:c>
      <x:c r="D2877" s="14" t="n">
        <x:v>-6</x:v>
      </x:c>
      <x:c r="E2877" s="14" t="n">
        <x:v>0</x:v>
      </x:c>
      <x:c r="F2877" s="14" t="n">
        <x:v>6</x:v>
      </x:c>
      <x:c r="G2877" s="17" t="n">
        <x:v>0</x:v>
      </x:c>
      <x:c r="H2877" s="14" t="str">
        <x:v>S08-06:A:origin</x:v>
      </x:c>
    </x:row>
    <x:row r="2878" ht="72" customHeight="1">
      <x:c r="A2878" s="14" t="str">
        <x:v>S08-06:A:final_transcript</x:v>
      </x:c>
      <x:c r="B2878" s="14" t="str">
        <x:v>A</x:v>
      </x:c>
      <x:c r="C2878" s="14" t="str">
        <x:v>final_transcript</x:v>
      </x:c>
      <x:c r="D2878" s="14" t="n">
        <x:v>0</x:v>
      </x:c>
      <x:c r="E2878" s="14" t="n">
        <x:v>0.3</x:v>
      </x:c>
      <x:c r="F2878" s="14" t="n">
        <x:v>0.3</x:v>
      </x:c>
      <x:c r="G2878" s="17" t="n">
        <x:v>1</x:v>
      </x:c>
      <x:c r="H2878" s="14" t="str">
        <x:v>S08-06:A:evaluation_utterance_end</x:v>
      </x:c>
    </x:row>
    <x:row r="2879" ht="72" customHeight="1">
      <x:c r="A2879" s="14" t="str">
        <x:v>S08-06:A:meaning_adoption</x:v>
      </x:c>
      <x:c r="B2879" s="14" t="str">
        <x:v>A</x:v>
      </x:c>
      <x:c r="C2879" s="14" t="str">
        <x:v>meaning_adoption</x:v>
      </x:c>
      <x:c r="D2879" s="14" t="n">
        <x:v>0.3</x:v>
      </x:c>
      <x:c r="E2879" s="14" t="n">
        <x:v>0.82</x:v>
      </x:c>
      <x:c r="F2879" s="14" t="n">
        <x:v>0.52</x:v>
      </x:c>
      <x:c r="G2879" s="17" t="n">
        <x:v>1</x:v>
      </x:c>
      <x:c r="H2879" s="14" t="str">
        <x:v>S08-06:A:final_transcript
S08-06:A:origin_interpretation</x:v>
      </x:c>
    </x:row>
    <x:row r="2880" ht="72" customHeight="1">
      <x:c r="A2880" s="14" t="str">
        <x:v>S08-06:A:apply_relation</x:v>
      </x:c>
      <x:c r="B2880" s="14" t="str">
        <x:v>A</x:v>
      </x:c>
      <x:c r="C2880" s="14" t="str">
        <x:v>apply_relation</x:v>
      </x:c>
      <x:c r="D2880" s="14" t="n">
        <x:v>0.82</x:v>
      </x:c>
      <x:c r="E2880" s="14" t="n">
        <x:v>0.86</x:v>
      </x:c>
      <x:c r="F2880" s="14" t="n">
        <x:v>0.04</x:v>
      </x:c>
      <x:c r="G2880" s="17" t="n">
        <x:v>1</x:v>
      </x:c>
      <x:c r="H2880" s="14" t="str">
        <x:v>S08-06:A:meaning_adoption</x:v>
      </x:c>
    </x:row>
    <x:row r="2881" ht="72" customHeight="1">
      <x:c r="A2881" s="14" t="str">
        <x:v>S08-06:A:evaluation_first_display</x:v>
      </x:c>
      <x:c r="B2881" s="14" t="str">
        <x:v>A</x:v>
      </x:c>
      <x:c r="C2881" s="14" t="str">
        <x:v>evaluation_first_display</x:v>
      </x:c>
      <x:c r="D2881" s="14" t="n">
        <x:v>0.86</x:v>
      </x:c>
      <x:c r="E2881" s="14" t="n">
        <x:v>0.9</x:v>
      </x:c>
      <x:c r="F2881" s="14" t="n">
        <x:v>0.04</x:v>
      </x:c>
      <x:c r="G2881" s="17" t="n">
        <x:v>1</x:v>
      </x:c>
      <x:c r="H2881" s="14" t="str">
        <x:v>S08-06:A:apply_relation</x:v>
      </x:c>
    </x:row>
    <x:row r="2882" ht="72" customHeight="1">
      <x:c r="A2882" s="14" t="str">
        <x:v>S08-06:A:source_question</x:v>
      </x:c>
      <x:c r="B2882" s="14" t="str">
        <x:v>A</x:v>
      </x:c>
      <x:c r="C2882" s="14" t="str">
        <x:v>source_question</x:v>
      </x:c>
      <x:c r="D2882" s="14" t="n">
        <x:v>-5.04</x:v>
      </x:c>
      <x:c r="E2882" s="14" t="n">
        <x:v>0.81</x:v>
      </x:c>
      <x:c r="F2882" s="14" t="n">
        <x:v>5.85</x:v>
      </x:c>
      <x:c r="G2882" s="17" t="n">
        <x:v>0</x:v>
      </x:c>
      <x:c r="H2882" s="14" t="str">
        <x:v>S08-06:A:original_handoff</x:v>
      </x:c>
    </x:row>
    <x:row r="2883" ht="72" customHeight="1">
      <x:c r="A2883" s="14" t="str">
        <x:v>S08-06:A:display_question</x:v>
      </x:c>
      <x:c r="B2883" s="14" t="str">
        <x:v>A</x:v>
      </x:c>
      <x:c r="C2883" s="14" t="str">
        <x:v>display_question</x:v>
      </x:c>
      <x:c r="D2883" s="14" t="n">
        <x:v>0.81</x:v>
      </x:c>
      <x:c r="E2883" s="14" t="n">
        <x:v>0.85</x:v>
      </x:c>
      <x:c r="F2883" s="14" t="n">
        <x:v>0.04</x:v>
      </x:c>
      <x:c r="G2883" s="17" t="n">
        <x:v>1</x:v>
      </x:c>
      <x:c r="H2883" s="14" t="str">
        <x:v>S08-06:A:source_question</x:v>
      </x:c>
    </x:row>
    <x:row r="2884" ht="72" customHeight="1">
      <x:c r="A2884" s="14" t="str">
        <x:v>S08-06:A:select_question</x:v>
      </x:c>
      <x:c r="B2884" s="14" t="str">
        <x:v>A</x:v>
      </x:c>
      <x:c r="C2884" s="14" t="str">
        <x:v>select_question</x:v>
      </x:c>
      <x:c r="D2884" s="14" t="n">
        <x:v>0.86</x:v>
      </x:c>
      <x:c r="E2884" s="14" t="n">
        <x:v>0.86</x:v>
      </x:c>
      <x:c r="F2884" s="14" t="n">
        <x:v>0</x:v>
      </x:c>
      <x:c r="G2884" s="17" t="n">
        <x:v>1</x:v>
      </x:c>
      <x:c r="H2884" s="14" t="str">
        <x:v>S08-06:A:apply_relation
S08-06:A:source_question</x:v>
      </x:c>
    </x:row>
    <x:row r="2885" ht="72" customHeight="1">
      <x:c r="A2885" s="14" t="str">
        <x:v>S08-06:A:question_first</x:v>
      </x:c>
      <x:c r="B2885" s="14" t="str">
        <x:v>A</x:v>
      </x:c>
      <x:c r="C2885" s="14" t="str">
        <x:v>question_first</x:v>
      </x:c>
      <x:c r="D2885" s="14" t="n">
        <x:v>0.81</x:v>
      </x:c>
      <x:c r="E2885" s="14" t="n">
        <x:v>1.211</x:v>
      </x:c>
      <x:c r="F2885" s="14" t="n">
        <x:v>0.401</x:v>
      </x:c>
      <x:c r="G2885" s="17" t="n">
        <x:v>1</x:v>
      </x:c>
      <x:c r="H2885" s="14" t="str">
        <x:v>S08-06:A:source_question</x:v>
      </x:c>
    </x:row>
    <x:row r="2886" ht="72" customHeight="1">
      <x:c r="A2886" s="14" t="str">
        <x:v>S08-06:A:question_tail</x:v>
      </x:c>
      <x:c r="B2886" s="14" t="str">
        <x:v>A</x:v>
      </x:c>
      <x:c r="C2886" s="14" t="str">
        <x:v>question_tail</x:v>
      </x:c>
      <x:c r="D2886" s="14" t="n">
        <x:v>1.211</x:v>
      </x:c>
      <x:c r="E2886" s="14" t="n">
        <x:v>1.8625</x:v>
      </x:c>
      <x:c r="F2886" s="14" t="n">
        <x:v>0.6515</x:v>
      </x:c>
      <x:c r="G2886" s="17" t="n">
        <x:v>1</x:v>
      </x:c>
      <x:c r="H2886" s="14" t="str">
        <x:v>S08-06:A:question_first</x:v>
      </x:c>
    </x:row>
    <x:row r="2887" ht="72" customHeight="1">
      <x:c r="A2887" s="14" t="str">
        <x:v>S08-06:A:question_device</x:v>
      </x:c>
      <x:c r="B2887" s="14" t="str">
        <x:v>A</x:v>
      </x:c>
      <x:c r="C2887" s="14" t="str">
        <x:v>question_device</x:v>
      </x:c>
      <x:c r="D2887" s="14" t="n">
        <x:v>1.211</x:v>
      </x:c>
      <x:c r="E2887" s="14" t="n">
        <x:v>1.251</x:v>
      </x:c>
      <x:c r="F2887" s="14" t="n">
        <x:v>0.04</x:v>
      </x:c>
      <x:c r="G2887" s="17" t="n">
        <x:v>1</x:v>
      </x:c>
      <x:c r="H2887" s="14" t="str">
        <x:v>S08-06:A:select_question
S08-06:A:question_first</x:v>
      </x:c>
    </x:row>
    <x:row r="2888" ht="72" customHeight="1">
      <x:c r="A2888" s="14" t="str">
        <x:v>S08-06:A:question_played</x:v>
      </x:c>
      <x:c r="B2888" s="14" t="str">
        <x:v>A</x:v>
      </x:c>
      <x:c r="C2888" s="14" t="str">
        <x:v>question_played</x:v>
      </x:c>
      <x:c r="D2888" s="14" t="n">
        <x:v>1.251</x:v>
      </x:c>
      <x:c r="E2888" s="14" t="n">
        <x:v>4.057</x:v>
      </x:c>
      <x:c r="F2888" s="14" t="n">
        <x:v>2.806</x:v>
      </x:c>
      <x:c r="G2888" s="17" t="n">
        <x:v>0</x:v>
      </x:c>
      <x:c r="H2888" s="14" t="str">
        <x:v>S08-06:A:question_device</x:v>
      </x:c>
    </x:row>
    <x:row r="2889" ht="72" customHeight="1">
      <x:c r="A2889" s="14" t="str">
        <x:v>S08-06:B:origin</x:v>
      </x:c>
      <x:c r="B2889" s="14" t="str">
        <x:v>B</x:v>
      </x:c>
      <x:c r="C2889" s="14" t="str">
        <x:v>origin</x:v>
      </x:c>
      <x:c r="D2889" s="14" t="n">
        <x:v>-6</x:v>
      </x:c>
      <x:c r="E2889" s="14" t="n">
        <x:v>-6</x:v>
      </x:c>
      <x:c r="F2889" s="14" t="n">
        <x:v>0</x:v>
      </x:c>
      <x:c r="G2889" s="17" t="n">
        <x:v>0</x:v>
      </x:c>
      <x:c r="H2889" s="14" t="str"/>
    </x:row>
    <x:row r="2890" ht="72" customHeight="1">
      <x:c r="A2890" s="14" t="str">
        <x:v>S08-06:B:origin_interpretation</x:v>
      </x:c>
      <x:c r="B2890" s="14" t="str">
        <x:v>B</x:v>
      </x:c>
      <x:c r="C2890" s="14" t="str">
        <x:v>origin_interpretation</x:v>
      </x:c>
      <x:c r="D2890" s="14" t="n">
        <x:v>-6</x:v>
      </x:c>
      <x:c r="E2890" s="14" t="n">
        <x:v>-5.16</x:v>
      </x:c>
      <x:c r="F2890" s="14" t="n">
        <x:v>0.84</x:v>
      </x:c>
      <x:c r="G2890" s="17" t="n">
        <x:v>1</x:v>
      </x:c>
      <x:c r="H2890" s="14" t="str">
        <x:v>S08-06:B:origin</x:v>
      </x:c>
    </x:row>
    <x:row r="2891" ht="72" customHeight="1">
      <x:c r="A2891" s="14" t="str">
        <x:v>S08-06:B:original_handoff</x:v>
      </x:c>
      <x:c r="B2891" s="14" t="str">
        <x:v>B</x:v>
      </x:c>
      <x:c r="C2891" s="14" t="str">
        <x:v>original_handoff</x:v>
      </x:c>
      <x:c r="D2891" s="14" t="n">
        <x:v>-5.16</x:v>
      </x:c>
      <x:c r="E2891" s="14" t="n">
        <x:v>-5.04</x:v>
      </x:c>
      <x:c r="F2891" s="14" t="n">
        <x:v>0.12</x:v>
      </x:c>
      <x:c r="G2891" s="17" t="n">
        <x:v>1</x:v>
      </x:c>
      <x:c r="H2891" s="14" t="str">
        <x:v>S08-06:B:origin_interpretation</x:v>
      </x:c>
    </x:row>
    <x:row r="2892" ht="72" customHeight="1">
      <x:c r="A2892" s="14" t="str">
        <x:v>S08-06:B:evaluation_utterance_end</x:v>
      </x:c>
      <x:c r="B2892" s="14" t="str">
        <x:v>B</x:v>
      </x:c>
      <x:c r="C2892" s="14" t="str">
        <x:v>evaluation_utterance_end</x:v>
      </x:c>
      <x:c r="D2892" s="14" t="n">
        <x:v>-6</x:v>
      </x:c>
      <x:c r="E2892" s="14" t="n">
        <x:v>0</x:v>
      </x:c>
      <x:c r="F2892" s="14" t="n">
        <x:v>6</x:v>
      </x:c>
      <x:c r="G2892" s="17" t="n">
        <x:v>0</x:v>
      </x:c>
      <x:c r="H2892" s="14" t="str">
        <x:v>S08-06:B:origin</x:v>
      </x:c>
    </x:row>
    <x:row r="2893" ht="72" customHeight="1">
      <x:c r="A2893" s="14" t="str">
        <x:v>S08-06:B:final_transcript</x:v>
      </x:c>
      <x:c r="B2893" s="14" t="str">
        <x:v>B</x:v>
      </x:c>
      <x:c r="C2893" s="14" t="str">
        <x:v>final_transcript</x:v>
      </x:c>
      <x:c r="D2893" s="14" t="n">
        <x:v>0</x:v>
      </x:c>
      <x:c r="E2893" s="14" t="n">
        <x:v>0.3</x:v>
      </x:c>
      <x:c r="F2893" s="14" t="n">
        <x:v>0.3</x:v>
      </x:c>
      <x:c r="G2893" s="17" t="n">
        <x:v>1</x:v>
      </x:c>
      <x:c r="H2893" s="14" t="str">
        <x:v>S08-06:B:evaluation_utterance_end</x:v>
      </x:c>
    </x:row>
    <x:row r="2894" ht="72" customHeight="1">
      <x:c r="A2894" s="14" t="str">
        <x:v>S08-06:B:meaning_adoption</x:v>
      </x:c>
      <x:c r="B2894" s="14" t="str">
        <x:v>B</x:v>
      </x:c>
      <x:c r="C2894" s="14" t="str">
        <x:v>meaning_adoption</x:v>
      </x:c>
      <x:c r="D2894" s="14" t="n">
        <x:v>0.3</x:v>
      </x:c>
      <x:c r="E2894" s="14" t="n">
        <x:v>0.82</x:v>
      </x:c>
      <x:c r="F2894" s="14" t="n">
        <x:v>0.52</x:v>
      </x:c>
      <x:c r="G2894" s="17" t="n">
        <x:v>1</x:v>
      </x:c>
      <x:c r="H2894" s="14" t="str">
        <x:v>S08-06:B:final_transcript
S08-06:B:origin_interpretation</x:v>
      </x:c>
    </x:row>
    <x:row r="2895" ht="72" customHeight="1">
      <x:c r="A2895" s="14" t="str">
        <x:v>S08-06:B:apply_relation</x:v>
      </x:c>
      <x:c r="B2895" s="14" t="str">
        <x:v>B</x:v>
      </x:c>
      <x:c r="C2895" s="14" t="str">
        <x:v>apply_relation</x:v>
      </x:c>
      <x:c r="D2895" s="14" t="n">
        <x:v>0.82</x:v>
      </x:c>
      <x:c r="E2895" s="14" t="n">
        <x:v>0.86</x:v>
      </x:c>
      <x:c r="F2895" s="14" t="n">
        <x:v>0.04</x:v>
      </x:c>
      <x:c r="G2895" s="17" t="n">
        <x:v>1</x:v>
      </x:c>
      <x:c r="H2895" s="14" t="str">
        <x:v>S08-06:B:meaning_adoption</x:v>
      </x:c>
    </x:row>
    <x:row r="2896" ht="72" customHeight="1">
      <x:c r="A2896" s="14" t="str">
        <x:v>S08-06:B:evaluation_first_display</x:v>
      </x:c>
      <x:c r="B2896" s="14" t="str">
        <x:v>B</x:v>
      </x:c>
      <x:c r="C2896" s="14" t="str">
        <x:v>evaluation_first_display</x:v>
      </x:c>
      <x:c r="D2896" s="14" t="n">
        <x:v>0.86</x:v>
      </x:c>
      <x:c r="E2896" s="14" t="n">
        <x:v>0.9</x:v>
      </x:c>
      <x:c r="F2896" s="14" t="n">
        <x:v>0.04</x:v>
      </x:c>
      <x:c r="G2896" s="17" t="n">
        <x:v>1</x:v>
      </x:c>
      <x:c r="H2896" s="14" t="str">
        <x:v>S08-06:B:apply_relation</x:v>
      </x:c>
    </x:row>
    <x:row r="2897" ht="72" customHeight="1">
      <x:c r="A2897" s="14" t="str">
        <x:v>S08-06:B:source_question</x:v>
      </x:c>
      <x:c r="B2897" s="14" t="str">
        <x:v>B</x:v>
      </x:c>
      <x:c r="C2897" s="14" t="str">
        <x:v>source_question</x:v>
      </x:c>
      <x:c r="D2897" s="14" t="n">
        <x:v>-5.04</x:v>
      </x:c>
      <x:c r="E2897" s="14" t="n">
        <x:v>0.81</x:v>
      </x:c>
      <x:c r="F2897" s="14" t="n">
        <x:v>5.85</x:v>
      </x:c>
      <x:c r="G2897" s="17" t="n">
        <x:v>0</x:v>
      </x:c>
      <x:c r="H2897" s="14" t="str">
        <x:v>S08-06:B:original_handoff</x:v>
      </x:c>
    </x:row>
    <x:row r="2898" ht="72" customHeight="1">
      <x:c r="A2898" s="14" t="str">
        <x:v>S08-06:B:display_question</x:v>
      </x:c>
      <x:c r="B2898" s="14" t="str">
        <x:v>B</x:v>
      </x:c>
      <x:c r="C2898" s="14" t="str">
        <x:v>display_question</x:v>
      </x:c>
      <x:c r="D2898" s="14" t="n">
        <x:v>0.81</x:v>
      </x:c>
      <x:c r="E2898" s="14" t="n">
        <x:v>0.85</x:v>
      </x:c>
      <x:c r="F2898" s="14" t="n">
        <x:v>0.04</x:v>
      </x:c>
      <x:c r="G2898" s="17" t="n">
        <x:v>1</x:v>
      </x:c>
      <x:c r="H2898" s="14" t="str">
        <x:v>S08-06:B:source_question</x:v>
      </x:c>
    </x:row>
    <x:row r="2899" ht="72" customHeight="1">
      <x:c r="A2899" s="14" t="str">
        <x:v>S08-06:B:select_question</x:v>
      </x:c>
      <x:c r="B2899" s="14" t="str">
        <x:v>B</x:v>
      </x:c>
      <x:c r="C2899" s="14" t="str">
        <x:v>select_question</x:v>
      </x:c>
      <x:c r="D2899" s="14" t="n">
        <x:v>0.86</x:v>
      </x:c>
      <x:c r="E2899" s="14" t="n">
        <x:v>0.86</x:v>
      </x:c>
      <x:c r="F2899" s="14" t="n">
        <x:v>0</x:v>
      </x:c>
      <x:c r="G2899" s="17" t="n">
        <x:v>1</x:v>
      </x:c>
      <x:c r="H2899" s="14" t="str">
        <x:v>S08-06:B:apply_relation
S08-06:B:source_question</x:v>
      </x:c>
    </x:row>
    <x:row r="2900" ht="72" customHeight="1">
      <x:c r="A2900" s="14" t="str">
        <x:v>S08-06:B:question_first</x:v>
      </x:c>
      <x:c r="B2900" s="14" t="str">
        <x:v>B</x:v>
      </x:c>
      <x:c r="C2900" s="14" t="str">
        <x:v>question_first</x:v>
      </x:c>
      <x:c r="D2900" s="14" t="n">
        <x:v>0.86</x:v>
      </x:c>
      <x:c r="E2900" s="14" t="n">
        <x:v>1.261</x:v>
      </x:c>
      <x:c r="F2900" s="14" t="n">
        <x:v>0.401</x:v>
      </x:c>
      <x:c r="G2900" s="17" t="n">
        <x:v>1</x:v>
      </x:c>
      <x:c r="H2900" s="14" t="str">
        <x:v>S08-06:B:select_question</x:v>
      </x:c>
    </x:row>
    <x:row r="2901" ht="72" customHeight="1">
      <x:c r="A2901" s="14" t="str">
        <x:v>S08-06:B:question_tail</x:v>
      </x:c>
      <x:c r="B2901" s="14" t="str">
        <x:v>B</x:v>
      </x:c>
      <x:c r="C2901" s="14" t="str">
        <x:v>question_tail</x:v>
      </x:c>
      <x:c r="D2901" s="14" t="n">
        <x:v>1.261</x:v>
      </x:c>
      <x:c r="E2901" s="14" t="n">
        <x:v>1.9125</x:v>
      </x:c>
      <x:c r="F2901" s="14" t="n">
        <x:v>0.6515</x:v>
      </x:c>
      <x:c r="G2901" s="17" t="n">
        <x:v>1</x:v>
      </x:c>
      <x:c r="H2901" s="14" t="str">
        <x:v>S08-06:B:question_first</x:v>
      </x:c>
    </x:row>
    <x:row r="2902" ht="72" customHeight="1">
      <x:c r="A2902" s="14" t="str">
        <x:v>S08-06:B:question_device</x:v>
      </x:c>
      <x:c r="B2902" s="14" t="str">
        <x:v>B</x:v>
      </x:c>
      <x:c r="C2902" s="14" t="str">
        <x:v>question_device</x:v>
      </x:c>
      <x:c r="D2902" s="14" t="n">
        <x:v>1.261</x:v>
      </x:c>
      <x:c r="E2902" s="14" t="n">
        <x:v>1.301</x:v>
      </x:c>
      <x:c r="F2902" s="14" t="n">
        <x:v>0.04</x:v>
      </x:c>
      <x:c r="G2902" s="17" t="n">
        <x:v>1</x:v>
      </x:c>
      <x:c r="H2902" s="14" t="str">
        <x:v>S08-06:B:select_question
S08-06:B:question_first</x:v>
      </x:c>
    </x:row>
    <x:row r="2903" ht="72" customHeight="1">
      <x:c r="A2903" s="14" t="str">
        <x:v>S08-06:B:question_played</x:v>
      </x:c>
      <x:c r="B2903" s="14" t="str">
        <x:v>B</x:v>
      </x:c>
      <x:c r="C2903" s="14" t="str">
        <x:v>question_played</x:v>
      </x:c>
      <x:c r="D2903" s="14" t="n">
        <x:v>1.301</x:v>
      </x:c>
      <x:c r="E2903" s="14" t="n">
        <x:v>4.107</x:v>
      </x:c>
      <x:c r="F2903" s="14" t="n">
        <x:v>2.806</x:v>
      </x:c>
      <x:c r="G2903" s="17" t="n">
        <x:v>0</x:v>
      </x:c>
      <x:c r="H2903" s="14" t="str">
        <x:v>S08-06:B:question_device</x:v>
      </x:c>
    </x:row>
    <x:row r="2904" ht="72" customHeight="1">
      <x:c r="A2904" s="14" t="str">
        <x:v>S08-07:A:origin</x:v>
      </x:c>
      <x:c r="B2904" s="14" t="str">
        <x:v>A</x:v>
      </x:c>
      <x:c r="C2904" s="14" t="str">
        <x:v>origin</x:v>
      </x:c>
      <x:c r="D2904" s="14" t="n">
        <x:v>-6</x:v>
      </x:c>
      <x:c r="E2904" s="14" t="n">
        <x:v>-6</x:v>
      </x:c>
      <x:c r="F2904" s="14" t="n">
        <x:v>0</x:v>
      </x:c>
      <x:c r="G2904" s="17" t="n">
        <x:v>0</x:v>
      </x:c>
      <x:c r="H2904" s="14" t="str"/>
    </x:row>
    <x:row r="2905" ht="72" customHeight="1">
      <x:c r="A2905" s="14" t="str">
        <x:v>S08-07:A:origin_interpretation</x:v>
      </x:c>
      <x:c r="B2905" s="14" t="str">
        <x:v>A</x:v>
      </x:c>
      <x:c r="C2905" s="14" t="str">
        <x:v>origin_interpretation</x:v>
      </x:c>
      <x:c r="D2905" s="14" t="n">
        <x:v>-6</x:v>
      </x:c>
      <x:c r="E2905" s="14" t="n">
        <x:v>-5.16</x:v>
      </x:c>
      <x:c r="F2905" s="14" t="n">
        <x:v>0.84</x:v>
      </x:c>
      <x:c r="G2905" s="17" t="n">
        <x:v>1</x:v>
      </x:c>
      <x:c r="H2905" s="14" t="str">
        <x:v>S08-07:A:origin</x:v>
      </x:c>
    </x:row>
    <x:row r="2906" ht="72" customHeight="1">
      <x:c r="A2906" s="14" t="str">
        <x:v>S08-07:A:original_handoff</x:v>
      </x:c>
      <x:c r="B2906" s="14" t="str">
        <x:v>A</x:v>
      </x:c>
      <x:c r="C2906" s="14" t="str">
        <x:v>original_handoff</x:v>
      </x:c>
      <x:c r="D2906" s="14" t="n">
        <x:v>-5.16</x:v>
      </x:c>
      <x:c r="E2906" s="14" t="n">
        <x:v>-5.04</x:v>
      </x:c>
      <x:c r="F2906" s="14" t="n">
        <x:v>0.12</x:v>
      </x:c>
      <x:c r="G2906" s="17" t="n">
        <x:v>1</x:v>
      </x:c>
      <x:c r="H2906" s="14" t="str">
        <x:v>S08-07:A:origin_interpretation</x:v>
      </x:c>
    </x:row>
    <x:row r="2907" ht="72" customHeight="1">
      <x:c r="A2907" s="14" t="str">
        <x:v>S08-07:A:evaluation_utterance_end</x:v>
      </x:c>
      <x:c r="B2907" s="14" t="str">
        <x:v>A</x:v>
      </x:c>
      <x:c r="C2907" s="14" t="str">
        <x:v>evaluation_utterance_end</x:v>
      </x:c>
      <x:c r="D2907" s="14" t="n">
        <x:v>-6</x:v>
      </x:c>
      <x:c r="E2907" s="14" t="n">
        <x:v>0</x:v>
      </x:c>
      <x:c r="F2907" s="14" t="n">
        <x:v>6</x:v>
      </x:c>
      <x:c r="G2907" s="17" t="n">
        <x:v>0</x:v>
      </x:c>
      <x:c r="H2907" s="14" t="str">
        <x:v>S08-07:A:origin</x:v>
      </x:c>
    </x:row>
    <x:row r="2908" ht="72" customHeight="1">
      <x:c r="A2908" s="14" t="str">
        <x:v>S08-07:A:final_transcript</x:v>
      </x:c>
      <x:c r="B2908" s="14" t="str">
        <x:v>A</x:v>
      </x:c>
      <x:c r="C2908" s="14" t="str">
        <x:v>final_transcript</x:v>
      </x:c>
      <x:c r="D2908" s="14" t="n">
        <x:v>0</x:v>
      </x:c>
      <x:c r="E2908" s="14" t="n">
        <x:v>0.3</x:v>
      </x:c>
      <x:c r="F2908" s="14" t="n">
        <x:v>0.3</x:v>
      </x:c>
      <x:c r="G2908" s="17" t="n">
        <x:v>1</x:v>
      </x:c>
      <x:c r="H2908" s="14" t="str">
        <x:v>S08-07:A:evaluation_utterance_end</x:v>
      </x:c>
    </x:row>
    <x:row r="2909" ht="72" customHeight="1">
      <x:c r="A2909" s="14" t="str">
        <x:v>S08-07:A:meaning_adoption</x:v>
      </x:c>
      <x:c r="B2909" s="14" t="str">
        <x:v>A</x:v>
      </x:c>
      <x:c r="C2909" s="14" t="str">
        <x:v>meaning_adoption</x:v>
      </x:c>
      <x:c r="D2909" s="14" t="n">
        <x:v>0.3</x:v>
      </x:c>
      <x:c r="E2909" s="14" t="n">
        <x:v>0.848333333</x:v>
      </x:c>
      <x:c r="F2909" s="14" t="n">
        <x:v>0.548333333</x:v>
      </x:c>
      <x:c r="G2909" s="17" t="n">
        <x:v>1</x:v>
      </x:c>
      <x:c r="H2909" s="14" t="str">
        <x:v>S08-07:A:final_transcript
S08-07:A:origin_interpretation</x:v>
      </x:c>
    </x:row>
    <x:row r="2910" ht="72" customHeight="1">
      <x:c r="A2910" s="14" t="str">
        <x:v>S08-07:A:apply_relation</x:v>
      </x:c>
      <x:c r="B2910" s="14" t="str">
        <x:v>A</x:v>
      </x:c>
      <x:c r="C2910" s="14" t="str">
        <x:v>apply_relation</x:v>
      </x:c>
      <x:c r="D2910" s="14" t="n">
        <x:v>0.848333333</x:v>
      </x:c>
      <x:c r="E2910" s="14" t="n">
        <x:v>0.888333333</x:v>
      </x:c>
      <x:c r="F2910" s="14" t="n">
        <x:v>0.04</x:v>
      </x:c>
      <x:c r="G2910" s="17" t="n">
        <x:v>1</x:v>
      </x:c>
      <x:c r="H2910" s="14" t="str">
        <x:v>S08-07:A:meaning_adoption</x:v>
      </x:c>
    </x:row>
    <x:row r="2911" ht="72" customHeight="1">
      <x:c r="A2911" s="14" t="str">
        <x:v>S08-07:A:evaluation_first_display</x:v>
      </x:c>
      <x:c r="B2911" s="14" t="str">
        <x:v>A</x:v>
      </x:c>
      <x:c r="C2911" s="14" t="str">
        <x:v>evaluation_first_display</x:v>
      </x:c>
      <x:c r="D2911" s="14" t="n">
        <x:v>0.888333333</x:v>
      </x:c>
      <x:c r="E2911" s="14" t="n">
        <x:v>0.928333333</x:v>
      </x:c>
      <x:c r="F2911" s="14" t="n">
        <x:v>0.04</x:v>
      </x:c>
      <x:c r="G2911" s="17" t="n">
        <x:v>1</x:v>
      </x:c>
      <x:c r="H2911" s="14" t="str">
        <x:v>S08-07:A:apply_relation</x:v>
      </x:c>
    </x:row>
    <x:row r="2912" ht="72" customHeight="1">
      <x:c r="A2912" s="14" t="str">
        <x:v>S08-07:A:source_question</x:v>
      </x:c>
      <x:c r="B2912" s="14" t="str">
        <x:v>A</x:v>
      </x:c>
      <x:c r="C2912" s="14" t="str">
        <x:v>source_question</x:v>
      </x:c>
      <x:c r="D2912" s="14" t="n">
        <x:v>-5.04</x:v>
      </x:c>
      <x:c r="E2912" s="14" t="n">
        <x:v>0.838333333</x:v>
      </x:c>
      <x:c r="F2912" s="14" t="n">
        <x:v>5.878333333</x:v>
      </x:c>
      <x:c r="G2912" s="17" t="n">
        <x:v>0</x:v>
      </x:c>
      <x:c r="H2912" s="14" t="str">
        <x:v>S08-07:A:original_handoff</x:v>
      </x:c>
    </x:row>
    <x:row r="2913" ht="72" customHeight="1">
      <x:c r="A2913" s="14" t="str">
        <x:v>S08-07:A:display_question</x:v>
      </x:c>
      <x:c r="B2913" s="14" t="str">
        <x:v>A</x:v>
      </x:c>
      <x:c r="C2913" s="14" t="str">
        <x:v>display_question</x:v>
      </x:c>
      <x:c r="D2913" s="14" t="n">
        <x:v>0.838333333</x:v>
      </x:c>
      <x:c r="E2913" s="14" t="n">
        <x:v>0.878333333</x:v>
      </x:c>
      <x:c r="F2913" s="14" t="n">
        <x:v>0.04</x:v>
      </x:c>
      <x:c r="G2913" s="17" t="n">
        <x:v>1</x:v>
      </x:c>
      <x:c r="H2913" s="14" t="str">
        <x:v>S08-07:A:source_question</x:v>
      </x:c>
    </x:row>
    <x:row r="2914" ht="72" customHeight="1">
      <x:c r="A2914" s="14" t="str">
        <x:v>S08-07:A:select_question</x:v>
      </x:c>
      <x:c r="B2914" s="14" t="str">
        <x:v>A</x:v>
      </x:c>
      <x:c r="C2914" s="14" t="str">
        <x:v>select_question</x:v>
      </x:c>
      <x:c r="D2914" s="14" t="n">
        <x:v>0.888333333</x:v>
      </x:c>
      <x:c r="E2914" s="14" t="n">
        <x:v>0.888333333</x:v>
      </x:c>
      <x:c r="F2914" s="14" t="n">
        <x:v>0</x:v>
      </x:c>
      <x:c r="G2914" s="17" t="n">
        <x:v>1</x:v>
      </x:c>
      <x:c r="H2914" s="14" t="str">
        <x:v>S08-07:A:apply_relation
S08-07:A:source_question</x:v>
      </x:c>
    </x:row>
    <x:row r="2915" ht="72" customHeight="1">
      <x:c r="A2915" s="14" t="str">
        <x:v>S08-07:A:question_first</x:v>
      </x:c>
      <x:c r="B2915" s="14" t="str">
        <x:v>A</x:v>
      </x:c>
      <x:c r="C2915" s="14" t="str">
        <x:v>question_first</x:v>
      </x:c>
      <x:c r="D2915" s="14" t="n">
        <x:v>0.838333333</x:v>
      </x:c>
      <x:c r="E2915" s="14" t="n">
        <x:v>1.239333333</x:v>
      </x:c>
      <x:c r="F2915" s="14" t="n">
        <x:v>0.401</x:v>
      </x:c>
      <x:c r="G2915" s="17" t="n">
        <x:v>1</x:v>
      </x:c>
      <x:c r="H2915" s="14" t="str">
        <x:v>S08-07:A:source_question</x:v>
      </x:c>
    </x:row>
    <x:row r="2916" ht="72" customHeight="1">
      <x:c r="A2916" s="14" t="str">
        <x:v>S08-07:A:question_tail</x:v>
      </x:c>
      <x:c r="B2916" s="14" t="str">
        <x:v>A</x:v>
      </x:c>
      <x:c r="C2916" s="14" t="str">
        <x:v>question_tail</x:v>
      </x:c>
      <x:c r="D2916" s="14" t="n">
        <x:v>1.239333333</x:v>
      </x:c>
      <x:c r="E2916" s="14" t="n">
        <x:v>1.893833333</x:v>
      </x:c>
      <x:c r="F2916" s="14" t="n">
        <x:v>0.6545</x:v>
      </x:c>
      <x:c r="G2916" s="17" t="n">
        <x:v>1</x:v>
      </x:c>
      <x:c r="H2916" s="14" t="str">
        <x:v>S08-07:A:question_first</x:v>
      </x:c>
    </x:row>
    <x:row r="2917" ht="72" customHeight="1">
      <x:c r="A2917" s="14" t="str">
        <x:v>S08-07:A:question_device</x:v>
      </x:c>
      <x:c r="B2917" s="14" t="str">
        <x:v>A</x:v>
      </x:c>
      <x:c r="C2917" s="14" t="str">
        <x:v>question_device</x:v>
      </x:c>
      <x:c r="D2917" s="14" t="n">
        <x:v>1.239333333</x:v>
      </x:c>
      <x:c r="E2917" s="14" t="n">
        <x:v>1.279333333</x:v>
      </x:c>
      <x:c r="F2917" s="14" t="n">
        <x:v>0.04</x:v>
      </x:c>
      <x:c r="G2917" s="17" t="n">
        <x:v>1</x:v>
      </x:c>
      <x:c r="H2917" s="14" t="str">
        <x:v>S08-07:A:select_question
S08-07:A:question_first</x:v>
      </x:c>
    </x:row>
    <x:row r="2918" ht="72" customHeight="1">
      <x:c r="A2918" s="14" t="str">
        <x:v>S08-07:A:question_played</x:v>
      </x:c>
      <x:c r="B2918" s="14" t="str">
        <x:v>A</x:v>
      </x:c>
      <x:c r="C2918" s="14" t="str">
        <x:v>question_played</x:v>
      </x:c>
      <x:c r="D2918" s="14" t="n">
        <x:v>1.279333333</x:v>
      </x:c>
      <x:c r="E2918" s="14" t="n">
        <x:v>4.097333333</x:v>
      </x:c>
      <x:c r="F2918" s="14" t="n">
        <x:v>2.818</x:v>
      </x:c>
      <x:c r="G2918" s="17" t="n">
        <x:v>0</x:v>
      </x:c>
      <x:c r="H2918" s="14" t="str">
        <x:v>S08-07:A:question_device</x:v>
      </x:c>
    </x:row>
    <x:row r="2919" ht="72" customHeight="1">
      <x:c r="A2919" s="14" t="str">
        <x:v>S08-07:B:origin</x:v>
      </x:c>
      <x:c r="B2919" s="14" t="str">
        <x:v>B</x:v>
      </x:c>
      <x:c r="C2919" s="14" t="str">
        <x:v>origin</x:v>
      </x:c>
      <x:c r="D2919" s="14" t="n">
        <x:v>-6</x:v>
      </x:c>
      <x:c r="E2919" s="14" t="n">
        <x:v>-6</x:v>
      </x:c>
      <x:c r="F2919" s="14" t="n">
        <x:v>0</x:v>
      </x:c>
      <x:c r="G2919" s="17" t="n">
        <x:v>0</x:v>
      </x:c>
      <x:c r="H2919" s="14" t="str"/>
    </x:row>
    <x:row r="2920" ht="72" customHeight="1">
      <x:c r="A2920" s="14" t="str">
        <x:v>S08-07:B:origin_interpretation</x:v>
      </x:c>
      <x:c r="B2920" s="14" t="str">
        <x:v>B</x:v>
      </x:c>
      <x:c r="C2920" s="14" t="str">
        <x:v>origin_interpretation</x:v>
      </x:c>
      <x:c r="D2920" s="14" t="n">
        <x:v>-6</x:v>
      </x:c>
      <x:c r="E2920" s="14" t="n">
        <x:v>-5.16</x:v>
      </x:c>
      <x:c r="F2920" s="14" t="n">
        <x:v>0.84</x:v>
      </x:c>
      <x:c r="G2920" s="17" t="n">
        <x:v>1</x:v>
      </x:c>
      <x:c r="H2920" s="14" t="str">
        <x:v>S08-07:B:origin</x:v>
      </x:c>
    </x:row>
    <x:row r="2921" ht="72" customHeight="1">
      <x:c r="A2921" s="14" t="str">
        <x:v>S08-07:B:original_handoff</x:v>
      </x:c>
      <x:c r="B2921" s="14" t="str">
        <x:v>B</x:v>
      </x:c>
      <x:c r="C2921" s="14" t="str">
        <x:v>original_handoff</x:v>
      </x:c>
      <x:c r="D2921" s="14" t="n">
        <x:v>-5.16</x:v>
      </x:c>
      <x:c r="E2921" s="14" t="n">
        <x:v>-5.04</x:v>
      </x:c>
      <x:c r="F2921" s="14" t="n">
        <x:v>0.12</x:v>
      </x:c>
      <x:c r="G2921" s="17" t="n">
        <x:v>1</x:v>
      </x:c>
      <x:c r="H2921" s="14" t="str">
        <x:v>S08-07:B:origin_interpretation</x:v>
      </x:c>
    </x:row>
    <x:row r="2922" ht="72" customHeight="1">
      <x:c r="A2922" s="14" t="str">
        <x:v>S08-07:B:evaluation_utterance_end</x:v>
      </x:c>
      <x:c r="B2922" s="14" t="str">
        <x:v>B</x:v>
      </x:c>
      <x:c r="C2922" s="14" t="str">
        <x:v>evaluation_utterance_end</x:v>
      </x:c>
      <x:c r="D2922" s="14" t="n">
        <x:v>-6</x:v>
      </x:c>
      <x:c r="E2922" s="14" t="n">
        <x:v>0</x:v>
      </x:c>
      <x:c r="F2922" s="14" t="n">
        <x:v>6</x:v>
      </x:c>
      <x:c r="G2922" s="17" t="n">
        <x:v>0</x:v>
      </x:c>
      <x:c r="H2922" s="14" t="str">
        <x:v>S08-07:B:origin</x:v>
      </x:c>
    </x:row>
    <x:row r="2923" ht="72" customHeight="1">
      <x:c r="A2923" s="14" t="str">
        <x:v>S08-07:B:final_transcript</x:v>
      </x:c>
      <x:c r="B2923" s="14" t="str">
        <x:v>B</x:v>
      </x:c>
      <x:c r="C2923" s="14" t="str">
        <x:v>final_transcript</x:v>
      </x:c>
      <x:c r="D2923" s="14" t="n">
        <x:v>0</x:v>
      </x:c>
      <x:c r="E2923" s="14" t="n">
        <x:v>0.3</x:v>
      </x:c>
      <x:c r="F2923" s="14" t="n">
        <x:v>0.3</x:v>
      </x:c>
      <x:c r="G2923" s="17" t="n">
        <x:v>1</x:v>
      </x:c>
      <x:c r="H2923" s="14" t="str">
        <x:v>S08-07:B:evaluation_utterance_end</x:v>
      </x:c>
    </x:row>
    <x:row r="2924" ht="72" customHeight="1">
      <x:c r="A2924" s="14" t="str">
        <x:v>S08-07:B:meaning_adoption</x:v>
      </x:c>
      <x:c r="B2924" s="14" t="str">
        <x:v>B</x:v>
      </x:c>
      <x:c r="C2924" s="14" t="str">
        <x:v>meaning_adoption</x:v>
      </x:c>
      <x:c r="D2924" s="14" t="n">
        <x:v>0.3</x:v>
      </x:c>
      <x:c r="E2924" s="14" t="n">
        <x:v>0.848333333</x:v>
      </x:c>
      <x:c r="F2924" s="14" t="n">
        <x:v>0.548333333</x:v>
      </x:c>
      <x:c r="G2924" s="17" t="n">
        <x:v>1</x:v>
      </x:c>
      <x:c r="H2924" s="14" t="str">
        <x:v>S08-07:B:final_transcript
S08-07:B:origin_interpretation</x:v>
      </x:c>
    </x:row>
    <x:row r="2925" ht="72" customHeight="1">
      <x:c r="A2925" s="14" t="str">
        <x:v>S08-07:B:apply_relation</x:v>
      </x:c>
      <x:c r="B2925" s="14" t="str">
        <x:v>B</x:v>
      </x:c>
      <x:c r="C2925" s="14" t="str">
        <x:v>apply_relation</x:v>
      </x:c>
      <x:c r="D2925" s="14" t="n">
        <x:v>0.848333333</x:v>
      </x:c>
      <x:c r="E2925" s="14" t="n">
        <x:v>0.888333333</x:v>
      </x:c>
      <x:c r="F2925" s="14" t="n">
        <x:v>0.04</x:v>
      </x:c>
      <x:c r="G2925" s="17" t="n">
        <x:v>1</x:v>
      </x:c>
      <x:c r="H2925" s="14" t="str">
        <x:v>S08-07:B:meaning_adoption</x:v>
      </x:c>
    </x:row>
    <x:row r="2926" ht="72" customHeight="1">
      <x:c r="A2926" s="14" t="str">
        <x:v>S08-07:B:evaluation_first_display</x:v>
      </x:c>
      <x:c r="B2926" s="14" t="str">
        <x:v>B</x:v>
      </x:c>
      <x:c r="C2926" s="14" t="str">
        <x:v>evaluation_first_display</x:v>
      </x:c>
      <x:c r="D2926" s="14" t="n">
        <x:v>0.888333333</x:v>
      </x:c>
      <x:c r="E2926" s="14" t="n">
        <x:v>0.928333333</x:v>
      </x:c>
      <x:c r="F2926" s="14" t="n">
        <x:v>0.04</x:v>
      </x:c>
      <x:c r="G2926" s="17" t="n">
        <x:v>1</x:v>
      </x:c>
      <x:c r="H2926" s="14" t="str">
        <x:v>S08-07:B:apply_relation</x:v>
      </x:c>
    </x:row>
    <x:row r="2927" ht="72" customHeight="1">
      <x:c r="A2927" s="14" t="str">
        <x:v>S08-07:B:source_question</x:v>
      </x:c>
      <x:c r="B2927" s="14" t="str">
        <x:v>B</x:v>
      </x:c>
      <x:c r="C2927" s="14" t="str">
        <x:v>source_question</x:v>
      </x:c>
      <x:c r="D2927" s="14" t="n">
        <x:v>-5.04</x:v>
      </x:c>
      <x:c r="E2927" s="14" t="n">
        <x:v>0.838333333</x:v>
      </x:c>
      <x:c r="F2927" s="14" t="n">
        <x:v>5.878333333</x:v>
      </x:c>
      <x:c r="G2927" s="17" t="n">
        <x:v>0</x:v>
      </x:c>
      <x:c r="H2927" s="14" t="str">
        <x:v>S08-07:B:original_handoff</x:v>
      </x:c>
    </x:row>
    <x:row r="2928" ht="72" customHeight="1">
      <x:c r="A2928" s="14" t="str">
        <x:v>S08-07:B:display_question</x:v>
      </x:c>
      <x:c r="B2928" s="14" t="str">
        <x:v>B</x:v>
      </x:c>
      <x:c r="C2928" s="14" t="str">
        <x:v>display_question</x:v>
      </x:c>
      <x:c r="D2928" s="14" t="n">
        <x:v>0.838333333</x:v>
      </x:c>
      <x:c r="E2928" s="14" t="n">
        <x:v>0.878333333</x:v>
      </x:c>
      <x:c r="F2928" s="14" t="n">
        <x:v>0.04</x:v>
      </x:c>
      <x:c r="G2928" s="17" t="n">
        <x:v>1</x:v>
      </x:c>
      <x:c r="H2928" s="14" t="str">
        <x:v>S08-07:B:source_question</x:v>
      </x:c>
    </x:row>
    <x:row r="2929" ht="72" customHeight="1">
      <x:c r="A2929" s="14" t="str">
        <x:v>S08-07:B:select_question</x:v>
      </x:c>
      <x:c r="B2929" s="14" t="str">
        <x:v>B</x:v>
      </x:c>
      <x:c r="C2929" s="14" t="str">
        <x:v>select_question</x:v>
      </x:c>
      <x:c r="D2929" s="14" t="n">
        <x:v>0.888333333</x:v>
      </x:c>
      <x:c r="E2929" s="14" t="n">
        <x:v>0.888333333</x:v>
      </x:c>
      <x:c r="F2929" s="14" t="n">
        <x:v>0</x:v>
      </x:c>
      <x:c r="G2929" s="17" t="n">
        <x:v>1</x:v>
      </x:c>
      <x:c r="H2929" s="14" t="str">
        <x:v>S08-07:B:apply_relation
S08-07:B:source_question</x:v>
      </x:c>
    </x:row>
    <x:row r="2930" ht="72" customHeight="1">
      <x:c r="A2930" s="14" t="str">
        <x:v>S08-07:B:question_first</x:v>
      </x:c>
      <x:c r="B2930" s="14" t="str">
        <x:v>B</x:v>
      </x:c>
      <x:c r="C2930" s="14" t="str">
        <x:v>question_first</x:v>
      </x:c>
      <x:c r="D2930" s="14" t="n">
        <x:v>0.888333333</x:v>
      </x:c>
      <x:c r="E2930" s="14" t="n">
        <x:v>1.289333333</x:v>
      </x:c>
      <x:c r="F2930" s="14" t="n">
        <x:v>0.401</x:v>
      </x:c>
      <x:c r="G2930" s="17" t="n">
        <x:v>1</x:v>
      </x:c>
      <x:c r="H2930" s="14" t="str">
        <x:v>S08-07:B:select_question</x:v>
      </x:c>
    </x:row>
    <x:row r="2931" ht="72" customHeight="1">
      <x:c r="A2931" s="14" t="str">
        <x:v>S08-07:B:question_tail</x:v>
      </x:c>
      <x:c r="B2931" s="14" t="str">
        <x:v>B</x:v>
      </x:c>
      <x:c r="C2931" s="14" t="str">
        <x:v>question_tail</x:v>
      </x:c>
      <x:c r="D2931" s="14" t="n">
        <x:v>1.289333333</x:v>
      </x:c>
      <x:c r="E2931" s="14" t="n">
        <x:v>1.943833333</x:v>
      </x:c>
      <x:c r="F2931" s="14" t="n">
        <x:v>0.6545</x:v>
      </x:c>
      <x:c r="G2931" s="17" t="n">
        <x:v>1</x:v>
      </x:c>
      <x:c r="H2931" s="14" t="str">
        <x:v>S08-07:B:question_first</x:v>
      </x:c>
    </x:row>
    <x:row r="2932" ht="72" customHeight="1">
      <x:c r="A2932" s="14" t="str">
        <x:v>S08-07:B:question_device</x:v>
      </x:c>
      <x:c r="B2932" s="14" t="str">
        <x:v>B</x:v>
      </x:c>
      <x:c r="C2932" s="14" t="str">
        <x:v>question_device</x:v>
      </x:c>
      <x:c r="D2932" s="14" t="n">
        <x:v>1.289333333</x:v>
      </x:c>
      <x:c r="E2932" s="14" t="n">
        <x:v>1.329333333</x:v>
      </x:c>
      <x:c r="F2932" s="14" t="n">
        <x:v>0.04</x:v>
      </x:c>
      <x:c r="G2932" s="17" t="n">
        <x:v>1</x:v>
      </x:c>
      <x:c r="H2932" s="14" t="str">
        <x:v>S08-07:B:select_question
S08-07:B:question_first</x:v>
      </x:c>
    </x:row>
    <x:row r="2933" ht="72" customHeight="1">
      <x:c r="A2933" s="14" t="str">
        <x:v>S08-07:B:question_played</x:v>
      </x:c>
      <x:c r="B2933" s="14" t="str">
        <x:v>B</x:v>
      </x:c>
      <x:c r="C2933" s="14" t="str">
        <x:v>question_played</x:v>
      </x:c>
      <x:c r="D2933" s="14" t="n">
        <x:v>1.329333333</x:v>
      </x:c>
      <x:c r="E2933" s="14" t="n">
        <x:v>4.147333333</x:v>
      </x:c>
      <x:c r="F2933" s="14" t="n">
        <x:v>2.818</x:v>
      </x:c>
      <x:c r="G2933" s="17" t="n">
        <x:v>0</x:v>
      </x:c>
      <x:c r="H2933" s="14" t="str">
        <x:v>S08-07:B:question_device</x:v>
      </x:c>
    </x:row>
    <x:row r="2934" ht="72" customHeight="1">
      <x:c r="A2934" s="14" t="str">
        <x:v>S08-08:A:origin</x:v>
      </x:c>
      <x:c r="B2934" s="14" t="str">
        <x:v>A</x:v>
      </x:c>
      <x:c r="C2934" s="14" t="str">
        <x:v>origin</x:v>
      </x:c>
      <x:c r="D2934" s="14" t="n">
        <x:v>-6</x:v>
      </x:c>
      <x:c r="E2934" s="14" t="n">
        <x:v>-6</x:v>
      </x:c>
      <x:c r="F2934" s="14" t="n">
        <x:v>0</x:v>
      </x:c>
      <x:c r="G2934" s="17" t="n">
        <x:v>0</x:v>
      </x:c>
      <x:c r="H2934" s="14" t="str"/>
    </x:row>
    <x:row r="2935" ht="72" customHeight="1">
      <x:c r="A2935" s="14" t="str">
        <x:v>S08-08:A:origin_interpretation</x:v>
      </x:c>
      <x:c r="B2935" s="14" t="str">
        <x:v>A</x:v>
      </x:c>
      <x:c r="C2935" s="14" t="str">
        <x:v>origin_interpretation</x:v>
      </x:c>
      <x:c r="D2935" s="14" t="n">
        <x:v>-6</x:v>
      </x:c>
      <x:c r="E2935" s="14" t="n">
        <x:v>-5.16</x:v>
      </x:c>
      <x:c r="F2935" s="14" t="n">
        <x:v>0.84</x:v>
      </x:c>
      <x:c r="G2935" s="17" t="n">
        <x:v>1</x:v>
      </x:c>
      <x:c r="H2935" s="14" t="str">
        <x:v>S08-08:A:origin</x:v>
      </x:c>
    </x:row>
    <x:row r="2936" ht="72" customHeight="1">
      <x:c r="A2936" s="14" t="str">
        <x:v>S08-08:A:original_handoff</x:v>
      </x:c>
      <x:c r="B2936" s="14" t="str">
        <x:v>A</x:v>
      </x:c>
      <x:c r="C2936" s="14" t="str">
        <x:v>original_handoff</x:v>
      </x:c>
      <x:c r="D2936" s="14" t="n">
        <x:v>-5.16</x:v>
      </x:c>
      <x:c r="E2936" s="14" t="n">
        <x:v>-5.04</x:v>
      </x:c>
      <x:c r="F2936" s="14" t="n">
        <x:v>0.12</x:v>
      </x:c>
      <x:c r="G2936" s="17" t="n">
        <x:v>1</x:v>
      </x:c>
      <x:c r="H2936" s="14" t="str">
        <x:v>S08-08:A:origin_interpretation</x:v>
      </x:c>
    </x:row>
    <x:row r="2937" ht="72" customHeight="1">
      <x:c r="A2937" s="14" t="str">
        <x:v>S08-08:A:evaluation_utterance_end</x:v>
      </x:c>
      <x:c r="B2937" s="14" t="str">
        <x:v>A</x:v>
      </x:c>
      <x:c r="C2937" s="14" t="str">
        <x:v>evaluation_utterance_end</x:v>
      </x:c>
      <x:c r="D2937" s="14" t="n">
        <x:v>-6</x:v>
      </x:c>
      <x:c r="E2937" s="14" t="n">
        <x:v>0</x:v>
      </x:c>
      <x:c r="F2937" s="14" t="n">
        <x:v>6</x:v>
      </x:c>
      <x:c r="G2937" s="17" t="n">
        <x:v>0</x:v>
      </x:c>
      <x:c r="H2937" s="14" t="str">
        <x:v>S08-08:A:origin</x:v>
      </x:c>
    </x:row>
    <x:row r="2938" ht="72" customHeight="1">
      <x:c r="A2938" s="14" t="str">
        <x:v>S08-08:A:final_transcript</x:v>
      </x:c>
      <x:c r="B2938" s="14" t="str">
        <x:v>A</x:v>
      </x:c>
      <x:c r="C2938" s="14" t="str">
        <x:v>final_transcript</x:v>
      </x:c>
      <x:c r="D2938" s="14" t="n">
        <x:v>0</x:v>
      </x:c>
      <x:c r="E2938" s="14" t="n">
        <x:v>0.3</x:v>
      </x:c>
      <x:c r="F2938" s="14" t="n">
        <x:v>0.3</x:v>
      </x:c>
      <x:c r="G2938" s="17" t="n">
        <x:v>1</x:v>
      </x:c>
      <x:c r="H2938" s="14" t="str">
        <x:v>S08-08:A:evaluation_utterance_end</x:v>
      </x:c>
    </x:row>
    <x:row r="2939" ht="72" customHeight="1">
      <x:c r="A2939" s="14" t="str">
        <x:v>S08-08:A:meaning_adoption</x:v>
      </x:c>
      <x:c r="B2939" s="14" t="str">
        <x:v>A</x:v>
      </x:c>
      <x:c r="C2939" s="14" t="str">
        <x:v>meaning_adoption</x:v>
      </x:c>
      <x:c r="D2939" s="14" t="n">
        <x:v>0.3</x:v>
      </x:c>
      <x:c r="E2939" s="14" t="n">
        <x:v>0.876666667</x:v>
      </x:c>
      <x:c r="F2939" s="14" t="n">
        <x:v>0.576666667</x:v>
      </x:c>
      <x:c r="G2939" s="17" t="n">
        <x:v>1</x:v>
      </x:c>
      <x:c r="H2939" s="14" t="str">
        <x:v>S08-08:A:final_transcript
S08-08:A:origin_interpretation</x:v>
      </x:c>
    </x:row>
    <x:row r="2940" ht="72" customHeight="1">
      <x:c r="A2940" s="14" t="str">
        <x:v>S08-08:A:apply_relation</x:v>
      </x:c>
      <x:c r="B2940" s="14" t="str">
        <x:v>A</x:v>
      </x:c>
      <x:c r="C2940" s="14" t="str">
        <x:v>apply_relation</x:v>
      </x:c>
      <x:c r="D2940" s="14" t="n">
        <x:v>0.876666667</x:v>
      </x:c>
      <x:c r="E2940" s="14" t="n">
        <x:v>0.916666667</x:v>
      </x:c>
      <x:c r="F2940" s="14" t="n">
        <x:v>0.04</x:v>
      </x:c>
      <x:c r="G2940" s="17" t="n">
        <x:v>1</x:v>
      </x:c>
      <x:c r="H2940" s="14" t="str">
        <x:v>S08-08:A:meaning_adoption</x:v>
      </x:c>
    </x:row>
    <x:row r="2941" ht="72" customHeight="1">
      <x:c r="A2941" s="14" t="str">
        <x:v>S08-08:A:evaluation_first_display</x:v>
      </x:c>
      <x:c r="B2941" s="14" t="str">
        <x:v>A</x:v>
      </x:c>
      <x:c r="C2941" s="14" t="str">
        <x:v>evaluation_first_display</x:v>
      </x:c>
      <x:c r="D2941" s="14" t="n">
        <x:v>0.916666667</x:v>
      </x:c>
      <x:c r="E2941" s="14" t="n">
        <x:v>0.956666667</x:v>
      </x:c>
      <x:c r="F2941" s="14" t="n">
        <x:v>0.04</x:v>
      </x:c>
      <x:c r="G2941" s="17" t="n">
        <x:v>1</x:v>
      </x:c>
      <x:c r="H2941" s="14" t="str">
        <x:v>S08-08:A:apply_relation</x:v>
      </x:c>
    </x:row>
    <x:row r="2942" ht="72" customHeight="1">
      <x:c r="A2942" s="14" t="str">
        <x:v>S08-08:A:source_question</x:v>
      </x:c>
      <x:c r="B2942" s="14" t="str">
        <x:v>A</x:v>
      </x:c>
      <x:c r="C2942" s="14" t="str">
        <x:v>source_question</x:v>
      </x:c>
      <x:c r="D2942" s="14" t="n">
        <x:v>-5.04</x:v>
      </x:c>
      <x:c r="E2942" s="14" t="n">
        <x:v>0.866666667</x:v>
      </x:c>
      <x:c r="F2942" s="14" t="n">
        <x:v>5.906666667</x:v>
      </x:c>
      <x:c r="G2942" s="17" t="n">
        <x:v>0</x:v>
      </x:c>
      <x:c r="H2942" s="14" t="str">
        <x:v>S08-08:A:original_handoff</x:v>
      </x:c>
    </x:row>
    <x:row r="2943" ht="72" customHeight="1">
      <x:c r="A2943" s="14" t="str">
        <x:v>S08-08:A:display_question</x:v>
      </x:c>
      <x:c r="B2943" s="14" t="str">
        <x:v>A</x:v>
      </x:c>
      <x:c r="C2943" s="14" t="str">
        <x:v>display_question</x:v>
      </x:c>
      <x:c r="D2943" s="14" t="n">
        <x:v>0.866666667</x:v>
      </x:c>
      <x:c r="E2943" s="14" t="n">
        <x:v>0.906666667</x:v>
      </x:c>
      <x:c r="F2943" s="14" t="n">
        <x:v>0.04</x:v>
      </x:c>
      <x:c r="G2943" s="17" t="n">
        <x:v>1</x:v>
      </x:c>
      <x:c r="H2943" s="14" t="str">
        <x:v>S08-08:A:source_question</x:v>
      </x:c>
    </x:row>
    <x:row r="2944" ht="72" customHeight="1">
      <x:c r="A2944" s="14" t="str">
        <x:v>S08-08:A:select_question</x:v>
      </x:c>
      <x:c r="B2944" s="14" t="str">
        <x:v>A</x:v>
      </x:c>
      <x:c r="C2944" s="14" t="str">
        <x:v>select_question</x:v>
      </x:c>
      <x:c r="D2944" s="14" t="n">
        <x:v>0.916666667</x:v>
      </x:c>
      <x:c r="E2944" s="14" t="n">
        <x:v>0.916666667</x:v>
      </x:c>
      <x:c r="F2944" s="14" t="n">
        <x:v>0</x:v>
      </x:c>
      <x:c r="G2944" s="17" t="n">
        <x:v>1</x:v>
      </x:c>
      <x:c r="H2944" s="14" t="str">
        <x:v>S08-08:A:apply_relation
S08-08:A:source_question</x:v>
      </x:c>
    </x:row>
    <x:row r="2945" ht="72" customHeight="1">
      <x:c r="A2945" s="14" t="str">
        <x:v>S08-08:A:question_first</x:v>
      </x:c>
      <x:c r="B2945" s="14" t="str">
        <x:v>A</x:v>
      </x:c>
      <x:c r="C2945" s="14" t="str">
        <x:v>question_first</x:v>
      </x:c>
      <x:c r="D2945" s="14" t="n">
        <x:v>0.866666667</x:v>
      </x:c>
      <x:c r="E2945" s="14" t="n">
        <x:v>1.267666667</x:v>
      </x:c>
      <x:c r="F2945" s="14" t="n">
        <x:v>0.401</x:v>
      </x:c>
      <x:c r="G2945" s="17" t="n">
        <x:v>1</x:v>
      </x:c>
      <x:c r="H2945" s="14" t="str">
        <x:v>S08-08:A:source_question</x:v>
      </x:c>
    </x:row>
    <x:row r="2946" ht="72" customHeight="1">
      <x:c r="A2946" s="14" t="str">
        <x:v>S08-08:A:question_tail</x:v>
      </x:c>
      <x:c r="B2946" s="14" t="str">
        <x:v>A</x:v>
      </x:c>
      <x:c r="C2946" s="14" t="str">
        <x:v>question_tail</x:v>
      </x:c>
      <x:c r="D2946" s="14" t="n">
        <x:v>1.267666667</x:v>
      </x:c>
      <x:c r="E2946" s="14" t="n">
        <x:v>1.925166667</x:v>
      </x:c>
      <x:c r="F2946" s="14" t="n">
        <x:v>0.6575</x:v>
      </x:c>
      <x:c r="G2946" s="17" t="n">
        <x:v>1</x:v>
      </x:c>
      <x:c r="H2946" s="14" t="str">
        <x:v>S08-08:A:question_first</x:v>
      </x:c>
    </x:row>
    <x:row r="2947" ht="72" customHeight="1">
      <x:c r="A2947" s="14" t="str">
        <x:v>S08-08:A:question_device</x:v>
      </x:c>
      <x:c r="B2947" s="14" t="str">
        <x:v>A</x:v>
      </x:c>
      <x:c r="C2947" s="14" t="str">
        <x:v>question_device</x:v>
      </x:c>
      <x:c r="D2947" s="14" t="n">
        <x:v>1.267666667</x:v>
      </x:c>
      <x:c r="E2947" s="14" t="n">
        <x:v>1.307666667</x:v>
      </x:c>
      <x:c r="F2947" s="14" t="n">
        <x:v>0.04</x:v>
      </x:c>
      <x:c r="G2947" s="17" t="n">
        <x:v>1</x:v>
      </x:c>
      <x:c r="H2947" s="14" t="str">
        <x:v>S08-08:A:select_question
S08-08:A:question_first</x:v>
      </x:c>
    </x:row>
    <x:row r="2948" ht="72" customHeight="1">
      <x:c r="A2948" s="14" t="str">
        <x:v>S08-08:A:question_played</x:v>
      </x:c>
      <x:c r="B2948" s="14" t="str">
        <x:v>A</x:v>
      </x:c>
      <x:c r="C2948" s="14" t="str">
        <x:v>question_played</x:v>
      </x:c>
      <x:c r="D2948" s="14" t="n">
        <x:v>1.307666667</x:v>
      </x:c>
      <x:c r="E2948" s="14" t="n">
        <x:v>4.137666667</x:v>
      </x:c>
      <x:c r="F2948" s="14" t="n">
        <x:v>2.83</x:v>
      </x:c>
      <x:c r="G2948" s="17" t="n">
        <x:v>0</x:v>
      </x:c>
      <x:c r="H2948" s="14" t="str">
        <x:v>S08-08:A:question_device</x:v>
      </x:c>
    </x:row>
    <x:row r="2949" ht="72" customHeight="1">
      <x:c r="A2949" s="14" t="str">
        <x:v>S08-08:B:origin</x:v>
      </x:c>
      <x:c r="B2949" s="14" t="str">
        <x:v>B</x:v>
      </x:c>
      <x:c r="C2949" s="14" t="str">
        <x:v>origin</x:v>
      </x:c>
      <x:c r="D2949" s="14" t="n">
        <x:v>-6</x:v>
      </x:c>
      <x:c r="E2949" s="14" t="n">
        <x:v>-6</x:v>
      </x:c>
      <x:c r="F2949" s="14" t="n">
        <x:v>0</x:v>
      </x:c>
      <x:c r="G2949" s="17" t="n">
        <x:v>0</x:v>
      </x:c>
      <x:c r="H2949" s="14" t="str"/>
    </x:row>
    <x:row r="2950" ht="72" customHeight="1">
      <x:c r="A2950" s="14" t="str">
        <x:v>S08-08:B:origin_interpretation</x:v>
      </x:c>
      <x:c r="B2950" s="14" t="str">
        <x:v>B</x:v>
      </x:c>
      <x:c r="C2950" s="14" t="str">
        <x:v>origin_interpretation</x:v>
      </x:c>
      <x:c r="D2950" s="14" t="n">
        <x:v>-6</x:v>
      </x:c>
      <x:c r="E2950" s="14" t="n">
        <x:v>-5.16</x:v>
      </x:c>
      <x:c r="F2950" s="14" t="n">
        <x:v>0.84</x:v>
      </x:c>
      <x:c r="G2950" s="17" t="n">
        <x:v>1</x:v>
      </x:c>
      <x:c r="H2950" s="14" t="str">
        <x:v>S08-08:B:origin</x:v>
      </x:c>
    </x:row>
    <x:row r="2951" ht="72" customHeight="1">
      <x:c r="A2951" s="14" t="str">
        <x:v>S08-08:B:original_handoff</x:v>
      </x:c>
      <x:c r="B2951" s="14" t="str">
        <x:v>B</x:v>
      </x:c>
      <x:c r="C2951" s="14" t="str">
        <x:v>original_handoff</x:v>
      </x:c>
      <x:c r="D2951" s="14" t="n">
        <x:v>-5.16</x:v>
      </x:c>
      <x:c r="E2951" s="14" t="n">
        <x:v>-5.04</x:v>
      </x:c>
      <x:c r="F2951" s="14" t="n">
        <x:v>0.12</x:v>
      </x:c>
      <x:c r="G2951" s="17" t="n">
        <x:v>1</x:v>
      </x:c>
      <x:c r="H2951" s="14" t="str">
        <x:v>S08-08:B:origin_interpretation</x:v>
      </x:c>
    </x:row>
    <x:row r="2952" ht="72" customHeight="1">
      <x:c r="A2952" s="14" t="str">
        <x:v>S08-08:B:evaluation_utterance_end</x:v>
      </x:c>
      <x:c r="B2952" s="14" t="str">
        <x:v>B</x:v>
      </x:c>
      <x:c r="C2952" s="14" t="str">
        <x:v>evaluation_utterance_end</x:v>
      </x:c>
      <x:c r="D2952" s="14" t="n">
        <x:v>-6</x:v>
      </x:c>
      <x:c r="E2952" s="14" t="n">
        <x:v>0</x:v>
      </x:c>
      <x:c r="F2952" s="14" t="n">
        <x:v>6</x:v>
      </x:c>
      <x:c r="G2952" s="17" t="n">
        <x:v>0</x:v>
      </x:c>
      <x:c r="H2952" s="14" t="str">
        <x:v>S08-08:B:origin</x:v>
      </x:c>
    </x:row>
    <x:row r="2953" ht="72" customHeight="1">
      <x:c r="A2953" s="14" t="str">
        <x:v>S08-08:B:final_transcript</x:v>
      </x:c>
      <x:c r="B2953" s="14" t="str">
        <x:v>B</x:v>
      </x:c>
      <x:c r="C2953" s="14" t="str">
        <x:v>final_transcript</x:v>
      </x:c>
      <x:c r="D2953" s="14" t="n">
        <x:v>0</x:v>
      </x:c>
      <x:c r="E2953" s="14" t="n">
        <x:v>0.3</x:v>
      </x:c>
      <x:c r="F2953" s="14" t="n">
        <x:v>0.3</x:v>
      </x:c>
      <x:c r="G2953" s="17" t="n">
        <x:v>1</x:v>
      </x:c>
      <x:c r="H2953" s="14" t="str">
        <x:v>S08-08:B:evaluation_utterance_end</x:v>
      </x:c>
    </x:row>
    <x:row r="2954" ht="72" customHeight="1">
      <x:c r="A2954" s="14" t="str">
        <x:v>S08-08:B:meaning_adoption</x:v>
      </x:c>
      <x:c r="B2954" s="14" t="str">
        <x:v>B</x:v>
      </x:c>
      <x:c r="C2954" s="14" t="str">
        <x:v>meaning_adoption</x:v>
      </x:c>
      <x:c r="D2954" s="14" t="n">
        <x:v>0.3</x:v>
      </x:c>
      <x:c r="E2954" s="14" t="n">
        <x:v>0.876666667</x:v>
      </x:c>
      <x:c r="F2954" s="14" t="n">
        <x:v>0.576666667</x:v>
      </x:c>
      <x:c r="G2954" s="17" t="n">
        <x:v>1</x:v>
      </x:c>
      <x:c r="H2954" s="14" t="str">
        <x:v>S08-08:B:final_transcript
S08-08:B:origin_interpretation</x:v>
      </x:c>
    </x:row>
    <x:row r="2955" ht="72" customHeight="1">
      <x:c r="A2955" s="14" t="str">
        <x:v>S08-08:B:apply_relation</x:v>
      </x:c>
      <x:c r="B2955" s="14" t="str">
        <x:v>B</x:v>
      </x:c>
      <x:c r="C2955" s="14" t="str">
        <x:v>apply_relation</x:v>
      </x:c>
      <x:c r="D2955" s="14" t="n">
        <x:v>0.876666667</x:v>
      </x:c>
      <x:c r="E2955" s="14" t="n">
        <x:v>0.916666667</x:v>
      </x:c>
      <x:c r="F2955" s="14" t="n">
        <x:v>0.04</x:v>
      </x:c>
      <x:c r="G2955" s="17" t="n">
        <x:v>1</x:v>
      </x:c>
      <x:c r="H2955" s="14" t="str">
        <x:v>S08-08:B:meaning_adoption</x:v>
      </x:c>
    </x:row>
    <x:row r="2956" ht="72" customHeight="1">
      <x:c r="A2956" s="14" t="str">
        <x:v>S08-08:B:evaluation_first_display</x:v>
      </x:c>
      <x:c r="B2956" s="14" t="str">
        <x:v>B</x:v>
      </x:c>
      <x:c r="C2956" s="14" t="str">
        <x:v>evaluation_first_display</x:v>
      </x:c>
      <x:c r="D2956" s="14" t="n">
        <x:v>0.916666667</x:v>
      </x:c>
      <x:c r="E2956" s="14" t="n">
        <x:v>0.956666667</x:v>
      </x:c>
      <x:c r="F2956" s="14" t="n">
        <x:v>0.04</x:v>
      </x:c>
      <x:c r="G2956" s="17" t="n">
        <x:v>1</x:v>
      </x:c>
      <x:c r="H2956" s="14" t="str">
        <x:v>S08-08:B:apply_relation</x:v>
      </x:c>
    </x:row>
    <x:row r="2957" ht="72" customHeight="1">
      <x:c r="A2957" s="14" t="str">
        <x:v>S08-08:B:source_question</x:v>
      </x:c>
      <x:c r="B2957" s="14" t="str">
        <x:v>B</x:v>
      </x:c>
      <x:c r="C2957" s="14" t="str">
        <x:v>source_question</x:v>
      </x:c>
      <x:c r="D2957" s="14" t="n">
        <x:v>-5.04</x:v>
      </x:c>
      <x:c r="E2957" s="14" t="n">
        <x:v>0.866666667</x:v>
      </x:c>
      <x:c r="F2957" s="14" t="n">
        <x:v>5.906666667</x:v>
      </x:c>
      <x:c r="G2957" s="17" t="n">
        <x:v>0</x:v>
      </x:c>
      <x:c r="H2957" s="14" t="str">
        <x:v>S08-08:B:original_handoff</x:v>
      </x:c>
    </x:row>
    <x:row r="2958" ht="72" customHeight="1">
      <x:c r="A2958" s="14" t="str">
        <x:v>S08-08:B:display_question</x:v>
      </x:c>
      <x:c r="B2958" s="14" t="str">
        <x:v>B</x:v>
      </x:c>
      <x:c r="C2958" s="14" t="str">
        <x:v>display_question</x:v>
      </x:c>
      <x:c r="D2958" s="14" t="n">
        <x:v>0.866666667</x:v>
      </x:c>
      <x:c r="E2958" s="14" t="n">
        <x:v>0.906666667</x:v>
      </x:c>
      <x:c r="F2958" s="14" t="n">
        <x:v>0.04</x:v>
      </x:c>
      <x:c r="G2958" s="17" t="n">
        <x:v>1</x:v>
      </x:c>
      <x:c r="H2958" s="14" t="str">
        <x:v>S08-08:B:source_question</x:v>
      </x:c>
    </x:row>
    <x:row r="2959" ht="72" customHeight="1">
      <x:c r="A2959" s="14" t="str">
        <x:v>S08-08:B:select_question</x:v>
      </x:c>
      <x:c r="B2959" s="14" t="str">
        <x:v>B</x:v>
      </x:c>
      <x:c r="C2959" s="14" t="str">
        <x:v>select_question</x:v>
      </x:c>
      <x:c r="D2959" s="14" t="n">
        <x:v>0.916666667</x:v>
      </x:c>
      <x:c r="E2959" s="14" t="n">
        <x:v>0.916666667</x:v>
      </x:c>
      <x:c r="F2959" s="14" t="n">
        <x:v>0</x:v>
      </x:c>
      <x:c r="G2959" s="17" t="n">
        <x:v>1</x:v>
      </x:c>
      <x:c r="H2959" s="14" t="str">
        <x:v>S08-08:B:apply_relation
S08-08:B:source_question</x:v>
      </x:c>
    </x:row>
    <x:row r="2960" ht="72" customHeight="1">
      <x:c r="A2960" s="14" t="str">
        <x:v>S08-08:B:question_first</x:v>
      </x:c>
      <x:c r="B2960" s="14" t="str">
        <x:v>B</x:v>
      </x:c>
      <x:c r="C2960" s="14" t="str">
        <x:v>question_first</x:v>
      </x:c>
      <x:c r="D2960" s="14" t="n">
        <x:v>0.916666667</x:v>
      </x:c>
      <x:c r="E2960" s="14" t="n">
        <x:v>1.317666667</x:v>
      </x:c>
      <x:c r="F2960" s="14" t="n">
        <x:v>0.401</x:v>
      </x:c>
      <x:c r="G2960" s="17" t="n">
        <x:v>1</x:v>
      </x:c>
      <x:c r="H2960" s="14" t="str">
        <x:v>S08-08:B:select_question</x:v>
      </x:c>
    </x:row>
    <x:row r="2961" ht="72" customHeight="1">
      <x:c r="A2961" s="14" t="str">
        <x:v>S08-08:B:question_tail</x:v>
      </x:c>
      <x:c r="B2961" s="14" t="str">
        <x:v>B</x:v>
      </x:c>
      <x:c r="C2961" s="14" t="str">
        <x:v>question_tail</x:v>
      </x:c>
      <x:c r="D2961" s="14" t="n">
        <x:v>1.317666667</x:v>
      </x:c>
      <x:c r="E2961" s="14" t="n">
        <x:v>1.975166667</x:v>
      </x:c>
      <x:c r="F2961" s="14" t="n">
        <x:v>0.6575</x:v>
      </x:c>
      <x:c r="G2961" s="17" t="n">
        <x:v>1</x:v>
      </x:c>
      <x:c r="H2961" s="14" t="str">
        <x:v>S08-08:B:question_first</x:v>
      </x:c>
    </x:row>
    <x:row r="2962" ht="72" customHeight="1">
      <x:c r="A2962" s="14" t="str">
        <x:v>S08-08:B:question_device</x:v>
      </x:c>
      <x:c r="B2962" s="14" t="str">
        <x:v>B</x:v>
      </x:c>
      <x:c r="C2962" s="14" t="str">
        <x:v>question_device</x:v>
      </x:c>
      <x:c r="D2962" s="14" t="n">
        <x:v>1.317666667</x:v>
      </x:c>
      <x:c r="E2962" s="14" t="n">
        <x:v>1.357666667</x:v>
      </x:c>
      <x:c r="F2962" s="14" t="n">
        <x:v>0.04</x:v>
      </x:c>
      <x:c r="G2962" s="17" t="n">
        <x:v>1</x:v>
      </x:c>
      <x:c r="H2962" s="14" t="str">
        <x:v>S08-08:B:select_question
S08-08:B:question_first</x:v>
      </x:c>
    </x:row>
    <x:row r="2963" ht="72" customHeight="1">
      <x:c r="A2963" s="14" t="str">
        <x:v>S08-08:B:question_played</x:v>
      </x:c>
      <x:c r="B2963" s="14" t="str">
        <x:v>B</x:v>
      </x:c>
      <x:c r="C2963" s="14" t="str">
        <x:v>question_played</x:v>
      </x:c>
      <x:c r="D2963" s="14" t="n">
        <x:v>1.357666667</x:v>
      </x:c>
      <x:c r="E2963" s="14" t="n">
        <x:v>4.187666667</x:v>
      </x:c>
      <x:c r="F2963" s="14" t="n">
        <x:v>2.83</x:v>
      </x:c>
      <x:c r="G2963" s="17" t="n">
        <x:v>0</x:v>
      </x:c>
      <x:c r="H2963" s="14" t="str">
        <x:v>S08-08:B:question_device</x:v>
      </x:c>
    </x:row>
    <x:row r="2964" ht="72" customHeight="1">
      <x:c r="A2964" s="14" t="str">
        <x:v>S08-09:A:origin</x:v>
      </x:c>
      <x:c r="B2964" s="14" t="str">
        <x:v>A</x:v>
      </x:c>
      <x:c r="C2964" s="14" t="str">
        <x:v>origin</x:v>
      </x:c>
      <x:c r="D2964" s="14" t="n">
        <x:v>-6</x:v>
      </x:c>
      <x:c r="E2964" s="14" t="n">
        <x:v>-6</x:v>
      </x:c>
      <x:c r="F2964" s="14" t="n">
        <x:v>0</x:v>
      </x:c>
      <x:c r="G2964" s="17" t="n">
        <x:v>0</x:v>
      </x:c>
      <x:c r="H2964" s="14" t="str"/>
    </x:row>
    <x:row r="2965" ht="72" customHeight="1">
      <x:c r="A2965" s="14" t="str">
        <x:v>S08-09:A:origin_interpretation</x:v>
      </x:c>
      <x:c r="B2965" s="14" t="str">
        <x:v>A</x:v>
      </x:c>
      <x:c r="C2965" s="14" t="str">
        <x:v>origin_interpretation</x:v>
      </x:c>
      <x:c r="D2965" s="14" t="n">
        <x:v>-6</x:v>
      </x:c>
      <x:c r="E2965" s="14" t="n">
        <x:v>-5.16</x:v>
      </x:c>
      <x:c r="F2965" s="14" t="n">
        <x:v>0.84</x:v>
      </x:c>
      <x:c r="G2965" s="17" t="n">
        <x:v>1</x:v>
      </x:c>
      <x:c r="H2965" s="14" t="str">
        <x:v>S08-09:A:origin</x:v>
      </x:c>
    </x:row>
    <x:row r="2966" ht="72" customHeight="1">
      <x:c r="A2966" s="14" t="str">
        <x:v>S08-09:A:original_handoff</x:v>
      </x:c>
      <x:c r="B2966" s="14" t="str">
        <x:v>A</x:v>
      </x:c>
      <x:c r="C2966" s="14" t="str">
        <x:v>original_handoff</x:v>
      </x:c>
      <x:c r="D2966" s="14" t="n">
        <x:v>-5.16</x:v>
      </x:c>
      <x:c r="E2966" s="14" t="n">
        <x:v>-5.04</x:v>
      </x:c>
      <x:c r="F2966" s="14" t="n">
        <x:v>0.12</x:v>
      </x:c>
      <x:c r="G2966" s="17" t="n">
        <x:v>1</x:v>
      </x:c>
      <x:c r="H2966" s="14" t="str">
        <x:v>S08-09:A:origin_interpretation</x:v>
      </x:c>
    </x:row>
    <x:row r="2967" ht="72" customHeight="1">
      <x:c r="A2967" s="14" t="str">
        <x:v>S08-09:A:evaluation_utterance_end</x:v>
      </x:c>
      <x:c r="B2967" s="14" t="str">
        <x:v>A</x:v>
      </x:c>
      <x:c r="C2967" s="14" t="str">
        <x:v>evaluation_utterance_end</x:v>
      </x:c>
      <x:c r="D2967" s="14" t="n">
        <x:v>-6</x:v>
      </x:c>
      <x:c r="E2967" s="14" t="n">
        <x:v>0</x:v>
      </x:c>
      <x:c r="F2967" s="14" t="n">
        <x:v>6</x:v>
      </x:c>
      <x:c r="G2967" s="17" t="n">
        <x:v>0</x:v>
      </x:c>
      <x:c r="H2967" s="14" t="str">
        <x:v>S08-09:A:origin</x:v>
      </x:c>
    </x:row>
    <x:row r="2968" ht="72" customHeight="1">
      <x:c r="A2968" s="14" t="str">
        <x:v>S08-09:A:final_transcript</x:v>
      </x:c>
      <x:c r="B2968" s="14" t="str">
        <x:v>A</x:v>
      </x:c>
      <x:c r="C2968" s="14" t="str">
        <x:v>final_transcript</x:v>
      </x:c>
      <x:c r="D2968" s="14" t="n">
        <x:v>0</x:v>
      </x:c>
      <x:c r="E2968" s="14" t="n">
        <x:v>0.3</x:v>
      </x:c>
      <x:c r="F2968" s="14" t="n">
        <x:v>0.3</x:v>
      </x:c>
      <x:c r="G2968" s="17" t="n">
        <x:v>1</x:v>
      </x:c>
      <x:c r="H2968" s="14" t="str">
        <x:v>S08-09:A:evaluation_utterance_end</x:v>
      </x:c>
    </x:row>
    <x:row r="2969" ht="72" customHeight="1">
      <x:c r="A2969" s="14" t="str">
        <x:v>S08-09:A:meaning_adoption</x:v>
      </x:c>
      <x:c r="B2969" s="14" t="str">
        <x:v>A</x:v>
      </x:c>
      <x:c r="C2969" s="14" t="str">
        <x:v>meaning_adoption</x:v>
      </x:c>
      <x:c r="D2969" s="14" t="n">
        <x:v>0.3</x:v>
      </x:c>
      <x:c r="E2969" s="14" t="n">
        <x:v>0.83</x:v>
      </x:c>
      <x:c r="F2969" s="14" t="n">
        <x:v>0.53</x:v>
      </x:c>
      <x:c r="G2969" s="17" t="n">
        <x:v>1</x:v>
      </x:c>
      <x:c r="H2969" s="14" t="str">
        <x:v>S08-09:A:final_transcript
S08-09:A:origin_interpretation</x:v>
      </x:c>
    </x:row>
    <x:row r="2970" ht="72" customHeight="1">
      <x:c r="A2970" s="14" t="str">
        <x:v>S08-09:A:apply_relation</x:v>
      </x:c>
      <x:c r="B2970" s="14" t="str">
        <x:v>A</x:v>
      </x:c>
      <x:c r="C2970" s="14" t="str">
        <x:v>apply_relation</x:v>
      </x:c>
      <x:c r="D2970" s="14" t="n">
        <x:v>0.83</x:v>
      </x:c>
      <x:c r="E2970" s="14" t="n">
        <x:v>0.87</x:v>
      </x:c>
      <x:c r="F2970" s="14" t="n">
        <x:v>0.04</x:v>
      </x:c>
      <x:c r="G2970" s="17" t="n">
        <x:v>1</x:v>
      </x:c>
      <x:c r="H2970" s="14" t="str">
        <x:v>S08-09:A:meaning_adoption</x:v>
      </x:c>
    </x:row>
    <x:row r="2971" ht="72" customHeight="1">
      <x:c r="A2971" s="14" t="str">
        <x:v>S08-09:A:evaluation_first_display</x:v>
      </x:c>
      <x:c r="B2971" s="14" t="str">
        <x:v>A</x:v>
      </x:c>
      <x:c r="C2971" s="14" t="str">
        <x:v>evaluation_first_display</x:v>
      </x:c>
      <x:c r="D2971" s="14" t="n">
        <x:v>0.87</x:v>
      </x:c>
      <x:c r="E2971" s="14" t="n">
        <x:v>0.91</x:v>
      </x:c>
      <x:c r="F2971" s="14" t="n">
        <x:v>0.04</x:v>
      </x:c>
      <x:c r="G2971" s="17" t="n">
        <x:v>1</x:v>
      </x:c>
      <x:c r="H2971" s="14" t="str">
        <x:v>S08-09:A:apply_relation</x:v>
      </x:c>
    </x:row>
    <x:row r="2972" ht="72" customHeight="1">
      <x:c r="A2972" s="14" t="str">
        <x:v>S08-09:A:source_question</x:v>
      </x:c>
      <x:c r="B2972" s="14" t="str">
        <x:v>A</x:v>
      </x:c>
      <x:c r="C2972" s="14" t="str">
        <x:v>source_question</x:v>
      </x:c>
      <x:c r="D2972" s="14" t="n">
        <x:v>-5.04</x:v>
      </x:c>
      <x:c r="E2972" s="14" t="n">
        <x:v>0.82</x:v>
      </x:c>
      <x:c r="F2972" s="14" t="n">
        <x:v>5.86</x:v>
      </x:c>
      <x:c r="G2972" s="17" t="n">
        <x:v>0</x:v>
      </x:c>
      <x:c r="H2972" s="14" t="str">
        <x:v>S08-09:A:original_handoff</x:v>
      </x:c>
    </x:row>
    <x:row r="2973" ht="72" customHeight="1">
      <x:c r="A2973" s="14" t="str">
        <x:v>S08-09:A:display_question</x:v>
      </x:c>
      <x:c r="B2973" s="14" t="str">
        <x:v>A</x:v>
      </x:c>
      <x:c r="C2973" s="14" t="str">
        <x:v>display_question</x:v>
      </x:c>
      <x:c r="D2973" s="14" t="n">
        <x:v>0.82</x:v>
      </x:c>
      <x:c r="E2973" s="14" t="n">
        <x:v>0.86</x:v>
      </x:c>
      <x:c r="F2973" s="14" t="n">
        <x:v>0.04</x:v>
      </x:c>
      <x:c r="G2973" s="17" t="n">
        <x:v>1</x:v>
      </x:c>
      <x:c r="H2973" s="14" t="str">
        <x:v>S08-09:A:source_question</x:v>
      </x:c>
    </x:row>
    <x:row r="2974" ht="72" customHeight="1">
      <x:c r="A2974" s="14" t="str">
        <x:v>S08-09:A:select_question</x:v>
      </x:c>
      <x:c r="B2974" s="14" t="str">
        <x:v>A</x:v>
      </x:c>
      <x:c r="C2974" s="14" t="str">
        <x:v>select_question</x:v>
      </x:c>
      <x:c r="D2974" s="14" t="n">
        <x:v>0.87</x:v>
      </x:c>
      <x:c r="E2974" s="14" t="n">
        <x:v>0.87</x:v>
      </x:c>
      <x:c r="F2974" s="14" t="n">
        <x:v>0</x:v>
      </x:c>
      <x:c r="G2974" s="17" t="n">
        <x:v>1</x:v>
      </x:c>
      <x:c r="H2974" s="14" t="str">
        <x:v>S08-09:A:apply_relation
S08-09:A:source_question</x:v>
      </x:c>
    </x:row>
    <x:row r="2975" ht="72" customHeight="1">
      <x:c r="A2975" s="14" t="str">
        <x:v>S08-09:A:question_first</x:v>
      </x:c>
      <x:c r="B2975" s="14" t="str">
        <x:v>A</x:v>
      </x:c>
      <x:c r="C2975" s="14" t="str">
        <x:v>question_first</x:v>
      </x:c>
      <x:c r="D2975" s="14" t="n">
        <x:v>0.82</x:v>
      </x:c>
      <x:c r="E2975" s="14" t="n">
        <x:v>1.221</x:v>
      </x:c>
      <x:c r="F2975" s="14" t="n">
        <x:v>0.401</x:v>
      </x:c>
      <x:c r="G2975" s="17" t="n">
        <x:v>1</x:v>
      </x:c>
      <x:c r="H2975" s="14" t="str">
        <x:v>S08-09:A:source_question</x:v>
      </x:c>
    </x:row>
    <x:row r="2976" ht="72" customHeight="1">
      <x:c r="A2976" s="14" t="str">
        <x:v>S08-09:A:question_tail</x:v>
      </x:c>
      <x:c r="B2976" s="14" t="str">
        <x:v>A</x:v>
      </x:c>
      <x:c r="C2976" s="14" t="str">
        <x:v>question_tail</x:v>
      </x:c>
      <x:c r="D2976" s="14" t="n">
        <x:v>1.221</x:v>
      </x:c>
      <x:c r="E2976" s="14" t="n">
        <x:v>1.8815</x:v>
      </x:c>
      <x:c r="F2976" s="14" t="n">
        <x:v>0.6605</x:v>
      </x:c>
      <x:c r="G2976" s="17" t="n">
        <x:v>1</x:v>
      </x:c>
      <x:c r="H2976" s="14" t="str">
        <x:v>S08-09:A:question_first</x:v>
      </x:c>
    </x:row>
    <x:row r="2977" ht="72" customHeight="1">
      <x:c r="A2977" s="14" t="str">
        <x:v>S08-09:A:question_device</x:v>
      </x:c>
      <x:c r="B2977" s="14" t="str">
        <x:v>A</x:v>
      </x:c>
      <x:c r="C2977" s="14" t="str">
        <x:v>question_device</x:v>
      </x:c>
      <x:c r="D2977" s="14" t="n">
        <x:v>1.221</x:v>
      </x:c>
      <x:c r="E2977" s="14" t="n">
        <x:v>1.261</x:v>
      </x:c>
      <x:c r="F2977" s="14" t="n">
        <x:v>0.04</x:v>
      </x:c>
      <x:c r="G2977" s="17" t="n">
        <x:v>1</x:v>
      </x:c>
      <x:c r="H2977" s="14" t="str">
        <x:v>S08-09:A:select_question
S08-09:A:question_first</x:v>
      </x:c>
    </x:row>
    <x:row r="2978" ht="72" customHeight="1">
      <x:c r="A2978" s="14" t="str">
        <x:v>S08-09:A:question_played</x:v>
      </x:c>
      <x:c r="B2978" s="14" t="str">
        <x:v>A</x:v>
      </x:c>
      <x:c r="C2978" s="14" t="str">
        <x:v>question_played</x:v>
      </x:c>
      <x:c r="D2978" s="14" t="n">
        <x:v>1.261</x:v>
      </x:c>
      <x:c r="E2978" s="14" t="n">
        <x:v>4.103</x:v>
      </x:c>
      <x:c r="F2978" s="14" t="n">
        <x:v>2.842</x:v>
      </x:c>
      <x:c r="G2978" s="17" t="n">
        <x:v>0</x:v>
      </x:c>
      <x:c r="H2978" s="14" t="str">
        <x:v>S08-09:A:question_device</x:v>
      </x:c>
    </x:row>
    <x:row r="2979" ht="72" customHeight="1">
      <x:c r="A2979" s="14" t="str">
        <x:v>S08-09:B:origin</x:v>
      </x:c>
      <x:c r="B2979" s="14" t="str">
        <x:v>B</x:v>
      </x:c>
      <x:c r="C2979" s="14" t="str">
        <x:v>origin</x:v>
      </x:c>
      <x:c r="D2979" s="14" t="n">
        <x:v>-6</x:v>
      </x:c>
      <x:c r="E2979" s="14" t="n">
        <x:v>-6</x:v>
      </x:c>
      <x:c r="F2979" s="14" t="n">
        <x:v>0</x:v>
      </x:c>
      <x:c r="G2979" s="17" t="n">
        <x:v>0</x:v>
      </x:c>
      <x:c r="H2979" s="14" t="str"/>
    </x:row>
    <x:row r="2980" ht="72" customHeight="1">
      <x:c r="A2980" s="14" t="str">
        <x:v>S08-09:B:origin_interpretation</x:v>
      </x:c>
      <x:c r="B2980" s="14" t="str">
        <x:v>B</x:v>
      </x:c>
      <x:c r="C2980" s="14" t="str">
        <x:v>origin_interpretation</x:v>
      </x:c>
      <x:c r="D2980" s="14" t="n">
        <x:v>-6</x:v>
      </x:c>
      <x:c r="E2980" s="14" t="n">
        <x:v>-5.16</x:v>
      </x:c>
      <x:c r="F2980" s="14" t="n">
        <x:v>0.84</x:v>
      </x:c>
      <x:c r="G2980" s="17" t="n">
        <x:v>1</x:v>
      </x:c>
      <x:c r="H2980" s="14" t="str">
        <x:v>S08-09:B:origin</x:v>
      </x:c>
    </x:row>
    <x:row r="2981" ht="72" customHeight="1">
      <x:c r="A2981" s="14" t="str">
        <x:v>S08-09:B:original_handoff</x:v>
      </x:c>
      <x:c r="B2981" s="14" t="str">
        <x:v>B</x:v>
      </x:c>
      <x:c r="C2981" s="14" t="str">
        <x:v>original_handoff</x:v>
      </x:c>
      <x:c r="D2981" s="14" t="n">
        <x:v>-5.16</x:v>
      </x:c>
      <x:c r="E2981" s="14" t="n">
        <x:v>-5.04</x:v>
      </x:c>
      <x:c r="F2981" s="14" t="n">
        <x:v>0.12</x:v>
      </x:c>
      <x:c r="G2981" s="17" t="n">
        <x:v>1</x:v>
      </x:c>
      <x:c r="H2981" s="14" t="str">
        <x:v>S08-09:B:origin_interpretation</x:v>
      </x:c>
    </x:row>
    <x:row r="2982" ht="72" customHeight="1">
      <x:c r="A2982" s="14" t="str">
        <x:v>S08-09:B:evaluation_utterance_end</x:v>
      </x:c>
      <x:c r="B2982" s="14" t="str">
        <x:v>B</x:v>
      </x:c>
      <x:c r="C2982" s="14" t="str">
        <x:v>evaluation_utterance_end</x:v>
      </x:c>
      <x:c r="D2982" s="14" t="n">
        <x:v>-6</x:v>
      </x:c>
      <x:c r="E2982" s="14" t="n">
        <x:v>0</x:v>
      </x:c>
      <x:c r="F2982" s="14" t="n">
        <x:v>6</x:v>
      </x:c>
      <x:c r="G2982" s="17" t="n">
        <x:v>0</x:v>
      </x:c>
      <x:c r="H2982" s="14" t="str">
        <x:v>S08-09:B:origin</x:v>
      </x:c>
    </x:row>
    <x:row r="2983" ht="72" customHeight="1">
      <x:c r="A2983" s="14" t="str">
        <x:v>S08-09:B:final_transcript</x:v>
      </x:c>
      <x:c r="B2983" s="14" t="str">
        <x:v>B</x:v>
      </x:c>
      <x:c r="C2983" s="14" t="str">
        <x:v>final_transcript</x:v>
      </x:c>
      <x:c r="D2983" s="14" t="n">
        <x:v>0</x:v>
      </x:c>
      <x:c r="E2983" s="14" t="n">
        <x:v>0.3</x:v>
      </x:c>
      <x:c r="F2983" s="14" t="n">
        <x:v>0.3</x:v>
      </x:c>
      <x:c r="G2983" s="17" t="n">
        <x:v>1</x:v>
      </x:c>
      <x:c r="H2983" s="14" t="str">
        <x:v>S08-09:B:evaluation_utterance_end</x:v>
      </x:c>
    </x:row>
    <x:row r="2984" ht="72" customHeight="1">
      <x:c r="A2984" s="14" t="str">
        <x:v>S08-09:B:meaning_adoption</x:v>
      </x:c>
      <x:c r="B2984" s="14" t="str">
        <x:v>B</x:v>
      </x:c>
      <x:c r="C2984" s="14" t="str">
        <x:v>meaning_adoption</x:v>
      </x:c>
      <x:c r="D2984" s="14" t="n">
        <x:v>0.3</x:v>
      </x:c>
      <x:c r="E2984" s="14" t="n">
        <x:v>0.83</x:v>
      </x:c>
      <x:c r="F2984" s="14" t="n">
        <x:v>0.53</x:v>
      </x:c>
      <x:c r="G2984" s="17" t="n">
        <x:v>1</x:v>
      </x:c>
      <x:c r="H2984" s="14" t="str">
        <x:v>S08-09:B:final_transcript
S08-09:B:origin_interpretation</x:v>
      </x:c>
    </x:row>
    <x:row r="2985" ht="72" customHeight="1">
      <x:c r="A2985" s="14" t="str">
        <x:v>S08-09:B:apply_relation</x:v>
      </x:c>
      <x:c r="B2985" s="14" t="str">
        <x:v>B</x:v>
      </x:c>
      <x:c r="C2985" s="14" t="str">
        <x:v>apply_relation</x:v>
      </x:c>
      <x:c r="D2985" s="14" t="n">
        <x:v>0.83</x:v>
      </x:c>
      <x:c r="E2985" s="14" t="n">
        <x:v>0.87</x:v>
      </x:c>
      <x:c r="F2985" s="14" t="n">
        <x:v>0.04</x:v>
      </x:c>
      <x:c r="G2985" s="17" t="n">
        <x:v>1</x:v>
      </x:c>
      <x:c r="H2985" s="14" t="str">
        <x:v>S08-09:B:meaning_adoption</x:v>
      </x:c>
    </x:row>
    <x:row r="2986" ht="72" customHeight="1">
      <x:c r="A2986" s="14" t="str">
        <x:v>S08-09:B:evaluation_first_display</x:v>
      </x:c>
      <x:c r="B2986" s="14" t="str">
        <x:v>B</x:v>
      </x:c>
      <x:c r="C2986" s="14" t="str">
        <x:v>evaluation_first_display</x:v>
      </x:c>
      <x:c r="D2986" s="14" t="n">
        <x:v>0.87</x:v>
      </x:c>
      <x:c r="E2986" s="14" t="n">
        <x:v>0.91</x:v>
      </x:c>
      <x:c r="F2986" s="14" t="n">
        <x:v>0.04</x:v>
      </x:c>
      <x:c r="G2986" s="17" t="n">
        <x:v>1</x:v>
      </x:c>
      <x:c r="H2986" s="14" t="str">
        <x:v>S08-09:B:apply_relation</x:v>
      </x:c>
    </x:row>
    <x:row r="2987" ht="72" customHeight="1">
      <x:c r="A2987" s="14" t="str">
        <x:v>S08-09:B:source_question</x:v>
      </x:c>
      <x:c r="B2987" s="14" t="str">
        <x:v>B</x:v>
      </x:c>
      <x:c r="C2987" s="14" t="str">
        <x:v>source_question</x:v>
      </x:c>
      <x:c r="D2987" s="14" t="n">
        <x:v>-5.04</x:v>
      </x:c>
      <x:c r="E2987" s="14" t="n">
        <x:v>0.82</x:v>
      </x:c>
      <x:c r="F2987" s="14" t="n">
        <x:v>5.86</x:v>
      </x:c>
      <x:c r="G2987" s="17" t="n">
        <x:v>0</x:v>
      </x:c>
      <x:c r="H2987" s="14" t="str">
        <x:v>S08-09:B:original_handoff</x:v>
      </x:c>
    </x:row>
    <x:row r="2988" ht="72" customHeight="1">
      <x:c r="A2988" s="14" t="str">
        <x:v>S08-09:B:display_question</x:v>
      </x:c>
      <x:c r="B2988" s="14" t="str">
        <x:v>B</x:v>
      </x:c>
      <x:c r="C2988" s="14" t="str">
        <x:v>display_question</x:v>
      </x:c>
      <x:c r="D2988" s="14" t="n">
        <x:v>0.82</x:v>
      </x:c>
      <x:c r="E2988" s="14" t="n">
        <x:v>0.86</x:v>
      </x:c>
      <x:c r="F2988" s="14" t="n">
        <x:v>0.04</x:v>
      </x:c>
      <x:c r="G2988" s="17" t="n">
        <x:v>1</x:v>
      </x:c>
      <x:c r="H2988" s="14" t="str">
        <x:v>S08-09:B:source_question</x:v>
      </x:c>
    </x:row>
    <x:row r="2989" ht="72" customHeight="1">
      <x:c r="A2989" s="14" t="str">
        <x:v>S08-09:B:select_question</x:v>
      </x:c>
      <x:c r="B2989" s="14" t="str">
        <x:v>B</x:v>
      </x:c>
      <x:c r="C2989" s="14" t="str">
        <x:v>select_question</x:v>
      </x:c>
      <x:c r="D2989" s="14" t="n">
        <x:v>0.87</x:v>
      </x:c>
      <x:c r="E2989" s="14" t="n">
        <x:v>0.87</x:v>
      </x:c>
      <x:c r="F2989" s="14" t="n">
        <x:v>0</x:v>
      </x:c>
      <x:c r="G2989" s="17" t="n">
        <x:v>1</x:v>
      </x:c>
      <x:c r="H2989" s="14" t="str">
        <x:v>S08-09:B:apply_relation
S08-09:B:source_question</x:v>
      </x:c>
    </x:row>
    <x:row r="2990" ht="72" customHeight="1">
      <x:c r="A2990" s="14" t="str">
        <x:v>S08-09:B:question_first</x:v>
      </x:c>
      <x:c r="B2990" s="14" t="str">
        <x:v>B</x:v>
      </x:c>
      <x:c r="C2990" s="14" t="str">
        <x:v>question_first</x:v>
      </x:c>
      <x:c r="D2990" s="14" t="n">
        <x:v>0.87</x:v>
      </x:c>
      <x:c r="E2990" s="14" t="n">
        <x:v>1.271</x:v>
      </x:c>
      <x:c r="F2990" s="14" t="n">
        <x:v>0.401</x:v>
      </x:c>
      <x:c r="G2990" s="17" t="n">
        <x:v>1</x:v>
      </x:c>
      <x:c r="H2990" s="14" t="str">
        <x:v>S08-09:B:select_question</x:v>
      </x:c>
    </x:row>
    <x:row r="2991" ht="72" customHeight="1">
      <x:c r="A2991" s="14" t="str">
        <x:v>S08-09:B:question_tail</x:v>
      </x:c>
      <x:c r="B2991" s="14" t="str">
        <x:v>B</x:v>
      </x:c>
      <x:c r="C2991" s="14" t="str">
        <x:v>question_tail</x:v>
      </x:c>
      <x:c r="D2991" s="14" t="n">
        <x:v>1.271</x:v>
      </x:c>
      <x:c r="E2991" s="14" t="n">
        <x:v>1.9315</x:v>
      </x:c>
      <x:c r="F2991" s="14" t="n">
        <x:v>0.6605</x:v>
      </x:c>
      <x:c r="G2991" s="17" t="n">
        <x:v>1</x:v>
      </x:c>
      <x:c r="H2991" s="14" t="str">
        <x:v>S08-09:B:question_first</x:v>
      </x:c>
    </x:row>
    <x:row r="2992" ht="72" customHeight="1">
      <x:c r="A2992" s="14" t="str">
        <x:v>S08-09:B:question_device</x:v>
      </x:c>
      <x:c r="B2992" s="14" t="str">
        <x:v>B</x:v>
      </x:c>
      <x:c r="C2992" s="14" t="str">
        <x:v>question_device</x:v>
      </x:c>
      <x:c r="D2992" s="14" t="n">
        <x:v>1.271</x:v>
      </x:c>
      <x:c r="E2992" s="14" t="n">
        <x:v>1.311</x:v>
      </x:c>
      <x:c r="F2992" s="14" t="n">
        <x:v>0.04</x:v>
      </x:c>
      <x:c r="G2992" s="17" t="n">
        <x:v>1</x:v>
      </x:c>
      <x:c r="H2992" s="14" t="str">
        <x:v>S08-09:B:select_question
S08-09:B:question_first</x:v>
      </x:c>
    </x:row>
    <x:row r="2993" ht="72" customHeight="1">
      <x:c r="A2993" s="14" t="str">
        <x:v>S08-09:B:question_played</x:v>
      </x:c>
      <x:c r="B2993" s="14" t="str">
        <x:v>B</x:v>
      </x:c>
      <x:c r="C2993" s="14" t="str">
        <x:v>question_played</x:v>
      </x:c>
      <x:c r="D2993" s="14" t="n">
        <x:v>1.311</x:v>
      </x:c>
      <x:c r="E2993" s="14" t="n">
        <x:v>4.153</x:v>
      </x:c>
      <x:c r="F2993" s="14" t="n">
        <x:v>2.842</x:v>
      </x:c>
      <x:c r="G2993" s="17" t="n">
        <x:v>0</x:v>
      </x:c>
      <x:c r="H2993" s="14" t="str">
        <x:v>S08-09:B:question_device</x:v>
      </x:c>
    </x:row>
    <x:row r="2994" ht="72" customHeight="1">
      <x:c r="A2994" s="14" t="str">
        <x:v>S08-10:A:origin</x:v>
      </x:c>
      <x:c r="B2994" s="14" t="str">
        <x:v>A</x:v>
      </x:c>
      <x:c r="C2994" s="14" t="str">
        <x:v>origin</x:v>
      </x:c>
      <x:c r="D2994" s="14" t="n">
        <x:v>-6</x:v>
      </x:c>
      <x:c r="E2994" s="14" t="n">
        <x:v>-6</x:v>
      </x:c>
      <x:c r="F2994" s="14" t="n">
        <x:v>0</x:v>
      </x:c>
      <x:c r="G2994" s="17" t="n">
        <x:v>0</x:v>
      </x:c>
      <x:c r="H2994" s="14" t="str"/>
    </x:row>
    <x:row r="2995" ht="72" customHeight="1">
      <x:c r="A2995" s="14" t="str">
        <x:v>S08-10:A:origin_interpretation</x:v>
      </x:c>
      <x:c r="B2995" s="14" t="str">
        <x:v>A</x:v>
      </x:c>
      <x:c r="C2995" s="14" t="str">
        <x:v>origin_interpretation</x:v>
      </x:c>
      <x:c r="D2995" s="14" t="n">
        <x:v>-6</x:v>
      </x:c>
      <x:c r="E2995" s="14" t="n">
        <x:v>-5.16</x:v>
      </x:c>
      <x:c r="F2995" s="14" t="n">
        <x:v>0.84</x:v>
      </x:c>
      <x:c r="G2995" s="17" t="n">
        <x:v>1</x:v>
      </x:c>
      <x:c r="H2995" s="14" t="str">
        <x:v>S08-10:A:origin</x:v>
      </x:c>
    </x:row>
    <x:row r="2996" ht="72" customHeight="1">
      <x:c r="A2996" s="14" t="str">
        <x:v>S08-10:A:original_handoff</x:v>
      </x:c>
      <x:c r="B2996" s="14" t="str">
        <x:v>A</x:v>
      </x:c>
      <x:c r="C2996" s="14" t="str">
        <x:v>original_handoff</x:v>
      </x:c>
      <x:c r="D2996" s="14" t="n">
        <x:v>-5.16</x:v>
      </x:c>
      <x:c r="E2996" s="14" t="n">
        <x:v>-5.04</x:v>
      </x:c>
      <x:c r="F2996" s="14" t="n">
        <x:v>0.12</x:v>
      </x:c>
      <x:c r="G2996" s="17" t="n">
        <x:v>1</x:v>
      </x:c>
      <x:c r="H2996" s="14" t="str">
        <x:v>S08-10:A:origin_interpretation</x:v>
      </x:c>
    </x:row>
    <x:row r="2997" ht="72" customHeight="1">
      <x:c r="A2997" s="14" t="str">
        <x:v>S08-10:A:evaluation_utterance_end</x:v>
      </x:c>
      <x:c r="B2997" s="14" t="str">
        <x:v>A</x:v>
      </x:c>
      <x:c r="C2997" s="14" t="str">
        <x:v>evaluation_utterance_end</x:v>
      </x:c>
      <x:c r="D2997" s="14" t="n">
        <x:v>-6</x:v>
      </x:c>
      <x:c r="E2997" s="14" t="n">
        <x:v>0</x:v>
      </x:c>
      <x:c r="F2997" s="14" t="n">
        <x:v>6</x:v>
      </x:c>
      <x:c r="G2997" s="17" t="n">
        <x:v>0</x:v>
      </x:c>
      <x:c r="H2997" s="14" t="str">
        <x:v>S08-10:A:origin</x:v>
      </x:c>
    </x:row>
    <x:row r="2998" ht="72" customHeight="1">
      <x:c r="A2998" s="14" t="str">
        <x:v>S08-10:A:final_transcript</x:v>
      </x:c>
      <x:c r="B2998" s="14" t="str">
        <x:v>A</x:v>
      </x:c>
      <x:c r="C2998" s="14" t="str">
        <x:v>final_transcript</x:v>
      </x:c>
      <x:c r="D2998" s="14" t="n">
        <x:v>0</x:v>
      </x:c>
      <x:c r="E2998" s="14" t="n">
        <x:v>0.3</x:v>
      </x:c>
      <x:c r="F2998" s="14" t="n">
        <x:v>0.3</x:v>
      </x:c>
      <x:c r="G2998" s="17" t="n">
        <x:v>1</x:v>
      </x:c>
      <x:c r="H2998" s="14" t="str">
        <x:v>S08-10:A:evaluation_utterance_end</x:v>
      </x:c>
    </x:row>
    <x:row r="2999" ht="72" customHeight="1">
      <x:c r="A2999" s="14" t="str">
        <x:v>S08-10:A:meaning_adoption</x:v>
      </x:c>
      <x:c r="B2999" s="14" t="str">
        <x:v>A</x:v>
      </x:c>
      <x:c r="C2999" s="14" t="str">
        <x:v>meaning_adoption</x:v>
      </x:c>
      <x:c r="D2999" s="14" t="n">
        <x:v>0.3</x:v>
      </x:c>
      <x:c r="E2999" s="14" t="n">
        <x:v>0.858333333</x:v>
      </x:c>
      <x:c r="F2999" s="14" t="n">
        <x:v>0.558333333</x:v>
      </x:c>
      <x:c r="G2999" s="17" t="n">
        <x:v>1</x:v>
      </x:c>
      <x:c r="H2999" s="14" t="str">
        <x:v>S08-10:A:final_transcript
S08-10:A:origin_interpretation</x:v>
      </x:c>
    </x:row>
    <x:row r="3000" ht="72" customHeight="1">
      <x:c r="A3000" s="14" t="str">
        <x:v>S08-10:A:apply_relation</x:v>
      </x:c>
      <x:c r="B3000" s="14" t="str">
        <x:v>A</x:v>
      </x:c>
      <x:c r="C3000" s="14" t="str">
        <x:v>apply_relation</x:v>
      </x:c>
      <x:c r="D3000" s="14" t="n">
        <x:v>0.858333333</x:v>
      </x:c>
      <x:c r="E3000" s="14" t="n">
        <x:v>0.898333333</x:v>
      </x:c>
      <x:c r="F3000" s="14" t="n">
        <x:v>0.04</x:v>
      </x:c>
      <x:c r="G3000" s="17" t="n">
        <x:v>1</x:v>
      </x:c>
      <x:c r="H3000" s="14" t="str">
        <x:v>S08-10:A:meaning_adoption</x:v>
      </x:c>
    </x:row>
    <x:row r="3001" ht="72" customHeight="1">
      <x:c r="A3001" s="14" t="str">
        <x:v>S08-10:A:evaluation_first_display</x:v>
      </x:c>
      <x:c r="B3001" s="14" t="str">
        <x:v>A</x:v>
      </x:c>
      <x:c r="C3001" s="14" t="str">
        <x:v>evaluation_first_display</x:v>
      </x:c>
      <x:c r="D3001" s="14" t="n">
        <x:v>0.898333333</x:v>
      </x:c>
      <x:c r="E3001" s="14" t="n">
        <x:v>0.938333333</x:v>
      </x:c>
      <x:c r="F3001" s="14" t="n">
        <x:v>0.04</x:v>
      </x:c>
      <x:c r="G3001" s="17" t="n">
        <x:v>1</x:v>
      </x:c>
      <x:c r="H3001" s="14" t="str">
        <x:v>S08-10:A:apply_relation</x:v>
      </x:c>
    </x:row>
    <x:row r="3002" ht="72" customHeight="1">
      <x:c r="A3002" s="14" t="str">
        <x:v>S08-10:A:source_question</x:v>
      </x:c>
      <x:c r="B3002" s="14" t="str">
        <x:v>A</x:v>
      </x:c>
      <x:c r="C3002" s="14" t="str">
        <x:v>source_question</x:v>
      </x:c>
      <x:c r="D3002" s="14" t="n">
        <x:v>-5.04</x:v>
      </x:c>
      <x:c r="E3002" s="14" t="n">
        <x:v>0.848333333</x:v>
      </x:c>
      <x:c r="F3002" s="14" t="n">
        <x:v>5.888333333</x:v>
      </x:c>
      <x:c r="G3002" s="17" t="n">
        <x:v>0</x:v>
      </x:c>
      <x:c r="H3002" s="14" t="str">
        <x:v>S08-10:A:original_handoff</x:v>
      </x:c>
    </x:row>
    <x:row r="3003" ht="72" customHeight="1">
      <x:c r="A3003" s="14" t="str">
        <x:v>S08-10:A:display_question</x:v>
      </x:c>
      <x:c r="B3003" s="14" t="str">
        <x:v>A</x:v>
      </x:c>
      <x:c r="C3003" s="14" t="str">
        <x:v>display_question</x:v>
      </x:c>
      <x:c r="D3003" s="14" t="n">
        <x:v>0.848333333</x:v>
      </x:c>
      <x:c r="E3003" s="14" t="n">
        <x:v>0.888333333</x:v>
      </x:c>
      <x:c r="F3003" s="14" t="n">
        <x:v>0.04</x:v>
      </x:c>
      <x:c r="G3003" s="17" t="n">
        <x:v>1</x:v>
      </x:c>
      <x:c r="H3003" s="14" t="str">
        <x:v>S08-10:A:source_question</x:v>
      </x:c>
    </x:row>
    <x:row r="3004" ht="72" customHeight="1">
      <x:c r="A3004" s="14" t="str">
        <x:v>S08-10:A:select_question</x:v>
      </x:c>
      <x:c r="B3004" s="14" t="str">
        <x:v>A</x:v>
      </x:c>
      <x:c r="C3004" s="14" t="str">
        <x:v>select_question</x:v>
      </x:c>
      <x:c r="D3004" s="14" t="n">
        <x:v>0.898333333</x:v>
      </x:c>
      <x:c r="E3004" s="14" t="n">
        <x:v>0.898333333</x:v>
      </x:c>
      <x:c r="F3004" s="14" t="n">
        <x:v>0</x:v>
      </x:c>
      <x:c r="G3004" s="17" t="n">
        <x:v>1</x:v>
      </x:c>
      <x:c r="H3004" s="14" t="str">
        <x:v>S08-10:A:apply_relation
S08-10:A:source_question</x:v>
      </x:c>
    </x:row>
    <x:row r="3005" ht="72" customHeight="1">
      <x:c r="A3005" s="14" t="str">
        <x:v>S08-10:A:question_first</x:v>
      </x:c>
      <x:c r="B3005" s="14" t="str">
        <x:v>A</x:v>
      </x:c>
      <x:c r="C3005" s="14" t="str">
        <x:v>question_first</x:v>
      </x:c>
      <x:c r="D3005" s="14" t="n">
        <x:v>0.848333333</x:v>
      </x:c>
      <x:c r="E3005" s="14" t="n">
        <x:v>1.249333333</x:v>
      </x:c>
      <x:c r="F3005" s="14" t="n">
        <x:v>0.401</x:v>
      </x:c>
      <x:c r="G3005" s="17" t="n">
        <x:v>1</x:v>
      </x:c>
      <x:c r="H3005" s="14" t="str">
        <x:v>S08-10:A:source_question</x:v>
      </x:c>
    </x:row>
    <x:row r="3006" ht="72" customHeight="1">
      <x:c r="A3006" s="14" t="str">
        <x:v>S08-10:A:question_tail</x:v>
      </x:c>
      <x:c r="B3006" s="14" t="str">
        <x:v>A</x:v>
      </x:c>
      <x:c r="C3006" s="14" t="str">
        <x:v>question_tail</x:v>
      </x:c>
      <x:c r="D3006" s="14" t="n">
        <x:v>1.249333333</x:v>
      </x:c>
      <x:c r="E3006" s="14" t="n">
        <x:v>1.912833333</x:v>
      </x:c>
      <x:c r="F3006" s="14" t="n">
        <x:v>0.6635</x:v>
      </x:c>
      <x:c r="G3006" s="17" t="n">
        <x:v>1</x:v>
      </x:c>
      <x:c r="H3006" s="14" t="str">
        <x:v>S08-10:A:question_first</x:v>
      </x:c>
    </x:row>
    <x:row r="3007" ht="72" customHeight="1">
      <x:c r="A3007" s="14" t="str">
        <x:v>S08-10:A:question_device</x:v>
      </x:c>
      <x:c r="B3007" s="14" t="str">
        <x:v>A</x:v>
      </x:c>
      <x:c r="C3007" s="14" t="str">
        <x:v>question_device</x:v>
      </x:c>
      <x:c r="D3007" s="14" t="n">
        <x:v>1.249333333</x:v>
      </x:c>
      <x:c r="E3007" s="14" t="n">
        <x:v>1.289333333</x:v>
      </x:c>
      <x:c r="F3007" s="14" t="n">
        <x:v>0.04</x:v>
      </x:c>
      <x:c r="G3007" s="17" t="n">
        <x:v>1</x:v>
      </x:c>
      <x:c r="H3007" s="14" t="str">
        <x:v>S08-10:A:select_question
S08-10:A:question_first</x:v>
      </x:c>
    </x:row>
    <x:row r="3008" ht="72" customHeight="1">
      <x:c r="A3008" s="14" t="str">
        <x:v>S08-10:A:question_played</x:v>
      </x:c>
      <x:c r="B3008" s="14" t="str">
        <x:v>A</x:v>
      </x:c>
      <x:c r="C3008" s="14" t="str">
        <x:v>question_played</x:v>
      </x:c>
      <x:c r="D3008" s="14" t="n">
        <x:v>1.289333333</x:v>
      </x:c>
      <x:c r="E3008" s="14" t="n">
        <x:v>4.143333333</x:v>
      </x:c>
      <x:c r="F3008" s="14" t="n">
        <x:v>2.854</x:v>
      </x:c>
      <x:c r="G3008" s="17" t="n">
        <x:v>0</x:v>
      </x:c>
      <x:c r="H3008" s="14" t="str">
        <x:v>S08-10:A:question_device</x:v>
      </x:c>
    </x:row>
    <x:row r="3009" ht="72" customHeight="1">
      <x:c r="A3009" s="14" t="str">
        <x:v>S08-10:B:origin</x:v>
      </x:c>
      <x:c r="B3009" s="14" t="str">
        <x:v>B</x:v>
      </x:c>
      <x:c r="C3009" s="14" t="str">
        <x:v>origin</x:v>
      </x:c>
      <x:c r="D3009" s="14" t="n">
        <x:v>-6</x:v>
      </x:c>
      <x:c r="E3009" s="14" t="n">
        <x:v>-6</x:v>
      </x:c>
      <x:c r="F3009" s="14" t="n">
        <x:v>0</x:v>
      </x:c>
      <x:c r="G3009" s="17" t="n">
        <x:v>0</x:v>
      </x:c>
      <x:c r="H3009" s="14" t="str"/>
    </x:row>
    <x:row r="3010" ht="72" customHeight="1">
      <x:c r="A3010" s="14" t="str">
        <x:v>S08-10:B:origin_interpretation</x:v>
      </x:c>
      <x:c r="B3010" s="14" t="str">
        <x:v>B</x:v>
      </x:c>
      <x:c r="C3010" s="14" t="str">
        <x:v>origin_interpretation</x:v>
      </x:c>
      <x:c r="D3010" s="14" t="n">
        <x:v>-6</x:v>
      </x:c>
      <x:c r="E3010" s="14" t="n">
        <x:v>-5.16</x:v>
      </x:c>
      <x:c r="F3010" s="14" t="n">
        <x:v>0.84</x:v>
      </x:c>
      <x:c r="G3010" s="17" t="n">
        <x:v>1</x:v>
      </x:c>
      <x:c r="H3010" s="14" t="str">
        <x:v>S08-10:B:origin</x:v>
      </x:c>
    </x:row>
    <x:row r="3011" ht="72" customHeight="1">
      <x:c r="A3011" s="14" t="str">
        <x:v>S08-10:B:original_handoff</x:v>
      </x:c>
      <x:c r="B3011" s="14" t="str">
        <x:v>B</x:v>
      </x:c>
      <x:c r="C3011" s="14" t="str">
        <x:v>original_handoff</x:v>
      </x:c>
      <x:c r="D3011" s="14" t="n">
        <x:v>-5.16</x:v>
      </x:c>
      <x:c r="E3011" s="14" t="n">
        <x:v>-5.04</x:v>
      </x:c>
      <x:c r="F3011" s="14" t="n">
        <x:v>0.12</x:v>
      </x:c>
      <x:c r="G3011" s="17" t="n">
        <x:v>1</x:v>
      </x:c>
      <x:c r="H3011" s="14" t="str">
        <x:v>S08-10:B:origin_interpretation</x:v>
      </x:c>
    </x:row>
    <x:row r="3012" ht="72" customHeight="1">
      <x:c r="A3012" s="14" t="str">
        <x:v>S08-10:B:evaluation_utterance_end</x:v>
      </x:c>
      <x:c r="B3012" s="14" t="str">
        <x:v>B</x:v>
      </x:c>
      <x:c r="C3012" s="14" t="str">
        <x:v>evaluation_utterance_end</x:v>
      </x:c>
      <x:c r="D3012" s="14" t="n">
        <x:v>-6</x:v>
      </x:c>
      <x:c r="E3012" s="14" t="n">
        <x:v>0</x:v>
      </x:c>
      <x:c r="F3012" s="14" t="n">
        <x:v>6</x:v>
      </x:c>
      <x:c r="G3012" s="17" t="n">
        <x:v>0</x:v>
      </x:c>
      <x:c r="H3012" s="14" t="str">
        <x:v>S08-10:B:origin</x:v>
      </x:c>
    </x:row>
    <x:row r="3013" ht="72" customHeight="1">
      <x:c r="A3013" s="14" t="str">
        <x:v>S08-10:B:final_transcript</x:v>
      </x:c>
      <x:c r="B3013" s="14" t="str">
        <x:v>B</x:v>
      </x:c>
      <x:c r="C3013" s="14" t="str">
        <x:v>final_transcript</x:v>
      </x:c>
      <x:c r="D3013" s="14" t="n">
        <x:v>0</x:v>
      </x:c>
      <x:c r="E3013" s="14" t="n">
        <x:v>0.3</x:v>
      </x:c>
      <x:c r="F3013" s="14" t="n">
        <x:v>0.3</x:v>
      </x:c>
      <x:c r="G3013" s="17" t="n">
        <x:v>1</x:v>
      </x:c>
      <x:c r="H3013" s="14" t="str">
        <x:v>S08-10:B:evaluation_utterance_end</x:v>
      </x:c>
    </x:row>
    <x:row r="3014" ht="72" customHeight="1">
      <x:c r="A3014" s="14" t="str">
        <x:v>S08-10:B:meaning_adoption</x:v>
      </x:c>
      <x:c r="B3014" s="14" t="str">
        <x:v>B</x:v>
      </x:c>
      <x:c r="C3014" s="14" t="str">
        <x:v>meaning_adoption</x:v>
      </x:c>
      <x:c r="D3014" s="14" t="n">
        <x:v>0.3</x:v>
      </x:c>
      <x:c r="E3014" s="14" t="n">
        <x:v>0.858333333</x:v>
      </x:c>
      <x:c r="F3014" s="14" t="n">
        <x:v>0.558333333</x:v>
      </x:c>
      <x:c r="G3014" s="17" t="n">
        <x:v>1</x:v>
      </x:c>
      <x:c r="H3014" s="14" t="str">
        <x:v>S08-10:B:final_transcript
S08-10:B:origin_interpretation</x:v>
      </x:c>
    </x:row>
    <x:row r="3015" ht="72" customHeight="1">
      <x:c r="A3015" s="14" t="str">
        <x:v>S08-10:B:apply_relation</x:v>
      </x:c>
      <x:c r="B3015" s="14" t="str">
        <x:v>B</x:v>
      </x:c>
      <x:c r="C3015" s="14" t="str">
        <x:v>apply_relation</x:v>
      </x:c>
      <x:c r="D3015" s="14" t="n">
        <x:v>0.858333333</x:v>
      </x:c>
      <x:c r="E3015" s="14" t="n">
        <x:v>0.898333333</x:v>
      </x:c>
      <x:c r="F3015" s="14" t="n">
        <x:v>0.04</x:v>
      </x:c>
      <x:c r="G3015" s="17" t="n">
        <x:v>1</x:v>
      </x:c>
      <x:c r="H3015" s="14" t="str">
        <x:v>S08-10:B:meaning_adoption</x:v>
      </x:c>
    </x:row>
    <x:row r="3016" ht="72" customHeight="1">
      <x:c r="A3016" s="14" t="str">
        <x:v>S08-10:B:evaluation_first_display</x:v>
      </x:c>
      <x:c r="B3016" s="14" t="str">
        <x:v>B</x:v>
      </x:c>
      <x:c r="C3016" s="14" t="str">
        <x:v>evaluation_first_display</x:v>
      </x:c>
      <x:c r="D3016" s="14" t="n">
        <x:v>0.898333333</x:v>
      </x:c>
      <x:c r="E3016" s="14" t="n">
        <x:v>0.938333333</x:v>
      </x:c>
      <x:c r="F3016" s="14" t="n">
        <x:v>0.04</x:v>
      </x:c>
      <x:c r="G3016" s="17" t="n">
        <x:v>1</x:v>
      </x:c>
      <x:c r="H3016" s="14" t="str">
        <x:v>S08-10:B:apply_relation</x:v>
      </x:c>
    </x:row>
    <x:row r="3017" ht="72" customHeight="1">
      <x:c r="A3017" s="14" t="str">
        <x:v>S08-10:B:source_question</x:v>
      </x:c>
      <x:c r="B3017" s="14" t="str">
        <x:v>B</x:v>
      </x:c>
      <x:c r="C3017" s="14" t="str">
        <x:v>source_question</x:v>
      </x:c>
      <x:c r="D3017" s="14" t="n">
        <x:v>-5.04</x:v>
      </x:c>
      <x:c r="E3017" s="14" t="n">
        <x:v>0.848333333</x:v>
      </x:c>
      <x:c r="F3017" s="14" t="n">
        <x:v>5.888333333</x:v>
      </x:c>
      <x:c r="G3017" s="17" t="n">
        <x:v>0</x:v>
      </x:c>
      <x:c r="H3017" s="14" t="str">
        <x:v>S08-10:B:original_handoff</x:v>
      </x:c>
    </x:row>
    <x:row r="3018" ht="72" customHeight="1">
      <x:c r="A3018" s="14" t="str">
        <x:v>S08-10:B:display_question</x:v>
      </x:c>
      <x:c r="B3018" s="14" t="str">
        <x:v>B</x:v>
      </x:c>
      <x:c r="C3018" s="14" t="str">
        <x:v>display_question</x:v>
      </x:c>
      <x:c r="D3018" s="14" t="n">
        <x:v>0.848333333</x:v>
      </x:c>
      <x:c r="E3018" s="14" t="n">
        <x:v>0.888333333</x:v>
      </x:c>
      <x:c r="F3018" s="14" t="n">
        <x:v>0.04</x:v>
      </x:c>
      <x:c r="G3018" s="17" t="n">
        <x:v>1</x:v>
      </x:c>
      <x:c r="H3018" s="14" t="str">
        <x:v>S08-10:B:source_question</x:v>
      </x:c>
    </x:row>
    <x:row r="3019" ht="72" customHeight="1">
      <x:c r="A3019" s="14" t="str">
        <x:v>S08-10:B:select_question</x:v>
      </x:c>
      <x:c r="B3019" s="14" t="str">
        <x:v>B</x:v>
      </x:c>
      <x:c r="C3019" s="14" t="str">
        <x:v>select_question</x:v>
      </x:c>
      <x:c r="D3019" s="14" t="n">
        <x:v>0.898333333</x:v>
      </x:c>
      <x:c r="E3019" s="14" t="n">
        <x:v>0.898333333</x:v>
      </x:c>
      <x:c r="F3019" s="14" t="n">
        <x:v>0</x:v>
      </x:c>
      <x:c r="G3019" s="17" t="n">
        <x:v>1</x:v>
      </x:c>
      <x:c r="H3019" s="14" t="str">
        <x:v>S08-10:B:apply_relation
S08-10:B:source_question</x:v>
      </x:c>
    </x:row>
    <x:row r="3020" ht="72" customHeight="1">
      <x:c r="A3020" s="14" t="str">
        <x:v>S08-10:B:question_first</x:v>
      </x:c>
      <x:c r="B3020" s="14" t="str">
        <x:v>B</x:v>
      </x:c>
      <x:c r="C3020" s="14" t="str">
        <x:v>question_first</x:v>
      </x:c>
      <x:c r="D3020" s="14" t="n">
        <x:v>0.898333333</x:v>
      </x:c>
      <x:c r="E3020" s="14" t="n">
        <x:v>1.299333333</x:v>
      </x:c>
      <x:c r="F3020" s="14" t="n">
        <x:v>0.401</x:v>
      </x:c>
      <x:c r="G3020" s="17" t="n">
        <x:v>1</x:v>
      </x:c>
      <x:c r="H3020" s="14" t="str">
        <x:v>S08-10:B:select_question</x:v>
      </x:c>
    </x:row>
    <x:row r="3021" ht="72" customHeight="1">
      <x:c r="A3021" s="14" t="str">
        <x:v>S08-10:B:question_tail</x:v>
      </x:c>
      <x:c r="B3021" s="14" t="str">
        <x:v>B</x:v>
      </x:c>
      <x:c r="C3021" s="14" t="str">
        <x:v>question_tail</x:v>
      </x:c>
      <x:c r="D3021" s="14" t="n">
        <x:v>1.299333333</x:v>
      </x:c>
      <x:c r="E3021" s="14" t="n">
        <x:v>1.962833333</x:v>
      </x:c>
      <x:c r="F3021" s="14" t="n">
        <x:v>0.6635</x:v>
      </x:c>
      <x:c r="G3021" s="17" t="n">
        <x:v>1</x:v>
      </x:c>
      <x:c r="H3021" s="14" t="str">
        <x:v>S08-10:B:question_first</x:v>
      </x:c>
    </x:row>
    <x:row r="3022" ht="72" customHeight="1">
      <x:c r="A3022" s="14" t="str">
        <x:v>S08-10:B:question_device</x:v>
      </x:c>
      <x:c r="B3022" s="14" t="str">
        <x:v>B</x:v>
      </x:c>
      <x:c r="C3022" s="14" t="str">
        <x:v>question_device</x:v>
      </x:c>
      <x:c r="D3022" s="14" t="n">
        <x:v>1.299333333</x:v>
      </x:c>
      <x:c r="E3022" s="14" t="n">
        <x:v>1.339333333</x:v>
      </x:c>
      <x:c r="F3022" s="14" t="n">
        <x:v>0.04</x:v>
      </x:c>
      <x:c r="G3022" s="17" t="n">
        <x:v>1</x:v>
      </x:c>
      <x:c r="H3022" s="14" t="str">
        <x:v>S08-10:B:select_question
S08-10:B:question_first</x:v>
      </x:c>
    </x:row>
    <x:row r="3023" ht="72" customHeight="1">
      <x:c r="A3023" s="14" t="str">
        <x:v>S08-10:B:question_played</x:v>
      </x:c>
      <x:c r="B3023" s="14" t="str">
        <x:v>B</x:v>
      </x:c>
      <x:c r="C3023" s="14" t="str">
        <x:v>question_played</x:v>
      </x:c>
      <x:c r="D3023" s="14" t="n">
        <x:v>1.339333333</x:v>
      </x:c>
      <x:c r="E3023" s="14" t="n">
        <x:v>4.193333333</x:v>
      </x:c>
      <x:c r="F3023" s="14" t="n">
        <x:v>2.854</x:v>
      </x:c>
      <x:c r="G3023" s="17" t="n">
        <x:v>0</x:v>
      </x:c>
      <x:c r="H3023" s="14" t="str">
        <x:v>S08-10:B:question_device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d143702e7dc42e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2" customHeight="1">
      <x:c r="A1" s="3" t="str">
        <x:v>준비와 폐기를 포함한 모델 비용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4" t="str">
        <x:v>작성 가정 기반 합성 자료. 원본: synthetic-data.json. 실제 모델 실행 및 제품 시험 아님.</x:v>
      </x:c>
      <x:c r="B2" s="4"/>
      <x:c r="C2" s="4"/>
      <x:c r="D2" s="4"/>
      <x:c r="E2" s="4"/>
      <x:c r="F2" s="4"/>
      <x:c r="G2" s="4"/>
      <x:c r="H2" s="4"/>
      <x:c r="I2" s="4"/>
    </x:row>
    <x:row r="3" ht="34" customHeight="1">
      <x:c r="A3" s="8" t="str">
        <x:v>사례</x:v>
      </x:c>
      <x:c r="B3" s="8" t="str">
        <x:v>안</x:v>
      </x:c>
      <x:c r="C3" s="8" t="str">
        <x:v>역할</x:v>
      </x:c>
      <x:c r="D3" s="8" t="str">
        <x:v>단계</x:v>
      </x:c>
      <x:c r="E3" s="8" t="str">
        <x:v>text 입력</x:v>
      </x:c>
      <x:c r="F3" s="8" t="str">
        <x:v>text 출력</x:v>
      </x:c>
      <x:c r="G3" s="8" t="str">
        <x:v>음성 입력 초</x:v>
      </x:c>
      <x:c r="H3" s="8" t="str">
        <x:v>음성 출력 초</x:v>
      </x:c>
      <x:c r="I3" s="8" t="str">
        <x:v>비용 USD</x:v>
      </x:c>
    </x:row>
    <x:row r="4" ht="24" customHeight="1">
      <x:c r="A4" s="10" t="str">
        <x:v>S01-01</x:v>
      </x:c>
      <x:c r="B4" s="10" t="str">
        <x:v>A</x:v>
      </x:c>
      <x:c r="C4" s="10" t="str">
        <x:v>semantic</x:v>
      </x:c>
      <x:c r="D4" s="10" t="str">
        <x:v>setup</x:v>
      </x:c>
      <x:c r="E4" s="13" t="n">
        <x:v>600</x:v>
      </x:c>
      <x:c r="F4" s="13" t="n">
        <x:v>16</x:v>
      </x:c>
      <x:c r="G4" s="10" t="n">
        <x:v>0</x:v>
      </x:c>
      <x:c r="H4" s="10" t="n">
        <x:v>0</x:v>
      </x:c>
      <x:c r="I4" s="11" t="n">
        <x:f>E4*Rates!$B$4+F4*Rates!$B$5+G4*Rates!$B$6+H4*Rates!$B$7</x:f>
        <x:v>0.000664</x:v>
      </x:c>
    </x:row>
    <x:row r="5" ht="24" customHeight="1">
      <x:c r="A5" s="10" t="str">
        <x:v>S01-01</x:v>
      </x:c>
      <x:c r="B5" s="10" t="str">
        <x:v>A</x:v>
      </x:c>
      <x:c r="C5" s="10" t="str">
        <x:v>speech_input</x:v>
      </x:c>
      <x:c r="D5" s="10" t="str">
        <x:v>setup</x:v>
      </x:c>
      <x:c r="E5" s="13" t="n">
        <x:v>0</x:v>
      </x:c>
      <x:c r="F5" s="13" t="n">
        <x:v>0</x:v>
      </x:c>
      <x:c r="G5" s="10" t="n">
        <x:v>2</x:v>
      </x:c>
      <x:c r="H5" s="10" t="n">
        <x:v>0</x:v>
      </x:c>
      <x:c r="I5" s="11" t="n">
        <x:f>E5*Rates!$B$4+F5*Rates!$B$5+G5*Rates!$B$6+H5*Rates!$B$7</x:f>
        <x:v>0.002</x:v>
      </x:c>
    </x:row>
    <x:row r="6" ht="24" customHeight="1">
      <x:c r="A6" s="10" t="str">
        <x:v>S01-01</x:v>
      </x:c>
      <x:c r="B6" s="10" t="str">
        <x:v>A</x:v>
      </x:c>
      <x:c r="C6" s="10" t="str">
        <x:v>semantic</x:v>
      </x:c>
      <x:c r="D6" s="10" t="str">
        <x:v>evaluation</x:v>
      </x:c>
      <x:c r="E6" s="13" t="n">
        <x:v>620</x:v>
      </x:c>
      <x:c r="F6" s="13" t="n">
        <x:v>18</x:v>
      </x:c>
      <x:c r="G6" s="10" t="n">
        <x:v>0</x:v>
      </x:c>
      <x:c r="H6" s="10" t="n">
        <x:v>0</x:v>
      </x:c>
      <x:c r="I6" s="11" t="n">
        <x:f>E6*Rates!$B$4+F6*Rates!$B$5+G6*Rates!$B$6+H6*Rates!$B$7</x:f>
        <x:v>0.000692</x:v>
      </x:c>
    </x:row>
    <x:row r="7" ht="24" customHeight="1">
      <x:c r="A7" s="10" t="str">
        <x:v>S01-01</x:v>
      </x:c>
      <x:c r="B7" s="10" t="str">
        <x:v>A</x:v>
      </x:c>
      <x:c r="C7" s="10" t="str">
        <x:v>speech_input</x:v>
      </x:c>
      <x:c r="D7" s="10" t="str">
        <x:v>evaluation</x:v>
      </x:c>
      <x:c r="E7" s="13" t="n">
        <x:v>0</x:v>
      </x:c>
      <x:c r="F7" s="13" t="n">
        <x:v>0</x:v>
      </x:c>
      <x:c r="G7" s="10" t="n">
        <x:v>3</x:v>
      </x:c>
      <x:c r="H7" s="10" t="n">
        <x:v>0</x:v>
      </x:c>
      <x:c r="I7" s="11" t="n">
        <x:f>E7*Rates!$B$4+F7*Rates!$B$5+G7*Rates!$B$6+H7*Rates!$B$7</x:f>
        <x:v>0.003</x:v>
      </x:c>
    </x:row>
    <x:row r="8" ht="24" customHeight="1">
      <x:c r="A8" s="10" t="str">
        <x:v>S01-01</x:v>
      </x:c>
      <x:c r="B8" s="10" t="str">
        <x:v>A</x:v>
      </x:c>
      <x:c r="C8" s="10" t="str">
        <x:v>speech_output</x:v>
      </x:c>
      <x:c r="D8" s="10" t="str">
        <x:v>retained</x:v>
      </x:c>
      <x:c r="E8" s="13" t="n">
        <x:v>148</x:v>
      </x:c>
      <x:c r="F8" s="13" t="n">
        <x:v>0</x:v>
      </x:c>
      <x:c r="G8" s="10" t="n">
        <x:v>0</x:v>
      </x:c>
      <x:c r="H8" s="10" t="n">
        <x:v>2.945999999</x:v>
      </x:c>
      <x:c r="I8" s="11" t="n">
        <x:f>E8*Rates!$B$4+F8*Rates!$B$5+G8*Rates!$B$6+H8*Rates!$B$7</x:f>
        <x:v>0.006039999998</x:v>
      </x:c>
    </x:row>
    <x:row r="9" ht="24" customHeight="1">
      <x:c r="A9" s="10" t="str">
        <x:v>S01-01</x:v>
      </x:c>
      <x:c r="B9" s="10" t="str">
        <x:v>B</x:v>
      </x:c>
      <x:c r="C9" s="10" t="str">
        <x:v>semantic</x:v>
      </x:c>
      <x:c r="D9" s="10" t="str">
        <x:v>setup</x:v>
      </x:c>
      <x:c r="E9" s="13" t="n">
        <x:v>600</x:v>
      </x:c>
      <x:c r="F9" s="13" t="n">
        <x:v>16</x:v>
      </x:c>
      <x:c r="G9" s="10" t="n">
        <x:v>0</x:v>
      </x:c>
      <x:c r="H9" s="10" t="n">
        <x:v>0</x:v>
      </x:c>
      <x:c r="I9" s="11" t="n">
        <x:f>E9*Rates!$B$4+F9*Rates!$B$5+G9*Rates!$B$6+H9*Rates!$B$7</x:f>
        <x:v>0.000664</x:v>
      </x:c>
    </x:row>
    <x:row r="10" ht="24" customHeight="1">
      <x:c r="A10" s="10" t="str">
        <x:v>S01-01</x:v>
      </x:c>
      <x:c r="B10" s="10" t="str">
        <x:v>B</x:v>
      </x:c>
      <x:c r="C10" s="10" t="str">
        <x:v>speech_input</x:v>
      </x:c>
      <x:c r="D10" s="10" t="str">
        <x:v>setup</x:v>
      </x:c>
      <x:c r="E10" s="13" t="n">
        <x:v>0</x:v>
      </x:c>
      <x:c r="F10" s="13" t="n">
        <x:v>0</x:v>
      </x:c>
      <x:c r="G10" s="10" t="n">
        <x:v>2</x:v>
      </x:c>
      <x:c r="H10" s="10" t="n">
        <x:v>0</x:v>
      </x:c>
      <x:c r="I10" s="11" t="n">
        <x:f>E10*Rates!$B$4+F10*Rates!$B$5+G10*Rates!$B$6+H10*Rates!$B$7</x:f>
        <x:v>0.002</x:v>
      </x:c>
    </x:row>
    <x:row r="11" ht="24" customHeight="1">
      <x:c r="A11" s="10" t="str">
        <x:v>S01-01</x:v>
      </x:c>
      <x:c r="B11" s="10" t="str">
        <x:v>B</x:v>
      </x:c>
      <x:c r="C11" s="10" t="str">
        <x:v>semantic</x:v>
      </x:c>
      <x:c r="D11" s="10" t="str">
        <x:v>evaluation</x:v>
      </x:c>
      <x:c r="E11" s="13" t="n">
        <x:v>620</x:v>
      </x:c>
      <x:c r="F11" s="13" t="n">
        <x:v>18</x:v>
      </x:c>
      <x:c r="G11" s="10" t="n">
        <x:v>0</x:v>
      </x:c>
      <x:c r="H11" s="10" t="n">
        <x:v>0</x:v>
      </x:c>
      <x:c r="I11" s="11" t="n">
        <x:f>E11*Rates!$B$4+F11*Rates!$B$5+G11*Rates!$B$6+H11*Rates!$B$7</x:f>
        <x:v>0.000692</x:v>
      </x:c>
    </x:row>
    <x:row r="12" ht="24" customHeight="1">
      <x:c r="A12" s="10" t="str">
        <x:v>S01-01</x:v>
      </x:c>
      <x:c r="B12" s="10" t="str">
        <x:v>B</x:v>
      </x:c>
      <x:c r="C12" s="10" t="str">
        <x:v>speech_input</x:v>
      </x:c>
      <x:c r="D12" s="10" t="str">
        <x:v>evaluation</x:v>
      </x:c>
      <x:c r="E12" s="13" t="n">
        <x:v>0</x:v>
      </x:c>
      <x:c r="F12" s="13" t="n">
        <x:v>0</x:v>
      </x:c>
      <x:c r="G12" s="10" t="n">
        <x:v>3</x:v>
      </x:c>
      <x:c r="H12" s="10" t="n">
        <x:v>0</x:v>
      </x:c>
      <x:c r="I12" s="11" t="n">
        <x:f>E12*Rates!$B$4+F12*Rates!$B$5+G12*Rates!$B$6+H12*Rates!$B$7</x:f>
        <x:v>0.003</x:v>
      </x:c>
    </x:row>
    <x:row r="13" ht="24" customHeight="1">
      <x:c r="A13" s="10" t="str">
        <x:v>S01-01</x:v>
      </x:c>
      <x:c r="B13" s="10" t="str">
        <x:v>B</x:v>
      </x:c>
      <x:c r="C13" s="10" t="str">
        <x:v>speech_output</x:v>
      </x:c>
      <x:c r="D13" s="10" t="str">
        <x:v>retained</x:v>
      </x:c>
      <x:c r="E13" s="13" t="n">
        <x:v>148</x:v>
      </x:c>
      <x:c r="F13" s="13" t="n">
        <x:v>0</x:v>
      </x:c>
      <x:c r="G13" s="10" t="n">
        <x:v>0</x:v>
      </x:c>
      <x:c r="H13" s="10" t="n">
        <x:v>2.945999999</x:v>
      </x:c>
      <x:c r="I13" s="11" t="n">
        <x:f>E13*Rates!$B$4+F13*Rates!$B$5+G13*Rates!$B$6+H13*Rates!$B$7</x:f>
        <x:v>0.006039999998</x:v>
      </x:c>
    </x:row>
    <x:row r="14" ht="24" customHeight="1">
      <x:c r="A14" s="10" t="str">
        <x:v>S01-02</x:v>
      </x:c>
      <x:c r="B14" s="10" t="str">
        <x:v>A</x:v>
      </x:c>
      <x:c r="C14" s="10" t="str">
        <x:v>semantic</x:v>
      </x:c>
      <x:c r="D14" s="10" t="str">
        <x:v>setup</x:v>
      </x:c>
      <x:c r="E14" s="13" t="n">
        <x:v>600</x:v>
      </x:c>
      <x:c r="F14" s="13" t="n">
        <x:v>16</x:v>
      </x:c>
      <x:c r="G14" s="10" t="n">
        <x:v>0</x:v>
      </x:c>
      <x:c r="H14" s="10" t="n">
        <x:v>0</x:v>
      </x:c>
      <x:c r="I14" s="11" t="n">
        <x:f>E14*Rates!$B$4+F14*Rates!$B$5+G14*Rates!$B$6+H14*Rates!$B$7</x:f>
        <x:v>0.000664</x:v>
      </x:c>
    </x:row>
    <x:row r="15" ht="24" customHeight="1">
      <x:c r="A15" s="10" t="str">
        <x:v>S01-02</x:v>
      </x:c>
      <x:c r="B15" s="10" t="str">
        <x:v>A</x:v>
      </x:c>
      <x:c r="C15" s="10" t="str">
        <x:v>speech_input</x:v>
      </x:c>
      <x:c r="D15" s="10" t="str">
        <x:v>setup</x:v>
      </x:c>
      <x:c r="E15" s="13" t="n">
        <x:v>0</x:v>
      </x:c>
      <x:c r="F15" s="13" t="n">
        <x:v>0</x:v>
      </x:c>
      <x:c r="G15" s="10" t="n">
        <x:v>2</x:v>
      </x:c>
      <x:c r="H15" s="10" t="n">
        <x:v>0</x:v>
      </x:c>
      <x:c r="I15" s="11" t="n">
        <x:f>E15*Rates!$B$4+F15*Rates!$B$5+G15*Rates!$B$6+H15*Rates!$B$7</x:f>
        <x:v>0.002</x:v>
      </x:c>
    </x:row>
    <x:row r="16" ht="24" customHeight="1">
      <x:c r="A16" s="10" t="str">
        <x:v>S01-02</x:v>
      </x:c>
      <x:c r="B16" s="10" t="str">
        <x:v>A</x:v>
      </x:c>
      <x:c r="C16" s="10" t="str">
        <x:v>semantic</x:v>
      </x:c>
      <x:c r="D16" s="10" t="str">
        <x:v>evaluation</x:v>
      </x:c>
      <x:c r="E16" s="13" t="n">
        <x:v>640</x:v>
      </x:c>
      <x:c r="F16" s="13" t="n">
        <x:v>20</x:v>
      </x:c>
      <x:c r="G16" s="10" t="n">
        <x:v>0</x:v>
      </x:c>
      <x:c r="H16" s="10" t="n">
        <x:v>0</x:v>
      </x:c>
      <x:c r="I16" s="11" t="n">
        <x:f>E16*Rates!$B$4+F16*Rates!$B$5+G16*Rates!$B$6+H16*Rates!$B$7</x:f>
        <x:v>0.0007199999999999999</x:v>
      </x:c>
    </x:row>
    <x:row r="17" ht="24" customHeight="1">
      <x:c r="A17" s="10" t="str">
        <x:v>S01-02</x:v>
      </x:c>
      <x:c r="B17" s="10" t="str">
        <x:v>A</x:v>
      </x:c>
      <x:c r="C17" s="10" t="str">
        <x:v>speech_input</x:v>
      </x:c>
      <x:c r="D17" s="10" t="str">
        <x:v>evaluation</x:v>
      </x:c>
      <x:c r="E17" s="13" t="n">
        <x:v>0</x:v>
      </x:c>
      <x:c r="F17" s="13" t="n">
        <x:v>0</x:v>
      </x:c>
      <x:c r="G17" s="10" t="n">
        <x:v>3</x:v>
      </x:c>
      <x:c r="H17" s="10" t="n">
        <x:v>0</x:v>
      </x:c>
      <x:c r="I17" s="11" t="n">
        <x:f>E17*Rates!$B$4+F17*Rates!$B$5+G17*Rates!$B$6+H17*Rates!$B$7</x:f>
        <x:v>0.003</x:v>
      </x:c>
    </x:row>
    <x:row r="18" ht="24" customHeight="1">
      <x:c r="A18" s="10" t="str">
        <x:v>S01-02</x:v>
      </x:c>
      <x:c r="B18" s="10" t="str">
        <x:v>A</x:v>
      </x:c>
      <x:c r="C18" s="10" t="str">
        <x:v>speech_output</x:v>
      </x:c>
      <x:c r="D18" s="10" t="str">
        <x:v>retained</x:v>
      </x:c>
      <x:c r="E18" s="13" t="n">
        <x:v>148</x:v>
      </x:c>
      <x:c r="F18" s="13" t="n">
        <x:v>0</x:v>
      </x:c>
      <x:c r="G18" s="10" t="n">
        <x:v>0</x:v>
      </x:c>
      <x:c r="H18" s="10" t="n">
        <x:v>2.957999999</x:v>
      </x:c>
      <x:c r="I18" s="11" t="n">
        <x:f>E18*Rates!$B$4+F18*Rates!$B$5+G18*Rates!$B$6+H18*Rates!$B$7</x:f>
        <x:v>0.006063999998</x:v>
      </x:c>
    </x:row>
    <x:row r="19" ht="24" customHeight="1">
      <x:c r="A19" s="10" t="str">
        <x:v>S01-02</x:v>
      </x:c>
      <x:c r="B19" s="10" t="str">
        <x:v>B</x:v>
      </x:c>
      <x:c r="C19" s="10" t="str">
        <x:v>semantic</x:v>
      </x:c>
      <x:c r="D19" s="10" t="str">
        <x:v>setup</x:v>
      </x:c>
      <x:c r="E19" s="13" t="n">
        <x:v>600</x:v>
      </x:c>
      <x:c r="F19" s="13" t="n">
        <x:v>16</x:v>
      </x:c>
      <x:c r="G19" s="10" t="n">
        <x:v>0</x:v>
      </x:c>
      <x:c r="H19" s="10" t="n">
        <x:v>0</x:v>
      </x:c>
      <x:c r="I19" s="11" t="n">
        <x:f>E19*Rates!$B$4+F19*Rates!$B$5+G19*Rates!$B$6+H19*Rates!$B$7</x:f>
        <x:v>0.000664</x:v>
      </x:c>
    </x:row>
    <x:row r="20" ht="24" customHeight="1">
      <x:c r="A20" s="10" t="str">
        <x:v>S01-02</x:v>
      </x:c>
      <x:c r="B20" s="10" t="str">
        <x:v>B</x:v>
      </x:c>
      <x:c r="C20" s="10" t="str">
        <x:v>speech_input</x:v>
      </x:c>
      <x:c r="D20" s="10" t="str">
        <x:v>setup</x:v>
      </x:c>
      <x:c r="E20" s="13" t="n">
        <x:v>0</x:v>
      </x:c>
      <x:c r="F20" s="13" t="n">
        <x:v>0</x:v>
      </x:c>
      <x:c r="G20" s="10" t="n">
        <x:v>2</x:v>
      </x:c>
      <x:c r="H20" s="10" t="n">
        <x:v>0</x:v>
      </x:c>
      <x:c r="I20" s="11" t="n">
        <x:f>E20*Rates!$B$4+F20*Rates!$B$5+G20*Rates!$B$6+H20*Rates!$B$7</x:f>
        <x:v>0.002</x:v>
      </x:c>
    </x:row>
    <x:row r="21" ht="24" customHeight="1">
      <x:c r="A21" s="10" t="str">
        <x:v>S01-02</x:v>
      </x:c>
      <x:c r="B21" s="10" t="str">
        <x:v>B</x:v>
      </x:c>
      <x:c r="C21" s="10" t="str">
        <x:v>semantic</x:v>
      </x:c>
      <x:c r="D21" s="10" t="str">
        <x:v>evaluation</x:v>
      </x:c>
      <x:c r="E21" s="13" t="n">
        <x:v>640</x:v>
      </x:c>
      <x:c r="F21" s="13" t="n">
        <x:v>20</x:v>
      </x:c>
      <x:c r="G21" s="10" t="n">
        <x:v>0</x:v>
      </x:c>
      <x:c r="H21" s="10" t="n">
        <x:v>0</x:v>
      </x:c>
      <x:c r="I21" s="11" t="n">
        <x:f>E21*Rates!$B$4+F21*Rates!$B$5+G21*Rates!$B$6+H21*Rates!$B$7</x:f>
        <x:v>0.0007199999999999999</x:v>
      </x:c>
    </x:row>
    <x:row r="22" ht="24" customHeight="1">
      <x:c r="A22" s="10" t="str">
        <x:v>S01-02</x:v>
      </x:c>
      <x:c r="B22" s="10" t="str">
        <x:v>B</x:v>
      </x:c>
      <x:c r="C22" s="10" t="str">
        <x:v>speech_input</x:v>
      </x:c>
      <x:c r="D22" s="10" t="str">
        <x:v>evaluation</x:v>
      </x:c>
      <x:c r="E22" s="13" t="n">
        <x:v>0</x:v>
      </x:c>
      <x:c r="F22" s="13" t="n">
        <x:v>0</x:v>
      </x:c>
      <x:c r="G22" s="10" t="n">
        <x:v>3</x:v>
      </x:c>
      <x:c r="H22" s="10" t="n">
        <x:v>0</x:v>
      </x:c>
      <x:c r="I22" s="11" t="n">
        <x:f>E22*Rates!$B$4+F22*Rates!$B$5+G22*Rates!$B$6+H22*Rates!$B$7</x:f>
        <x:v>0.003</x:v>
      </x:c>
    </x:row>
    <x:row r="23" ht="24" customHeight="1">
      <x:c r="A23" s="10" t="str">
        <x:v>S01-02</x:v>
      </x:c>
      <x:c r="B23" s="10" t="str">
        <x:v>B</x:v>
      </x:c>
      <x:c r="C23" s="10" t="str">
        <x:v>speech_output</x:v>
      </x:c>
      <x:c r="D23" s="10" t="str">
        <x:v>retained</x:v>
      </x:c>
      <x:c r="E23" s="13" t="n">
        <x:v>148</x:v>
      </x:c>
      <x:c r="F23" s="13" t="n">
        <x:v>0</x:v>
      </x:c>
      <x:c r="G23" s="10" t="n">
        <x:v>0</x:v>
      </x:c>
      <x:c r="H23" s="10" t="n">
        <x:v>2.957999999</x:v>
      </x:c>
      <x:c r="I23" s="11" t="n">
        <x:f>E23*Rates!$B$4+F23*Rates!$B$5+G23*Rates!$B$6+H23*Rates!$B$7</x:f>
        <x:v>0.006063999998</x:v>
      </x:c>
    </x:row>
    <x:row r="24" ht="24" customHeight="1">
      <x:c r="A24" s="10" t="str">
        <x:v>S01-03</x:v>
      </x:c>
      <x:c r="B24" s="10" t="str">
        <x:v>A</x:v>
      </x:c>
      <x:c r="C24" s="10" t="str">
        <x:v>semantic</x:v>
      </x:c>
      <x:c r="D24" s="10" t="str">
        <x:v>setup</x:v>
      </x:c>
      <x:c r="E24" s="13" t="n">
        <x:v>600</x:v>
      </x:c>
      <x:c r="F24" s="13" t="n">
        <x:v>16</x:v>
      </x:c>
      <x:c r="G24" s="10" t="n">
        <x:v>0</x:v>
      </x:c>
      <x:c r="H24" s="10" t="n">
        <x:v>0</x:v>
      </x:c>
      <x:c r="I24" s="11" t="n">
        <x:f>E24*Rates!$B$4+F24*Rates!$B$5+G24*Rates!$B$6+H24*Rates!$B$7</x:f>
        <x:v>0.000664</x:v>
      </x:c>
    </x:row>
    <x:row r="25" ht="24" customHeight="1">
      <x:c r="A25" s="10" t="str">
        <x:v>S01-03</x:v>
      </x:c>
      <x:c r="B25" s="10" t="str">
        <x:v>A</x:v>
      </x:c>
      <x:c r="C25" s="10" t="str">
        <x:v>speech_input</x:v>
      </x:c>
      <x:c r="D25" s="10" t="str">
        <x:v>setup</x:v>
      </x:c>
      <x:c r="E25" s="13" t="n">
        <x:v>0</x:v>
      </x:c>
      <x:c r="F25" s="13" t="n">
        <x:v>0</x:v>
      </x:c>
      <x:c r="G25" s="10" t="n">
        <x:v>2</x:v>
      </x:c>
      <x:c r="H25" s="10" t="n">
        <x:v>0</x:v>
      </x:c>
      <x:c r="I25" s="11" t="n">
        <x:f>E25*Rates!$B$4+F25*Rates!$B$5+G25*Rates!$B$6+H25*Rates!$B$7</x:f>
        <x:v>0.002</x:v>
      </x:c>
    </x:row>
    <x:row r="26" ht="24" customHeight="1">
      <x:c r="A26" s="10" t="str">
        <x:v>S01-03</x:v>
      </x:c>
      <x:c r="B26" s="10" t="str">
        <x:v>A</x:v>
      </x:c>
      <x:c r="C26" s="10" t="str">
        <x:v>semantic</x:v>
      </x:c>
      <x:c r="D26" s="10" t="str">
        <x:v>evaluation</x:v>
      </x:c>
      <x:c r="E26" s="13" t="n">
        <x:v>660</x:v>
      </x:c>
      <x:c r="F26" s="13" t="n">
        <x:v>16</x:v>
      </x:c>
      <x:c r="G26" s="10" t="n">
        <x:v>0</x:v>
      </x:c>
      <x:c r="H26" s="10" t="n">
        <x:v>0</x:v>
      </x:c>
      <x:c r="I26" s="11" t="n">
        <x:f>E26*Rates!$B$4+F26*Rates!$B$5+G26*Rates!$B$6+H26*Rates!$B$7</x:f>
        <x:v>0.000724</x:v>
      </x:c>
    </x:row>
    <x:row r="27" ht="24" customHeight="1">
      <x:c r="A27" s="10" t="str">
        <x:v>S01-03</x:v>
      </x:c>
      <x:c r="B27" s="10" t="str">
        <x:v>A</x:v>
      </x:c>
      <x:c r="C27" s="10" t="str">
        <x:v>speech_input</x:v>
      </x:c>
      <x:c r="D27" s="10" t="str">
        <x:v>evaluation</x:v>
      </x:c>
      <x:c r="E27" s="13" t="n">
        <x:v>0</x:v>
      </x:c>
      <x:c r="F27" s="13" t="n">
        <x:v>0</x:v>
      </x:c>
      <x:c r="G27" s="10" t="n">
        <x:v>3</x:v>
      </x:c>
      <x:c r="H27" s="10" t="n">
        <x:v>0</x:v>
      </x:c>
      <x:c r="I27" s="11" t="n">
        <x:f>E27*Rates!$B$4+F27*Rates!$B$5+G27*Rates!$B$6+H27*Rates!$B$7</x:f>
        <x:v>0.003</x:v>
      </x:c>
    </x:row>
    <x:row r="28" ht="24" customHeight="1">
      <x:c r="A28" s="10" t="str">
        <x:v>S01-03</x:v>
      </x:c>
      <x:c r="B28" s="10" t="str">
        <x:v>A</x:v>
      </x:c>
      <x:c r="C28" s="10" t="str">
        <x:v>speech_output</x:v>
      </x:c>
      <x:c r="D28" s="10" t="str">
        <x:v>retained</x:v>
      </x:c>
      <x:c r="E28" s="13" t="n">
        <x:v>148</x:v>
      </x:c>
      <x:c r="F28" s="13" t="n">
        <x:v>0</x:v>
      </x:c>
      <x:c r="G28" s="10" t="n">
        <x:v>0</x:v>
      </x:c>
      <x:c r="H28" s="10" t="n">
        <x:v>2.969999999</x:v>
      </x:c>
      <x:c r="I28" s="11" t="n">
        <x:f>E28*Rates!$B$4+F28*Rates!$B$5+G28*Rates!$B$6+H28*Rates!$B$7</x:f>
        <x:v>0.006087999998</x:v>
      </x:c>
    </x:row>
    <x:row r="29" ht="24" customHeight="1">
      <x:c r="A29" s="10" t="str">
        <x:v>S01-03</x:v>
      </x:c>
      <x:c r="B29" s="10" t="str">
        <x:v>B</x:v>
      </x:c>
      <x:c r="C29" s="10" t="str">
        <x:v>semantic</x:v>
      </x:c>
      <x:c r="D29" s="10" t="str">
        <x:v>setup</x:v>
      </x:c>
      <x:c r="E29" s="13" t="n">
        <x:v>600</x:v>
      </x:c>
      <x:c r="F29" s="13" t="n">
        <x:v>16</x:v>
      </x:c>
      <x:c r="G29" s="10" t="n">
        <x:v>0</x:v>
      </x:c>
      <x:c r="H29" s="10" t="n">
        <x:v>0</x:v>
      </x:c>
      <x:c r="I29" s="11" t="n">
        <x:f>E29*Rates!$B$4+F29*Rates!$B$5+G29*Rates!$B$6+H29*Rates!$B$7</x:f>
        <x:v>0.000664</x:v>
      </x:c>
    </x:row>
    <x:row r="30" ht="24" customHeight="1">
      <x:c r="A30" s="10" t="str">
        <x:v>S01-03</x:v>
      </x:c>
      <x:c r="B30" s="10" t="str">
        <x:v>B</x:v>
      </x:c>
      <x:c r="C30" s="10" t="str">
        <x:v>speech_input</x:v>
      </x:c>
      <x:c r="D30" s="10" t="str">
        <x:v>setup</x:v>
      </x:c>
      <x:c r="E30" s="13" t="n">
        <x:v>0</x:v>
      </x:c>
      <x:c r="F30" s="13" t="n">
        <x:v>0</x:v>
      </x:c>
      <x:c r="G30" s="10" t="n">
        <x:v>2</x:v>
      </x:c>
      <x:c r="H30" s="10" t="n">
        <x:v>0</x:v>
      </x:c>
      <x:c r="I30" s="11" t="n">
        <x:f>E30*Rates!$B$4+F30*Rates!$B$5+G30*Rates!$B$6+H30*Rates!$B$7</x:f>
        <x:v>0.002</x:v>
      </x:c>
    </x:row>
    <x:row r="31" ht="24" customHeight="1">
      <x:c r="A31" s="10" t="str">
        <x:v>S01-03</x:v>
      </x:c>
      <x:c r="B31" s="10" t="str">
        <x:v>B</x:v>
      </x:c>
      <x:c r="C31" s="10" t="str">
        <x:v>semantic</x:v>
      </x:c>
      <x:c r="D31" s="10" t="str">
        <x:v>evaluation</x:v>
      </x:c>
      <x:c r="E31" s="13" t="n">
        <x:v>660</x:v>
      </x:c>
      <x:c r="F31" s="13" t="n">
        <x:v>16</x:v>
      </x:c>
      <x:c r="G31" s="10" t="n">
        <x:v>0</x:v>
      </x:c>
      <x:c r="H31" s="10" t="n">
        <x:v>0</x:v>
      </x:c>
      <x:c r="I31" s="11" t="n">
        <x:f>E31*Rates!$B$4+F31*Rates!$B$5+G31*Rates!$B$6+H31*Rates!$B$7</x:f>
        <x:v>0.000724</x:v>
      </x:c>
    </x:row>
    <x:row r="32" ht="24" customHeight="1">
      <x:c r="A32" s="10" t="str">
        <x:v>S01-03</x:v>
      </x:c>
      <x:c r="B32" s="10" t="str">
        <x:v>B</x:v>
      </x:c>
      <x:c r="C32" s="10" t="str">
        <x:v>speech_input</x:v>
      </x:c>
      <x:c r="D32" s="10" t="str">
        <x:v>evaluation</x:v>
      </x:c>
      <x:c r="E32" s="13" t="n">
        <x:v>0</x:v>
      </x:c>
      <x:c r="F32" s="13" t="n">
        <x:v>0</x:v>
      </x:c>
      <x:c r="G32" s="10" t="n">
        <x:v>3</x:v>
      </x:c>
      <x:c r="H32" s="10" t="n">
        <x:v>0</x:v>
      </x:c>
      <x:c r="I32" s="11" t="n">
        <x:f>E32*Rates!$B$4+F32*Rates!$B$5+G32*Rates!$B$6+H32*Rates!$B$7</x:f>
        <x:v>0.003</x:v>
      </x:c>
    </x:row>
    <x:row r="33" ht="24" customHeight="1">
      <x:c r="A33" s="10" t="str">
        <x:v>S01-03</x:v>
      </x:c>
      <x:c r="B33" s="10" t="str">
        <x:v>B</x:v>
      </x:c>
      <x:c r="C33" s="10" t="str">
        <x:v>speech_output</x:v>
      </x:c>
      <x:c r="D33" s="10" t="str">
        <x:v>retained</x:v>
      </x:c>
      <x:c r="E33" s="13" t="n">
        <x:v>148</x:v>
      </x:c>
      <x:c r="F33" s="13" t="n">
        <x:v>0</x:v>
      </x:c>
      <x:c r="G33" s="10" t="n">
        <x:v>0</x:v>
      </x:c>
      <x:c r="H33" s="10" t="n">
        <x:v>2.969999999</x:v>
      </x:c>
      <x:c r="I33" s="11" t="n">
        <x:f>E33*Rates!$B$4+F33*Rates!$B$5+G33*Rates!$B$6+H33*Rates!$B$7</x:f>
        <x:v>0.006087999998</x:v>
      </x:c>
    </x:row>
    <x:row r="34" ht="24" customHeight="1">
      <x:c r="A34" s="10" t="str">
        <x:v>S01-04</x:v>
      </x:c>
      <x:c r="B34" s="10" t="str">
        <x:v>A</x:v>
      </x:c>
      <x:c r="C34" s="10" t="str">
        <x:v>semantic</x:v>
      </x:c>
      <x:c r="D34" s="10" t="str">
        <x:v>setup</x:v>
      </x:c>
      <x:c r="E34" s="13" t="n">
        <x:v>600</x:v>
      </x:c>
      <x:c r="F34" s="13" t="n">
        <x:v>16</x:v>
      </x:c>
      <x:c r="G34" s="10" t="n">
        <x:v>0</x:v>
      </x:c>
      <x:c r="H34" s="10" t="n">
        <x:v>0</x:v>
      </x:c>
      <x:c r="I34" s="11" t="n">
        <x:f>E34*Rates!$B$4+F34*Rates!$B$5+G34*Rates!$B$6+H34*Rates!$B$7</x:f>
        <x:v>0.000664</x:v>
      </x:c>
    </x:row>
    <x:row r="35" ht="24" customHeight="1">
      <x:c r="A35" s="10" t="str">
        <x:v>S01-04</x:v>
      </x:c>
      <x:c r="B35" s="10" t="str">
        <x:v>A</x:v>
      </x:c>
      <x:c r="C35" s="10" t="str">
        <x:v>speech_input</x:v>
      </x:c>
      <x:c r="D35" s="10" t="str">
        <x:v>setup</x:v>
      </x:c>
      <x:c r="E35" s="13" t="n">
        <x:v>0</x:v>
      </x:c>
      <x:c r="F35" s="13" t="n">
        <x:v>0</x:v>
      </x:c>
      <x:c r="G35" s="10" t="n">
        <x:v>2</x:v>
      </x:c>
      <x:c r="H35" s="10" t="n">
        <x:v>0</x:v>
      </x:c>
      <x:c r="I35" s="11" t="n">
        <x:f>E35*Rates!$B$4+F35*Rates!$B$5+G35*Rates!$B$6+H35*Rates!$B$7</x:f>
        <x:v>0.002</x:v>
      </x:c>
    </x:row>
    <x:row r="36" ht="24" customHeight="1">
      <x:c r="A36" s="10" t="str">
        <x:v>S01-04</x:v>
      </x:c>
      <x:c r="B36" s="10" t="str">
        <x:v>A</x:v>
      </x:c>
      <x:c r="C36" s="10" t="str">
        <x:v>semantic</x:v>
      </x:c>
      <x:c r="D36" s="10" t="str">
        <x:v>evaluation</x:v>
      </x:c>
      <x:c r="E36" s="13" t="n">
        <x:v>680</x:v>
      </x:c>
      <x:c r="F36" s="13" t="n">
        <x:v>18</x:v>
      </x:c>
      <x:c r="G36" s="10" t="n">
        <x:v>0</x:v>
      </x:c>
      <x:c r="H36" s="10" t="n">
        <x:v>0</x:v>
      </x:c>
      <x:c r="I36" s="11" t="n">
        <x:f>E36*Rates!$B$4+F36*Rates!$B$5+G36*Rates!$B$6+H36*Rates!$B$7</x:f>
        <x:v>0.000752</x:v>
      </x:c>
    </x:row>
    <x:row r="37" ht="24" customHeight="1">
      <x:c r="A37" s="10" t="str">
        <x:v>S01-04</x:v>
      </x:c>
      <x:c r="B37" s="10" t="str">
        <x:v>A</x:v>
      </x:c>
      <x:c r="C37" s="10" t="str">
        <x:v>speech_input</x:v>
      </x:c>
      <x:c r="D37" s="10" t="str">
        <x:v>evaluation</x:v>
      </x:c>
      <x:c r="E37" s="13" t="n">
        <x:v>0</x:v>
      </x:c>
      <x:c r="F37" s="13" t="n">
        <x:v>0</x:v>
      </x:c>
      <x:c r="G37" s="10" t="n">
        <x:v>3</x:v>
      </x:c>
      <x:c r="H37" s="10" t="n">
        <x:v>0</x:v>
      </x:c>
      <x:c r="I37" s="11" t="n">
        <x:f>E37*Rates!$B$4+F37*Rates!$B$5+G37*Rates!$B$6+H37*Rates!$B$7</x:f>
        <x:v>0.003</x:v>
      </x:c>
    </x:row>
    <x:row r="38" ht="24" customHeight="1">
      <x:c r="A38" s="10" t="str">
        <x:v>S01-04</x:v>
      </x:c>
      <x:c r="B38" s="10" t="str">
        <x:v>A</x:v>
      </x:c>
      <x:c r="C38" s="10" t="str">
        <x:v>speech_output</x:v>
      </x:c>
      <x:c r="D38" s="10" t="str">
        <x:v>retained</x:v>
      </x:c>
      <x:c r="E38" s="13" t="n">
        <x:v>148</x:v>
      </x:c>
      <x:c r="F38" s="13" t="n">
        <x:v>0</x:v>
      </x:c>
      <x:c r="G38" s="10" t="n">
        <x:v>0</x:v>
      </x:c>
      <x:c r="H38" s="10" t="n">
        <x:v>2.981999999</x:v>
      </x:c>
      <x:c r="I38" s="11" t="n">
        <x:f>E38*Rates!$B$4+F38*Rates!$B$5+G38*Rates!$B$6+H38*Rates!$B$7</x:f>
        <x:v>0.006111999998</x:v>
      </x:c>
    </x:row>
    <x:row r="39" ht="24" customHeight="1">
      <x:c r="A39" s="10" t="str">
        <x:v>S01-04</x:v>
      </x:c>
      <x:c r="B39" s="10" t="str">
        <x:v>B</x:v>
      </x:c>
      <x:c r="C39" s="10" t="str">
        <x:v>semantic</x:v>
      </x:c>
      <x:c r="D39" s="10" t="str">
        <x:v>setup</x:v>
      </x:c>
      <x:c r="E39" s="13" t="n">
        <x:v>600</x:v>
      </x:c>
      <x:c r="F39" s="13" t="n">
        <x:v>16</x:v>
      </x:c>
      <x:c r="G39" s="10" t="n">
        <x:v>0</x:v>
      </x:c>
      <x:c r="H39" s="10" t="n">
        <x:v>0</x:v>
      </x:c>
      <x:c r="I39" s="11" t="n">
        <x:f>E39*Rates!$B$4+F39*Rates!$B$5+G39*Rates!$B$6+H39*Rates!$B$7</x:f>
        <x:v>0.000664</x:v>
      </x:c>
    </x:row>
    <x:row r="40" ht="24" customHeight="1">
      <x:c r="A40" s="10" t="str">
        <x:v>S01-04</x:v>
      </x:c>
      <x:c r="B40" s="10" t="str">
        <x:v>B</x:v>
      </x:c>
      <x:c r="C40" s="10" t="str">
        <x:v>speech_input</x:v>
      </x:c>
      <x:c r="D40" s="10" t="str">
        <x:v>setup</x:v>
      </x:c>
      <x:c r="E40" s="13" t="n">
        <x:v>0</x:v>
      </x:c>
      <x:c r="F40" s="13" t="n">
        <x:v>0</x:v>
      </x:c>
      <x:c r="G40" s="10" t="n">
        <x:v>2</x:v>
      </x:c>
      <x:c r="H40" s="10" t="n">
        <x:v>0</x:v>
      </x:c>
      <x:c r="I40" s="11" t="n">
        <x:f>E40*Rates!$B$4+F40*Rates!$B$5+G40*Rates!$B$6+H40*Rates!$B$7</x:f>
        <x:v>0.002</x:v>
      </x:c>
    </x:row>
    <x:row r="41" ht="24" customHeight="1">
      <x:c r="A41" s="10" t="str">
        <x:v>S01-04</x:v>
      </x:c>
      <x:c r="B41" s="10" t="str">
        <x:v>B</x:v>
      </x:c>
      <x:c r="C41" s="10" t="str">
        <x:v>semantic</x:v>
      </x:c>
      <x:c r="D41" s="10" t="str">
        <x:v>evaluation</x:v>
      </x:c>
      <x:c r="E41" s="13" t="n">
        <x:v>680</x:v>
      </x:c>
      <x:c r="F41" s="13" t="n">
        <x:v>18</x:v>
      </x:c>
      <x:c r="G41" s="10" t="n">
        <x:v>0</x:v>
      </x:c>
      <x:c r="H41" s="10" t="n">
        <x:v>0</x:v>
      </x:c>
      <x:c r="I41" s="11" t="n">
        <x:f>E41*Rates!$B$4+F41*Rates!$B$5+G41*Rates!$B$6+H41*Rates!$B$7</x:f>
        <x:v>0.000752</x:v>
      </x:c>
    </x:row>
    <x:row r="42" ht="24" customHeight="1">
      <x:c r="A42" s="10" t="str">
        <x:v>S01-04</x:v>
      </x:c>
      <x:c r="B42" s="10" t="str">
        <x:v>B</x:v>
      </x:c>
      <x:c r="C42" s="10" t="str">
        <x:v>speech_input</x:v>
      </x:c>
      <x:c r="D42" s="10" t="str">
        <x:v>evaluation</x:v>
      </x:c>
      <x:c r="E42" s="13" t="n">
        <x:v>0</x:v>
      </x:c>
      <x:c r="F42" s="13" t="n">
        <x:v>0</x:v>
      </x:c>
      <x:c r="G42" s="10" t="n">
        <x:v>3</x:v>
      </x:c>
      <x:c r="H42" s="10" t="n">
        <x:v>0</x:v>
      </x:c>
      <x:c r="I42" s="11" t="n">
        <x:f>E42*Rates!$B$4+F42*Rates!$B$5+G42*Rates!$B$6+H42*Rates!$B$7</x:f>
        <x:v>0.003</x:v>
      </x:c>
    </x:row>
    <x:row r="43" ht="24" customHeight="1">
      <x:c r="A43" s="10" t="str">
        <x:v>S01-04</x:v>
      </x:c>
      <x:c r="B43" s="10" t="str">
        <x:v>B</x:v>
      </x:c>
      <x:c r="C43" s="10" t="str">
        <x:v>speech_output</x:v>
      </x:c>
      <x:c r="D43" s="10" t="str">
        <x:v>retained</x:v>
      </x:c>
      <x:c r="E43" s="13" t="n">
        <x:v>148</x:v>
      </x:c>
      <x:c r="F43" s="13" t="n">
        <x:v>0</x:v>
      </x:c>
      <x:c r="G43" s="10" t="n">
        <x:v>0</x:v>
      </x:c>
      <x:c r="H43" s="10" t="n">
        <x:v>2.981999999</x:v>
      </x:c>
      <x:c r="I43" s="11" t="n">
        <x:f>E43*Rates!$B$4+F43*Rates!$B$5+G43*Rates!$B$6+H43*Rates!$B$7</x:f>
        <x:v>0.006111999998</x:v>
      </x:c>
    </x:row>
    <x:row r="44" ht="24" customHeight="1">
      <x:c r="A44" s="10" t="str">
        <x:v>S01-05</x:v>
      </x:c>
      <x:c r="B44" s="10" t="str">
        <x:v>A</x:v>
      </x:c>
      <x:c r="C44" s="10" t="str">
        <x:v>semantic</x:v>
      </x:c>
      <x:c r="D44" s="10" t="str">
        <x:v>setup</x:v>
      </x:c>
      <x:c r="E44" s="13" t="n">
        <x:v>600</x:v>
      </x:c>
      <x:c r="F44" s="13" t="n">
        <x:v>16</x:v>
      </x:c>
      <x:c r="G44" s="10" t="n">
        <x:v>0</x:v>
      </x:c>
      <x:c r="H44" s="10" t="n">
        <x:v>0</x:v>
      </x:c>
      <x:c r="I44" s="11" t="n">
        <x:f>E44*Rates!$B$4+F44*Rates!$B$5+G44*Rates!$B$6+H44*Rates!$B$7</x:f>
        <x:v>0.000664</x:v>
      </x:c>
    </x:row>
    <x:row r="45" ht="24" customHeight="1">
      <x:c r="A45" s="10" t="str">
        <x:v>S01-05</x:v>
      </x:c>
      <x:c r="B45" s="10" t="str">
        <x:v>A</x:v>
      </x:c>
      <x:c r="C45" s="10" t="str">
        <x:v>speech_input</x:v>
      </x:c>
      <x:c r="D45" s="10" t="str">
        <x:v>setup</x:v>
      </x:c>
      <x:c r="E45" s="13" t="n">
        <x:v>0</x:v>
      </x:c>
      <x:c r="F45" s="13" t="n">
        <x:v>0</x:v>
      </x:c>
      <x:c r="G45" s="10" t="n">
        <x:v>2</x:v>
      </x:c>
      <x:c r="H45" s="10" t="n">
        <x:v>0</x:v>
      </x:c>
      <x:c r="I45" s="11" t="n">
        <x:f>E45*Rates!$B$4+F45*Rates!$B$5+G45*Rates!$B$6+H45*Rates!$B$7</x:f>
        <x:v>0.002</x:v>
      </x:c>
    </x:row>
    <x:row r="46" ht="24" customHeight="1">
      <x:c r="A46" s="10" t="str">
        <x:v>S01-05</x:v>
      </x:c>
      <x:c r="B46" s="10" t="str">
        <x:v>A</x:v>
      </x:c>
      <x:c r="C46" s="10" t="str">
        <x:v>semantic</x:v>
      </x:c>
      <x:c r="D46" s="10" t="str">
        <x:v>evaluation</x:v>
      </x:c>
      <x:c r="E46" s="13" t="n">
        <x:v>700</x:v>
      </x:c>
      <x:c r="F46" s="13" t="n">
        <x:v>20</x:v>
      </x:c>
      <x:c r="G46" s="10" t="n">
        <x:v>0</x:v>
      </x:c>
      <x:c r="H46" s="10" t="n">
        <x:v>0</x:v>
      </x:c>
      <x:c r="I46" s="11" t="n">
        <x:f>E46*Rates!$B$4+F46*Rates!$B$5+G46*Rates!$B$6+H46*Rates!$B$7</x:f>
        <x:v>0.00078</x:v>
      </x:c>
    </x:row>
    <x:row r="47" ht="24" customHeight="1">
      <x:c r="A47" s="10" t="str">
        <x:v>S01-05</x:v>
      </x:c>
      <x:c r="B47" s="10" t="str">
        <x:v>A</x:v>
      </x:c>
      <x:c r="C47" s="10" t="str">
        <x:v>speech_input</x:v>
      </x:c>
      <x:c r="D47" s="10" t="str">
        <x:v>evaluation</x:v>
      </x:c>
      <x:c r="E47" s="13" t="n">
        <x:v>0</x:v>
      </x:c>
      <x:c r="F47" s="13" t="n">
        <x:v>0</x:v>
      </x:c>
      <x:c r="G47" s="10" t="n">
        <x:v>3</x:v>
      </x:c>
      <x:c r="H47" s="10" t="n">
        <x:v>0</x:v>
      </x:c>
      <x:c r="I47" s="11" t="n">
        <x:f>E47*Rates!$B$4+F47*Rates!$B$5+G47*Rates!$B$6+H47*Rates!$B$7</x:f>
        <x:v>0.003</x:v>
      </x:c>
    </x:row>
    <x:row r="48" ht="24" customHeight="1">
      <x:c r="A48" s="10" t="str">
        <x:v>S01-05</x:v>
      </x:c>
      <x:c r="B48" s="10" t="str">
        <x:v>A</x:v>
      </x:c>
      <x:c r="C48" s="10" t="str">
        <x:v>speech_output</x:v>
      </x:c>
      <x:c r="D48" s="10" t="str">
        <x:v>retained</x:v>
      </x:c>
      <x:c r="E48" s="13" t="n">
        <x:v>148</x:v>
      </x:c>
      <x:c r="F48" s="13" t="n">
        <x:v>0</x:v>
      </x:c>
      <x:c r="G48" s="10" t="n">
        <x:v>0</x:v>
      </x:c>
      <x:c r="H48" s="10" t="n">
        <x:v>2.993999999</x:v>
      </x:c>
      <x:c r="I48" s="11" t="n">
        <x:f>E48*Rates!$B$4+F48*Rates!$B$5+G48*Rates!$B$6+H48*Rates!$B$7</x:f>
        <x:v>0.006135999998</x:v>
      </x:c>
    </x:row>
    <x:row r="49" ht="24" customHeight="1">
      <x:c r="A49" s="10" t="str">
        <x:v>S01-05</x:v>
      </x:c>
      <x:c r="B49" s="10" t="str">
        <x:v>B</x:v>
      </x:c>
      <x:c r="C49" s="10" t="str">
        <x:v>semantic</x:v>
      </x:c>
      <x:c r="D49" s="10" t="str">
        <x:v>setup</x:v>
      </x:c>
      <x:c r="E49" s="13" t="n">
        <x:v>600</x:v>
      </x:c>
      <x:c r="F49" s="13" t="n">
        <x:v>16</x:v>
      </x:c>
      <x:c r="G49" s="10" t="n">
        <x:v>0</x:v>
      </x:c>
      <x:c r="H49" s="10" t="n">
        <x:v>0</x:v>
      </x:c>
      <x:c r="I49" s="11" t="n">
        <x:f>E49*Rates!$B$4+F49*Rates!$B$5+G49*Rates!$B$6+H49*Rates!$B$7</x:f>
        <x:v>0.000664</x:v>
      </x:c>
    </x:row>
    <x:row r="50" ht="24" customHeight="1">
      <x:c r="A50" s="10" t="str">
        <x:v>S01-05</x:v>
      </x:c>
      <x:c r="B50" s="10" t="str">
        <x:v>B</x:v>
      </x:c>
      <x:c r="C50" s="10" t="str">
        <x:v>speech_input</x:v>
      </x:c>
      <x:c r="D50" s="10" t="str">
        <x:v>setup</x:v>
      </x:c>
      <x:c r="E50" s="13" t="n">
        <x:v>0</x:v>
      </x:c>
      <x:c r="F50" s="13" t="n">
        <x:v>0</x:v>
      </x:c>
      <x:c r="G50" s="10" t="n">
        <x:v>2</x:v>
      </x:c>
      <x:c r="H50" s="10" t="n">
        <x:v>0</x:v>
      </x:c>
      <x:c r="I50" s="11" t="n">
        <x:f>E50*Rates!$B$4+F50*Rates!$B$5+G50*Rates!$B$6+H50*Rates!$B$7</x:f>
        <x:v>0.002</x:v>
      </x:c>
    </x:row>
    <x:row r="51" ht="24" customHeight="1">
      <x:c r="A51" s="10" t="str">
        <x:v>S01-05</x:v>
      </x:c>
      <x:c r="B51" s="10" t="str">
        <x:v>B</x:v>
      </x:c>
      <x:c r="C51" s="10" t="str">
        <x:v>semantic</x:v>
      </x:c>
      <x:c r="D51" s="10" t="str">
        <x:v>evaluation</x:v>
      </x:c>
      <x:c r="E51" s="13" t="n">
        <x:v>700</x:v>
      </x:c>
      <x:c r="F51" s="13" t="n">
        <x:v>20</x:v>
      </x:c>
      <x:c r="G51" s="10" t="n">
        <x:v>0</x:v>
      </x:c>
      <x:c r="H51" s="10" t="n">
        <x:v>0</x:v>
      </x:c>
      <x:c r="I51" s="11" t="n">
        <x:f>E51*Rates!$B$4+F51*Rates!$B$5+G51*Rates!$B$6+H51*Rates!$B$7</x:f>
        <x:v>0.00078</x:v>
      </x:c>
    </x:row>
    <x:row r="52" ht="24" customHeight="1">
      <x:c r="A52" s="10" t="str">
        <x:v>S01-05</x:v>
      </x:c>
      <x:c r="B52" s="10" t="str">
        <x:v>B</x:v>
      </x:c>
      <x:c r="C52" s="10" t="str">
        <x:v>speech_input</x:v>
      </x:c>
      <x:c r="D52" s="10" t="str">
        <x:v>evaluation</x:v>
      </x:c>
      <x:c r="E52" s="13" t="n">
        <x:v>0</x:v>
      </x:c>
      <x:c r="F52" s="13" t="n">
        <x:v>0</x:v>
      </x:c>
      <x:c r="G52" s="10" t="n">
        <x:v>3</x:v>
      </x:c>
      <x:c r="H52" s="10" t="n">
        <x:v>0</x:v>
      </x:c>
      <x:c r="I52" s="11" t="n">
        <x:f>E52*Rates!$B$4+F52*Rates!$B$5+G52*Rates!$B$6+H52*Rates!$B$7</x:f>
        <x:v>0.003</x:v>
      </x:c>
    </x:row>
    <x:row r="53" ht="24" customHeight="1">
      <x:c r="A53" s="10" t="str">
        <x:v>S01-05</x:v>
      </x:c>
      <x:c r="B53" s="10" t="str">
        <x:v>B</x:v>
      </x:c>
      <x:c r="C53" s="10" t="str">
        <x:v>speech_output</x:v>
      </x:c>
      <x:c r="D53" s="10" t="str">
        <x:v>retained</x:v>
      </x:c>
      <x:c r="E53" s="13" t="n">
        <x:v>148</x:v>
      </x:c>
      <x:c r="F53" s="13" t="n">
        <x:v>0</x:v>
      </x:c>
      <x:c r="G53" s="10" t="n">
        <x:v>0</x:v>
      </x:c>
      <x:c r="H53" s="10" t="n">
        <x:v>2.993999999</x:v>
      </x:c>
      <x:c r="I53" s="11" t="n">
        <x:f>E53*Rates!$B$4+F53*Rates!$B$5+G53*Rates!$B$6+H53*Rates!$B$7</x:f>
        <x:v>0.006135999998</x:v>
      </x:c>
    </x:row>
    <x:row r="54" ht="24" customHeight="1">
      <x:c r="A54" s="10" t="str">
        <x:v>S01-06</x:v>
      </x:c>
      <x:c r="B54" s="10" t="str">
        <x:v>A</x:v>
      </x:c>
      <x:c r="C54" s="10" t="str">
        <x:v>semantic</x:v>
      </x:c>
      <x:c r="D54" s="10" t="str">
        <x:v>setup</x:v>
      </x:c>
      <x:c r="E54" s="13" t="n">
        <x:v>600</x:v>
      </x:c>
      <x:c r="F54" s="13" t="n">
        <x:v>16</x:v>
      </x:c>
      <x:c r="G54" s="10" t="n">
        <x:v>0</x:v>
      </x:c>
      <x:c r="H54" s="10" t="n">
        <x:v>0</x:v>
      </x:c>
      <x:c r="I54" s="11" t="n">
        <x:f>E54*Rates!$B$4+F54*Rates!$B$5+G54*Rates!$B$6+H54*Rates!$B$7</x:f>
        <x:v>0.000664</x:v>
      </x:c>
    </x:row>
    <x:row r="55" ht="24" customHeight="1">
      <x:c r="A55" s="10" t="str">
        <x:v>S01-06</x:v>
      </x:c>
      <x:c r="B55" s="10" t="str">
        <x:v>A</x:v>
      </x:c>
      <x:c r="C55" s="10" t="str">
        <x:v>speech_input</x:v>
      </x:c>
      <x:c r="D55" s="10" t="str">
        <x:v>setup</x:v>
      </x:c>
      <x:c r="E55" s="13" t="n">
        <x:v>0</x:v>
      </x:c>
      <x:c r="F55" s="13" t="n">
        <x:v>0</x:v>
      </x:c>
      <x:c r="G55" s="10" t="n">
        <x:v>2</x:v>
      </x:c>
      <x:c r="H55" s="10" t="n">
        <x:v>0</x:v>
      </x:c>
      <x:c r="I55" s="11" t="n">
        <x:f>E55*Rates!$B$4+F55*Rates!$B$5+G55*Rates!$B$6+H55*Rates!$B$7</x:f>
        <x:v>0.002</x:v>
      </x:c>
    </x:row>
    <x:row r="56" ht="24" customHeight="1">
      <x:c r="A56" s="10" t="str">
        <x:v>S01-06</x:v>
      </x:c>
      <x:c r="B56" s="10" t="str">
        <x:v>A</x:v>
      </x:c>
      <x:c r="C56" s="10" t="str">
        <x:v>semantic</x:v>
      </x:c>
      <x:c r="D56" s="10" t="str">
        <x:v>evaluation</x:v>
      </x:c>
      <x:c r="E56" s="13" t="n">
        <x:v>720</x:v>
      </x:c>
      <x:c r="F56" s="13" t="n">
        <x:v>16</x:v>
      </x:c>
      <x:c r="G56" s="10" t="n">
        <x:v>0</x:v>
      </x:c>
      <x:c r="H56" s="10" t="n">
        <x:v>0</x:v>
      </x:c>
      <x:c r="I56" s="11" t="n">
        <x:f>E56*Rates!$B$4+F56*Rates!$B$5+G56*Rates!$B$6+H56*Rates!$B$7</x:f>
        <x:v>0.000784</x:v>
      </x:c>
    </x:row>
    <x:row r="57" ht="24" customHeight="1">
      <x:c r="A57" s="10" t="str">
        <x:v>S01-06</x:v>
      </x:c>
      <x:c r="B57" s="10" t="str">
        <x:v>A</x:v>
      </x:c>
      <x:c r="C57" s="10" t="str">
        <x:v>speech_input</x:v>
      </x:c>
      <x:c r="D57" s="10" t="str">
        <x:v>evaluation</x:v>
      </x:c>
      <x:c r="E57" s="13" t="n">
        <x:v>0</x:v>
      </x:c>
      <x:c r="F57" s="13" t="n">
        <x:v>0</x:v>
      </x:c>
      <x:c r="G57" s="10" t="n">
        <x:v>3</x:v>
      </x:c>
      <x:c r="H57" s="10" t="n">
        <x:v>0</x:v>
      </x:c>
      <x:c r="I57" s="11" t="n">
        <x:f>E57*Rates!$B$4+F57*Rates!$B$5+G57*Rates!$B$6+H57*Rates!$B$7</x:f>
        <x:v>0.003</x:v>
      </x:c>
    </x:row>
    <x:row r="58" ht="24" customHeight="1">
      <x:c r="A58" s="10" t="str">
        <x:v>S01-06</x:v>
      </x:c>
      <x:c r="B58" s="10" t="str">
        <x:v>A</x:v>
      </x:c>
      <x:c r="C58" s="10" t="str">
        <x:v>speech_output</x:v>
      </x:c>
      <x:c r="D58" s="10" t="str">
        <x:v>retained</x:v>
      </x:c>
      <x:c r="E58" s="13" t="n">
        <x:v>148</x:v>
      </x:c>
      <x:c r="F58" s="13" t="n">
        <x:v>0</x:v>
      </x:c>
      <x:c r="G58" s="10" t="n">
        <x:v>0</x:v>
      </x:c>
      <x:c r="H58" s="10" t="n">
        <x:v>3.005999999</x:v>
      </x:c>
      <x:c r="I58" s="11" t="n">
        <x:f>E58*Rates!$B$4+F58*Rates!$B$5+G58*Rates!$B$6+H58*Rates!$B$7</x:f>
        <x:v>0.006159999998</x:v>
      </x:c>
    </x:row>
    <x:row r="59" ht="24" customHeight="1">
      <x:c r="A59" s="10" t="str">
        <x:v>S01-06</x:v>
      </x:c>
      <x:c r="B59" s="10" t="str">
        <x:v>B</x:v>
      </x:c>
      <x:c r="C59" s="10" t="str">
        <x:v>semantic</x:v>
      </x:c>
      <x:c r="D59" s="10" t="str">
        <x:v>setup</x:v>
      </x:c>
      <x:c r="E59" s="13" t="n">
        <x:v>600</x:v>
      </x:c>
      <x:c r="F59" s="13" t="n">
        <x:v>16</x:v>
      </x:c>
      <x:c r="G59" s="10" t="n">
        <x:v>0</x:v>
      </x:c>
      <x:c r="H59" s="10" t="n">
        <x:v>0</x:v>
      </x:c>
      <x:c r="I59" s="11" t="n">
        <x:f>E59*Rates!$B$4+F59*Rates!$B$5+G59*Rates!$B$6+H59*Rates!$B$7</x:f>
        <x:v>0.000664</x:v>
      </x:c>
    </x:row>
    <x:row r="60" ht="24" customHeight="1">
      <x:c r="A60" s="10" t="str">
        <x:v>S01-06</x:v>
      </x:c>
      <x:c r="B60" s="10" t="str">
        <x:v>B</x:v>
      </x:c>
      <x:c r="C60" s="10" t="str">
        <x:v>speech_input</x:v>
      </x:c>
      <x:c r="D60" s="10" t="str">
        <x:v>setup</x:v>
      </x:c>
      <x:c r="E60" s="13" t="n">
        <x:v>0</x:v>
      </x:c>
      <x:c r="F60" s="13" t="n">
        <x:v>0</x:v>
      </x:c>
      <x:c r="G60" s="10" t="n">
        <x:v>2</x:v>
      </x:c>
      <x:c r="H60" s="10" t="n">
        <x:v>0</x:v>
      </x:c>
      <x:c r="I60" s="11" t="n">
        <x:f>E60*Rates!$B$4+F60*Rates!$B$5+G60*Rates!$B$6+H60*Rates!$B$7</x:f>
        <x:v>0.002</x:v>
      </x:c>
    </x:row>
    <x:row r="61" ht="24" customHeight="1">
      <x:c r="A61" s="10" t="str">
        <x:v>S01-06</x:v>
      </x:c>
      <x:c r="B61" s="10" t="str">
        <x:v>B</x:v>
      </x:c>
      <x:c r="C61" s="10" t="str">
        <x:v>semantic</x:v>
      </x:c>
      <x:c r="D61" s="10" t="str">
        <x:v>evaluation</x:v>
      </x:c>
      <x:c r="E61" s="13" t="n">
        <x:v>720</x:v>
      </x:c>
      <x:c r="F61" s="13" t="n">
        <x:v>16</x:v>
      </x:c>
      <x:c r="G61" s="10" t="n">
        <x:v>0</x:v>
      </x:c>
      <x:c r="H61" s="10" t="n">
        <x:v>0</x:v>
      </x:c>
      <x:c r="I61" s="11" t="n">
        <x:f>E61*Rates!$B$4+F61*Rates!$B$5+G61*Rates!$B$6+H61*Rates!$B$7</x:f>
        <x:v>0.000784</x:v>
      </x:c>
    </x:row>
    <x:row r="62" ht="24" customHeight="1">
      <x:c r="A62" s="10" t="str">
        <x:v>S01-06</x:v>
      </x:c>
      <x:c r="B62" s="10" t="str">
        <x:v>B</x:v>
      </x:c>
      <x:c r="C62" s="10" t="str">
        <x:v>speech_input</x:v>
      </x:c>
      <x:c r="D62" s="10" t="str">
        <x:v>evaluation</x:v>
      </x:c>
      <x:c r="E62" s="13" t="n">
        <x:v>0</x:v>
      </x:c>
      <x:c r="F62" s="13" t="n">
        <x:v>0</x:v>
      </x:c>
      <x:c r="G62" s="10" t="n">
        <x:v>3</x:v>
      </x:c>
      <x:c r="H62" s="10" t="n">
        <x:v>0</x:v>
      </x:c>
      <x:c r="I62" s="11" t="n">
        <x:f>E62*Rates!$B$4+F62*Rates!$B$5+G62*Rates!$B$6+H62*Rates!$B$7</x:f>
        <x:v>0.003</x:v>
      </x:c>
    </x:row>
    <x:row r="63" ht="24" customHeight="1">
      <x:c r="A63" s="10" t="str">
        <x:v>S01-06</x:v>
      </x:c>
      <x:c r="B63" s="10" t="str">
        <x:v>B</x:v>
      </x:c>
      <x:c r="C63" s="10" t="str">
        <x:v>speech_output</x:v>
      </x:c>
      <x:c r="D63" s="10" t="str">
        <x:v>retained</x:v>
      </x:c>
      <x:c r="E63" s="13" t="n">
        <x:v>148</x:v>
      </x:c>
      <x:c r="F63" s="13" t="n">
        <x:v>0</x:v>
      </x:c>
      <x:c r="G63" s="10" t="n">
        <x:v>0</x:v>
      </x:c>
      <x:c r="H63" s="10" t="n">
        <x:v>3.005999999</x:v>
      </x:c>
      <x:c r="I63" s="11" t="n">
        <x:f>E63*Rates!$B$4+F63*Rates!$B$5+G63*Rates!$B$6+H63*Rates!$B$7</x:f>
        <x:v>0.006159999998</x:v>
      </x:c>
    </x:row>
    <x:row r="64" ht="24" customHeight="1">
      <x:c r="A64" s="10" t="str">
        <x:v>S01-07</x:v>
      </x:c>
      <x:c r="B64" s="10" t="str">
        <x:v>A</x:v>
      </x:c>
      <x:c r="C64" s="10" t="str">
        <x:v>semantic</x:v>
      </x:c>
      <x:c r="D64" s="10" t="str">
        <x:v>setup</x:v>
      </x:c>
      <x:c r="E64" s="13" t="n">
        <x:v>600</x:v>
      </x:c>
      <x:c r="F64" s="13" t="n">
        <x:v>16</x:v>
      </x:c>
      <x:c r="G64" s="10" t="n">
        <x:v>0</x:v>
      </x:c>
      <x:c r="H64" s="10" t="n">
        <x:v>0</x:v>
      </x:c>
      <x:c r="I64" s="11" t="n">
        <x:f>E64*Rates!$B$4+F64*Rates!$B$5+G64*Rates!$B$6+H64*Rates!$B$7</x:f>
        <x:v>0.000664</x:v>
      </x:c>
    </x:row>
    <x:row r="65" ht="24" customHeight="1">
      <x:c r="A65" s="10" t="str">
        <x:v>S01-07</x:v>
      </x:c>
      <x:c r="B65" s="10" t="str">
        <x:v>A</x:v>
      </x:c>
      <x:c r="C65" s="10" t="str">
        <x:v>speech_input</x:v>
      </x:c>
      <x:c r="D65" s="10" t="str">
        <x:v>setup</x:v>
      </x:c>
      <x:c r="E65" s="13" t="n">
        <x:v>0</x:v>
      </x:c>
      <x:c r="F65" s="13" t="n">
        <x:v>0</x:v>
      </x:c>
      <x:c r="G65" s="10" t="n">
        <x:v>2</x:v>
      </x:c>
      <x:c r="H65" s="10" t="n">
        <x:v>0</x:v>
      </x:c>
      <x:c r="I65" s="11" t="n">
        <x:f>E65*Rates!$B$4+F65*Rates!$B$5+G65*Rates!$B$6+H65*Rates!$B$7</x:f>
        <x:v>0.002</x:v>
      </x:c>
    </x:row>
    <x:row r="66" ht="24" customHeight="1">
      <x:c r="A66" s="10" t="str">
        <x:v>S01-07</x:v>
      </x:c>
      <x:c r="B66" s="10" t="str">
        <x:v>A</x:v>
      </x:c>
      <x:c r="C66" s="10" t="str">
        <x:v>semantic</x:v>
      </x:c>
      <x:c r="D66" s="10" t="str">
        <x:v>evaluation</x:v>
      </x:c>
      <x:c r="E66" s="13" t="n">
        <x:v>740</x:v>
      </x:c>
      <x:c r="F66" s="13" t="n">
        <x:v>18</x:v>
      </x:c>
      <x:c r="G66" s="10" t="n">
        <x:v>0</x:v>
      </x:c>
      <x:c r="H66" s="10" t="n">
        <x:v>0</x:v>
      </x:c>
      <x:c r="I66" s="11" t="n">
        <x:f>E66*Rates!$B$4+F66*Rates!$B$5+G66*Rates!$B$6+H66*Rates!$B$7</x:f>
        <x:v>0.000812</x:v>
      </x:c>
    </x:row>
    <x:row r="67" ht="24" customHeight="1">
      <x:c r="A67" s="10" t="str">
        <x:v>S01-07</x:v>
      </x:c>
      <x:c r="B67" s="10" t="str">
        <x:v>A</x:v>
      </x:c>
      <x:c r="C67" s="10" t="str">
        <x:v>speech_input</x:v>
      </x:c>
      <x:c r="D67" s="10" t="str">
        <x:v>evaluation</x:v>
      </x:c>
      <x:c r="E67" s="13" t="n">
        <x:v>0</x:v>
      </x:c>
      <x:c r="F67" s="13" t="n">
        <x:v>0</x:v>
      </x:c>
      <x:c r="G67" s="10" t="n">
        <x:v>3</x:v>
      </x:c>
      <x:c r="H67" s="10" t="n">
        <x:v>0</x:v>
      </x:c>
      <x:c r="I67" s="11" t="n">
        <x:f>E67*Rates!$B$4+F67*Rates!$B$5+G67*Rates!$B$6+H67*Rates!$B$7</x:f>
        <x:v>0.003</x:v>
      </x:c>
    </x:row>
    <x:row r="68" ht="24" customHeight="1">
      <x:c r="A68" s="10" t="str">
        <x:v>S01-07</x:v>
      </x:c>
      <x:c r="B68" s="10" t="str">
        <x:v>A</x:v>
      </x:c>
      <x:c r="C68" s="10" t="str">
        <x:v>speech_output</x:v>
      </x:c>
      <x:c r="D68" s="10" t="str">
        <x:v>retained</x:v>
      </x:c>
      <x:c r="E68" s="13" t="n">
        <x:v>148</x:v>
      </x:c>
      <x:c r="F68" s="13" t="n">
        <x:v>0</x:v>
      </x:c>
      <x:c r="G68" s="10" t="n">
        <x:v>0</x:v>
      </x:c>
      <x:c r="H68" s="10" t="n">
        <x:v>3.017999999</x:v>
      </x:c>
      <x:c r="I68" s="11" t="n">
        <x:f>E68*Rates!$B$4+F68*Rates!$B$5+G68*Rates!$B$6+H68*Rates!$B$7</x:f>
        <x:v>0.006183999998</x:v>
      </x:c>
    </x:row>
    <x:row r="69" ht="24" customHeight="1">
      <x:c r="A69" s="10" t="str">
        <x:v>S01-07</x:v>
      </x:c>
      <x:c r="B69" s="10" t="str">
        <x:v>B</x:v>
      </x:c>
      <x:c r="C69" s="10" t="str">
        <x:v>semantic</x:v>
      </x:c>
      <x:c r="D69" s="10" t="str">
        <x:v>setup</x:v>
      </x:c>
      <x:c r="E69" s="13" t="n">
        <x:v>600</x:v>
      </x:c>
      <x:c r="F69" s="13" t="n">
        <x:v>16</x:v>
      </x:c>
      <x:c r="G69" s="10" t="n">
        <x:v>0</x:v>
      </x:c>
      <x:c r="H69" s="10" t="n">
        <x:v>0</x:v>
      </x:c>
      <x:c r="I69" s="11" t="n">
        <x:f>E69*Rates!$B$4+F69*Rates!$B$5+G69*Rates!$B$6+H69*Rates!$B$7</x:f>
        <x:v>0.000664</x:v>
      </x:c>
    </x:row>
    <x:row r="70" ht="24" customHeight="1">
      <x:c r="A70" s="10" t="str">
        <x:v>S01-07</x:v>
      </x:c>
      <x:c r="B70" s="10" t="str">
        <x:v>B</x:v>
      </x:c>
      <x:c r="C70" s="10" t="str">
        <x:v>speech_input</x:v>
      </x:c>
      <x:c r="D70" s="10" t="str">
        <x:v>setup</x:v>
      </x:c>
      <x:c r="E70" s="13" t="n">
        <x:v>0</x:v>
      </x:c>
      <x:c r="F70" s="13" t="n">
        <x:v>0</x:v>
      </x:c>
      <x:c r="G70" s="10" t="n">
        <x:v>2</x:v>
      </x:c>
      <x:c r="H70" s="10" t="n">
        <x:v>0</x:v>
      </x:c>
      <x:c r="I70" s="11" t="n">
        <x:f>E70*Rates!$B$4+F70*Rates!$B$5+G70*Rates!$B$6+H70*Rates!$B$7</x:f>
        <x:v>0.002</x:v>
      </x:c>
    </x:row>
    <x:row r="71" ht="24" customHeight="1">
      <x:c r="A71" s="10" t="str">
        <x:v>S01-07</x:v>
      </x:c>
      <x:c r="B71" s="10" t="str">
        <x:v>B</x:v>
      </x:c>
      <x:c r="C71" s="10" t="str">
        <x:v>semantic</x:v>
      </x:c>
      <x:c r="D71" s="10" t="str">
        <x:v>evaluation</x:v>
      </x:c>
      <x:c r="E71" s="13" t="n">
        <x:v>740</x:v>
      </x:c>
      <x:c r="F71" s="13" t="n">
        <x:v>18</x:v>
      </x:c>
      <x:c r="G71" s="10" t="n">
        <x:v>0</x:v>
      </x:c>
      <x:c r="H71" s="10" t="n">
        <x:v>0</x:v>
      </x:c>
      <x:c r="I71" s="11" t="n">
        <x:f>E71*Rates!$B$4+F71*Rates!$B$5+G71*Rates!$B$6+H71*Rates!$B$7</x:f>
        <x:v>0.000812</x:v>
      </x:c>
    </x:row>
    <x:row r="72" ht="24" customHeight="1">
      <x:c r="A72" s="10" t="str">
        <x:v>S01-07</x:v>
      </x:c>
      <x:c r="B72" s="10" t="str">
        <x:v>B</x:v>
      </x:c>
      <x:c r="C72" s="10" t="str">
        <x:v>speech_input</x:v>
      </x:c>
      <x:c r="D72" s="10" t="str">
        <x:v>evaluation</x:v>
      </x:c>
      <x:c r="E72" s="13" t="n">
        <x:v>0</x:v>
      </x:c>
      <x:c r="F72" s="13" t="n">
        <x:v>0</x:v>
      </x:c>
      <x:c r="G72" s="10" t="n">
        <x:v>3</x:v>
      </x:c>
      <x:c r="H72" s="10" t="n">
        <x:v>0</x:v>
      </x:c>
      <x:c r="I72" s="11" t="n">
        <x:f>E72*Rates!$B$4+F72*Rates!$B$5+G72*Rates!$B$6+H72*Rates!$B$7</x:f>
        <x:v>0.003</x:v>
      </x:c>
    </x:row>
    <x:row r="73" ht="24" customHeight="1">
      <x:c r="A73" s="10" t="str">
        <x:v>S01-07</x:v>
      </x:c>
      <x:c r="B73" s="10" t="str">
        <x:v>B</x:v>
      </x:c>
      <x:c r="C73" s="10" t="str">
        <x:v>speech_output</x:v>
      </x:c>
      <x:c r="D73" s="10" t="str">
        <x:v>retained</x:v>
      </x:c>
      <x:c r="E73" s="13" t="n">
        <x:v>148</x:v>
      </x:c>
      <x:c r="F73" s="13" t="n">
        <x:v>0</x:v>
      </x:c>
      <x:c r="G73" s="10" t="n">
        <x:v>0</x:v>
      </x:c>
      <x:c r="H73" s="10" t="n">
        <x:v>3.017999999</x:v>
      </x:c>
      <x:c r="I73" s="11" t="n">
        <x:f>E73*Rates!$B$4+F73*Rates!$B$5+G73*Rates!$B$6+H73*Rates!$B$7</x:f>
        <x:v>0.006183999998</x:v>
      </x:c>
    </x:row>
    <x:row r="74" ht="24" customHeight="1">
      <x:c r="A74" s="10" t="str">
        <x:v>S01-08</x:v>
      </x:c>
      <x:c r="B74" s="10" t="str">
        <x:v>A</x:v>
      </x:c>
      <x:c r="C74" s="10" t="str">
        <x:v>semantic</x:v>
      </x:c>
      <x:c r="D74" s="10" t="str">
        <x:v>setup</x:v>
      </x:c>
      <x:c r="E74" s="13" t="n">
        <x:v>600</x:v>
      </x:c>
      <x:c r="F74" s="13" t="n">
        <x:v>16</x:v>
      </x:c>
      <x:c r="G74" s="10" t="n">
        <x:v>0</x:v>
      </x:c>
      <x:c r="H74" s="10" t="n">
        <x:v>0</x:v>
      </x:c>
      <x:c r="I74" s="11" t="n">
        <x:f>E74*Rates!$B$4+F74*Rates!$B$5+G74*Rates!$B$6+H74*Rates!$B$7</x:f>
        <x:v>0.000664</x:v>
      </x:c>
    </x:row>
    <x:row r="75" ht="24" customHeight="1">
      <x:c r="A75" s="10" t="str">
        <x:v>S01-08</x:v>
      </x:c>
      <x:c r="B75" s="10" t="str">
        <x:v>A</x:v>
      </x:c>
      <x:c r="C75" s="10" t="str">
        <x:v>speech_input</x:v>
      </x:c>
      <x:c r="D75" s="10" t="str">
        <x:v>setup</x:v>
      </x:c>
      <x:c r="E75" s="13" t="n">
        <x:v>0</x:v>
      </x:c>
      <x:c r="F75" s="13" t="n">
        <x:v>0</x:v>
      </x:c>
      <x:c r="G75" s="10" t="n">
        <x:v>2</x:v>
      </x:c>
      <x:c r="H75" s="10" t="n">
        <x:v>0</x:v>
      </x:c>
      <x:c r="I75" s="11" t="n">
        <x:f>E75*Rates!$B$4+F75*Rates!$B$5+G75*Rates!$B$6+H75*Rates!$B$7</x:f>
        <x:v>0.002</x:v>
      </x:c>
    </x:row>
    <x:row r="76" ht="24" customHeight="1">
      <x:c r="A76" s="10" t="str">
        <x:v>S01-08</x:v>
      </x:c>
      <x:c r="B76" s="10" t="str">
        <x:v>A</x:v>
      </x:c>
      <x:c r="C76" s="10" t="str">
        <x:v>semantic</x:v>
      </x:c>
      <x:c r="D76" s="10" t="str">
        <x:v>evaluation</x:v>
      </x:c>
      <x:c r="E76" s="13" t="n">
        <x:v>760</x:v>
      </x:c>
      <x:c r="F76" s="13" t="n">
        <x:v>20</x:v>
      </x:c>
      <x:c r="G76" s="10" t="n">
        <x:v>0</x:v>
      </x:c>
      <x:c r="H76" s="10" t="n">
        <x:v>0</x:v>
      </x:c>
      <x:c r="I76" s="11" t="n">
        <x:f>E76*Rates!$B$4+F76*Rates!$B$5+G76*Rates!$B$6+H76*Rates!$B$7</x:f>
        <x:v>0.0008399999999999999</x:v>
      </x:c>
    </x:row>
    <x:row r="77" ht="24" customHeight="1">
      <x:c r="A77" s="10" t="str">
        <x:v>S01-08</x:v>
      </x:c>
      <x:c r="B77" s="10" t="str">
        <x:v>A</x:v>
      </x:c>
      <x:c r="C77" s="10" t="str">
        <x:v>speech_input</x:v>
      </x:c>
      <x:c r="D77" s="10" t="str">
        <x:v>evaluation</x:v>
      </x:c>
      <x:c r="E77" s="13" t="n">
        <x:v>0</x:v>
      </x:c>
      <x:c r="F77" s="13" t="n">
        <x:v>0</x:v>
      </x:c>
      <x:c r="G77" s="10" t="n">
        <x:v>3</x:v>
      </x:c>
      <x:c r="H77" s="10" t="n">
        <x:v>0</x:v>
      </x:c>
      <x:c r="I77" s="11" t="n">
        <x:f>E77*Rates!$B$4+F77*Rates!$B$5+G77*Rates!$B$6+H77*Rates!$B$7</x:f>
        <x:v>0.003</x:v>
      </x:c>
    </x:row>
    <x:row r="78" ht="24" customHeight="1">
      <x:c r="A78" s="10" t="str">
        <x:v>S01-08</x:v>
      </x:c>
      <x:c r="B78" s="10" t="str">
        <x:v>A</x:v>
      </x:c>
      <x:c r="C78" s="10" t="str">
        <x:v>speech_output</x:v>
      </x:c>
      <x:c r="D78" s="10" t="str">
        <x:v>retained</x:v>
      </x:c>
      <x:c r="E78" s="13" t="n">
        <x:v>148</x:v>
      </x:c>
      <x:c r="F78" s="13" t="n">
        <x:v>0</x:v>
      </x:c>
      <x:c r="G78" s="10" t="n">
        <x:v>0</x:v>
      </x:c>
      <x:c r="H78" s="10" t="n">
        <x:v>3.029999999</x:v>
      </x:c>
      <x:c r="I78" s="11" t="n">
        <x:f>E78*Rates!$B$4+F78*Rates!$B$5+G78*Rates!$B$6+H78*Rates!$B$7</x:f>
        <x:v>0.006207999998</x:v>
      </x:c>
    </x:row>
    <x:row r="79" ht="24" customHeight="1">
      <x:c r="A79" s="10" t="str">
        <x:v>S01-08</x:v>
      </x:c>
      <x:c r="B79" s="10" t="str">
        <x:v>B</x:v>
      </x:c>
      <x:c r="C79" s="10" t="str">
        <x:v>semantic</x:v>
      </x:c>
      <x:c r="D79" s="10" t="str">
        <x:v>setup</x:v>
      </x:c>
      <x:c r="E79" s="13" t="n">
        <x:v>600</x:v>
      </x:c>
      <x:c r="F79" s="13" t="n">
        <x:v>16</x:v>
      </x:c>
      <x:c r="G79" s="10" t="n">
        <x:v>0</x:v>
      </x:c>
      <x:c r="H79" s="10" t="n">
        <x:v>0</x:v>
      </x:c>
      <x:c r="I79" s="11" t="n">
        <x:f>E79*Rates!$B$4+F79*Rates!$B$5+G79*Rates!$B$6+H79*Rates!$B$7</x:f>
        <x:v>0.000664</x:v>
      </x:c>
    </x:row>
    <x:row r="80" ht="24" customHeight="1">
      <x:c r="A80" s="10" t="str">
        <x:v>S01-08</x:v>
      </x:c>
      <x:c r="B80" s="10" t="str">
        <x:v>B</x:v>
      </x:c>
      <x:c r="C80" s="10" t="str">
        <x:v>speech_input</x:v>
      </x:c>
      <x:c r="D80" s="10" t="str">
        <x:v>setup</x:v>
      </x:c>
      <x:c r="E80" s="13" t="n">
        <x:v>0</x:v>
      </x:c>
      <x:c r="F80" s="13" t="n">
        <x:v>0</x:v>
      </x:c>
      <x:c r="G80" s="10" t="n">
        <x:v>2</x:v>
      </x:c>
      <x:c r="H80" s="10" t="n">
        <x:v>0</x:v>
      </x:c>
      <x:c r="I80" s="11" t="n">
        <x:f>E80*Rates!$B$4+F80*Rates!$B$5+G80*Rates!$B$6+H80*Rates!$B$7</x:f>
        <x:v>0.002</x:v>
      </x:c>
    </x:row>
    <x:row r="81" ht="24" customHeight="1">
      <x:c r="A81" s="10" t="str">
        <x:v>S01-08</x:v>
      </x:c>
      <x:c r="B81" s="10" t="str">
        <x:v>B</x:v>
      </x:c>
      <x:c r="C81" s="10" t="str">
        <x:v>semantic</x:v>
      </x:c>
      <x:c r="D81" s="10" t="str">
        <x:v>evaluation</x:v>
      </x:c>
      <x:c r="E81" s="13" t="n">
        <x:v>760</x:v>
      </x:c>
      <x:c r="F81" s="13" t="n">
        <x:v>20</x:v>
      </x:c>
      <x:c r="G81" s="10" t="n">
        <x:v>0</x:v>
      </x:c>
      <x:c r="H81" s="10" t="n">
        <x:v>0</x:v>
      </x:c>
      <x:c r="I81" s="11" t="n">
        <x:f>E81*Rates!$B$4+F81*Rates!$B$5+G81*Rates!$B$6+H81*Rates!$B$7</x:f>
        <x:v>0.0008399999999999999</x:v>
      </x:c>
    </x:row>
    <x:row r="82" ht="24" customHeight="1">
      <x:c r="A82" s="10" t="str">
        <x:v>S01-08</x:v>
      </x:c>
      <x:c r="B82" s="10" t="str">
        <x:v>B</x:v>
      </x:c>
      <x:c r="C82" s="10" t="str">
        <x:v>speech_input</x:v>
      </x:c>
      <x:c r="D82" s="10" t="str">
        <x:v>evaluation</x:v>
      </x:c>
      <x:c r="E82" s="13" t="n">
        <x:v>0</x:v>
      </x:c>
      <x:c r="F82" s="13" t="n">
        <x:v>0</x:v>
      </x:c>
      <x:c r="G82" s="10" t="n">
        <x:v>3</x:v>
      </x:c>
      <x:c r="H82" s="10" t="n">
        <x:v>0</x:v>
      </x:c>
      <x:c r="I82" s="11" t="n">
        <x:f>E82*Rates!$B$4+F82*Rates!$B$5+G82*Rates!$B$6+H82*Rates!$B$7</x:f>
        <x:v>0.003</x:v>
      </x:c>
    </x:row>
    <x:row r="83" ht="24" customHeight="1">
      <x:c r="A83" s="10" t="str">
        <x:v>S01-08</x:v>
      </x:c>
      <x:c r="B83" s="10" t="str">
        <x:v>B</x:v>
      </x:c>
      <x:c r="C83" s="10" t="str">
        <x:v>speech_output</x:v>
      </x:c>
      <x:c r="D83" s="10" t="str">
        <x:v>retained</x:v>
      </x:c>
      <x:c r="E83" s="13" t="n">
        <x:v>148</x:v>
      </x:c>
      <x:c r="F83" s="13" t="n">
        <x:v>0</x:v>
      </x:c>
      <x:c r="G83" s="10" t="n">
        <x:v>0</x:v>
      </x:c>
      <x:c r="H83" s="10" t="n">
        <x:v>3.029999999</x:v>
      </x:c>
      <x:c r="I83" s="11" t="n">
        <x:f>E83*Rates!$B$4+F83*Rates!$B$5+G83*Rates!$B$6+H83*Rates!$B$7</x:f>
        <x:v>0.006207999998</x:v>
      </x:c>
    </x:row>
    <x:row r="84" ht="24" customHeight="1">
      <x:c r="A84" s="10" t="str">
        <x:v>S01-09</x:v>
      </x:c>
      <x:c r="B84" s="10" t="str">
        <x:v>A</x:v>
      </x:c>
      <x:c r="C84" s="10" t="str">
        <x:v>semantic</x:v>
      </x:c>
      <x:c r="D84" s="10" t="str">
        <x:v>setup</x:v>
      </x:c>
      <x:c r="E84" s="13" t="n">
        <x:v>600</x:v>
      </x:c>
      <x:c r="F84" s="13" t="n">
        <x:v>16</x:v>
      </x:c>
      <x:c r="G84" s="10" t="n">
        <x:v>0</x:v>
      </x:c>
      <x:c r="H84" s="10" t="n">
        <x:v>0</x:v>
      </x:c>
      <x:c r="I84" s="11" t="n">
        <x:f>E84*Rates!$B$4+F84*Rates!$B$5+G84*Rates!$B$6+H84*Rates!$B$7</x:f>
        <x:v>0.000664</x:v>
      </x:c>
    </x:row>
    <x:row r="85" ht="24" customHeight="1">
      <x:c r="A85" s="10" t="str">
        <x:v>S01-09</x:v>
      </x:c>
      <x:c r="B85" s="10" t="str">
        <x:v>A</x:v>
      </x:c>
      <x:c r="C85" s="10" t="str">
        <x:v>speech_input</x:v>
      </x:c>
      <x:c r="D85" s="10" t="str">
        <x:v>setup</x:v>
      </x:c>
      <x:c r="E85" s="13" t="n">
        <x:v>0</x:v>
      </x:c>
      <x:c r="F85" s="13" t="n">
        <x:v>0</x:v>
      </x:c>
      <x:c r="G85" s="10" t="n">
        <x:v>2</x:v>
      </x:c>
      <x:c r="H85" s="10" t="n">
        <x:v>0</x:v>
      </x:c>
      <x:c r="I85" s="11" t="n">
        <x:f>E85*Rates!$B$4+F85*Rates!$B$5+G85*Rates!$B$6+H85*Rates!$B$7</x:f>
        <x:v>0.002</x:v>
      </x:c>
    </x:row>
    <x:row r="86" ht="24" customHeight="1">
      <x:c r="A86" s="10" t="str">
        <x:v>S01-09</x:v>
      </x:c>
      <x:c r="B86" s="10" t="str">
        <x:v>A</x:v>
      </x:c>
      <x:c r="C86" s="10" t="str">
        <x:v>semantic</x:v>
      </x:c>
      <x:c r="D86" s="10" t="str">
        <x:v>evaluation</x:v>
      </x:c>
      <x:c r="E86" s="13" t="n">
        <x:v>780</x:v>
      </x:c>
      <x:c r="F86" s="13" t="n">
        <x:v>16</x:v>
      </x:c>
      <x:c r="G86" s="10" t="n">
        <x:v>0</x:v>
      </x:c>
      <x:c r="H86" s="10" t="n">
        <x:v>0</x:v>
      </x:c>
      <x:c r="I86" s="11" t="n">
        <x:f>E86*Rates!$B$4+F86*Rates!$B$5+G86*Rates!$B$6+H86*Rates!$B$7</x:f>
        <x:v>0.000844</x:v>
      </x:c>
    </x:row>
    <x:row r="87" ht="24" customHeight="1">
      <x:c r="A87" s="10" t="str">
        <x:v>S01-09</x:v>
      </x:c>
      <x:c r="B87" s="10" t="str">
        <x:v>A</x:v>
      </x:c>
      <x:c r="C87" s="10" t="str">
        <x:v>speech_input</x:v>
      </x:c>
      <x:c r="D87" s="10" t="str">
        <x:v>evaluation</x:v>
      </x:c>
      <x:c r="E87" s="13" t="n">
        <x:v>0</x:v>
      </x:c>
      <x:c r="F87" s="13" t="n">
        <x:v>0</x:v>
      </x:c>
      <x:c r="G87" s="10" t="n">
        <x:v>3</x:v>
      </x:c>
      <x:c r="H87" s="10" t="n">
        <x:v>0</x:v>
      </x:c>
      <x:c r="I87" s="11" t="n">
        <x:f>E87*Rates!$B$4+F87*Rates!$B$5+G87*Rates!$B$6+H87*Rates!$B$7</x:f>
        <x:v>0.003</x:v>
      </x:c>
    </x:row>
    <x:row r="88" ht="24" customHeight="1">
      <x:c r="A88" s="10" t="str">
        <x:v>S01-09</x:v>
      </x:c>
      <x:c r="B88" s="10" t="str">
        <x:v>A</x:v>
      </x:c>
      <x:c r="C88" s="10" t="str">
        <x:v>speech_output</x:v>
      </x:c>
      <x:c r="D88" s="10" t="str">
        <x:v>retained</x:v>
      </x:c>
      <x:c r="E88" s="13" t="n">
        <x:v>148</x:v>
      </x:c>
      <x:c r="F88" s="13" t="n">
        <x:v>0</x:v>
      </x:c>
      <x:c r="G88" s="10" t="n">
        <x:v>0</x:v>
      </x:c>
      <x:c r="H88" s="10" t="n">
        <x:v>3.041999999</x:v>
      </x:c>
      <x:c r="I88" s="11" t="n">
        <x:f>E88*Rates!$B$4+F88*Rates!$B$5+G88*Rates!$B$6+H88*Rates!$B$7</x:f>
        <x:v>0.006231999998000001</x:v>
      </x:c>
    </x:row>
    <x:row r="89" ht="24" customHeight="1">
      <x:c r="A89" s="10" t="str">
        <x:v>S01-09</x:v>
      </x:c>
      <x:c r="B89" s="10" t="str">
        <x:v>B</x:v>
      </x:c>
      <x:c r="C89" s="10" t="str">
        <x:v>semantic</x:v>
      </x:c>
      <x:c r="D89" s="10" t="str">
        <x:v>setup</x:v>
      </x:c>
      <x:c r="E89" s="13" t="n">
        <x:v>600</x:v>
      </x:c>
      <x:c r="F89" s="13" t="n">
        <x:v>16</x:v>
      </x:c>
      <x:c r="G89" s="10" t="n">
        <x:v>0</x:v>
      </x:c>
      <x:c r="H89" s="10" t="n">
        <x:v>0</x:v>
      </x:c>
      <x:c r="I89" s="11" t="n">
        <x:f>E89*Rates!$B$4+F89*Rates!$B$5+G89*Rates!$B$6+H89*Rates!$B$7</x:f>
        <x:v>0.000664</x:v>
      </x:c>
    </x:row>
    <x:row r="90" ht="24" customHeight="1">
      <x:c r="A90" s="10" t="str">
        <x:v>S01-09</x:v>
      </x:c>
      <x:c r="B90" s="10" t="str">
        <x:v>B</x:v>
      </x:c>
      <x:c r="C90" s="10" t="str">
        <x:v>speech_input</x:v>
      </x:c>
      <x:c r="D90" s="10" t="str">
        <x:v>setup</x:v>
      </x:c>
      <x:c r="E90" s="13" t="n">
        <x:v>0</x:v>
      </x:c>
      <x:c r="F90" s="13" t="n">
        <x:v>0</x:v>
      </x:c>
      <x:c r="G90" s="10" t="n">
        <x:v>2</x:v>
      </x:c>
      <x:c r="H90" s="10" t="n">
        <x:v>0</x:v>
      </x:c>
      <x:c r="I90" s="11" t="n">
        <x:f>E90*Rates!$B$4+F90*Rates!$B$5+G90*Rates!$B$6+H90*Rates!$B$7</x:f>
        <x:v>0.002</x:v>
      </x:c>
    </x:row>
    <x:row r="91" ht="24" customHeight="1">
      <x:c r="A91" s="10" t="str">
        <x:v>S01-09</x:v>
      </x:c>
      <x:c r="B91" s="10" t="str">
        <x:v>B</x:v>
      </x:c>
      <x:c r="C91" s="10" t="str">
        <x:v>semantic</x:v>
      </x:c>
      <x:c r="D91" s="10" t="str">
        <x:v>evaluation</x:v>
      </x:c>
      <x:c r="E91" s="13" t="n">
        <x:v>780</x:v>
      </x:c>
      <x:c r="F91" s="13" t="n">
        <x:v>16</x:v>
      </x:c>
      <x:c r="G91" s="10" t="n">
        <x:v>0</x:v>
      </x:c>
      <x:c r="H91" s="10" t="n">
        <x:v>0</x:v>
      </x:c>
      <x:c r="I91" s="11" t="n">
        <x:f>E91*Rates!$B$4+F91*Rates!$B$5+G91*Rates!$B$6+H91*Rates!$B$7</x:f>
        <x:v>0.000844</x:v>
      </x:c>
    </x:row>
    <x:row r="92" ht="24" customHeight="1">
      <x:c r="A92" s="10" t="str">
        <x:v>S01-09</x:v>
      </x:c>
      <x:c r="B92" s="10" t="str">
        <x:v>B</x:v>
      </x:c>
      <x:c r="C92" s="10" t="str">
        <x:v>speech_input</x:v>
      </x:c>
      <x:c r="D92" s="10" t="str">
        <x:v>evaluation</x:v>
      </x:c>
      <x:c r="E92" s="13" t="n">
        <x:v>0</x:v>
      </x:c>
      <x:c r="F92" s="13" t="n">
        <x:v>0</x:v>
      </x:c>
      <x:c r="G92" s="10" t="n">
        <x:v>3</x:v>
      </x:c>
      <x:c r="H92" s="10" t="n">
        <x:v>0</x:v>
      </x:c>
      <x:c r="I92" s="11" t="n">
        <x:f>E92*Rates!$B$4+F92*Rates!$B$5+G92*Rates!$B$6+H92*Rates!$B$7</x:f>
        <x:v>0.003</x:v>
      </x:c>
    </x:row>
    <x:row r="93" ht="24" customHeight="1">
      <x:c r="A93" s="10" t="str">
        <x:v>S01-09</x:v>
      </x:c>
      <x:c r="B93" s="10" t="str">
        <x:v>B</x:v>
      </x:c>
      <x:c r="C93" s="10" t="str">
        <x:v>speech_output</x:v>
      </x:c>
      <x:c r="D93" s="10" t="str">
        <x:v>retained</x:v>
      </x:c>
      <x:c r="E93" s="13" t="n">
        <x:v>148</x:v>
      </x:c>
      <x:c r="F93" s="13" t="n">
        <x:v>0</x:v>
      </x:c>
      <x:c r="G93" s="10" t="n">
        <x:v>0</x:v>
      </x:c>
      <x:c r="H93" s="10" t="n">
        <x:v>3.041999999</x:v>
      </x:c>
      <x:c r="I93" s="11" t="n">
        <x:f>E93*Rates!$B$4+F93*Rates!$B$5+G93*Rates!$B$6+H93*Rates!$B$7</x:f>
        <x:v>0.006231999998000001</x:v>
      </x:c>
    </x:row>
    <x:row r="94" ht="24" customHeight="1">
      <x:c r="A94" s="10" t="str">
        <x:v>S01-10</x:v>
      </x:c>
      <x:c r="B94" s="10" t="str">
        <x:v>A</x:v>
      </x:c>
      <x:c r="C94" s="10" t="str">
        <x:v>semantic</x:v>
      </x:c>
      <x:c r="D94" s="10" t="str">
        <x:v>setup</x:v>
      </x:c>
      <x:c r="E94" s="13" t="n">
        <x:v>600</x:v>
      </x:c>
      <x:c r="F94" s="13" t="n">
        <x:v>16</x:v>
      </x:c>
      <x:c r="G94" s="10" t="n">
        <x:v>0</x:v>
      </x:c>
      <x:c r="H94" s="10" t="n">
        <x:v>0</x:v>
      </x:c>
      <x:c r="I94" s="11" t="n">
        <x:f>E94*Rates!$B$4+F94*Rates!$B$5+G94*Rates!$B$6+H94*Rates!$B$7</x:f>
        <x:v>0.000664</x:v>
      </x:c>
    </x:row>
    <x:row r="95" ht="24" customHeight="1">
      <x:c r="A95" s="10" t="str">
        <x:v>S01-10</x:v>
      </x:c>
      <x:c r="B95" s="10" t="str">
        <x:v>A</x:v>
      </x:c>
      <x:c r="C95" s="10" t="str">
        <x:v>speech_input</x:v>
      </x:c>
      <x:c r="D95" s="10" t="str">
        <x:v>setup</x:v>
      </x:c>
      <x:c r="E95" s="13" t="n">
        <x:v>0</x:v>
      </x:c>
      <x:c r="F95" s="13" t="n">
        <x:v>0</x:v>
      </x:c>
      <x:c r="G95" s="10" t="n">
        <x:v>2</x:v>
      </x:c>
      <x:c r="H95" s="10" t="n">
        <x:v>0</x:v>
      </x:c>
      <x:c r="I95" s="11" t="n">
        <x:f>E95*Rates!$B$4+F95*Rates!$B$5+G95*Rates!$B$6+H95*Rates!$B$7</x:f>
        <x:v>0.002</x:v>
      </x:c>
    </x:row>
    <x:row r="96" ht="24" customHeight="1">
      <x:c r="A96" s="10" t="str">
        <x:v>S01-10</x:v>
      </x:c>
      <x:c r="B96" s="10" t="str">
        <x:v>A</x:v>
      </x:c>
      <x:c r="C96" s="10" t="str">
        <x:v>semantic</x:v>
      </x:c>
      <x:c r="D96" s="10" t="str">
        <x:v>evaluation</x:v>
      </x:c>
      <x:c r="E96" s="13" t="n">
        <x:v>800</x:v>
      </x:c>
      <x:c r="F96" s="13" t="n">
        <x:v>18</x:v>
      </x:c>
      <x:c r="G96" s="10" t="n">
        <x:v>0</x:v>
      </x:c>
      <x:c r="H96" s="10" t="n">
        <x:v>0</x:v>
      </x:c>
      <x:c r="I96" s="11" t="n">
        <x:f>E96*Rates!$B$4+F96*Rates!$B$5+G96*Rates!$B$6+H96*Rates!$B$7</x:f>
        <x:v>0.0008719999999999999</x:v>
      </x:c>
    </x:row>
    <x:row r="97" ht="24" customHeight="1">
      <x:c r="A97" s="10" t="str">
        <x:v>S01-10</x:v>
      </x:c>
      <x:c r="B97" s="10" t="str">
        <x:v>A</x:v>
      </x:c>
      <x:c r="C97" s="10" t="str">
        <x:v>speech_input</x:v>
      </x:c>
      <x:c r="D97" s="10" t="str">
        <x:v>evaluation</x:v>
      </x:c>
      <x:c r="E97" s="13" t="n">
        <x:v>0</x:v>
      </x:c>
      <x:c r="F97" s="13" t="n">
        <x:v>0</x:v>
      </x:c>
      <x:c r="G97" s="10" t="n">
        <x:v>3</x:v>
      </x:c>
      <x:c r="H97" s="10" t="n">
        <x:v>0</x:v>
      </x:c>
      <x:c r="I97" s="11" t="n">
        <x:f>E97*Rates!$B$4+F97*Rates!$B$5+G97*Rates!$B$6+H97*Rates!$B$7</x:f>
        <x:v>0.003</x:v>
      </x:c>
    </x:row>
    <x:row r="98" ht="24" customHeight="1">
      <x:c r="A98" s="10" t="str">
        <x:v>S01-10</x:v>
      </x:c>
      <x:c r="B98" s="10" t="str">
        <x:v>A</x:v>
      </x:c>
      <x:c r="C98" s="10" t="str">
        <x:v>speech_output</x:v>
      </x:c>
      <x:c r="D98" s="10" t="str">
        <x:v>retained</x:v>
      </x:c>
      <x:c r="E98" s="13" t="n">
        <x:v>148</x:v>
      </x:c>
      <x:c r="F98" s="13" t="n">
        <x:v>0</x:v>
      </x:c>
      <x:c r="G98" s="10" t="n">
        <x:v>0</x:v>
      </x:c>
      <x:c r="H98" s="10" t="n">
        <x:v>3.053999999</x:v>
      </x:c>
      <x:c r="I98" s="11" t="n">
        <x:f>E98*Rates!$B$4+F98*Rates!$B$5+G98*Rates!$B$6+H98*Rates!$B$7</x:f>
        <x:v>0.006255999998</x:v>
      </x:c>
    </x:row>
    <x:row r="99" ht="24" customHeight="1">
      <x:c r="A99" s="10" t="str">
        <x:v>S01-10</x:v>
      </x:c>
      <x:c r="B99" s="10" t="str">
        <x:v>B</x:v>
      </x:c>
      <x:c r="C99" s="10" t="str">
        <x:v>semantic</x:v>
      </x:c>
      <x:c r="D99" s="10" t="str">
        <x:v>setup</x:v>
      </x:c>
      <x:c r="E99" s="13" t="n">
        <x:v>600</x:v>
      </x:c>
      <x:c r="F99" s="13" t="n">
        <x:v>16</x:v>
      </x:c>
      <x:c r="G99" s="10" t="n">
        <x:v>0</x:v>
      </x:c>
      <x:c r="H99" s="10" t="n">
        <x:v>0</x:v>
      </x:c>
      <x:c r="I99" s="11" t="n">
        <x:f>E99*Rates!$B$4+F99*Rates!$B$5+G99*Rates!$B$6+H99*Rates!$B$7</x:f>
        <x:v>0.000664</x:v>
      </x:c>
    </x:row>
    <x:row r="100" ht="24" customHeight="1">
      <x:c r="A100" s="10" t="str">
        <x:v>S01-10</x:v>
      </x:c>
      <x:c r="B100" s="10" t="str">
        <x:v>B</x:v>
      </x:c>
      <x:c r="C100" s="10" t="str">
        <x:v>speech_input</x:v>
      </x:c>
      <x:c r="D100" s="10" t="str">
        <x:v>setup</x:v>
      </x:c>
      <x:c r="E100" s="13" t="n">
        <x:v>0</x:v>
      </x:c>
      <x:c r="F100" s="13" t="n">
        <x:v>0</x:v>
      </x:c>
      <x:c r="G100" s="10" t="n">
        <x:v>2</x:v>
      </x:c>
      <x:c r="H100" s="10" t="n">
        <x:v>0</x:v>
      </x:c>
      <x:c r="I100" s="11" t="n">
        <x:f>E100*Rates!$B$4+F100*Rates!$B$5+G100*Rates!$B$6+H100*Rates!$B$7</x:f>
        <x:v>0.002</x:v>
      </x:c>
    </x:row>
    <x:row r="101" ht="24" customHeight="1">
      <x:c r="A101" s="10" t="str">
        <x:v>S01-10</x:v>
      </x:c>
      <x:c r="B101" s="10" t="str">
        <x:v>B</x:v>
      </x:c>
      <x:c r="C101" s="10" t="str">
        <x:v>semantic</x:v>
      </x:c>
      <x:c r="D101" s="10" t="str">
        <x:v>evaluation</x:v>
      </x:c>
      <x:c r="E101" s="13" t="n">
        <x:v>800</x:v>
      </x:c>
      <x:c r="F101" s="13" t="n">
        <x:v>18</x:v>
      </x:c>
      <x:c r="G101" s="10" t="n">
        <x:v>0</x:v>
      </x:c>
      <x:c r="H101" s="10" t="n">
        <x:v>0</x:v>
      </x:c>
      <x:c r="I101" s="11" t="n">
        <x:f>E101*Rates!$B$4+F101*Rates!$B$5+G101*Rates!$B$6+H101*Rates!$B$7</x:f>
        <x:v>0.0008719999999999999</x:v>
      </x:c>
    </x:row>
    <x:row r="102" ht="24" customHeight="1">
      <x:c r="A102" s="10" t="str">
        <x:v>S01-10</x:v>
      </x:c>
      <x:c r="B102" s="10" t="str">
        <x:v>B</x:v>
      </x:c>
      <x:c r="C102" s="10" t="str">
        <x:v>speech_input</x:v>
      </x:c>
      <x:c r="D102" s="10" t="str">
        <x:v>evaluation</x:v>
      </x:c>
      <x:c r="E102" s="13" t="n">
        <x:v>0</x:v>
      </x:c>
      <x:c r="F102" s="13" t="n">
        <x:v>0</x:v>
      </x:c>
      <x:c r="G102" s="10" t="n">
        <x:v>3</x:v>
      </x:c>
      <x:c r="H102" s="10" t="n">
        <x:v>0</x:v>
      </x:c>
      <x:c r="I102" s="11" t="n">
        <x:f>E102*Rates!$B$4+F102*Rates!$B$5+G102*Rates!$B$6+H102*Rates!$B$7</x:f>
        <x:v>0.003</x:v>
      </x:c>
    </x:row>
    <x:row r="103" ht="24" customHeight="1">
      <x:c r="A103" s="10" t="str">
        <x:v>S01-10</x:v>
      </x:c>
      <x:c r="B103" s="10" t="str">
        <x:v>B</x:v>
      </x:c>
      <x:c r="C103" s="10" t="str">
        <x:v>speech_output</x:v>
      </x:c>
      <x:c r="D103" s="10" t="str">
        <x:v>retained</x:v>
      </x:c>
      <x:c r="E103" s="13" t="n">
        <x:v>148</x:v>
      </x:c>
      <x:c r="F103" s="13" t="n">
        <x:v>0</x:v>
      </x:c>
      <x:c r="G103" s="10" t="n">
        <x:v>0</x:v>
      </x:c>
      <x:c r="H103" s="10" t="n">
        <x:v>3.053999999</x:v>
      </x:c>
      <x:c r="I103" s="11" t="n">
        <x:f>E103*Rates!$B$4+F103*Rates!$B$5+G103*Rates!$B$6+H103*Rates!$B$7</x:f>
        <x:v>0.006255999998</x:v>
      </x:c>
    </x:row>
    <x:row r="104" ht="24" customHeight="1">
      <x:c r="A104" s="10" t="str">
        <x:v>S02-01</x:v>
      </x:c>
      <x:c r="B104" s="10" t="str">
        <x:v>A</x:v>
      </x:c>
      <x:c r="C104" s="10" t="str">
        <x:v>semantic</x:v>
      </x:c>
      <x:c r="D104" s="10" t="str">
        <x:v>setup</x:v>
      </x:c>
      <x:c r="E104" s="13" t="n">
        <x:v>600</x:v>
      </x:c>
      <x:c r="F104" s="13" t="n">
        <x:v>16</x:v>
      </x:c>
      <x:c r="G104" s="10" t="n">
        <x:v>0</x:v>
      </x:c>
      <x:c r="H104" s="10" t="n">
        <x:v>0</x:v>
      </x:c>
      <x:c r="I104" s="11" t="n">
        <x:f>E104*Rates!$B$4+F104*Rates!$B$5+G104*Rates!$B$6+H104*Rates!$B$7</x:f>
        <x:v>0.000664</x:v>
      </x:c>
    </x:row>
    <x:row r="105" ht="24" customHeight="1">
      <x:c r="A105" s="10" t="str">
        <x:v>S02-01</x:v>
      </x:c>
      <x:c r="B105" s="10" t="str">
        <x:v>A</x:v>
      </x:c>
      <x:c r="C105" s="10" t="str">
        <x:v>speech_input</x:v>
      </x:c>
      <x:c r="D105" s="10" t="str">
        <x:v>setup</x:v>
      </x:c>
      <x:c r="E105" s="13" t="n">
        <x:v>0</x:v>
      </x:c>
      <x:c r="F105" s="13" t="n">
        <x:v>0</x:v>
      </x:c>
      <x:c r="G105" s="10" t="n">
        <x:v>2</x:v>
      </x:c>
      <x:c r="H105" s="10" t="n">
        <x:v>0</x:v>
      </x:c>
      <x:c r="I105" s="11" t="n">
        <x:f>E105*Rates!$B$4+F105*Rates!$B$5+G105*Rates!$B$6+H105*Rates!$B$7</x:f>
        <x:v>0.002</x:v>
      </x:c>
    </x:row>
    <x:row r="106" ht="24" customHeight="1">
      <x:c r="A106" s="10" t="str">
        <x:v>S02-01</x:v>
      </x:c>
      <x:c r="B106" s="10" t="str">
        <x:v>A</x:v>
      </x:c>
      <x:c r="C106" s="10" t="str">
        <x:v>semantic</x:v>
      </x:c>
      <x:c r="D106" s="10" t="str">
        <x:v>evaluation</x:v>
      </x:c>
      <x:c r="E106" s="13" t="n">
        <x:v>620</x:v>
      </x:c>
      <x:c r="F106" s="13" t="n">
        <x:v>18</x:v>
      </x:c>
      <x:c r="G106" s="10" t="n">
        <x:v>0</x:v>
      </x:c>
      <x:c r="H106" s="10" t="n">
        <x:v>0</x:v>
      </x:c>
      <x:c r="I106" s="11" t="n">
        <x:f>E106*Rates!$B$4+F106*Rates!$B$5+G106*Rates!$B$6+H106*Rates!$B$7</x:f>
        <x:v>0.000692</x:v>
      </x:c>
    </x:row>
    <x:row r="107" ht="24" customHeight="1">
      <x:c r="A107" s="10" t="str">
        <x:v>S02-01</x:v>
      </x:c>
      <x:c r="B107" s="10" t="str">
        <x:v>A</x:v>
      </x:c>
      <x:c r="C107" s="10" t="str">
        <x:v>speech_input</x:v>
      </x:c>
      <x:c r="D107" s="10" t="str">
        <x:v>evaluation</x:v>
      </x:c>
      <x:c r="E107" s="13" t="n">
        <x:v>0</x:v>
      </x:c>
      <x:c r="F107" s="13" t="n">
        <x:v>0</x:v>
      </x:c>
      <x:c r="G107" s="10" t="n">
        <x:v>2.3</x:v>
      </x:c>
      <x:c r="H107" s="10" t="n">
        <x:v>0</x:v>
      </x:c>
      <x:c r="I107" s="11" t="n">
        <x:f>E107*Rates!$B$4+F107*Rates!$B$5+G107*Rates!$B$6+H107*Rates!$B$7</x:f>
        <x:v>0.0023</x:v>
      </x:c>
    </x:row>
    <x:row r="108" ht="24" customHeight="1">
      <x:c r="A108" s="10" t="str">
        <x:v>S02-01</x:v>
      </x:c>
      <x:c r="B108" s="10" t="str">
        <x:v>A</x:v>
      </x:c>
      <x:c r="C108" s="10" t="str">
        <x:v>speech_output</x:v>
      </x:c>
      <x:c r="D108" s="10" t="str">
        <x:v>retained</x:v>
      </x:c>
      <x:c r="E108" s="13" t="n">
        <x:v>126</x:v>
      </x:c>
      <x:c r="F108" s="13" t="n">
        <x:v>0</x:v>
      </x:c>
      <x:c r="G108" s="10" t="n">
        <x:v>0</x:v>
      </x:c>
      <x:c r="H108" s="10" t="n">
        <x:v>2.746</x:v>
      </x:c>
      <x:c r="I108" s="11" t="n">
        <x:f>E108*Rates!$B$4+F108*Rates!$B$5+G108*Rates!$B$6+H108*Rates!$B$7</x:f>
        <x:v>0.005618000000000001</x:v>
      </x:c>
    </x:row>
    <x:row r="109" ht="24" customHeight="1">
      <x:c r="A109" s="10" t="str">
        <x:v>S02-01</x:v>
      </x:c>
      <x:c r="B109" s="10" t="str">
        <x:v>B</x:v>
      </x:c>
      <x:c r="C109" s="10" t="str">
        <x:v>semantic</x:v>
      </x:c>
      <x:c r="D109" s="10" t="str">
        <x:v>setup</x:v>
      </x:c>
      <x:c r="E109" s="13" t="n">
        <x:v>600</x:v>
      </x:c>
      <x:c r="F109" s="13" t="n">
        <x:v>16</x:v>
      </x:c>
      <x:c r="G109" s="10" t="n">
        <x:v>0</x:v>
      </x:c>
      <x:c r="H109" s="10" t="n">
        <x:v>0</x:v>
      </x:c>
      <x:c r="I109" s="11" t="n">
        <x:f>E109*Rates!$B$4+F109*Rates!$B$5+G109*Rates!$B$6+H109*Rates!$B$7</x:f>
        <x:v>0.000664</x:v>
      </x:c>
    </x:row>
    <x:row r="110" ht="24" customHeight="1">
      <x:c r="A110" s="10" t="str">
        <x:v>S02-01</x:v>
      </x:c>
      <x:c r="B110" s="10" t="str">
        <x:v>B</x:v>
      </x:c>
      <x:c r="C110" s="10" t="str">
        <x:v>speech_input</x:v>
      </x:c>
      <x:c r="D110" s="10" t="str">
        <x:v>setup</x:v>
      </x:c>
      <x:c r="E110" s="13" t="n">
        <x:v>0</x:v>
      </x:c>
      <x:c r="F110" s="13" t="n">
        <x:v>0</x:v>
      </x:c>
      <x:c r="G110" s="10" t="n">
        <x:v>2</x:v>
      </x:c>
      <x:c r="H110" s="10" t="n">
        <x:v>0</x:v>
      </x:c>
      <x:c r="I110" s="11" t="n">
        <x:f>E110*Rates!$B$4+F110*Rates!$B$5+G110*Rates!$B$6+H110*Rates!$B$7</x:f>
        <x:v>0.002</x:v>
      </x:c>
    </x:row>
    <x:row r="111" ht="24" customHeight="1">
      <x:c r="A111" s="10" t="str">
        <x:v>S02-01</x:v>
      </x:c>
      <x:c r="B111" s="10" t="str">
        <x:v>B</x:v>
      </x:c>
      <x:c r="C111" s="10" t="str">
        <x:v>semantic</x:v>
      </x:c>
      <x:c r="D111" s="10" t="str">
        <x:v>evaluation</x:v>
      </x:c>
      <x:c r="E111" s="13" t="n">
        <x:v>620</x:v>
      </x:c>
      <x:c r="F111" s="13" t="n">
        <x:v>18</x:v>
      </x:c>
      <x:c r="G111" s="10" t="n">
        <x:v>0</x:v>
      </x:c>
      <x:c r="H111" s="10" t="n">
        <x:v>0</x:v>
      </x:c>
      <x:c r="I111" s="11" t="n">
        <x:f>E111*Rates!$B$4+F111*Rates!$B$5+G111*Rates!$B$6+H111*Rates!$B$7</x:f>
        <x:v>0.000692</x:v>
      </x:c>
    </x:row>
    <x:row r="112" ht="24" customHeight="1">
      <x:c r="A112" s="10" t="str">
        <x:v>S02-01</x:v>
      </x:c>
      <x:c r="B112" s="10" t="str">
        <x:v>B</x:v>
      </x:c>
      <x:c r="C112" s="10" t="str">
        <x:v>speech_input</x:v>
      </x:c>
      <x:c r="D112" s="10" t="str">
        <x:v>evaluation</x:v>
      </x:c>
      <x:c r="E112" s="13" t="n">
        <x:v>0</x:v>
      </x:c>
      <x:c r="F112" s="13" t="n">
        <x:v>0</x:v>
      </x:c>
      <x:c r="G112" s="10" t="n">
        <x:v>2.3</x:v>
      </x:c>
      <x:c r="H112" s="10" t="n">
        <x:v>0</x:v>
      </x:c>
      <x:c r="I112" s="11" t="n">
        <x:f>E112*Rates!$B$4+F112*Rates!$B$5+G112*Rates!$B$6+H112*Rates!$B$7</x:f>
        <x:v>0.0023</x:v>
      </x:c>
    </x:row>
    <x:row r="113" ht="24" customHeight="1">
      <x:c r="A113" s="10" t="str">
        <x:v>S02-01</x:v>
      </x:c>
      <x:c r="B113" s="10" t="str">
        <x:v>B</x:v>
      </x:c>
      <x:c r="C113" s="10" t="str">
        <x:v>speech_output</x:v>
      </x:c>
      <x:c r="D113" s="10" t="str">
        <x:v>retained</x:v>
      </x:c>
      <x:c r="E113" s="13" t="n">
        <x:v>126</x:v>
      </x:c>
      <x:c r="F113" s="13" t="n">
        <x:v>0</x:v>
      </x:c>
      <x:c r="G113" s="10" t="n">
        <x:v>0</x:v>
      </x:c>
      <x:c r="H113" s="10" t="n">
        <x:v>2.746</x:v>
      </x:c>
      <x:c r="I113" s="11" t="n">
        <x:f>E113*Rates!$B$4+F113*Rates!$B$5+G113*Rates!$B$6+H113*Rates!$B$7</x:f>
        <x:v>0.005618000000000001</x:v>
      </x:c>
    </x:row>
    <x:row r="114" ht="24" customHeight="1">
      <x:c r="A114" s="10" t="str">
        <x:v>S02-02</x:v>
      </x:c>
      <x:c r="B114" s="10" t="str">
        <x:v>A</x:v>
      </x:c>
      <x:c r="C114" s="10" t="str">
        <x:v>semantic</x:v>
      </x:c>
      <x:c r="D114" s="10" t="str">
        <x:v>setup</x:v>
      </x:c>
      <x:c r="E114" s="13" t="n">
        <x:v>600</x:v>
      </x:c>
      <x:c r="F114" s="13" t="n">
        <x:v>16</x:v>
      </x:c>
      <x:c r="G114" s="10" t="n">
        <x:v>0</x:v>
      </x:c>
      <x:c r="H114" s="10" t="n">
        <x:v>0</x:v>
      </x:c>
      <x:c r="I114" s="11" t="n">
        <x:f>E114*Rates!$B$4+F114*Rates!$B$5+G114*Rates!$B$6+H114*Rates!$B$7</x:f>
        <x:v>0.000664</x:v>
      </x:c>
    </x:row>
    <x:row r="115" ht="24" customHeight="1">
      <x:c r="A115" s="10" t="str">
        <x:v>S02-02</x:v>
      </x:c>
      <x:c r="B115" s="10" t="str">
        <x:v>A</x:v>
      </x:c>
      <x:c r="C115" s="10" t="str">
        <x:v>speech_input</x:v>
      </x:c>
      <x:c r="D115" s="10" t="str">
        <x:v>setup</x:v>
      </x:c>
      <x:c r="E115" s="13" t="n">
        <x:v>0</x:v>
      </x:c>
      <x:c r="F115" s="13" t="n">
        <x:v>0</x:v>
      </x:c>
      <x:c r="G115" s="10" t="n">
        <x:v>2</x:v>
      </x:c>
      <x:c r="H115" s="10" t="n">
        <x:v>0</x:v>
      </x:c>
      <x:c r="I115" s="11" t="n">
        <x:f>E115*Rates!$B$4+F115*Rates!$B$5+G115*Rates!$B$6+H115*Rates!$B$7</x:f>
        <x:v>0.002</x:v>
      </x:c>
    </x:row>
    <x:row r="116" ht="24" customHeight="1">
      <x:c r="A116" s="10" t="str">
        <x:v>S02-02</x:v>
      </x:c>
      <x:c r="B116" s="10" t="str">
        <x:v>A</x:v>
      </x:c>
      <x:c r="C116" s="10" t="str">
        <x:v>semantic</x:v>
      </x:c>
      <x:c r="D116" s="10" t="str">
        <x:v>evaluation</x:v>
      </x:c>
      <x:c r="E116" s="13" t="n">
        <x:v>640</x:v>
      </x:c>
      <x:c r="F116" s="13" t="n">
        <x:v>20</x:v>
      </x:c>
      <x:c r="G116" s="10" t="n">
        <x:v>0</x:v>
      </x:c>
      <x:c r="H116" s="10" t="n">
        <x:v>0</x:v>
      </x:c>
      <x:c r="I116" s="11" t="n">
        <x:f>E116*Rates!$B$4+F116*Rates!$B$5+G116*Rates!$B$6+H116*Rates!$B$7</x:f>
        <x:v>0.0007199999999999999</x:v>
      </x:c>
    </x:row>
    <x:row r="117" ht="24" customHeight="1">
      <x:c r="A117" s="10" t="str">
        <x:v>S02-02</x:v>
      </x:c>
      <x:c r="B117" s="10" t="str">
        <x:v>A</x:v>
      </x:c>
      <x:c r="C117" s="10" t="str">
        <x:v>speech_input</x:v>
      </x:c>
      <x:c r="D117" s="10" t="str">
        <x:v>evaluation</x:v>
      </x:c>
      <x:c r="E117" s="13" t="n">
        <x:v>0</x:v>
      </x:c>
      <x:c r="F117" s="13" t="n">
        <x:v>0</x:v>
      </x:c>
      <x:c r="G117" s="10" t="n">
        <x:v>2.3</x:v>
      </x:c>
      <x:c r="H117" s="10" t="n">
        <x:v>0</x:v>
      </x:c>
      <x:c r="I117" s="11" t="n">
        <x:f>E117*Rates!$B$4+F117*Rates!$B$5+G117*Rates!$B$6+H117*Rates!$B$7</x:f>
        <x:v>0.0023</x:v>
      </x:c>
    </x:row>
    <x:row r="118" ht="24" customHeight="1">
      <x:c r="A118" s="10" t="str">
        <x:v>S02-02</x:v>
      </x:c>
      <x:c r="B118" s="10" t="str">
        <x:v>A</x:v>
      </x:c>
      <x:c r="C118" s="10" t="str">
        <x:v>speech_output</x:v>
      </x:c>
      <x:c r="D118" s="10" t="str">
        <x:v>retained</x:v>
      </x:c>
      <x:c r="E118" s="13" t="n">
        <x:v>126</x:v>
      </x:c>
      <x:c r="F118" s="13" t="n">
        <x:v>0</x:v>
      </x:c>
      <x:c r="G118" s="10" t="n">
        <x:v>0</x:v>
      </x:c>
      <x:c r="H118" s="10" t="n">
        <x:v>2.758</x:v>
      </x:c>
      <x:c r="I118" s="11" t="n">
        <x:f>E118*Rates!$B$4+F118*Rates!$B$5+G118*Rates!$B$6+H118*Rates!$B$7</x:f>
        <x:v>0.005642</x:v>
      </x:c>
    </x:row>
    <x:row r="119" ht="24" customHeight="1">
      <x:c r="A119" s="10" t="str">
        <x:v>S02-02</x:v>
      </x:c>
      <x:c r="B119" s="10" t="str">
        <x:v>B</x:v>
      </x:c>
      <x:c r="C119" s="10" t="str">
        <x:v>semantic</x:v>
      </x:c>
      <x:c r="D119" s="10" t="str">
        <x:v>setup</x:v>
      </x:c>
      <x:c r="E119" s="13" t="n">
        <x:v>600</x:v>
      </x:c>
      <x:c r="F119" s="13" t="n">
        <x:v>16</x:v>
      </x:c>
      <x:c r="G119" s="10" t="n">
        <x:v>0</x:v>
      </x:c>
      <x:c r="H119" s="10" t="n">
        <x:v>0</x:v>
      </x:c>
      <x:c r="I119" s="11" t="n">
        <x:f>E119*Rates!$B$4+F119*Rates!$B$5+G119*Rates!$B$6+H119*Rates!$B$7</x:f>
        <x:v>0.000664</x:v>
      </x:c>
    </x:row>
    <x:row r="120" ht="24" customHeight="1">
      <x:c r="A120" s="10" t="str">
        <x:v>S02-02</x:v>
      </x:c>
      <x:c r="B120" s="10" t="str">
        <x:v>B</x:v>
      </x:c>
      <x:c r="C120" s="10" t="str">
        <x:v>speech_input</x:v>
      </x:c>
      <x:c r="D120" s="10" t="str">
        <x:v>setup</x:v>
      </x:c>
      <x:c r="E120" s="13" t="n">
        <x:v>0</x:v>
      </x:c>
      <x:c r="F120" s="13" t="n">
        <x:v>0</x:v>
      </x:c>
      <x:c r="G120" s="10" t="n">
        <x:v>2</x:v>
      </x:c>
      <x:c r="H120" s="10" t="n">
        <x:v>0</x:v>
      </x:c>
      <x:c r="I120" s="11" t="n">
        <x:f>E120*Rates!$B$4+F120*Rates!$B$5+G120*Rates!$B$6+H120*Rates!$B$7</x:f>
        <x:v>0.002</x:v>
      </x:c>
    </x:row>
    <x:row r="121" ht="24" customHeight="1">
      <x:c r="A121" s="10" t="str">
        <x:v>S02-02</x:v>
      </x:c>
      <x:c r="B121" s="10" t="str">
        <x:v>B</x:v>
      </x:c>
      <x:c r="C121" s="10" t="str">
        <x:v>semantic</x:v>
      </x:c>
      <x:c r="D121" s="10" t="str">
        <x:v>evaluation</x:v>
      </x:c>
      <x:c r="E121" s="13" t="n">
        <x:v>640</x:v>
      </x:c>
      <x:c r="F121" s="13" t="n">
        <x:v>20</x:v>
      </x:c>
      <x:c r="G121" s="10" t="n">
        <x:v>0</x:v>
      </x:c>
      <x:c r="H121" s="10" t="n">
        <x:v>0</x:v>
      </x:c>
      <x:c r="I121" s="11" t="n">
        <x:f>E121*Rates!$B$4+F121*Rates!$B$5+G121*Rates!$B$6+H121*Rates!$B$7</x:f>
        <x:v>0.0007199999999999999</x:v>
      </x:c>
    </x:row>
    <x:row r="122" ht="24" customHeight="1">
      <x:c r="A122" s="10" t="str">
        <x:v>S02-02</x:v>
      </x:c>
      <x:c r="B122" s="10" t="str">
        <x:v>B</x:v>
      </x:c>
      <x:c r="C122" s="10" t="str">
        <x:v>speech_input</x:v>
      </x:c>
      <x:c r="D122" s="10" t="str">
        <x:v>evaluation</x:v>
      </x:c>
      <x:c r="E122" s="13" t="n">
        <x:v>0</x:v>
      </x:c>
      <x:c r="F122" s="13" t="n">
        <x:v>0</x:v>
      </x:c>
      <x:c r="G122" s="10" t="n">
        <x:v>2.3</x:v>
      </x:c>
      <x:c r="H122" s="10" t="n">
        <x:v>0</x:v>
      </x:c>
      <x:c r="I122" s="11" t="n">
        <x:f>E122*Rates!$B$4+F122*Rates!$B$5+G122*Rates!$B$6+H122*Rates!$B$7</x:f>
        <x:v>0.0023</x:v>
      </x:c>
    </x:row>
    <x:row r="123" ht="24" customHeight="1">
      <x:c r="A123" s="10" t="str">
        <x:v>S02-02</x:v>
      </x:c>
      <x:c r="B123" s="10" t="str">
        <x:v>B</x:v>
      </x:c>
      <x:c r="C123" s="10" t="str">
        <x:v>speech_output</x:v>
      </x:c>
      <x:c r="D123" s="10" t="str">
        <x:v>retained</x:v>
      </x:c>
      <x:c r="E123" s="13" t="n">
        <x:v>126</x:v>
      </x:c>
      <x:c r="F123" s="13" t="n">
        <x:v>0</x:v>
      </x:c>
      <x:c r="G123" s="10" t="n">
        <x:v>0</x:v>
      </x:c>
      <x:c r="H123" s="10" t="n">
        <x:v>2.758</x:v>
      </x:c>
      <x:c r="I123" s="11" t="n">
        <x:f>E123*Rates!$B$4+F123*Rates!$B$5+G123*Rates!$B$6+H123*Rates!$B$7</x:f>
        <x:v>0.005642</x:v>
      </x:c>
    </x:row>
    <x:row r="124" ht="24" customHeight="1">
      <x:c r="A124" s="10" t="str">
        <x:v>S02-03</x:v>
      </x:c>
      <x:c r="B124" s="10" t="str">
        <x:v>A</x:v>
      </x:c>
      <x:c r="C124" s="10" t="str">
        <x:v>semantic</x:v>
      </x:c>
      <x:c r="D124" s="10" t="str">
        <x:v>setup</x:v>
      </x:c>
      <x:c r="E124" s="13" t="n">
        <x:v>600</x:v>
      </x:c>
      <x:c r="F124" s="13" t="n">
        <x:v>16</x:v>
      </x:c>
      <x:c r="G124" s="10" t="n">
        <x:v>0</x:v>
      </x:c>
      <x:c r="H124" s="10" t="n">
        <x:v>0</x:v>
      </x:c>
      <x:c r="I124" s="11" t="n">
        <x:f>E124*Rates!$B$4+F124*Rates!$B$5+G124*Rates!$B$6+H124*Rates!$B$7</x:f>
        <x:v>0.000664</x:v>
      </x:c>
    </x:row>
    <x:row r="125" ht="24" customHeight="1">
      <x:c r="A125" s="10" t="str">
        <x:v>S02-03</x:v>
      </x:c>
      <x:c r="B125" s="10" t="str">
        <x:v>A</x:v>
      </x:c>
      <x:c r="C125" s="10" t="str">
        <x:v>speech_input</x:v>
      </x:c>
      <x:c r="D125" s="10" t="str">
        <x:v>setup</x:v>
      </x:c>
      <x:c r="E125" s="13" t="n">
        <x:v>0</x:v>
      </x:c>
      <x:c r="F125" s="13" t="n">
        <x:v>0</x:v>
      </x:c>
      <x:c r="G125" s="10" t="n">
        <x:v>2</x:v>
      </x:c>
      <x:c r="H125" s="10" t="n">
        <x:v>0</x:v>
      </x:c>
      <x:c r="I125" s="11" t="n">
        <x:f>E125*Rates!$B$4+F125*Rates!$B$5+G125*Rates!$B$6+H125*Rates!$B$7</x:f>
        <x:v>0.002</x:v>
      </x:c>
    </x:row>
    <x:row r="126" ht="24" customHeight="1">
      <x:c r="A126" s="10" t="str">
        <x:v>S02-03</x:v>
      </x:c>
      <x:c r="B126" s="10" t="str">
        <x:v>A</x:v>
      </x:c>
      <x:c r="C126" s="10" t="str">
        <x:v>semantic</x:v>
      </x:c>
      <x:c r="D126" s="10" t="str">
        <x:v>evaluation</x:v>
      </x:c>
      <x:c r="E126" s="13" t="n">
        <x:v>660</x:v>
      </x:c>
      <x:c r="F126" s="13" t="n">
        <x:v>16</x:v>
      </x:c>
      <x:c r="G126" s="10" t="n">
        <x:v>0</x:v>
      </x:c>
      <x:c r="H126" s="10" t="n">
        <x:v>0</x:v>
      </x:c>
      <x:c r="I126" s="11" t="n">
        <x:f>E126*Rates!$B$4+F126*Rates!$B$5+G126*Rates!$B$6+H126*Rates!$B$7</x:f>
        <x:v>0.000724</x:v>
      </x:c>
    </x:row>
    <x:row r="127" ht="24" customHeight="1">
      <x:c r="A127" s="10" t="str">
        <x:v>S02-03</x:v>
      </x:c>
      <x:c r="B127" s="10" t="str">
        <x:v>A</x:v>
      </x:c>
      <x:c r="C127" s="10" t="str">
        <x:v>speech_input</x:v>
      </x:c>
      <x:c r="D127" s="10" t="str">
        <x:v>evaluation</x:v>
      </x:c>
      <x:c r="E127" s="13" t="n">
        <x:v>0</x:v>
      </x:c>
      <x:c r="F127" s="13" t="n">
        <x:v>0</x:v>
      </x:c>
      <x:c r="G127" s="10" t="n">
        <x:v>2.3</x:v>
      </x:c>
      <x:c r="H127" s="10" t="n">
        <x:v>0</x:v>
      </x:c>
      <x:c r="I127" s="11" t="n">
        <x:f>E127*Rates!$B$4+F127*Rates!$B$5+G127*Rates!$B$6+H127*Rates!$B$7</x:f>
        <x:v>0.0023</x:v>
      </x:c>
    </x:row>
    <x:row r="128" ht="24" customHeight="1">
      <x:c r="A128" s="10" t="str">
        <x:v>S02-03</x:v>
      </x:c>
      <x:c r="B128" s="10" t="str">
        <x:v>A</x:v>
      </x:c>
      <x:c r="C128" s="10" t="str">
        <x:v>speech_output</x:v>
      </x:c>
      <x:c r="D128" s="10" t="str">
        <x:v>retained</x:v>
      </x:c>
      <x:c r="E128" s="13" t="n">
        <x:v>126</x:v>
      </x:c>
      <x:c r="F128" s="13" t="n">
        <x:v>0</x:v>
      </x:c>
      <x:c r="G128" s="10" t="n">
        <x:v>0</x:v>
      </x:c>
      <x:c r="H128" s="10" t="n">
        <x:v>2.77</x:v>
      </x:c>
      <x:c r="I128" s="11" t="n">
        <x:f>E128*Rates!$B$4+F128*Rates!$B$5+G128*Rates!$B$6+H128*Rates!$B$7</x:f>
        <x:v>0.005666</x:v>
      </x:c>
    </x:row>
    <x:row r="129" ht="24" customHeight="1">
      <x:c r="A129" s="10" t="str">
        <x:v>S02-03</x:v>
      </x:c>
      <x:c r="B129" s="10" t="str">
        <x:v>B</x:v>
      </x:c>
      <x:c r="C129" s="10" t="str">
        <x:v>semantic</x:v>
      </x:c>
      <x:c r="D129" s="10" t="str">
        <x:v>setup</x:v>
      </x:c>
      <x:c r="E129" s="13" t="n">
        <x:v>600</x:v>
      </x:c>
      <x:c r="F129" s="13" t="n">
        <x:v>16</x:v>
      </x:c>
      <x:c r="G129" s="10" t="n">
        <x:v>0</x:v>
      </x:c>
      <x:c r="H129" s="10" t="n">
        <x:v>0</x:v>
      </x:c>
      <x:c r="I129" s="11" t="n">
        <x:f>E129*Rates!$B$4+F129*Rates!$B$5+G129*Rates!$B$6+H129*Rates!$B$7</x:f>
        <x:v>0.000664</x:v>
      </x:c>
    </x:row>
    <x:row r="130" ht="24" customHeight="1">
      <x:c r="A130" s="10" t="str">
        <x:v>S02-03</x:v>
      </x:c>
      <x:c r="B130" s="10" t="str">
        <x:v>B</x:v>
      </x:c>
      <x:c r="C130" s="10" t="str">
        <x:v>speech_input</x:v>
      </x:c>
      <x:c r="D130" s="10" t="str">
        <x:v>setup</x:v>
      </x:c>
      <x:c r="E130" s="13" t="n">
        <x:v>0</x:v>
      </x:c>
      <x:c r="F130" s="13" t="n">
        <x:v>0</x:v>
      </x:c>
      <x:c r="G130" s="10" t="n">
        <x:v>2</x:v>
      </x:c>
      <x:c r="H130" s="10" t="n">
        <x:v>0</x:v>
      </x:c>
      <x:c r="I130" s="11" t="n">
        <x:f>E130*Rates!$B$4+F130*Rates!$B$5+G130*Rates!$B$6+H130*Rates!$B$7</x:f>
        <x:v>0.002</x:v>
      </x:c>
    </x:row>
    <x:row r="131" ht="24" customHeight="1">
      <x:c r="A131" s="10" t="str">
        <x:v>S02-03</x:v>
      </x:c>
      <x:c r="B131" s="10" t="str">
        <x:v>B</x:v>
      </x:c>
      <x:c r="C131" s="10" t="str">
        <x:v>semantic</x:v>
      </x:c>
      <x:c r="D131" s="10" t="str">
        <x:v>evaluation</x:v>
      </x:c>
      <x:c r="E131" s="13" t="n">
        <x:v>660</x:v>
      </x:c>
      <x:c r="F131" s="13" t="n">
        <x:v>16</x:v>
      </x:c>
      <x:c r="G131" s="10" t="n">
        <x:v>0</x:v>
      </x:c>
      <x:c r="H131" s="10" t="n">
        <x:v>0</x:v>
      </x:c>
      <x:c r="I131" s="11" t="n">
        <x:f>E131*Rates!$B$4+F131*Rates!$B$5+G131*Rates!$B$6+H131*Rates!$B$7</x:f>
        <x:v>0.000724</x:v>
      </x:c>
    </x:row>
    <x:row r="132" ht="24" customHeight="1">
      <x:c r="A132" s="10" t="str">
        <x:v>S02-03</x:v>
      </x:c>
      <x:c r="B132" s="10" t="str">
        <x:v>B</x:v>
      </x:c>
      <x:c r="C132" s="10" t="str">
        <x:v>speech_input</x:v>
      </x:c>
      <x:c r="D132" s="10" t="str">
        <x:v>evaluation</x:v>
      </x:c>
      <x:c r="E132" s="13" t="n">
        <x:v>0</x:v>
      </x:c>
      <x:c r="F132" s="13" t="n">
        <x:v>0</x:v>
      </x:c>
      <x:c r="G132" s="10" t="n">
        <x:v>2.3</x:v>
      </x:c>
      <x:c r="H132" s="10" t="n">
        <x:v>0</x:v>
      </x:c>
      <x:c r="I132" s="11" t="n">
        <x:f>E132*Rates!$B$4+F132*Rates!$B$5+G132*Rates!$B$6+H132*Rates!$B$7</x:f>
        <x:v>0.0023</x:v>
      </x:c>
    </x:row>
    <x:row r="133" ht="24" customHeight="1">
      <x:c r="A133" s="10" t="str">
        <x:v>S02-03</x:v>
      </x:c>
      <x:c r="B133" s="10" t="str">
        <x:v>B</x:v>
      </x:c>
      <x:c r="C133" s="10" t="str">
        <x:v>speech_output</x:v>
      </x:c>
      <x:c r="D133" s="10" t="str">
        <x:v>retained</x:v>
      </x:c>
      <x:c r="E133" s="13" t="n">
        <x:v>126</x:v>
      </x:c>
      <x:c r="F133" s="13" t="n">
        <x:v>0</x:v>
      </x:c>
      <x:c r="G133" s="10" t="n">
        <x:v>0</x:v>
      </x:c>
      <x:c r="H133" s="10" t="n">
        <x:v>2.77</x:v>
      </x:c>
      <x:c r="I133" s="11" t="n">
        <x:f>E133*Rates!$B$4+F133*Rates!$B$5+G133*Rates!$B$6+H133*Rates!$B$7</x:f>
        <x:v>0.005666</x:v>
      </x:c>
    </x:row>
    <x:row r="134" ht="24" customHeight="1">
      <x:c r="A134" s="10" t="str">
        <x:v>S02-04</x:v>
      </x:c>
      <x:c r="B134" s="10" t="str">
        <x:v>A</x:v>
      </x:c>
      <x:c r="C134" s="10" t="str">
        <x:v>semantic</x:v>
      </x:c>
      <x:c r="D134" s="10" t="str">
        <x:v>setup</x:v>
      </x:c>
      <x:c r="E134" s="13" t="n">
        <x:v>600</x:v>
      </x:c>
      <x:c r="F134" s="13" t="n">
        <x:v>16</x:v>
      </x:c>
      <x:c r="G134" s="10" t="n">
        <x:v>0</x:v>
      </x:c>
      <x:c r="H134" s="10" t="n">
        <x:v>0</x:v>
      </x:c>
      <x:c r="I134" s="11" t="n">
        <x:f>E134*Rates!$B$4+F134*Rates!$B$5+G134*Rates!$B$6+H134*Rates!$B$7</x:f>
        <x:v>0.000664</x:v>
      </x:c>
    </x:row>
    <x:row r="135" ht="24" customHeight="1">
      <x:c r="A135" s="10" t="str">
        <x:v>S02-04</x:v>
      </x:c>
      <x:c r="B135" s="10" t="str">
        <x:v>A</x:v>
      </x:c>
      <x:c r="C135" s="10" t="str">
        <x:v>speech_input</x:v>
      </x:c>
      <x:c r="D135" s="10" t="str">
        <x:v>setup</x:v>
      </x:c>
      <x:c r="E135" s="13" t="n">
        <x:v>0</x:v>
      </x:c>
      <x:c r="F135" s="13" t="n">
        <x:v>0</x:v>
      </x:c>
      <x:c r="G135" s="10" t="n">
        <x:v>2</x:v>
      </x:c>
      <x:c r="H135" s="10" t="n">
        <x:v>0</x:v>
      </x:c>
      <x:c r="I135" s="11" t="n">
        <x:f>E135*Rates!$B$4+F135*Rates!$B$5+G135*Rates!$B$6+H135*Rates!$B$7</x:f>
        <x:v>0.002</x:v>
      </x:c>
    </x:row>
    <x:row r="136" ht="24" customHeight="1">
      <x:c r="A136" s="10" t="str">
        <x:v>S02-04</x:v>
      </x:c>
      <x:c r="B136" s="10" t="str">
        <x:v>A</x:v>
      </x:c>
      <x:c r="C136" s="10" t="str">
        <x:v>semantic</x:v>
      </x:c>
      <x:c r="D136" s="10" t="str">
        <x:v>evaluation</x:v>
      </x:c>
      <x:c r="E136" s="13" t="n">
        <x:v>680</x:v>
      </x:c>
      <x:c r="F136" s="13" t="n">
        <x:v>18</x:v>
      </x:c>
      <x:c r="G136" s="10" t="n">
        <x:v>0</x:v>
      </x:c>
      <x:c r="H136" s="10" t="n">
        <x:v>0</x:v>
      </x:c>
      <x:c r="I136" s="11" t="n">
        <x:f>E136*Rates!$B$4+F136*Rates!$B$5+G136*Rates!$B$6+H136*Rates!$B$7</x:f>
        <x:v>0.000752</x:v>
      </x:c>
    </x:row>
    <x:row r="137" ht="24" customHeight="1">
      <x:c r="A137" s="10" t="str">
        <x:v>S02-04</x:v>
      </x:c>
      <x:c r="B137" s="10" t="str">
        <x:v>A</x:v>
      </x:c>
      <x:c r="C137" s="10" t="str">
        <x:v>speech_input</x:v>
      </x:c>
      <x:c r="D137" s="10" t="str">
        <x:v>evaluation</x:v>
      </x:c>
      <x:c r="E137" s="13" t="n">
        <x:v>0</x:v>
      </x:c>
      <x:c r="F137" s="13" t="n">
        <x:v>0</x:v>
      </x:c>
      <x:c r="G137" s="10" t="n">
        <x:v>2.3</x:v>
      </x:c>
      <x:c r="H137" s="10" t="n">
        <x:v>0</x:v>
      </x:c>
      <x:c r="I137" s="11" t="n">
        <x:f>E137*Rates!$B$4+F137*Rates!$B$5+G137*Rates!$B$6+H137*Rates!$B$7</x:f>
        <x:v>0.0023</x:v>
      </x:c>
    </x:row>
    <x:row r="138" ht="24" customHeight="1">
      <x:c r="A138" s="10" t="str">
        <x:v>S02-04</x:v>
      </x:c>
      <x:c r="B138" s="10" t="str">
        <x:v>A</x:v>
      </x:c>
      <x:c r="C138" s="10" t="str">
        <x:v>speech_output</x:v>
      </x:c>
      <x:c r="D138" s="10" t="str">
        <x:v>retained</x:v>
      </x:c>
      <x:c r="E138" s="13" t="n">
        <x:v>126</x:v>
      </x:c>
      <x:c r="F138" s="13" t="n">
        <x:v>0</x:v>
      </x:c>
      <x:c r="G138" s="10" t="n">
        <x:v>0</x:v>
      </x:c>
      <x:c r="H138" s="10" t="n">
        <x:v>2.782</x:v>
      </x:c>
      <x:c r="I138" s="11" t="n">
        <x:f>E138*Rates!$B$4+F138*Rates!$B$5+G138*Rates!$B$6+H138*Rates!$B$7</x:f>
        <x:v>0.005690000000000001</x:v>
      </x:c>
    </x:row>
    <x:row r="139" ht="24" customHeight="1">
      <x:c r="A139" s="10" t="str">
        <x:v>S02-04</x:v>
      </x:c>
      <x:c r="B139" s="10" t="str">
        <x:v>B</x:v>
      </x:c>
      <x:c r="C139" s="10" t="str">
        <x:v>semantic</x:v>
      </x:c>
      <x:c r="D139" s="10" t="str">
        <x:v>setup</x:v>
      </x:c>
      <x:c r="E139" s="13" t="n">
        <x:v>600</x:v>
      </x:c>
      <x:c r="F139" s="13" t="n">
        <x:v>16</x:v>
      </x:c>
      <x:c r="G139" s="10" t="n">
        <x:v>0</x:v>
      </x:c>
      <x:c r="H139" s="10" t="n">
        <x:v>0</x:v>
      </x:c>
      <x:c r="I139" s="11" t="n">
        <x:f>E139*Rates!$B$4+F139*Rates!$B$5+G139*Rates!$B$6+H139*Rates!$B$7</x:f>
        <x:v>0.000664</x:v>
      </x:c>
    </x:row>
    <x:row r="140" ht="24" customHeight="1">
      <x:c r="A140" s="10" t="str">
        <x:v>S02-04</x:v>
      </x:c>
      <x:c r="B140" s="10" t="str">
        <x:v>B</x:v>
      </x:c>
      <x:c r="C140" s="10" t="str">
        <x:v>speech_input</x:v>
      </x:c>
      <x:c r="D140" s="10" t="str">
        <x:v>setup</x:v>
      </x:c>
      <x:c r="E140" s="13" t="n">
        <x:v>0</x:v>
      </x:c>
      <x:c r="F140" s="13" t="n">
        <x:v>0</x:v>
      </x:c>
      <x:c r="G140" s="10" t="n">
        <x:v>2</x:v>
      </x:c>
      <x:c r="H140" s="10" t="n">
        <x:v>0</x:v>
      </x:c>
      <x:c r="I140" s="11" t="n">
        <x:f>E140*Rates!$B$4+F140*Rates!$B$5+G140*Rates!$B$6+H140*Rates!$B$7</x:f>
        <x:v>0.002</x:v>
      </x:c>
    </x:row>
    <x:row r="141" ht="24" customHeight="1">
      <x:c r="A141" s="10" t="str">
        <x:v>S02-04</x:v>
      </x:c>
      <x:c r="B141" s="10" t="str">
        <x:v>B</x:v>
      </x:c>
      <x:c r="C141" s="10" t="str">
        <x:v>semantic</x:v>
      </x:c>
      <x:c r="D141" s="10" t="str">
        <x:v>evaluation</x:v>
      </x:c>
      <x:c r="E141" s="13" t="n">
        <x:v>680</x:v>
      </x:c>
      <x:c r="F141" s="13" t="n">
        <x:v>18</x:v>
      </x:c>
      <x:c r="G141" s="10" t="n">
        <x:v>0</x:v>
      </x:c>
      <x:c r="H141" s="10" t="n">
        <x:v>0</x:v>
      </x:c>
      <x:c r="I141" s="11" t="n">
        <x:f>E141*Rates!$B$4+F141*Rates!$B$5+G141*Rates!$B$6+H141*Rates!$B$7</x:f>
        <x:v>0.000752</x:v>
      </x:c>
    </x:row>
    <x:row r="142" ht="24" customHeight="1">
      <x:c r="A142" s="10" t="str">
        <x:v>S02-04</x:v>
      </x:c>
      <x:c r="B142" s="10" t="str">
        <x:v>B</x:v>
      </x:c>
      <x:c r="C142" s="10" t="str">
        <x:v>speech_input</x:v>
      </x:c>
      <x:c r="D142" s="10" t="str">
        <x:v>evaluation</x:v>
      </x:c>
      <x:c r="E142" s="13" t="n">
        <x:v>0</x:v>
      </x:c>
      <x:c r="F142" s="13" t="n">
        <x:v>0</x:v>
      </x:c>
      <x:c r="G142" s="10" t="n">
        <x:v>2.3</x:v>
      </x:c>
      <x:c r="H142" s="10" t="n">
        <x:v>0</x:v>
      </x:c>
      <x:c r="I142" s="11" t="n">
        <x:f>E142*Rates!$B$4+F142*Rates!$B$5+G142*Rates!$B$6+H142*Rates!$B$7</x:f>
        <x:v>0.0023</x:v>
      </x:c>
    </x:row>
    <x:row r="143" ht="24" customHeight="1">
      <x:c r="A143" s="10" t="str">
        <x:v>S02-04</x:v>
      </x:c>
      <x:c r="B143" s="10" t="str">
        <x:v>B</x:v>
      </x:c>
      <x:c r="C143" s="10" t="str">
        <x:v>speech_output</x:v>
      </x:c>
      <x:c r="D143" s="10" t="str">
        <x:v>retained</x:v>
      </x:c>
      <x:c r="E143" s="13" t="n">
        <x:v>126</x:v>
      </x:c>
      <x:c r="F143" s="13" t="n">
        <x:v>0</x:v>
      </x:c>
      <x:c r="G143" s="10" t="n">
        <x:v>0</x:v>
      </x:c>
      <x:c r="H143" s="10" t="n">
        <x:v>2.782</x:v>
      </x:c>
      <x:c r="I143" s="11" t="n">
        <x:f>E143*Rates!$B$4+F143*Rates!$B$5+G143*Rates!$B$6+H143*Rates!$B$7</x:f>
        <x:v>0.005690000000000001</x:v>
      </x:c>
    </x:row>
    <x:row r="144" ht="24" customHeight="1">
      <x:c r="A144" s="10" t="str">
        <x:v>S02-05</x:v>
      </x:c>
      <x:c r="B144" s="10" t="str">
        <x:v>A</x:v>
      </x:c>
      <x:c r="C144" s="10" t="str">
        <x:v>semantic</x:v>
      </x:c>
      <x:c r="D144" s="10" t="str">
        <x:v>setup</x:v>
      </x:c>
      <x:c r="E144" s="13" t="n">
        <x:v>600</x:v>
      </x:c>
      <x:c r="F144" s="13" t="n">
        <x:v>16</x:v>
      </x:c>
      <x:c r="G144" s="10" t="n">
        <x:v>0</x:v>
      </x:c>
      <x:c r="H144" s="10" t="n">
        <x:v>0</x:v>
      </x:c>
      <x:c r="I144" s="11" t="n">
        <x:f>E144*Rates!$B$4+F144*Rates!$B$5+G144*Rates!$B$6+H144*Rates!$B$7</x:f>
        <x:v>0.000664</x:v>
      </x:c>
    </x:row>
    <x:row r="145" ht="24" customHeight="1">
      <x:c r="A145" s="10" t="str">
        <x:v>S02-05</x:v>
      </x:c>
      <x:c r="B145" s="10" t="str">
        <x:v>A</x:v>
      </x:c>
      <x:c r="C145" s="10" t="str">
        <x:v>speech_input</x:v>
      </x:c>
      <x:c r="D145" s="10" t="str">
        <x:v>setup</x:v>
      </x:c>
      <x:c r="E145" s="13" t="n">
        <x:v>0</x:v>
      </x:c>
      <x:c r="F145" s="13" t="n">
        <x:v>0</x:v>
      </x:c>
      <x:c r="G145" s="10" t="n">
        <x:v>2</x:v>
      </x:c>
      <x:c r="H145" s="10" t="n">
        <x:v>0</x:v>
      </x:c>
      <x:c r="I145" s="11" t="n">
        <x:f>E145*Rates!$B$4+F145*Rates!$B$5+G145*Rates!$B$6+H145*Rates!$B$7</x:f>
        <x:v>0.002</x:v>
      </x:c>
    </x:row>
    <x:row r="146" ht="24" customHeight="1">
      <x:c r="A146" s="10" t="str">
        <x:v>S02-05</x:v>
      </x:c>
      <x:c r="B146" s="10" t="str">
        <x:v>A</x:v>
      </x:c>
      <x:c r="C146" s="10" t="str">
        <x:v>semantic</x:v>
      </x:c>
      <x:c r="D146" s="10" t="str">
        <x:v>evaluation</x:v>
      </x:c>
      <x:c r="E146" s="13" t="n">
        <x:v>700</x:v>
      </x:c>
      <x:c r="F146" s="13" t="n">
        <x:v>20</x:v>
      </x:c>
      <x:c r="G146" s="10" t="n">
        <x:v>0</x:v>
      </x:c>
      <x:c r="H146" s="10" t="n">
        <x:v>0</x:v>
      </x:c>
      <x:c r="I146" s="11" t="n">
        <x:f>E146*Rates!$B$4+F146*Rates!$B$5+G146*Rates!$B$6+H146*Rates!$B$7</x:f>
        <x:v>0.00078</x:v>
      </x:c>
    </x:row>
    <x:row r="147" ht="24" customHeight="1">
      <x:c r="A147" s="10" t="str">
        <x:v>S02-05</x:v>
      </x:c>
      <x:c r="B147" s="10" t="str">
        <x:v>A</x:v>
      </x:c>
      <x:c r="C147" s="10" t="str">
        <x:v>speech_input</x:v>
      </x:c>
      <x:c r="D147" s="10" t="str">
        <x:v>evaluation</x:v>
      </x:c>
      <x:c r="E147" s="13" t="n">
        <x:v>0</x:v>
      </x:c>
      <x:c r="F147" s="13" t="n">
        <x:v>0</x:v>
      </x:c>
      <x:c r="G147" s="10" t="n">
        <x:v>2.3</x:v>
      </x:c>
      <x:c r="H147" s="10" t="n">
        <x:v>0</x:v>
      </x:c>
      <x:c r="I147" s="11" t="n">
        <x:f>E147*Rates!$B$4+F147*Rates!$B$5+G147*Rates!$B$6+H147*Rates!$B$7</x:f>
        <x:v>0.0023</x:v>
      </x:c>
    </x:row>
    <x:row r="148" ht="24" customHeight="1">
      <x:c r="A148" s="10" t="str">
        <x:v>S02-05</x:v>
      </x:c>
      <x:c r="B148" s="10" t="str">
        <x:v>A</x:v>
      </x:c>
      <x:c r="C148" s="10" t="str">
        <x:v>speech_output</x:v>
      </x:c>
      <x:c r="D148" s="10" t="str">
        <x:v>retained</x:v>
      </x:c>
      <x:c r="E148" s="13" t="n">
        <x:v>126</x:v>
      </x:c>
      <x:c r="F148" s="13" t="n">
        <x:v>0</x:v>
      </x:c>
      <x:c r="G148" s="10" t="n">
        <x:v>0</x:v>
      </x:c>
      <x:c r="H148" s="10" t="n">
        <x:v>2.794</x:v>
      </x:c>
      <x:c r="I148" s="11" t="n">
        <x:f>E148*Rates!$B$4+F148*Rates!$B$5+G148*Rates!$B$6+H148*Rates!$B$7</x:f>
        <x:v>0.005714</x:v>
      </x:c>
    </x:row>
    <x:row r="149" ht="24" customHeight="1">
      <x:c r="A149" s="10" t="str">
        <x:v>S02-05</x:v>
      </x:c>
      <x:c r="B149" s="10" t="str">
        <x:v>B</x:v>
      </x:c>
      <x:c r="C149" s="10" t="str">
        <x:v>semantic</x:v>
      </x:c>
      <x:c r="D149" s="10" t="str">
        <x:v>setup</x:v>
      </x:c>
      <x:c r="E149" s="13" t="n">
        <x:v>600</x:v>
      </x:c>
      <x:c r="F149" s="13" t="n">
        <x:v>16</x:v>
      </x:c>
      <x:c r="G149" s="10" t="n">
        <x:v>0</x:v>
      </x:c>
      <x:c r="H149" s="10" t="n">
        <x:v>0</x:v>
      </x:c>
      <x:c r="I149" s="11" t="n">
        <x:f>E149*Rates!$B$4+F149*Rates!$B$5+G149*Rates!$B$6+H149*Rates!$B$7</x:f>
        <x:v>0.000664</x:v>
      </x:c>
    </x:row>
    <x:row r="150" ht="24" customHeight="1">
      <x:c r="A150" s="10" t="str">
        <x:v>S02-05</x:v>
      </x:c>
      <x:c r="B150" s="10" t="str">
        <x:v>B</x:v>
      </x:c>
      <x:c r="C150" s="10" t="str">
        <x:v>speech_input</x:v>
      </x:c>
      <x:c r="D150" s="10" t="str">
        <x:v>setup</x:v>
      </x:c>
      <x:c r="E150" s="13" t="n">
        <x:v>0</x:v>
      </x:c>
      <x:c r="F150" s="13" t="n">
        <x:v>0</x:v>
      </x:c>
      <x:c r="G150" s="10" t="n">
        <x:v>2</x:v>
      </x:c>
      <x:c r="H150" s="10" t="n">
        <x:v>0</x:v>
      </x:c>
      <x:c r="I150" s="11" t="n">
        <x:f>E150*Rates!$B$4+F150*Rates!$B$5+G150*Rates!$B$6+H150*Rates!$B$7</x:f>
        <x:v>0.002</x:v>
      </x:c>
    </x:row>
    <x:row r="151" ht="24" customHeight="1">
      <x:c r="A151" s="10" t="str">
        <x:v>S02-05</x:v>
      </x:c>
      <x:c r="B151" s="10" t="str">
        <x:v>B</x:v>
      </x:c>
      <x:c r="C151" s="10" t="str">
        <x:v>semantic</x:v>
      </x:c>
      <x:c r="D151" s="10" t="str">
        <x:v>evaluation</x:v>
      </x:c>
      <x:c r="E151" s="13" t="n">
        <x:v>700</x:v>
      </x:c>
      <x:c r="F151" s="13" t="n">
        <x:v>20</x:v>
      </x:c>
      <x:c r="G151" s="10" t="n">
        <x:v>0</x:v>
      </x:c>
      <x:c r="H151" s="10" t="n">
        <x:v>0</x:v>
      </x:c>
      <x:c r="I151" s="11" t="n">
        <x:f>E151*Rates!$B$4+F151*Rates!$B$5+G151*Rates!$B$6+H151*Rates!$B$7</x:f>
        <x:v>0.00078</x:v>
      </x:c>
    </x:row>
    <x:row r="152" ht="24" customHeight="1">
      <x:c r="A152" s="10" t="str">
        <x:v>S02-05</x:v>
      </x:c>
      <x:c r="B152" s="10" t="str">
        <x:v>B</x:v>
      </x:c>
      <x:c r="C152" s="10" t="str">
        <x:v>speech_input</x:v>
      </x:c>
      <x:c r="D152" s="10" t="str">
        <x:v>evaluation</x:v>
      </x:c>
      <x:c r="E152" s="13" t="n">
        <x:v>0</x:v>
      </x:c>
      <x:c r="F152" s="13" t="n">
        <x:v>0</x:v>
      </x:c>
      <x:c r="G152" s="10" t="n">
        <x:v>2.3</x:v>
      </x:c>
      <x:c r="H152" s="10" t="n">
        <x:v>0</x:v>
      </x:c>
      <x:c r="I152" s="11" t="n">
        <x:f>E152*Rates!$B$4+F152*Rates!$B$5+G152*Rates!$B$6+H152*Rates!$B$7</x:f>
        <x:v>0.0023</x:v>
      </x:c>
    </x:row>
    <x:row r="153" ht="24" customHeight="1">
      <x:c r="A153" s="10" t="str">
        <x:v>S02-05</x:v>
      </x:c>
      <x:c r="B153" s="10" t="str">
        <x:v>B</x:v>
      </x:c>
      <x:c r="C153" s="10" t="str">
        <x:v>speech_output</x:v>
      </x:c>
      <x:c r="D153" s="10" t="str">
        <x:v>retained</x:v>
      </x:c>
      <x:c r="E153" s="13" t="n">
        <x:v>126</x:v>
      </x:c>
      <x:c r="F153" s="13" t="n">
        <x:v>0</x:v>
      </x:c>
      <x:c r="G153" s="10" t="n">
        <x:v>0</x:v>
      </x:c>
      <x:c r="H153" s="10" t="n">
        <x:v>2.794</x:v>
      </x:c>
      <x:c r="I153" s="11" t="n">
        <x:f>E153*Rates!$B$4+F153*Rates!$B$5+G153*Rates!$B$6+H153*Rates!$B$7</x:f>
        <x:v>0.005714</x:v>
      </x:c>
    </x:row>
    <x:row r="154" ht="24" customHeight="1">
      <x:c r="A154" s="10" t="str">
        <x:v>S02-06</x:v>
      </x:c>
      <x:c r="B154" s="10" t="str">
        <x:v>A</x:v>
      </x:c>
      <x:c r="C154" s="10" t="str">
        <x:v>semantic</x:v>
      </x:c>
      <x:c r="D154" s="10" t="str">
        <x:v>setup</x:v>
      </x:c>
      <x:c r="E154" s="13" t="n">
        <x:v>600</x:v>
      </x:c>
      <x:c r="F154" s="13" t="n">
        <x:v>16</x:v>
      </x:c>
      <x:c r="G154" s="10" t="n">
        <x:v>0</x:v>
      </x:c>
      <x:c r="H154" s="10" t="n">
        <x:v>0</x:v>
      </x:c>
      <x:c r="I154" s="11" t="n">
        <x:f>E154*Rates!$B$4+F154*Rates!$B$5+G154*Rates!$B$6+H154*Rates!$B$7</x:f>
        <x:v>0.000664</x:v>
      </x:c>
    </x:row>
    <x:row r="155" ht="24" customHeight="1">
      <x:c r="A155" s="10" t="str">
        <x:v>S02-06</x:v>
      </x:c>
      <x:c r="B155" s="10" t="str">
        <x:v>A</x:v>
      </x:c>
      <x:c r="C155" s="10" t="str">
        <x:v>speech_input</x:v>
      </x:c>
      <x:c r="D155" s="10" t="str">
        <x:v>setup</x:v>
      </x:c>
      <x:c r="E155" s="13" t="n">
        <x:v>0</x:v>
      </x:c>
      <x:c r="F155" s="13" t="n">
        <x:v>0</x:v>
      </x:c>
      <x:c r="G155" s="10" t="n">
        <x:v>2</x:v>
      </x:c>
      <x:c r="H155" s="10" t="n">
        <x:v>0</x:v>
      </x:c>
      <x:c r="I155" s="11" t="n">
        <x:f>E155*Rates!$B$4+F155*Rates!$B$5+G155*Rates!$B$6+H155*Rates!$B$7</x:f>
        <x:v>0.002</x:v>
      </x:c>
    </x:row>
    <x:row r="156" ht="24" customHeight="1">
      <x:c r="A156" s="10" t="str">
        <x:v>S02-06</x:v>
      </x:c>
      <x:c r="B156" s="10" t="str">
        <x:v>A</x:v>
      </x:c>
      <x:c r="C156" s="10" t="str">
        <x:v>semantic</x:v>
      </x:c>
      <x:c r="D156" s="10" t="str">
        <x:v>evaluation</x:v>
      </x:c>
      <x:c r="E156" s="13" t="n">
        <x:v>720</x:v>
      </x:c>
      <x:c r="F156" s="13" t="n">
        <x:v>16</x:v>
      </x:c>
      <x:c r="G156" s="10" t="n">
        <x:v>0</x:v>
      </x:c>
      <x:c r="H156" s="10" t="n">
        <x:v>0</x:v>
      </x:c>
      <x:c r="I156" s="11" t="n">
        <x:f>E156*Rates!$B$4+F156*Rates!$B$5+G156*Rates!$B$6+H156*Rates!$B$7</x:f>
        <x:v>0.000784</x:v>
      </x:c>
    </x:row>
    <x:row r="157" ht="24" customHeight="1">
      <x:c r="A157" s="10" t="str">
        <x:v>S02-06</x:v>
      </x:c>
      <x:c r="B157" s="10" t="str">
        <x:v>A</x:v>
      </x:c>
      <x:c r="C157" s="10" t="str">
        <x:v>speech_input</x:v>
      </x:c>
      <x:c r="D157" s="10" t="str">
        <x:v>evaluation</x:v>
      </x:c>
      <x:c r="E157" s="13" t="n">
        <x:v>0</x:v>
      </x:c>
      <x:c r="F157" s="13" t="n">
        <x:v>0</x:v>
      </x:c>
      <x:c r="G157" s="10" t="n">
        <x:v>2.3</x:v>
      </x:c>
      <x:c r="H157" s="10" t="n">
        <x:v>0</x:v>
      </x:c>
      <x:c r="I157" s="11" t="n">
        <x:f>E157*Rates!$B$4+F157*Rates!$B$5+G157*Rates!$B$6+H157*Rates!$B$7</x:f>
        <x:v>0.0023</x:v>
      </x:c>
    </x:row>
    <x:row r="158" ht="24" customHeight="1">
      <x:c r="A158" s="10" t="str">
        <x:v>S02-06</x:v>
      </x:c>
      <x:c r="B158" s="10" t="str">
        <x:v>A</x:v>
      </x:c>
      <x:c r="C158" s="10" t="str">
        <x:v>speech_output</x:v>
      </x:c>
      <x:c r="D158" s="10" t="str">
        <x:v>retained</x:v>
      </x:c>
      <x:c r="E158" s="13" t="n">
        <x:v>126</x:v>
      </x:c>
      <x:c r="F158" s="13" t="n">
        <x:v>0</x:v>
      </x:c>
      <x:c r="G158" s="10" t="n">
        <x:v>0</x:v>
      </x:c>
      <x:c r="H158" s="10" t="n">
        <x:v>2.806</x:v>
      </x:c>
      <x:c r="I158" s="11" t="n">
        <x:f>E158*Rates!$B$4+F158*Rates!$B$5+G158*Rates!$B$6+H158*Rates!$B$7</x:f>
        <x:v>0.005738</x:v>
      </x:c>
    </x:row>
    <x:row r="159" ht="24" customHeight="1">
      <x:c r="A159" s="10" t="str">
        <x:v>S02-06</x:v>
      </x:c>
      <x:c r="B159" s="10" t="str">
        <x:v>B</x:v>
      </x:c>
      <x:c r="C159" s="10" t="str">
        <x:v>semantic</x:v>
      </x:c>
      <x:c r="D159" s="10" t="str">
        <x:v>setup</x:v>
      </x:c>
      <x:c r="E159" s="13" t="n">
        <x:v>600</x:v>
      </x:c>
      <x:c r="F159" s="13" t="n">
        <x:v>16</x:v>
      </x:c>
      <x:c r="G159" s="10" t="n">
        <x:v>0</x:v>
      </x:c>
      <x:c r="H159" s="10" t="n">
        <x:v>0</x:v>
      </x:c>
      <x:c r="I159" s="11" t="n">
        <x:f>E159*Rates!$B$4+F159*Rates!$B$5+G159*Rates!$B$6+H159*Rates!$B$7</x:f>
        <x:v>0.000664</x:v>
      </x:c>
    </x:row>
    <x:row r="160" ht="24" customHeight="1">
      <x:c r="A160" s="10" t="str">
        <x:v>S02-06</x:v>
      </x:c>
      <x:c r="B160" s="10" t="str">
        <x:v>B</x:v>
      </x:c>
      <x:c r="C160" s="10" t="str">
        <x:v>speech_input</x:v>
      </x:c>
      <x:c r="D160" s="10" t="str">
        <x:v>setup</x:v>
      </x:c>
      <x:c r="E160" s="13" t="n">
        <x:v>0</x:v>
      </x:c>
      <x:c r="F160" s="13" t="n">
        <x:v>0</x:v>
      </x:c>
      <x:c r="G160" s="10" t="n">
        <x:v>2</x:v>
      </x:c>
      <x:c r="H160" s="10" t="n">
        <x:v>0</x:v>
      </x:c>
      <x:c r="I160" s="11" t="n">
        <x:f>E160*Rates!$B$4+F160*Rates!$B$5+G160*Rates!$B$6+H160*Rates!$B$7</x:f>
        <x:v>0.002</x:v>
      </x:c>
    </x:row>
    <x:row r="161" ht="24" customHeight="1">
      <x:c r="A161" s="10" t="str">
        <x:v>S02-06</x:v>
      </x:c>
      <x:c r="B161" s="10" t="str">
        <x:v>B</x:v>
      </x:c>
      <x:c r="C161" s="10" t="str">
        <x:v>semantic</x:v>
      </x:c>
      <x:c r="D161" s="10" t="str">
        <x:v>evaluation</x:v>
      </x:c>
      <x:c r="E161" s="13" t="n">
        <x:v>720</x:v>
      </x:c>
      <x:c r="F161" s="13" t="n">
        <x:v>16</x:v>
      </x:c>
      <x:c r="G161" s="10" t="n">
        <x:v>0</x:v>
      </x:c>
      <x:c r="H161" s="10" t="n">
        <x:v>0</x:v>
      </x:c>
      <x:c r="I161" s="11" t="n">
        <x:f>E161*Rates!$B$4+F161*Rates!$B$5+G161*Rates!$B$6+H161*Rates!$B$7</x:f>
        <x:v>0.000784</x:v>
      </x:c>
    </x:row>
    <x:row r="162" ht="24" customHeight="1">
      <x:c r="A162" s="10" t="str">
        <x:v>S02-06</x:v>
      </x:c>
      <x:c r="B162" s="10" t="str">
        <x:v>B</x:v>
      </x:c>
      <x:c r="C162" s="10" t="str">
        <x:v>speech_input</x:v>
      </x:c>
      <x:c r="D162" s="10" t="str">
        <x:v>evaluation</x:v>
      </x:c>
      <x:c r="E162" s="13" t="n">
        <x:v>0</x:v>
      </x:c>
      <x:c r="F162" s="13" t="n">
        <x:v>0</x:v>
      </x:c>
      <x:c r="G162" s="10" t="n">
        <x:v>2.3</x:v>
      </x:c>
      <x:c r="H162" s="10" t="n">
        <x:v>0</x:v>
      </x:c>
      <x:c r="I162" s="11" t="n">
        <x:f>E162*Rates!$B$4+F162*Rates!$B$5+G162*Rates!$B$6+H162*Rates!$B$7</x:f>
        <x:v>0.0023</x:v>
      </x:c>
    </x:row>
    <x:row r="163" ht="24" customHeight="1">
      <x:c r="A163" s="10" t="str">
        <x:v>S02-06</x:v>
      </x:c>
      <x:c r="B163" s="10" t="str">
        <x:v>B</x:v>
      </x:c>
      <x:c r="C163" s="10" t="str">
        <x:v>speech_output</x:v>
      </x:c>
      <x:c r="D163" s="10" t="str">
        <x:v>retained</x:v>
      </x:c>
      <x:c r="E163" s="13" t="n">
        <x:v>126</x:v>
      </x:c>
      <x:c r="F163" s="13" t="n">
        <x:v>0</x:v>
      </x:c>
      <x:c r="G163" s="10" t="n">
        <x:v>0</x:v>
      </x:c>
      <x:c r="H163" s="10" t="n">
        <x:v>2.806</x:v>
      </x:c>
      <x:c r="I163" s="11" t="n">
        <x:f>E163*Rates!$B$4+F163*Rates!$B$5+G163*Rates!$B$6+H163*Rates!$B$7</x:f>
        <x:v>0.005738</x:v>
      </x:c>
    </x:row>
    <x:row r="164" ht="24" customHeight="1">
      <x:c r="A164" s="10" t="str">
        <x:v>S02-07</x:v>
      </x:c>
      <x:c r="B164" s="10" t="str">
        <x:v>A</x:v>
      </x:c>
      <x:c r="C164" s="10" t="str">
        <x:v>semantic</x:v>
      </x:c>
      <x:c r="D164" s="10" t="str">
        <x:v>setup</x:v>
      </x:c>
      <x:c r="E164" s="13" t="n">
        <x:v>600</x:v>
      </x:c>
      <x:c r="F164" s="13" t="n">
        <x:v>16</x:v>
      </x:c>
      <x:c r="G164" s="10" t="n">
        <x:v>0</x:v>
      </x:c>
      <x:c r="H164" s="10" t="n">
        <x:v>0</x:v>
      </x:c>
      <x:c r="I164" s="11" t="n">
        <x:f>E164*Rates!$B$4+F164*Rates!$B$5+G164*Rates!$B$6+H164*Rates!$B$7</x:f>
        <x:v>0.000664</x:v>
      </x:c>
    </x:row>
    <x:row r="165" ht="24" customHeight="1">
      <x:c r="A165" s="10" t="str">
        <x:v>S02-07</x:v>
      </x:c>
      <x:c r="B165" s="10" t="str">
        <x:v>A</x:v>
      </x:c>
      <x:c r="C165" s="10" t="str">
        <x:v>speech_input</x:v>
      </x:c>
      <x:c r="D165" s="10" t="str">
        <x:v>setup</x:v>
      </x:c>
      <x:c r="E165" s="13" t="n">
        <x:v>0</x:v>
      </x:c>
      <x:c r="F165" s="13" t="n">
        <x:v>0</x:v>
      </x:c>
      <x:c r="G165" s="10" t="n">
        <x:v>2</x:v>
      </x:c>
      <x:c r="H165" s="10" t="n">
        <x:v>0</x:v>
      </x:c>
      <x:c r="I165" s="11" t="n">
        <x:f>E165*Rates!$B$4+F165*Rates!$B$5+G165*Rates!$B$6+H165*Rates!$B$7</x:f>
        <x:v>0.002</x:v>
      </x:c>
    </x:row>
    <x:row r="166" ht="24" customHeight="1">
      <x:c r="A166" s="10" t="str">
        <x:v>S02-07</x:v>
      </x:c>
      <x:c r="B166" s="10" t="str">
        <x:v>A</x:v>
      </x:c>
      <x:c r="C166" s="10" t="str">
        <x:v>semantic</x:v>
      </x:c>
      <x:c r="D166" s="10" t="str">
        <x:v>evaluation</x:v>
      </x:c>
      <x:c r="E166" s="13" t="n">
        <x:v>740</x:v>
      </x:c>
      <x:c r="F166" s="13" t="n">
        <x:v>18</x:v>
      </x:c>
      <x:c r="G166" s="10" t="n">
        <x:v>0</x:v>
      </x:c>
      <x:c r="H166" s="10" t="n">
        <x:v>0</x:v>
      </x:c>
      <x:c r="I166" s="11" t="n">
        <x:f>E166*Rates!$B$4+F166*Rates!$B$5+G166*Rates!$B$6+H166*Rates!$B$7</x:f>
        <x:v>0.000812</x:v>
      </x:c>
    </x:row>
    <x:row r="167" ht="24" customHeight="1">
      <x:c r="A167" s="10" t="str">
        <x:v>S02-07</x:v>
      </x:c>
      <x:c r="B167" s="10" t="str">
        <x:v>A</x:v>
      </x:c>
      <x:c r="C167" s="10" t="str">
        <x:v>speech_input</x:v>
      </x:c>
      <x:c r="D167" s="10" t="str">
        <x:v>evaluation</x:v>
      </x:c>
      <x:c r="E167" s="13" t="n">
        <x:v>0</x:v>
      </x:c>
      <x:c r="F167" s="13" t="n">
        <x:v>0</x:v>
      </x:c>
      <x:c r="G167" s="10" t="n">
        <x:v>2.3</x:v>
      </x:c>
      <x:c r="H167" s="10" t="n">
        <x:v>0</x:v>
      </x:c>
      <x:c r="I167" s="11" t="n">
        <x:f>E167*Rates!$B$4+F167*Rates!$B$5+G167*Rates!$B$6+H167*Rates!$B$7</x:f>
        <x:v>0.0023</x:v>
      </x:c>
    </x:row>
    <x:row r="168" ht="24" customHeight="1">
      <x:c r="A168" s="10" t="str">
        <x:v>S02-07</x:v>
      </x:c>
      <x:c r="B168" s="10" t="str">
        <x:v>A</x:v>
      </x:c>
      <x:c r="C168" s="10" t="str">
        <x:v>speech_output</x:v>
      </x:c>
      <x:c r="D168" s="10" t="str">
        <x:v>retained</x:v>
      </x:c>
      <x:c r="E168" s="13" t="n">
        <x:v>126</x:v>
      </x:c>
      <x:c r="F168" s="13" t="n">
        <x:v>0</x:v>
      </x:c>
      <x:c r="G168" s="10" t="n">
        <x:v>0</x:v>
      </x:c>
      <x:c r="H168" s="10" t="n">
        <x:v>2.818</x:v>
      </x:c>
      <x:c r="I168" s="11" t="n">
        <x:f>E168*Rates!$B$4+F168*Rates!$B$5+G168*Rates!$B$6+H168*Rates!$B$7</x:f>
        <x:v>0.005762000000000001</x:v>
      </x:c>
    </x:row>
    <x:row r="169" ht="24" customHeight="1">
      <x:c r="A169" s="10" t="str">
        <x:v>S02-07</x:v>
      </x:c>
      <x:c r="B169" s="10" t="str">
        <x:v>B</x:v>
      </x:c>
      <x:c r="C169" s="10" t="str">
        <x:v>semantic</x:v>
      </x:c>
      <x:c r="D169" s="10" t="str">
        <x:v>setup</x:v>
      </x:c>
      <x:c r="E169" s="13" t="n">
        <x:v>600</x:v>
      </x:c>
      <x:c r="F169" s="13" t="n">
        <x:v>16</x:v>
      </x:c>
      <x:c r="G169" s="10" t="n">
        <x:v>0</x:v>
      </x:c>
      <x:c r="H169" s="10" t="n">
        <x:v>0</x:v>
      </x:c>
      <x:c r="I169" s="11" t="n">
        <x:f>E169*Rates!$B$4+F169*Rates!$B$5+G169*Rates!$B$6+H169*Rates!$B$7</x:f>
        <x:v>0.000664</x:v>
      </x:c>
    </x:row>
    <x:row r="170" ht="24" customHeight="1">
      <x:c r="A170" s="10" t="str">
        <x:v>S02-07</x:v>
      </x:c>
      <x:c r="B170" s="10" t="str">
        <x:v>B</x:v>
      </x:c>
      <x:c r="C170" s="10" t="str">
        <x:v>speech_input</x:v>
      </x:c>
      <x:c r="D170" s="10" t="str">
        <x:v>setup</x:v>
      </x:c>
      <x:c r="E170" s="13" t="n">
        <x:v>0</x:v>
      </x:c>
      <x:c r="F170" s="13" t="n">
        <x:v>0</x:v>
      </x:c>
      <x:c r="G170" s="10" t="n">
        <x:v>2</x:v>
      </x:c>
      <x:c r="H170" s="10" t="n">
        <x:v>0</x:v>
      </x:c>
      <x:c r="I170" s="11" t="n">
        <x:f>E170*Rates!$B$4+F170*Rates!$B$5+G170*Rates!$B$6+H170*Rates!$B$7</x:f>
        <x:v>0.002</x:v>
      </x:c>
    </x:row>
    <x:row r="171" ht="24" customHeight="1">
      <x:c r="A171" s="10" t="str">
        <x:v>S02-07</x:v>
      </x:c>
      <x:c r="B171" s="10" t="str">
        <x:v>B</x:v>
      </x:c>
      <x:c r="C171" s="10" t="str">
        <x:v>semantic</x:v>
      </x:c>
      <x:c r="D171" s="10" t="str">
        <x:v>evaluation</x:v>
      </x:c>
      <x:c r="E171" s="13" t="n">
        <x:v>740</x:v>
      </x:c>
      <x:c r="F171" s="13" t="n">
        <x:v>18</x:v>
      </x:c>
      <x:c r="G171" s="10" t="n">
        <x:v>0</x:v>
      </x:c>
      <x:c r="H171" s="10" t="n">
        <x:v>0</x:v>
      </x:c>
      <x:c r="I171" s="11" t="n">
        <x:f>E171*Rates!$B$4+F171*Rates!$B$5+G171*Rates!$B$6+H171*Rates!$B$7</x:f>
        <x:v>0.000812</x:v>
      </x:c>
    </x:row>
    <x:row r="172" ht="24" customHeight="1">
      <x:c r="A172" s="10" t="str">
        <x:v>S02-07</x:v>
      </x:c>
      <x:c r="B172" s="10" t="str">
        <x:v>B</x:v>
      </x:c>
      <x:c r="C172" s="10" t="str">
        <x:v>speech_input</x:v>
      </x:c>
      <x:c r="D172" s="10" t="str">
        <x:v>evaluation</x:v>
      </x:c>
      <x:c r="E172" s="13" t="n">
        <x:v>0</x:v>
      </x:c>
      <x:c r="F172" s="13" t="n">
        <x:v>0</x:v>
      </x:c>
      <x:c r="G172" s="10" t="n">
        <x:v>2.3</x:v>
      </x:c>
      <x:c r="H172" s="10" t="n">
        <x:v>0</x:v>
      </x:c>
      <x:c r="I172" s="11" t="n">
        <x:f>E172*Rates!$B$4+F172*Rates!$B$5+G172*Rates!$B$6+H172*Rates!$B$7</x:f>
        <x:v>0.0023</x:v>
      </x:c>
    </x:row>
    <x:row r="173" ht="24" customHeight="1">
      <x:c r="A173" s="10" t="str">
        <x:v>S02-07</x:v>
      </x:c>
      <x:c r="B173" s="10" t="str">
        <x:v>B</x:v>
      </x:c>
      <x:c r="C173" s="10" t="str">
        <x:v>speech_output</x:v>
      </x:c>
      <x:c r="D173" s="10" t="str">
        <x:v>retained</x:v>
      </x:c>
      <x:c r="E173" s="13" t="n">
        <x:v>126</x:v>
      </x:c>
      <x:c r="F173" s="13" t="n">
        <x:v>0</x:v>
      </x:c>
      <x:c r="G173" s="10" t="n">
        <x:v>0</x:v>
      </x:c>
      <x:c r="H173" s="10" t="n">
        <x:v>2.818</x:v>
      </x:c>
      <x:c r="I173" s="11" t="n">
        <x:f>E173*Rates!$B$4+F173*Rates!$B$5+G173*Rates!$B$6+H173*Rates!$B$7</x:f>
        <x:v>0.005762000000000001</x:v>
      </x:c>
    </x:row>
    <x:row r="174" ht="24" customHeight="1">
      <x:c r="A174" s="10" t="str">
        <x:v>S02-08</x:v>
      </x:c>
      <x:c r="B174" s="10" t="str">
        <x:v>A</x:v>
      </x:c>
      <x:c r="C174" s="10" t="str">
        <x:v>semantic</x:v>
      </x:c>
      <x:c r="D174" s="10" t="str">
        <x:v>setup</x:v>
      </x:c>
      <x:c r="E174" s="13" t="n">
        <x:v>600</x:v>
      </x:c>
      <x:c r="F174" s="13" t="n">
        <x:v>16</x:v>
      </x:c>
      <x:c r="G174" s="10" t="n">
        <x:v>0</x:v>
      </x:c>
      <x:c r="H174" s="10" t="n">
        <x:v>0</x:v>
      </x:c>
      <x:c r="I174" s="11" t="n">
        <x:f>E174*Rates!$B$4+F174*Rates!$B$5+G174*Rates!$B$6+H174*Rates!$B$7</x:f>
        <x:v>0.000664</x:v>
      </x:c>
    </x:row>
    <x:row r="175" ht="24" customHeight="1">
      <x:c r="A175" s="10" t="str">
        <x:v>S02-08</x:v>
      </x:c>
      <x:c r="B175" s="10" t="str">
        <x:v>A</x:v>
      </x:c>
      <x:c r="C175" s="10" t="str">
        <x:v>speech_input</x:v>
      </x:c>
      <x:c r="D175" s="10" t="str">
        <x:v>setup</x:v>
      </x:c>
      <x:c r="E175" s="13" t="n">
        <x:v>0</x:v>
      </x:c>
      <x:c r="F175" s="13" t="n">
        <x:v>0</x:v>
      </x:c>
      <x:c r="G175" s="10" t="n">
        <x:v>2</x:v>
      </x:c>
      <x:c r="H175" s="10" t="n">
        <x:v>0</x:v>
      </x:c>
      <x:c r="I175" s="11" t="n">
        <x:f>E175*Rates!$B$4+F175*Rates!$B$5+G175*Rates!$B$6+H175*Rates!$B$7</x:f>
        <x:v>0.002</x:v>
      </x:c>
    </x:row>
    <x:row r="176" ht="24" customHeight="1">
      <x:c r="A176" s="10" t="str">
        <x:v>S02-08</x:v>
      </x:c>
      <x:c r="B176" s="10" t="str">
        <x:v>A</x:v>
      </x:c>
      <x:c r="C176" s="10" t="str">
        <x:v>semantic</x:v>
      </x:c>
      <x:c r="D176" s="10" t="str">
        <x:v>evaluation</x:v>
      </x:c>
      <x:c r="E176" s="13" t="n">
        <x:v>760</x:v>
      </x:c>
      <x:c r="F176" s="13" t="n">
        <x:v>20</x:v>
      </x:c>
      <x:c r="G176" s="10" t="n">
        <x:v>0</x:v>
      </x:c>
      <x:c r="H176" s="10" t="n">
        <x:v>0</x:v>
      </x:c>
      <x:c r="I176" s="11" t="n">
        <x:f>E176*Rates!$B$4+F176*Rates!$B$5+G176*Rates!$B$6+H176*Rates!$B$7</x:f>
        <x:v>0.0008399999999999999</x:v>
      </x:c>
    </x:row>
    <x:row r="177" ht="24" customHeight="1">
      <x:c r="A177" s="10" t="str">
        <x:v>S02-08</x:v>
      </x:c>
      <x:c r="B177" s="10" t="str">
        <x:v>A</x:v>
      </x:c>
      <x:c r="C177" s="10" t="str">
        <x:v>speech_input</x:v>
      </x:c>
      <x:c r="D177" s="10" t="str">
        <x:v>evaluation</x:v>
      </x:c>
      <x:c r="E177" s="13" t="n">
        <x:v>0</x:v>
      </x:c>
      <x:c r="F177" s="13" t="n">
        <x:v>0</x:v>
      </x:c>
      <x:c r="G177" s="10" t="n">
        <x:v>2.3</x:v>
      </x:c>
      <x:c r="H177" s="10" t="n">
        <x:v>0</x:v>
      </x:c>
      <x:c r="I177" s="11" t="n">
        <x:f>E177*Rates!$B$4+F177*Rates!$B$5+G177*Rates!$B$6+H177*Rates!$B$7</x:f>
        <x:v>0.0023</x:v>
      </x:c>
    </x:row>
    <x:row r="178" ht="24" customHeight="1">
      <x:c r="A178" s="10" t="str">
        <x:v>S02-08</x:v>
      </x:c>
      <x:c r="B178" s="10" t="str">
        <x:v>A</x:v>
      </x:c>
      <x:c r="C178" s="10" t="str">
        <x:v>speech_output</x:v>
      </x:c>
      <x:c r="D178" s="10" t="str">
        <x:v>retained</x:v>
      </x:c>
      <x:c r="E178" s="13" t="n">
        <x:v>126</x:v>
      </x:c>
      <x:c r="F178" s="13" t="n">
        <x:v>0</x:v>
      </x:c>
      <x:c r="G178" s="10" t="n">
        <x:v>0</x:v>
      </x:c>
      <x:c r="H178" s="10" t="n">
        <x:v>2.83</x:v>
      </x:c>
      <x:c r="I178" s="11" t="n">
        <x:f>E178*Rates!$B$4+F178*Rates!$B$5+G178*Rates!$B$6+H178*Rates!$B$7</x:f>
        <x:v>0.005786</x:v>
      </x:c>
    </x:row>
    <x:row r="179" ht="24" customHeight="1">
      <x:c r="A179" s="10" t="str">
        <x:v>S02-08</x:v>
      </x:c>
      <x:c r="B179" s="10" t="str">
        <x:v>B</x:v>
      </x:c>
      <x:c r="C179" s="10" t="str">
        <x:v>semantic</x:v>
      </x:c>
      <x:c r="D179" s="10" t="str">
        <x:v>setup</x:v>
      </x:c>
      <x:c r="E179" s="13" t="n">
        <x:v>600</x:v>
      </x:c>
      <x:c r="F179" s="13" t="n">
        <x:v>16</x:v>
      </x:c>
      <x:c r="G179" s="10" t="n">
        <x:v>0</x:v>
      </x:c>
      <x:c r="H179" s="10" t="n">
        <x:v>0</x:v>
      </x:c>
      <x:c r="I179" s="11" t="n">
        <x:f>E179*Rates!$B$4+F179*Rates!$B$5+G179*Rates!$B$6+H179*Rates!$B$7</x:f>
        <x:v>0.000664</x:v>
      </x:c>
    </x:row>
    <x:row r="180" ht="24" customHeight="1">
      <x:c r="A180" s="10" t="str">
        <x:v>S02-08</x:v>
      </x:c>
      <x:c r="B180" s="10" t="str">
        <x:v>B</x:v>
      </x:c>
      <x:c r="C180" s="10" t="str">
        <x:v>speech_input</x:v>
      </x:c>
      <x:c r="D180" s="10" t="str">
        <x:v>setup</x:v>
      </x:c>
      <x:c r="E180" s="13" t="n">
        <x:v>0</x:v>
      </x:c>
      <x:c r="F180" s="13" t="n">
        <x:v>0</x:v>
      </x:c>
      <x:c r="G180" s="10" t="n">
        <x:v>2</x:v>
      </x:c>
      <x:c r="H180" s="10" t="n">
        <x:v>0</x:v>
      </x:c>
      <x:c r="I180" s="11" t="n">
        <x:f>E180*Rates!$B$4+F180*Rates!$B$5+G180*Rates!$B$6+H180*Rates!$B$7</x:f>
        <x:v>0.002</x:v>
      </x:c>
    </x:row>
    <x:row r="181" ht="24" customHeight="1">
      <x:c r="A181" s="10" t="str">
        <x:v>S02-08</x:v>
      </x:c>
      <x:c r="B181" s="10" t="str">
        <x:v>B</x:v>
      </x:c>
      <x:c r="C181" s="10" t="str">
        <x:v>semantic</x:v>
      </x:c>
      <x:c r="D181" s="10" t="str">
        <x:v>evaluation</x:v>
      </x:c>
      <x:c r="E181" s="13" t="n">
        <x:v>760</x:v>
      </x:c>
      <x:c r="F181" s="13" t="n">
        <x:v>20</x:v>
      </x:c>
      <x:c r="G181" s="10" t="n">
        <x:v>0</x:v>
      </x:c>
      <x:c r="H181" s="10" t="n">
        <x:v>0</x:v>
      </x:c>
      <x:c r="I181" s="11" t="n">
        <x:f>E181*Rates!$B$4+F181*Rates!$B$5+G181*Rates!$B$6+H181*Rates!$B$7</x:f>
        <x:v>0.0008399999999999999</x:v>
      </x:c>
    </x:row>
    <x:row r="182" ht="24" customHeight="1">
      <x:c r="A182" s="10" t="str">
        <x:v>S02-08</x:v>
      </x:c>
      <x:c r="B182" s="10" t="str">
        <x:v>B</x:v>
      </x:c>
      <x:c r="C182" s="10" t="str">
        <x:v>speech_input</x:v>
      </x:c>
      <x:c r="D182" s="10" t="str">
        <x:v>evaluation</x:v>
      </x:c>
      <x:c r="E182" s="13" t="n">
        <x:v>0</x:v>
      </x:c>
      <x:c r="F182" s="13" t="n">
        <x:v>0</x:v>
      </x:c>
      <x:c r="G182" s="10" t="n">
        <x:v>2.3</x:v>
      </x:c>
      <x:c r="H182" s="10" t="n">
        <x:v>0</x:v>
      </x:c>
      <x:c r="I182" s="11" t="n">
        <x:f>E182*Rates!$B$4+F182*Rates!$B$5+G182*Rates!$B$6+H182*Rates!$B$7</x:f>
        <x:v>0.0023</x:v>
      </x:c>
    </x:row>
    <x:row r="183" ht="24" customHeight="1">
      <x:c r="A183" s="10" t="str">
        <x:v>S02-08</x:v>
      </x:c>
      <x:c r="B183" s="10" t="str">
        <x:v>B</x:v>
      </x:c>
      <x:c r="C183" s="10" t="str">
        <x:v>speech_output</x:v>
      </x:c>
      <x:c r="D183" s="10" t="str">
        <x:v>retained</x:v>
      </x:c>
      <x:c r="E183" s="13" t="n">
        <x:v>126</x:v>
      </x:c>
      <x:c r="F183" s="13" t="n">
        <x:v>0</x:v>
      </x:c>
      <x:c r="G183" s="10" t="n">
        <x:v>0</x:v>
      </x:c>
      <x:c r="H183" s="10" t="n">
        <x:v>2.83</x:v>
      </x:c>
      <x:c r="I183" s="11" t="n">
        <x:f>E183*Rates!$B$4+F183*Rates!$B$5+G183*Rates!$B$6+H183*Rates!$B$7</x:f>
        <x:v>0.005786</x:v>
      </x:c>
    </x:row>
    <x:row r="184" ht="24" customHeight="1">
      <x:c r="A184" s="10" t="str">
        <x:v>S02-09</x:v>
      </x:c>
      <x:c r="B184" s="10" t="str">
        <x:v>A</x:v>
      </x:c>
      <x:c r="C184" s="10" t="str">
        <x:v>semantic</x:v>
      </x:c>
      <x:c r="D184" s="10" t="str">
        <x:v>setup</x:v>
      </x:c>
      <x:c r="E184" s="13" t="n">
        <x:v>600</x:v>
      </x:c>
      <x:c r="F184" s="13" t="n">
        <x:v>16</x:v>
      </x:c>
      <x:c r="G184" s="10" t="n">
        <x:v>0</x:v>
      </x:c>
      <x:c r="H184" s="10" t="n">
        <x:v>0</x:v>
      </x:c>
      <x:c r="I184" s="11" t="n">
        <x:f>E184*Rates!$B$4+F184*Rates!$B$5+G184*Rates!$B$6+H184*Rates!$B$7</x:f>
        <x:v>0.000664</x:v>
      </x:c>
    </x:row>
    <x:row r="185" ht="24" customHeight="1">
      <x:c r="A185" s="10" t="str">
        <x:v>S02-09</x:v>
      </x:c>
      <x:c r="B185" s="10" t="str">
        <x:v>A</x:v>
      </x:c>
      <x:c r="C185" s="10" t="str">
        <x:v>speech_input</x:v>
      </x:c>
      <x:c r="D185" s="10" t="str">
        <x:v>setup</x:v>
      </x:c>
      <x:c r="E185" s="13" t="n">
        <x:v>0</x:v>
      </x:c>
      <x:c r="F185" s="13" t="n">
        <x:v>0</x:v>
      </x:c>
      <x:c r="G185" s="10" t="n">
        <x:v>2</x:v>
      </x:c>
      <x:c r="H185" s="10" t="n">
        <x:v>0</x:v>
      </x:c>
      <x:c r="I185" s="11" t="n">
        <x:f>E185*Rates!$B$4+F185*Rates!$B$5+G185*Rates!$B$6+H185*Rates!$B$7</x:f>
        <x:v>0.002</x:v>
      </x:c>
    </x:row>
    <x:row r="186" ht="24" customHeight="1">
      <x:c r="A186" s="10" t="str">
        <x:v>S02-09</x:v>
      </x:c>
      <x:c r="B186" s="10" t="str">
        <x:v>A</x:v>
      </x:c>
      <x:c r="C186" s="10" t="str">
        <x:v>semantic</x:v>
      </x:c>
      <x:c r="D186" s="10" t="str">
        <x:v>evaluation</x:v>
      </x:c>
      <x:c r="E186" s="13" t="n">
        <x:v>780</x:v>
      </x:c>
      <x:c r="F186" s="13" t="n">
        <x:v>16</x:v>
      </x:c>
      <x:c r="G186" s="10" t="n">
        <x:v>0</x:v>
      </x:c>
      <x:c r="H186" s="10" t="n">
        <x:v>0</x:v>
      </x:c>
      <x:c r="I186" s="11" t="n">
        <x:f>E186*Rates!$B$4+F186*Rates!$B$5+G186*Rates!$B$6+H186*Rates!$B$7</x:f>
        <x:v>0.000844</x:v>
      </x:c>
    </x:row>
    <x:row r="187" ht="24" customHeight="1">
      <x:c r="A187" s="10" t="str">
        <x:v>S02-09</x:v>
      </x:c>
      <x:c r="B187" s="10" t="str">
        <x:v>A</x:v>
      </x:c>
      <x:c r="C187" s="10" t="str">
        <x:v>speech_input</x:v>
      </x:c>
      <x:c r="D187" s="10" t="str">
        <x:v>evaluation</x:v>
      </x:c>
      <x:c r="E187" s="13" t="n">
        <x:v>0</x:v>
      </x:c>
      <x:c r="F187" s="13" t="n">
        <x:v>0</x:v>
      </x:c>
      <x:c r="G187" s="10" t="n">
        <x:v>2.3</x:v>
      </x:c>
      <x:c r="H187" s="10" t="n">
        <x:v>0</x:v>
      </x:c>
      <x:c r="I187" s="11" t="n">
        <x:f>E187*Rates!$B$4+F187*Rates!$B$5+G187*Rates!$B$6+H187*Rates!$B$7</x:f>
        <x:v>0.0023</x:v>
      </x:c>
    </x:row>
    <x:row r="188" ht="24" customHeight="1">
      <x:c r="A188" s="10" t="str">
        <x:v>S02-09</x:v>
      </x:c>
      <x:c r="B188" s="10" t="str">
        <x:v>A</x:v>
      </x:c>
      <x:c r="C188" s="10" t="str">
        <x:v>speech_output</x:v>
      </x:c>
      <x:c r="D188" s="10" t="str">
        <x:v>retained</x:v>
      </x:c>
      <x:c r="E188" s="13" t="n">
        <x:v>126</x:v>
      </x:c>
      <x:c r="F188" s="13" t="n">
        <x:v>0</x:v>
      </x:c>
      <x:c r="G188" s="10" t="n">
        <x:v>0</x:v>
      </x:c>
      <x:c r="H188" s="10" t="n">
        <x:v>2.842</x:v>
      </x:c>
      <x:c r="I188" s="11" t="n">
        <x:f>E188*Rates!$B$4+F188*Rates!$B$5+G188*Rates!$B$6+H188*Rates!$B$7</x:f>
        <x:v>0.005810000000000001</x:v>
      </x:c>
    </x:row>
    <x:row r="189" ht="24" customHeight="1">
      <x:c r="A189" s="10" t="str">
        <x:v>S02-09</x:v>
      </x:c>
      <x:c r="B189" s="10" t="str">
        <x:v>B</x:v>
      </x:c>
      <x:c r="C189" s="10" t="str">
        <x:v>semantic</x:v>
      </x:c>
      <x:c r="D189" s="10" t="str">
        <x:v>setup</x:v>
      </x:c>
      <x:c r="E189" s="13" t="n">
        <x:v>600</x:v>
      </x:c>
      <x:c r="F189" s="13" t="n">
        <x:v>16</x:v>
      </x:c>
      <x:c r="G189" s="10" t="n">
        <x:v>0</x:v>
      </x:c>
      <x:c r="H189" s="10" t="n">
        <x:v>0</x:v>
      </x:c>
      <x:c r="I189" s="11" t="n">
        <x:f>E189*Rates!$B$4+F189*Rates!$B$5+G189*Rates!$B$6+H189*Rates!$B$7</x:f>
        <x:v>0.000664</x:v>
      </x:c>
    </x:row>
    <x:row r="190" ht="24" customHeight="1">
      <x:c r="A190" s="10" t="str">
        <x:v>S02-09</x:v>
      </x:c>
      <x:c r="B190" s="10" t="str">
        <x:v>B</x:v>
      </x:c>
      <x:c r="C190" s="10" t="str">
        <x:v>speech_input</x:v>
      </x:c>
      <x:c r="D190" s="10" t="str">
        <x:v>setup</x:v>
      </x:c>
      <x:c r="E190" s="13" t="n">
        <x:v>0</x:v>
      </x:c>
      <x:c r="F190" s="13" t="n">
        <x:v>0</x:v>
      </x:c>
      <x:c r="G190" s="10" t="n">
        <x:v>2</x:v>
      </x:c>
      <x:c r="H190" s="10" t="n">
        <x:v>0</x:v>
      </x:c>
      <x:c r="I190" s="11" t="n">
        <x:f>E190*Rates!$B$4+F190*Rates!$B$5+G190*Rates!$B$6+H190*Rates!$B$7</x:f>
        <x:v>0.002</x:v>
      </x:c>
    </x:row>
    <x:row r="191" ht="24" customHeight="1">
      <x:c r="A191" s="10" t="str">
        <x:v>S02-09</x:v>
      </x:c>
      <x:c r="B191" s="10" t="str">
        <x:v>B</x:v>
      </x:c>
      <x:c r="C191" s="10" t="str">
        <x:v>semantic</x:v>
      </x:c>
      <x:c r="D191" s="10" t="str">
        <x:v>evaluation</x:v>
      </x:c>
      <x:c r="E191" s="13" t="n">
        <x:v>780</x:v>
      </x:c>
      <x:c r="F191" s="13" t="n">
        <x:v>16</x:v>
      </x:c>
      <x:c r="G191" s="10" t="n">
        <x:v>0</x:v>
      </x:c>
      <x:c r="H191" s="10" t="n">
        <x:v>0</x:v>
      </x:c>
      <x:c r="I191" s="11" t="n">
        <x:f>E191*Rates!$B$4+F191*Rates!$B$5+G191*Rates!$B$6+H191*Rates!$B$7</x:f>
        <x:v>0.000844</x:v>
      </x:c>
    </x:row>
    <x:row r="192" ht="24" customHeight="1">
      <x:c r="A192" s="10" t="str">
        <x:v>S02-09</x:v>
      </x:c>
      <x:c r="B192" s="10" t="str">
        <x:v>B</x:v>
      </x:c>
      <x:c r="C192" s="10" t="str">
        <x:v>speech_input</x:v>
      </x:c>
      <x:c r="D192" s="10" t="str">
        <x:v>evaluation</x:v>
      </x:c>
      <x:c r="E192" s="13" t="n">
        <x:v>0</x:v>
      </x:c>
      <x:c r="F192" s="13" t="n">
        <x:v>0</x:v>
      </x:c>
      <x:c r="G192" s="10" t="n">
        <x:v>2.3</x:v>
      </x:c>
      <x:c r="H192" s="10" t="n">
        <x:v>0</x:v>
      </x:c>
      <x:c r="I192" s="11" t="n">
        <x:f>E192*Rates!$B$4+F192*Rates!$B$5+G192*Rates!$B$6+H192*Rates!$B$7</x:f>
        <x:v>0.0023</x:v>
      </x:c>
    </x:row>
    <x:row r="193" ht="24" customHeight="1">
      <x:c r="A193" s="10" t="str">
        <x:v>S02-09</x:v>
      </x:c>
      <x:c r="B193" s="10" t="str">
        <x:v>B</x:v>
      </x:c>
      <x:c r="C193" s="10" t="str">
        <x:v>speech_output</x:v>
      </x:c>
      <x:c r="D193" s="10" t="str">
        <x:v>retained</x:v>
      </x:c>
      <x:c r="E193" s="13" t="n">
        <x:v>126</x:v>
      </x:c>
      <x:c r="F193" s="13" t="n">
        <x:v>0</x:v>
      </x:c>
      <x:c r="G193" s="10" t="n">
        <x:v>0</x:v>
      </x:c>
      <x:c r="H193" s="10" t="n">
        <x:v>2.842</x:v>
      </x:c>
      <x:c r="I193" s="11" t="n">
        <x:f>E193*Rates!$B$4+F193*Rates!$B$5+G193*Rates!$B$6+H193*Rates!$B$7</x:f>
        <x:v>0.005810000000000001</x:v>
      </x:c>
    </x:row>
    <x:row r="194" ht="24" customHeight="1">
      <x:c r="A194" s="10" t="str">
        <x:v>S02-10</x:v>
      </x:c>
      <x:c r="B194" s="10" t="str">
        <x:v>A</x:v>
      </x:c>
      <x:c r="C194" s="10" t="str">
        <x:v>semantic</x:v>
      </x:c>
      <x:c r="D194" s="10" t="str">
        <x:v>setup</x:v>
      </x:c>
      <x:c r="E194" s="13" t="n">
        <x:v>600</x:v>
      </x:c>
      <x:c r="F194" s="13" t="n">
        <x:v>16</x:v>
      </x:c>
      <x:c r="G194" s="10" t="n">
        <x:v>0</x:v>
      </x:c>
      <x:c r="H194" s="10" t="n">
        <x:v>0</x:v>
      </x:c>
      <x:c r="I194" s="11" t="n">
        <x:f>E194*Rates!$B$4+F194*Rates!$B$5+G194*Rates!$B$6+H194*Rates!$B$7</x:f>
        <x:v>0.000664</x:v>
      </x:c>
    </x:row>
    <x:row r="195" ht="24" customHeight="1">
      <x:c r="A195" s="10" t="str">
        <x:v>S02-10</x:v>
      </x:c>
      <x:c r="B195" s="10" t="str">
        <x:v>A</x:v>
      </x:c>
      <x:c r="C195" s="10" t="str">
        <x:v>speech_input</x:v>
      </x:c>
      <x:c r="D195" s="10" t="str">
        <x:v>setup</x:v>
      </x:c>
      <x:c r="E195" s="13" t="n">
        <x:v>0</x:v>
      </x:c>
      <x:c r="F195" s="13" t="n">
        <x:v>0</x:v>
      </x:c>
      <x:c r="G195" s="10" t="n">
        <x:v>2</x:v>
      </x:c>
      <x:c r="H195" s="10" t="n">
        <x:v>0</x:v>
      </x:c>
      <x:c r="I195" s="11" t="n">
        <x:f>E195*Rates!$B$4+F195*Rates!$B$5+G195*Rates!$B$6+H195*Rates!$B$7</x:f>
        <x:v>0.002</x:v>
      </x:c>
    </x:row>
    <x:row r="196" ht="24" customHeight="1">
      <x:c r="A196" s="10" t="str">
        <x:v>S02-10</x:v>
      </x:c>
      <x:c r="B196" s="10" t="str">
        <x:v>A</x:v>
      </x:c>
      <x:c r="C196" s="10" t="str">
        <x:v>semantic</x:v>
      </x:c>
      <x:c r="D196" s="10" t="str">
        <x:v>evaluation</x:v>
      </x:c>
      <x:c r="E196" s="13" t="n">
        <x:v>800</x:v>
      </x:c>
      <x:c r="F196" s="13" t="n">
        <x:v>18</x:v>
      </x:c>
      <x:c r="G196" s="10" t="n">
        <x:v>0</x:v>
      </x:c>
      <x:c r="H196" s="10" t="n">
        <x:v>0</x:v>
      </x:c>
      <x:c r="I196" s="11" t="n">
        <x:f>E196*Rates!$B$4+F196*Rates!$B$5+G196*Rates!$B$6+H196*Rates!$B$7</x:f>
        <x:v>0.0008719999999999999</x:v>
      </x:c>
    </x:row>
    <x:row r="197" ht="24" customHeight="1">
      <x:c r="A197" s="10" t="str">
        <x:v>S02-10</x:v>
      </x:c>
      <x:c r="B197" s="10" t="str">
        <x:v>A</x:v>
      </x:c>
      <x:c r="C197" s="10" t="str">
        <x:v>speech_input</x:v>
      </x:c>
      <x:c r="D197" s="10" t="str">
        <x:v>evaluation</x:v>
      </x:c>
      <x:c r="E197" s="13" t="n">
        <x:v>0</x:v>
      </x:c>
      <x:c r="F197" s="13" t="n">
        <x:v>0</x:v>
      </x:c>
      <x:c r="G197" s="10" t="n">
        <x:v>2.3</x:v>
      </x:c>
      <x:c r="H197" s="10" t="n">
        <x:v>0</x:v>
      </x:c>
      <x:c r="I197" s="11" t="n">
        <x:f>E197*Rates!$B$4+F197*Rates!$B$5+G197*Rates!$B$6+H197*Rates!$B$7</x:f>
        <x:v>0.0023</x:v>
      </x:c>
    </x:row>
    <x:row r="198" ht="24" customHeight="1">
      <x:c r="A198" s="10" t="str">
        <x:v>S02-10</x:v>
      </x:c>
      <x:c r="B198" s="10" t="str">
        <x:v>A</x:v>
      </x:c>
      <x:c r="C198" s="10" t="str">
        <x:v>speech_output</x:v>
      </x:c>
      <x:c r="D198" s="10" t="str">
        <x:v>retained</x:v>
      </x:c>
      <x:c r="E198" s="13" t="n">
        <x:v>126</x:v>
      </x:c>
      <x:c r="F198" s="13" t="n">
        <x:v>0</x:v>
      </x:c>
      <x:c r="G198" s="10" t="n">
        <x:v>0</x:v>
      </x:c>
      <x:c r="H198" s="10" t="n">
        <x:v>2.854</x:v>
      </x:c>
      <x:c r="I198" s="11" t="n">
        <x:f>E198*Rates!$B$4+F198*Rates!$B$5+G198*Rates!$B$6+H198*Rates!$B$7</x:f>
        <x:v>0.005834000000000001</x:v>
      </x:c>
    </x:row>
    <x:row r="199" ht="24" customHeight="1">
      <x:c r="A199" s="10" t="str">
        <x:v>S02-10</x:v>
      </x:c>
      <x:c r="B199" s="10" t="str">
        <x:v>B</x:v>
      </x:c>
      <x:c r="C199" s="10" t="str">
        <x:v>semantic</x:v>
      </x:c>
      <x:c r="D199" s="10" t="str">
        <x:v>setup</x:v>
      </x:c>
      <x:c r="E199" s="13" t="n">
        <x:v>600</x:v>
      </x:c>
      <x:c r="F199" s="13" t="n">
        <x:v>16</x:v>
      </x:c>
      <x:c r="G199" s="10" t="n">
        <x:v>0</x:v>
      </x:c>
      <x:c r="H199" s="10" t="n">
        <x:v>0</x:v>
      </x:c>
      <x:c r="I199" s="11" t="n">
        <x:f>E199*Rates!$B$4+F199*Rates!$B$5+G199*Rates!$B$6+H199*Rates!$B$7</x:f>
        <x:v>0.000664</x:v>
      </x:c>
    </x:row>
    <x:row r="200" ht="24" customHeight="1">
      <x:c r="A200" s="10" t="str">
        <x:v>S02-10</x:v>
      </x:c>
      <x:c r="B200" s="10" t="str">
        <x:v>B</x:v>
      </x:c>
      <x:c r="C200" s="10" t="str">
        <x:v>speech_input</x:v>
      </x:c>
      <x:c r="D200" s="10" t="str">
        <x:v>setup</x:v>
      </x:c>
      <x:c r="E200" s="13" t="n">
        <x:v>0</x:v>
      </x:c>
      <x:c r="F200" s="13" t="n">
        <x:v>0</x:v>
      </x:c>
      <x:c r="G200" s="10" t="n">
        <x:v>2</x:v>
      </x:c>
      <x:c r="H200" s="10" t="n">
        <x:v>0</x:v>
      </x:c>
      <x:c r="I200" s="11" t="n">
        <x:f>E200*Rates!$B$4+F200*Rates!$B$5+G200*Rates!$B$6+H200*Rates!$B$7</x:f>
        <x:v>0.002</x:v>
      </x:c>
    </x:row>
    <x:row r="201" ht="24" customHeight="1">
      <x:c r="A201" s="10" t="str">
        <x:v>S02-10</x:v>
      </x:c>
      <x:c r="B201" s="10" t="str">
        <x:v>B</x:v>
      </x:c>
      <x:c r="C201" s="10" t="str">
        <x:v>semantic</x:v>
      </x:c>
      <x:c r="D201" s="10" t="str">
        <x:v>evaluation</x:v>
      </x:c>
      <x:c r="E201" s="13" t="n">
        <x:v>800</x:v>
      </x:c>
      <x:c r="F201" s="13" t="n">
        <x:v>18</x:v>
      </x:c>
      <x:c r="G201" s="10" t="n">
        <x:v>0</x:v>
      </x:c>
      <x:c r="H201" s="10" t="n">
        <x:v>0</x:v>
      </x:c>
      <x:c r="I201" s="11" t="n">
        <x:f>E201*Rates!$B$4+F201*Rates!$B$5+G201*Rates!$B$6+H201*Rates!$B$7</x:f>
        <x:v>0.0008719999999999999</x:v>
      </x:c>
    </x:row>
    <x:row r="202" ht="24" customHeight="1">
      <x:c r="A202" s="10" t="str">
        <x:v>S02-10</x:v>
      </x:c>
      <x:c r="B202" s="10" t="str">
        <x:v>B</x:v>
      </x:c>
      <x:c r="C202" s="10" t="str">
        <x:v>speech_input</x:v>
      </x:c>
      <x:c r="D202" s="10" t="str">
        <x:v>evaluation</x:v>
      </x:c>
      <x:c r="E202" s="13" t="n">
        <x:v>0</x:v>
      </x:c>
      <x:c r="F202" s="13" t="n">
        <x:v>0</x:v>
      </x:c>
      <x:c r="G202" s="10" t="n">
        <x:v>2.3</x:v>
      </x:c>
      <x:c r="H202" s="10" t="n">
        <x:v>0</x:v>
      </x:c>
      <x:c r="I202" s="11" t="n">
        <x:f>E202*Rates!$B$4+F202*Rates!$B$5+G202*Rates!$B$6+H202*Rates!$B$7</x:f>
        <x:v>0.0023</x:v>
      </x:c>
    </x:row>
    <x:row r="203" ht="24" customHeight="1">
      <x:c r="A203" s="10" t="str">
        <x:v>S02-10</x:v>
      </x:c>
      <x:c r="B203" s="10" t="str">
        <x:v>B</x:v>
      </x:c>
      <x:c r="C203" s="10" t="str">
        <x:v>speech_output</x:v>
      </x:c>
      <x:c r="D203" s="10" t="str">
        <x:v>retained</x:v>
      </x:c>
      <x:c r="E203" s="13" t="n">
        <x:v>126</x:v>
      </x:c>
      <x:c r="F203" s="13" t="n">
        <x:v>0</x:v>
      </x:c>
      <x:c r="G203" s="10" t="n">
        <x:v>0</x:v>
      </x:c>
      <x:c r="H203" s="10" t="n">
        <x:v>2.854</x:v>
      </x:c>
      <x:c r="I203" s="11" t="n">
        <x:f>E203*Rates!$B$4+F203*Rates!$B$5+G203*Rates!$B$6+H203*Rates!$B$7</x:f>
        <x:v>0.005834000000000001</x:v>
      </x:c>
    </x:row>
    <x:row r="204" ht="24" customHeight="1">
      <x:c r="A204" s="10" t="str">
        <x:v>S03-01</x:v>
      </x:c>
      <x:c r="B204" s="10" t="str">
        <x:v>A</x:v>
      </x:c>
      <x:c r="C204" s="10" t="str">
        <x:v>semantic</x:v>
      </x:c>
      <x:c r="D204" s="10" t="str">
        <x:v>setup</x:v>
      </x:c>
      <x:c r="E204" s="13" t="n">
        <x:v>600</x:v>
      </x:c>
      <x:c r="F204" s="13" t="n">
        <x:v>16</x:v>
      </x:c>
      <x:c r="G204" s="10" t="n">
        <x:v>0</x:v>
      </x:c>
      <x:c r="H204" s="10" t="n">
        <x:v>0</x:v>
      </x:c>
      <x:c r="I204" s="11" t="n">
        <x:f>E204*Rates!$B$4+F204*Rates!$B$5+G204*Rates!$B$6+H204*Rates!$B$7</x:f>
        <x:v>0.000664</x:v>
      </x:c>
    </x:row>
    <x:row r="205" ht="24" customHeight="1">
      <x:c r="A205" s="10" t="str">
        <x:v>S03-01</x:v>
      </x:c>
      <x:c r="B205" s="10" t="str">
        <x:v>A</x:v>
      </x:c>
      <x:c r="C205" s="10" t="str">
        <x:v>speech_input</x:v>
      </x:c>
      <x:c r="D205" s="10" t="str">
        <x:v>setup</x:v>
      </x:c>
      <x:c r="E205" s="13" t="n">
        <x:v>0</x:v>
      </x:c>
      <x:c r="F205" s="13" t="n">
        <x:v>0</x:v>
      </x:c>
      <x:c r="G205" s="10" t="n">
        <x:v>2</x:v>
      </x:c>
      <x:c r="H205" s="10" t="n">
        <x:v>0</x:v>
      </x:c>
      <x:c r="I205" s="11" t="n">
        <x:f>E205*Rates!$B$4+F205*Rates!$B$5+G205*Rates!$B$6+H205*Rates!$B$7</x:f>
        <x:v>0.002</x:v>
      </x:c>
    </x:row>
    <x:row r="206" ht="24" customHeight="1">
      <x:c r="A206" s="10" t="str">
        <x:v>S03-01</x:v>
      </x:c>
      <x:c r="B206" s="10" t="str">
        <x:v>A</x:v>
      </x:c>
      <x:c r="C206" s="10" t="str">
        <x:v>semantic</x:v>
      </x:c>
      <x:c r="D206" s="10" t="str">
        <x:v>evaluation</x:v>
      </x:c>
      <x:c r="E206" s="13" t="n">
        <x:v>620</x:v>
      </x:c>
      <x:c r="F206" s="13" t="n">
        <x:v>18</x:v>
      </x:c>
      <x:c r="G206" s="10" t="n">
        <x:v>0</x:v>
      </x:c>
      <x:c r="H206" s="10" t="n">
        <x:v>0</x:v>
      </x:c>
      <x:c r="I206" s="11" t="n">
        <x:f>E206*Rates!$B$4+F206*Rates!$B$5+G206*Rates!$B$6+H206*Rates!$B$7</x:f>
        <x:v>0.000692</x:v>
      </x:c>
    </x:row>
    <x:row r="207" ht="24" customHeight="1">
      <x:c r="A207" s="10" t="str">
        <x:v>S03-01</x:v>
      </x:c>
      <x:c r="B207" s="10" t="str">
        <x:v>A</x:v>
      </x:c>
      <x:c r="C207" s="10" t="str">
        <x:v>speech_input</x:v>
      </x:c>
      <x:c r="D207" s="10" t="str">
        <x:v>evaluation</x:v>
      </x:c>
      <x:c r="E207" s="13" t="n">
        <x:v>0</x:v>
      </x:c>
      <x:c r="F207" s="13" t="n">
        <x:v>0</x:v>
      </x:c>
      <x:c r="G207" s="10" t="n">
        <x:v>4.4</x:v>
      </x:c>
      <x:c r="H207" s="10" t="n">
        <x:v>0</x:v>
      </x:c>
      <x:c r="I207" s="11" t="n">
        <x:f>E207*Rates!$B$4+F207*Rates!$B$5+G207*Rates!$B$6+H207*Rates!$B$7</x:f>
        <x:v>0.0044</x:v>
      </x:c>
    </x:row>
    <x:row r="208" ht="24" customHeight="1">
      <x:c r="A208" s="10" t="str">
        <x:v>S03-01</x:v>
      </x:c>
      <x:c r="B208" s="10" t="str">
        <x:v>A</x:v>
      </x:c>
      <x:c r="C208" s="10" t="str">
        <x:v>speech_output</x:v>
      </x:c>
      <x:c r="D208" s="10" t="str">
        <x:v>retained</x:v>
      </x:c>
      <x:c r="E208" s="13" t="n">
        <x:v>126</x:v>
      </x:c>
      <x:c r="F208" s="13" t="n">
        <x:v>0</x:v>
      </x:c>
      <x:c r="G208" s="10" t="n">
        <x:v>0</x:v>
      </x:c>
      <x:c r="H208" s="10" t="n">
        <x:v>2.746</x:v>
      </x:c>
      <x:c r="I208" s="11" t="n">
        <x:f>E208*Rates!$B$4+F208*Rates!$B$5+G208*Rates!$B$6+H208*Rates!$B$7</x:f>
        <x:v>0.005618000000000001</x:v>
      </x:c>
    </x:row>
    <x:row r="209" ht="24" customHeight="1">
      <x:c r="A209" s="10" t="str">
        <x:v>S03-01</x:v>
      </x:c>
      <x:c r="B209" s="10" t="str">
        <x:v>A</x:v>
      </x:c>
      <x:c r="C209" s="10" t="str">
        <x:v>speech_output</x:v>
      </x:c>
      <x:c r="D209" s="10" t="str">
        <x:v>discarded</x:v>
      </x:c>
      <x:c r="E209" s="13" t="n">
        <x:v>180</x:v>
      </x:c>
      <x:c r="F209" s="13" t="n">
        <x:v>0</x:v>
      </x:c>
      <x:c r="G209" s="10" t="n">
        <x:v>0</x:v>
      </x:c>
      <x:c r="H209" s="10" t="n">
        <x:v>6.433333332</x:v>
      </x:c>
      <x:c r="I209" s="11" t="n">
        <x:f>E209*Rates!$B$4+F209*Rates!$B$5+G209*Rates!$B$6+H209*Rates!$B$7</x:f>
        <x:v>0.013046666664000001</x:v>
      </x:c>
    </x:row>
    <x:row r="210" ht="24" customHeight="1">
      <x:c r="A210" s="10" t="str">
        <x:v>S03-01</x:v>
      </x:c>
      <x:c r="B210" s="10" t="str">
        <x:v>A</x:v>
      </x:c>
      <x:c r="C210" s="10" t="str">
        <x:v>speech_output</x:v>
      </x:c>
      <x:c r="D210" s="10" t="str">
        <x:v>retained</x:v>
      </x:c>
      <x:c r="E210" s="13" t="n">
        <x:v>174</x:v>
      </x:c>
      <x:c r="F210" s="13" t="n">
        <x:v>0</x:v>
      </x:c>
      <x:c r="G210" s="10" t="n">
        <x:v>0</x:v>
      </x:c>
      <x:c r="H210" s="10" t="n">
        <x:v>7.946</x:v>
      </x:c>
      <x:c r="I210" s="11" t="n">
        <x:f>E210*Rates!$B$4+F210*Rates!$B$5+G210*Rates!$B$6+H210*Rates!$B$7</x:f>
        <x:v>0.016066</x:v>
      </x:c>
    </x:row>
    <x:row r="211" ht="24" customHeight="1">
      <x:c r="A211" s="10" t="str">
        <x:v>S03-01</x:v>
      </x:c>
      <x:c r="B211" s="10" t="str">
        <x:v>B</x:v>
      </x:c>
      <x:c r="C211" s="10" t="str">
        <x:v>semantic</x:v>
      </x:c>
      <x:c r="D211" s="10" t="str">
        <x:v>setup</x:v>
      </x:c>
      <x:c r="E211" s="13" t="n">
        <x:v>600</x:v>
      </x:c>
      <x:c r="F211" s="13" t="n">
        <x:v>16</x:v>
      </x:c>
      <x:c r="G211" s="10" t="n">
        <x:v>0</x:v>
      </x:c>
      <x:c r="H211" s="10" t="n">
        <x:v>0</x:v>
      </x:c>
      <x:c r="I211" s="11" t="n">
        <x:f>E211*Rates!$B$4+F211*Rates!$B$5+G211*Rates!$B$6+H211*Rates!$B$7</x:f>
        <x:v>0.000664</x:v>
      </x:c>
    </x:row>
    <x:row r="212" ht="24" customHeight="1">
      <x:c r="A212" s="10" t="str">
        <x:v>S03-01</x:v>
      </x:c>
      <x:c r="B212" s="10" t="str">
        <x:v>B</x:v>
      </x:c>
      <x:c r="C212" s="10" t="str">
        <x:v>speech_input</x:v>
      </x:c>
      <x:c r="D212" s="10" t="str">
        <x:v>setup</x:v>
      </x:c>
      <x:c r="E212" s="13" t="n">
        <x:v>0</x:v>
      </x:c>
      <x:c r="F212" s="13" t="n">
        <x:v>0</x:v>
      </x:c>
      <x:c r="G212" s="10" t="n">
        <x:v>2</x:v>
      </x:c>
      <x:c r="H212" s="10" t="n">
        <x:v>0</x:v>
      </x:c>
      <x:c r="I212" s="11" t="n">
        <x:f>E212*Rates!$B$4+F212*Rates!$B$5+G212*Rates!$B$6+H212*Rates!$B$7</x:f>
        <x:v>0.002</x:v>
      </x:c>
    </x:row>
    <x:row r="213" ht="24" customHeight="1">
      <x:c r="A213" s="10" t="str">
        <x:v>S03-01</x:v>
      </x:c>
      <x:c r="B213" s="10" t="str">
        <x:v>B</x:v>
      </x:c>
      <x:c r="C213" s="10" t="str">
        <x:v>semantic</x:v>
      </x:c>
      <x:c r="D213" s="10" t="str">
        <x:v>evaluation</x:v>
      </x:c>
      <x:c r="E213" s="13" t="n">
        <x:v>620</x:v>
      </x:c>
      <x:c r="F213" s="13" t="n">
        <x:v>18</x:v>
      </x:c>
      <x:c r="G213" s="10" t="n">
        <x:v>0</x:v>
      </x:c>
      <x:c r="H213" s="10" t="n">
        <x:v>0</x:v>
      </x:c>
      <x:c r="I213" s="11" t="n">
        <x:f>E213*Rates!$B$4+F213*Rates!$B$5+G213*Rates!$B$6+H213*Rates!$B$7</x:f>
        <x:v>0.000692</x:v>
      </x:c>
    </x:row>
    <x:row r="214" ht="24" customHeight="1">
      <x:c r="A214" s="10" t="str">
        <x:v>S03-01</x:v>
      </x:c>
      <x:c r="B214" s="10" t="str">
        <x:v>B</x:v>
      </x:c>
      <x:c r="C214" s="10" t="str">
        <x:v>speech_input</x:v>
      </x:c>
      <x:c r="D214" s="10" t="str">
        <x:v>evaluation</x:v>
      </x:c>
      <x:c r="E214" s="13" t="n">
        <x:v>0</x:v>
      </x:c>
      <x:c r="F214" s="13" t="n">
        <x:v>0</x:v>
      </x:c>
      <x:c r="G214" s="10" t="n">
        <x:v>4.4</x:v>
      </x:c>
      <x:c r="H214" s="10" t="n">
        <x:v>0</x:v>
      </x:c>
      <x:c r="I214" s="11" t="n">
        <x:f>E214*Rates!$B$4+F214*Rates!$B$5+G214*Rates!$B$6+H214*Rates!$B$7</x:f>
        <x:v>0.0044</x:v>
      </x:c>
    </x:row>
    <x:row r="215" ht="24" customHeight="1">
      <x:c r="A215" s="10" t="str">
        <x:v>S03-01</x:v>
      </x:c>
      <x:c r="B215" s="10" t="str">
        <x:v>B</x:v>
      </x:c>
      <x:c r="C215" s="10" t="str">
        <x:v>speech_output</x:v>
      </x:c>
      <x:c r="D215" s="10" t="str">
        <x:v>retained</x:v>
      </x:c>
      <x:c r="E215" s="13" t="n">
        <x:v>126</x:v>
      </x:c>
      <x:c r="F215" s="13" t="n">
        <x:v>0</x:v>
      </x:c>
      <x:c r="G215" s="10" t="n">
        <x:v>0</x:v>
      </x:c>
      <x:c r="H215" s="10" t="n">
        <x:v>2.746</x:v>
      </x:c>
      <x:c r="I215" s="11" t="n">
        <x:f>E215*Rates!$B$4+F215*Rates!$B$5+G215*Rates!$B$6+H215*Rates!$B$7</x:f>
        <x:v>0.005618000000000001</x:v>
      </x:c>
    </x:row>
    <x:row r="216" ht="24" customHeight="1">
      <x:c r="A216" s="10" t="str">
        <x:v>S03-01</x:v>
      </x:c>
      <x:c r="B216" s="10" t="str">
        <x:v>B</x:v>
      </x:c>
      <x:c r="C216" s="10" t="str">
        <x:v>speech_output</x:v>
      </x:c>
      <x:c r="D216" s="10" t="str">
        <x:v>retained</x:v>
      </x:c>
      <x:c r="E216" s="13" t="n">
        <x:v>174</x:v>
      </x:c>
      <x:c r="F216" s="13" t="n">
        <x:v>0</x:v>
      </x:c>
      <x:c r="G216" s="10" t="n">
        <x:v>0</x:v>
      </x:c>
      <x:c r="H216" s="10" t="n">
        <x:v>7.946</x:v>
      </x:c>
      <x:c r="I216" s="11" t="n">
        <x:f>E216*Rates!$B$4+F216*Rates!$B$5+G216*Rates!$B$6+H216*Rates!$B$7</x:f>
        <x:v>0.016066</x:v>
      </x:c>
    </x:row>
    <x:row r="217" ht="24" customHeight="1">
      <x:c r="A217" s="10" t="str">
        <x:v>S03-02</x:v>
      </x:c>
      <x:c r="B217" s="10" t="str">
        <x:v>A</x:v>
      </x:c>
      <x:c r="C217" s="10" t="str">
        <x:v>semantic</x:v>
      </x:c>
      <x:c r="D217" s="10" t="str">
        <x:v>setup</x:v>
      </x:c>
      <x:c r="E217" s="13" t="n">
        <x:v>600</x:v>
      </x:c>
      <x:c r="F217" s="13" t="n">
        <x:v>16</x:v>
      </x:c>
      <x:c r="G217" s="10" t="n">
        <x:v>0</x:v>
      </x:c>
      <x:c r="H217" s="10" t="n">
        <x:v>0</x:v>
      </x:c>
      <x:c r="I217" s="11" t="n">
        <x:f>E217*Rates!$B$4+F217*Rates!$B$5+G217*Rates!$B$6+H217*Rates!$B$7</x:f>
        <x:v>0.000664</x:v>
      </x:c>
    </x:row>
    <x:row r="218" ht="24" customHeight="1">
      <x:c r="A218" s="10" t="str">
        <x:v>S03-02</x:v>
      </x:c>
      <x:c r="B218" s="10" t="str">
        <x:v>A</x:v>
      </x:c>
      <x:c r="C218" s="10" t="str">
        <x:v>speech_input</x:v>
      </x:c>
      <x:c r="D218" s="10" t="str">
        <x:v>setup</x:v>
      </x:c>
      <x:c r="E218" s="13" t="n">
        <x:v>0</x:v>
      </x:c>
      <x:c r="F218" s="13" t="n">
        <x:v>0</x:v>
      </x:c>
      <x:c r="G218" s="10" t="n">
        <x:v>2</x:v>
      </x:c>
      <x:c r="H218" s="10" t="n">
        <x:v>0</x:v>
      </x:c>
      <x:c r="I218" s="11" t="n">
        <x:f>E218*Rates!$B$4+F218*Rates!$B$5+G218*Rates!$B$6+H218*Rates!$B$7</x:f>
        <x:v>0.002</x:v>
      </x:c>
    </x:row>
    <x:row r="219" ht="24" customHeight="1">
      <x:c r="A219" s="10" t="str">
        <x:v>S03-02</x:v>
      </x:c>
      <x:c r="B219" s="10" t="str">
        <x:v>A</x:v>
      </x:c>
      <x:c r="C219" s="10" t="str">
        <x:v>semantic</x:v>
      </x:c>
      <x:c r="D219" s="10" t="str">
        <x:v>evaluation</x:v>
      </x:c>
      <x:c r="E219" s="13" t="n">
        <x:v>640</x:v>
      </x:c>
      <x:c r="F219" s="13" t="n">
        <x:v>20</x:v>
      </x:c>
      <x:c r="G219" s="10" t="n">
        <x:v>0</x:v>
      </x:c>
      <x:c r="H219" s="10" t="n">
        <x:v>0</x:v>
      </x:c>
      <x:c r="I219" s="11" t="n">
        <x:f>E219*Rates!$B$4+F219*Rates!$B$5+G219*Rates!$B$6+H219*Rates!$B$7</x:f>
        <x:v>0.0007199999999999999</x:v>
      </x:c>
    </x:row>
    <x:row r="220" ht="24" customHeight="1">
      <x:c r="A220" s="10" t="str">
        <x:v>S03-02</x:v>
      </x:c>
      <x:c r="B220" s="10" t="str">
        <x:v>A</x:v>
      </x:c>
      <x:c r="C220" s="10" t="str">
        <x:v>speech_input</x:v>
      </x:c>
      <x:c r="D220" s="10" t="str">
        <x:v>evaluation</x:v>
      </x:c>
      <x:c r="E220" s="13" t="n">
        <x:v>0</x:v>
      </x:c>
      <x:c r="F220" s="13" t="n">
        <x:v>0</x:v>
      </x:c>
      <x:c r="G220" s="10" t="n">
        <x:v>4.4</x:v>
      </x:c>
      <x:c r="H220" s="10" t="n">
        <x:v>0</x:v>
      </x:c>
      <x:c r="I220" s="11" t="n">
        <x:f>E220*Rates!$B$4+F220*Rates!$B$5+G220*Rates!$B$6+H220*Rates!$B$7</x:f>
        <x:v>0.0044</x:v>
      </x:c>
    </x:row>
    <x:row r="221" ht="24" customHeight="1">
      <x:c r="A221" s="10" t="str">
        <x:v>S03-02</x:v>
      </x:c>
      <x:c r="B221" s="10" t="str">
        <x:v>A</x:v>
      </x:c>
      <x:c r="C221" s="10" t="str">
        <x:v>speech_output</x:v>
      </x:c>
      <x:c r="D221" s="10" t="str">
        <x:v>retained</x:v>
      </x:c>
      <x:c r="E221" s="13" t="n">
        <x:v>126</x:v>
      </x:c>
      <x:c r="F221" s="13" t="n">
        <x:v>0</x:v>
      </x:c>
      <x:c r="G221" s="10" t="n">
        <x:v>0</x:v>
      </x:c>
      <x:c r="H221" s="10" t="n">
        <x:v>2.758</x:v>
      </x:c>
      <x:c r="I221" s="11" t="n">
        <x:f>E221*Rates!$B$4+F221*Rates!$B$5+G221*Rates!$B$6+H221*Rates!$B$7</x:f>
        <x:v>0.005642</x:v>
      </x:c>
    </x:row>
    <x:row r="222" ht="24" customHeight="1">
      <x:c r="A222" s="10" t="str">
        <x:v>S03-02</x:v>
      </x:c>
      <x:c r="B222" s="10" t="str">
        <x:v>A</x:v>
      </x:c>
      <x:c r="C222" s="10" t="str">
        <x:v>speech_output</x:v>
      </x:c>
      <x:c r="D222" s="10" t="str">
        <x:v>discarded</x:v>
      </x:c>
      <x:c r="E222" s="13" t="n">
        <x:v>180</x:v>
      </x:c>
      <x:c r="F222" s="13" t="n">
        <x:v>0</x:v>
      </x:c>
      <x:c r="G222" s="10" t="n">
        <x:v>0</x:v>
      </x:c>
      <x:c r="H222" s="10" t="n">
        <x:v>6.546666668</x:v>
      </x:c>
      <x:c r="I222" s="11" t="n">
        <x:f>E222*Rates!$B$4+F222*Rates!$B$5+G222*Rates!$B$6+H222*Rates!$B$7</x:f>
        <x:v>0.013273333336</x:v>
      </x:c>
    </x:row>
    <x:row r="223" ht="24" customHeight="1">
      <x:c r="A223" s="10" t="str">
        <x:v>S03-02</x:v>
      </x:c>
      <x:c r="B223" s="10" t="str">
        <x:v>A</x:v>
      </x:c>
      <x:c r="C223" s="10" t="str">
        <x:v>speech_output</x:v>
      </x:c>
      <x:c r="D223" s="10" t="str">
        <x:v>retained</x:v>
      </x:c>
      <x:c r="E223" s="13" t="n">
        <x:v>174</x:v>
      </x:c>
      <x:c r="F223" s="13" t="n">
        <x:v>0</x:v>
      </x:c>
      <x:c r="G223" s="10" t="n">
        <x:v>0</x:v>
      </x:c>
      <x:c r="H223" s="10" t="n">
        <x:v>7.958</x:v>
      </x:c>
      <x:c r="I223" s="11" t="n">
        <x:f>E223*Rates!$B$4+F223*Rates!$B$5+G223*Rates!$B$6+H223*Rates!$B$7</x:f>
        <x:v>0.01609</x:v>
      </x:c>
    </x:row>
    <x:row r="224" ht="24" customHeight="1">
      <x:c r="A224" s="10" t="str">
        <x:v>S03-02</x:v>
      </x:c>
      <x:c r="B224" s="10" t="str">
        <x:v>B</x:v>
      </x:c>
      <x:c r="C224" s="10" t="str">
        <x:v>semantic</x:v>
      </x:c>
      <x:c r="D224" s="10" t="str">
        <x:v>setup</x:v>
      </x:c>
      <x:c r="E224" s="13" t="n">
        <x:v>600</x:v>
      </x:c>
      <x:c r="F224" s="13" t="n">
        <x:v>16</x:v>
      </x:c>
      <x:c r="G224" s="10" t="n">
        <x:v>0</x:v>
      </x:c>
      <x:c r="H224" s="10" t="n">
        <x:v>0</x:v>
      </x:c>
      <x:c r="I224" s="11" t="n">
        <x:f>E224*Rates!$B$4+F224*Rates!$B$5+G224*Rates!$B$6+H224*Rates!$B$7</x:f>
        <x:v>0.000664</x:v>
      </x:c>
    </x:row>
    <x:row r="225" ht="24" customHeight="1">
      <x:c r="A225" s="10" t="str">
        <x:v>S03-02</x:v>
      </x:c>
      <x:c r="B225" s="10" t="str">
        <x:v>B</x:v>
      </x:c>
      <x:c r="C225" s="10" t="str">
        <x:v>speech_input</x:v>
      </x:c>
      <x:c r="D225" s="10" t="str">
        <x:v>setup</x:v>
      </x:c>
      <x:c r="E225" s="13" t="n">
        <x:v>0</x:v>
      </x:c>
      <x:c r="F225" s="13" t="n">
        <x:v>0</x:v>
      </x:c>
      <x:c r="G225" s="10" t="n">
        <x:v>2</x:v>
      </x:c>
      <x:c r="H225" s="10" t="n">
        <x:v>0</x:v>
      </x:c>
      <x:c r="I225" s="11" t="n">
        <x:f>E225*Rates!$B$4+F225*Rates!$B$5+G225*Rates!$B$6+H225*Rates!$B$7</x:f>
        <x:v>0.002</x:v>
      </x:c>
    </x:row>
    <x:row r="226" ht="24" customHeight="1">
      <x:c r="A226" s="10" t="str">
        <x:v>S03-02</x:v>
      </x:c>
      <x:c r="B226" s="10" t="str">
        <x:v>B</x:v>
      </x:c>
      <x:c r="C226" s="10" t="str">
        <x:v>semantic</x:v>
      </x:c>
      <x:c r="D226" s="10" t="str">
        <x:v>evaluation</x:v>
      </x:c>
      <x:c r="E226" s="13" t="n">
        <x:v>640</x:v>
      </x:c>
      <x:c r="F226" s="13" t="n">
        <x:v>20</x:v>
      </x:c>
      <x:c r="G226" s="10" t="n">
        <x:v>0</x:v>
      </x:c>
      <x:c r="H226" s="10" t="n">
        <x:v>0</x:v>
      </x:c>
      <x:c r="I226" s="11" t="n">
        <x:f>E226*Rates!$B$4+F226*Rates!$B$5+G226*Rates!$B$6+H226*Rates!$B$7</x:f>
        <x:v>0.0007199999999999999</x:v>
      </x:c>
    </x:row>
    <x:row r="227" ht="24" customHeight="1">
      <x:c r="A227" s="10" t="str">
        <x:v>S03-02</x:v>
      </x:c>
      <x:c r="B227" s="10" t="str">
        <x:v>B</x:v>
      </x:c>
      <x:c r="C227" s="10" t="str">
        <x:v>speech_input</x:v>
      </x:c>
      <x:c r="D227" s="10" t="str">
        <x:v>evaluation</x:v>
      </x:c>
      <x:c r="E227" s="13" t="n">
        <x:v>0</x:v>
      </x:c>
      <x:c r="F227" s="13" t="n">
        <x:v>0</x:v>
      </x:c>
      <x:c r="G227" s="10" t="n">
        <x:v>4.4</x:v>
      </x:c>
      <x:c r="H227" s="10" t="n">
        <x:v>0</x:v>
      </x:c>
      <x:c r="I227" s="11" t="n">
        <x:f>E227*Rates!$B$4+F227*Rates!$B$5+G227*Rates!$B$6+H227*Rates!$B$7</x:f>
        <x:v>0.0044</x:v>
      </x:c>
    </x:row>
    <x:row r="228" ht="24" customHeight="1">
      <x:c r="A228" s="10" t="str">
        <x:v>S03-02</x:v>
      </x:c>
      <x:c r="B228" s="10" t="str">
        <x:v>B</x:v>
      </x:c>
      <x:c r="C228" s="10" t="str">
        <x:v>speech_output</x:v>
      </x:c>
      <x:c r="D228" s="10" t="str">
        <x:v>retained</x:v>
      </x:c>
      <x:c r="E228" s="13" t="n">
        <x:v>126</x:v>
      </x:c>
      <x:c r="F228" s="13" t="n">
        <x:v>0</x:v>
      </x:c>
      <x:c r="G228" s="10" t="n">
        <x:v>0</x:v>
      </x:c>
      <x:c r="H228" s="10" t="n">
        <x:v>2.758</x:v>
      </x:c>
      <x:c r="I228" s="11" t="n">
        <x:f>E228*Rates!$B$4+F228*Rates!$B$5+G228*Rates!$B$6+H228*Rates!$B$7</x:f>
        <x:v>0.005642</x:v>
      </x:c>
    </x:row>
    <x:row r="229" ht="24" customHeight="1">
      <x:c r="A229" s="10" t="str">
        <x:v>S03-02</x:v>
      </x:c>
      <x:c r="B229" s="10" t="str">
        <x:v>B</x:v>
      </x:c>
      <x:c r="C229" s="10" t="str">
        <x:v>speech_output</x:v>
      </x:c>
      <x:c r="D229" s="10" t="str">
        <x:v>retained</x:v>
      </x:c>
      <x:c r="E229" s="13" t="n">
        <x:v>174</x:v>
      </x:c>
      <x:c r="F229" s="13" t="n">
        <x:v>0</x:v>
      </x:c>
      <x:c r="G229" s="10" t="n">
        <x:v>0</x:v>
      </x:c>
      <x:c r="H229" s="10" t="n">
        <x:v>7.958</x:v>
      </x:c>
      <x:c r="I229" s="11" t="n">
        <x:f>E229*Rates!$B$4+F229*Rates!$B$5+G229*Rates!$B$6+H229*Rates!$B$7</x:f>
        <x:v>0.01609</x:v>
      </x:c>
    </x:row>
    <x:row r="230" ht="24" customHeight="1">
      <x:c r="A230" s="10" t="str">
        <x:v>S03-03</x:v>
      </x:c>
      <x:c r="B230" s="10" t="str">
        <x:v>A</x:v>
      </x:c>
      <x:c r="C230" s="10" t="str">
        <x:v>semantic</x:v>
      </x:c>
      <x:c r="D230" s="10" t="str">
        <x:v>setup</x:v>
      </x:c>
      <x:c r="E230" s="13" t="n">
        <x:v>600</x:v>
      </x:c>
      <x:c r="F230" s="13" t="n">
        <x:v>16</x:v>
      </x:c>
      <x:c r="G230" s="10" t="n">
        <x:v>0</x:v>
      </x:c>
      <x:c r="H230" s="10" t="n">
        <x:v>0</x:v>
      </x:c>
      <x:c r="I230" s="11" t="n">
        <x:f>E230*Rates!$B$4+F230*Rates!$B$5+G230*Rates!$B$6+H230*Rates!$B$7</x:f>
        <x:v>0.000664</x:v>
      </x:c>
    </x:row>
    <x:row r="231" ht="24" customHeight="1">
      <x:c r="A231" s="10" t="str">
        <x:v>S03-03</x:v>
      </x:c>
      <x:c r="B231" s="10" t="str">
        <x:v>A</x:v>
      </x:c>
      <x:c r="C231" s="10" t="str">
        <x:v>speech_input</x:v>
      </x:c>
      <x:c r="D231" s="10" t="str">
        <x:v>setup</x:v>
      </x:c>
      <x:c r="E231" s="13" t="n">
        <x:v>0</x:v>
      </x:c>
      <x:c r="F231" s="13" t="n">
        <x:v>0</x:v>
      </x:c>
      <x:c r="G231" s="10" t="n">
        <x:v>2</x:v>
      </x:c>
      <x:c r="H231" s="10" t="n">
        <x:v>0</x:v>
      </x:c>
      <x:c r="I231" s="11" t="n">
        <x:f>E231*Rates!$B$4+F231*Rates!$B$5+G231*Rates!$B$6+H231*Rates!$B$7</x:f>
        <x:v>0.002</x:v>
      </x:c>
    </x:row>
    <x:row r="232" ht="24" customHeight="1">
      <x:c r="A232" s="10" t="str">
        <x:v>S03-03</x:v>
      </x:c>
      <x:c r="B232" s="10" t="str">
        <x:v>A</x:v>
      </x:c>
      <x:c r="C232" s="10" t="str">
        <x:v>semantic</x:v>
      </x:c>
      <x:c r="D232" s="10" t="str">
        <x:v>evaluation</x:v>
      </x:c>
      <x:c r="E232" s="13" t="n">
        <x:v>660</x:v>
      </x:c>
      <x:c r="F232" s="13" t="n">
        <x:v>16</x:v>
      </x:c>
      <x:c r="G232" s="10" t="n">
        <x:v>0</x:v>
      </x:c>
      <x:c r="H232" s="10" t="n">
        <x:v>0</x:v>
      </x:c>
      <x:c r="I232" s="11" t="n">
        <x:f>E232*Rates!$B$4+F232*Rates!$B$5+G232*Rates!$B$6+H232*Rates!$B$7</x:f>
        <x:v>0.000724</x:v>
      </x:c>
    </x:row>
    <x:row r="233" ht="24" customHeight="1">
      <x:c r="A233" s="10" t="str">
        <x:v>S03-03</x:v>
      </x:c>
      <x:c r="B233" s="10" t="str">
        <x:v>A</x:v>
      </x:c>
      <x:c r="C233" s="10" t="str">
        <x:v>speech_input</x:v>
      </x:c>
      <x:c r="D233" s="10" t="str">
        <x:v>evaluation</x:v>
      </x:c>
      <x:c r="E233" s="13" t="n">
        <x:v>0</x:v>
      </x:c>
      <x:c r="F233" s="13" t="n">
        <x:v>0</x:v>
      </x:c>
      <x:c r="G233" s="10" t="n">
        <x:v>4.4</x:v>
      </x:c>
      <x:c r="H233" s="10" t="n">
        <x:v>0</x:v>
      </x:c>
      <x:c r="I233" s="11" t="n">
        <x:f>E233*Rates!$B$4+F233*Rates!$B$5+G233*Rates!$B$6+H233*Rates!$B$7</x:f>
        <x:v>0.0044</x:v>
      </x:c>
    </x:row>
    <x:row r="234" ht="24" customHeight="1">
      <x:c r="A234" s="10" t="str">
        <x:v>S03-03</x:v>
      </x:c>
      <x:c r="B234" s="10" t="str">
        <x:v>A</x:v>
      </x:c>
      <x:c r="C234" s="10" t="str">
        <x:v>speech_output</x:v>
      </x:c>
      <x:c r="D234" s="10" t="str">
        <x:v>retained</x:v>
      </x:c>
      <x:c r="E234" s="13" t="n">
        <x:v>126</x:v>
      </x:c>
      <x:c r="F234" s="13" t="n">
        <x:v>0</x:v>
      </x:c>
      <x:c r="G234" s="10" t="n">
        <x:v>0</x:v>
      </x:c>
      <x:c r="H234" s="10" t="n">
        <x:v>2.77</x:v>
      </x:c>
      <x:c r="I234" s="11" t="n">
        <x:f>E234*Rates!$B$4+F234*Rates!$B$5+G234*Rates!$B$6+H234*Rates!$B$7</x:f>
        <x:v>0.005666</x:v>
      </x:c>
    </x:row>
    <x:row r="235" ht="24" customHeight="1">
      <x:c r="A235" s="10" t="str">
        <x:v>S03-03</x:v>
      </x:c>
      <x:c r="B235" s="10" t="str">
        <x:v>A</x:v>
      </x:c>
      <x:c r="C235" s="10" t="str">
        <x:v>speech_output</x:v>
      </x:c>
      <x:c r="D235" s="10" t="str">
        <x:v>discarded</x:v>
      </x:c>
      <x:c r="E235" s="13" t="n">
        <x:v>180</x:v>
      </x:c>
      <x:c r="F235" s="13" t="n">
        <x:v>0</x:v>
      </x:c>
      <x:c r="G235" s="10" t="n">
        <x:v>0</x:v>
      </x:c>
      <x:c r="H235" s="10" t="n">
        <x:v>6.36</x:v>
      </x:c>
      <x:c r="I235" s="11" t="n">
        <x:f>E235*Rates!$B$4+F235*Rates!$B$5+G235*Rates!$B$6+H235*Rates!$B$7</x:f>
        <x:v>0.0129</x:v>
      </x:c>
    </x:row>
    <x:row r="236" ht="24" customHeight="1">
      <x:c r="A236" s="10" t="str">
        <x:v>S03-03</x:v>
      </x:c>
      <x:c r="B236" s="10" t="str">
        <x:v>A</x:v>
      </x:c>
      <x:c r="C236" s="10" t="str">
        <x:v>speech_output</x:v>
      </x:c>
      <x:c r="D236" s="10" t="str">
        <x:v>retained</x:v>
      </x:c>
      <x:c r="E236" s="13" t="n">
        <x:v>174</x:v>
      </x:c>
      <x:c r="F236" s="13" t="n">
        <x:v>0</x:v>
      </x:c>
      <x:c r="G236" s="10" t="n">
        <x:v>0</x:v>
      </x:c>
      <x:c r="H236" s="10" t="n">
        <x:v>7.97</x:v>
      </x:c>
      <x:c r="I236" s="11" t="n">
        <x:f>E236*Rates!$B$4+F236*Rates!$B$5+G236*Rates!$B$6+H236*Rates!$B$7</x:f>
        <x:v>0.016114</x:v>
      </x:c>
    </x:row>
    <x:row r="237" ht="24" customHeight="1">
      <x:c r="A237" s="10" t="str">
        <x:v>S03-03</x:v>
      </x:c>
      <x:c r="B237" s="10" t="str">
        <x:v>B</x:v>
      </x:c>
      <x:c r="C237" s="10" t="str">
        <x:v>semantic</x:v>
      </x:c>
      <x:c r="D237" s="10" t="str">
        <x:v>setup</x:v>
      </x:c>
      <x:c r="E237" s="13" t="n">
        <x:v>600</x:v>
      </x:c>
      <x:c r="F237" s="13" t="n">
        <x:v>16</x:v>
      </x:c>
      <x:c r="G237" s="10" t="n">
        <x:v>0</x:v>
      </x:c>
      <x:c r="H237" s="10" t="n">
        <x:v>0</x:v>
      </x:c>
      <x:c r="I237" s="11" t="n">
        <x:f>E237*Rates!$B$4+F237*Rates!$B$5+G237*Rates!$B$6+H237*Rates!$B$7</x:f>
        <x:v>0.000664</x:v>
      </x:c>
    </x:row>
    <x:row r="238" ht="24" customHeight="1">
      <x:c r="A238" s="10" t="str">
        <x:v>S03-03</x:v>
      </x:c>
      <x:c r="B238" s="10" t="str">
        <x:v>B</x:v>
      </x:c>
      <x:c r="C238" s="10" t="str">
        <x:v>speech_input</x:v>
      </x:c>
      <x:c r="D238" s="10" t="str">
        <x:v>setup</x:v>
      </x:c>
      <x:c r="E238" s="13" t="n">
        <x:v>0</x:v>
      </x:c>
      <x:c r="F238" s="13" t="n">
        <x:v>0</x:v>
      </x:c>
      <x:c r="G238" s="10" t="n">
        <x:v>2</x:v>
      </x:c>
      <x:c r="H238" s="10" t="n">
        <x:v>0</x:v>
      </x:c>
      <x:c r="I238" s="11" t="n">
        <x:f>E238*Rates!$B$4+F238*Rates!$B$5+G238*Rates!$B$6+H238*Rates!$B$7</x:f>
        <x:v>0.002</x:v>
      </x:c>
    </x:row>
    <x:row r="239" ht="24" customHeight="1">
      <x:c r="A239" s="10" t="str">
        <x:v>S03-03</x:v>
      </x:c>
      <x:c r="B239" s="10" t="str">
        <x:v>B</x:v>
      </x:c>
      <x:c r="C239" s="10" t="str">
        <x:v>semantic</x:v>
      </x:c>
      <x:c r="D239" s="10" t="str">
        <x:v>evaluation</x:v>
      </x:c>
      <x:c r="E239" s="13" t="n">
        <x:v>660</x:v>
      </x:c>
      <x:c r="F239" s="13" t="n">
        <x:v>16</x:v>
      </x:c>
      <x:c r="G239" s="10" t="n">
        <x:v>0</x:v>
      </x:c>
      <x:c r="H239" s="10" t="n">
        <x:v>0</x:v>
      </x:c>
      <x:c r="I239" s="11" t="n">
        <x:f>E239*Rates!$B$4+F239*Rates!$B$5+G239*Rates!$B$6+H239*Rates!$B$7</x:f>
        <x:v>0.000724</x:v>
      </x:c>
    </x:row>
    <x:row r="240" ht="24" customHeight="1">
      <x:c r="A240" s="10" t="str">
        <x:v>S03-03</x:v>
      </x:c>
      <x:c r="B240" s="10" t="str">
        <x:v>B</x:v>
      </x:c>
      <x:c r="C240" s="10" t="str">
        <x:v>speech_input</x:v>
      </x:c>
      <x:c r="D240" s="10" t="str">
        <x:v>evaluation</x:v>
      </x:c>
      <x:c r="E240" s="13" t="n">
        <x:v>0</x:v>
      </x:c>
      <x:c r="F240" s="13" t="n">
        <x:v>0</x:v>
      </x:c>
      <x:c r="G240" s="10" t="n">
        <x:v>4.4</x:v>
      </x:c>
      <x:c r="H240" s="10" t="n">
        <x:v>0</x:v>
      </x:c>
      <x:c r="I240" s="11" t="n">
        <x:f>E240*Rates!$B$4+F240*Rates!$B$5+G240*Rates!$B$6+H240*Rates!$B$7</x:f>
        <x:v>0.0044</x:v>
      </x:c>
    </x:row>
    <x:row r="241" ht="24" customHeight="1">
      <x:c r="A241" s="10" t="str">
        <x:v>S03-03</x:v>
      </x:c>
      <x:c r="B241" s="10" t="str">
        <x:v>B</x:v>
      </x:c>
      <x:c r="C241" s="10" t="str">
        <x:v>speech_output</x:v>
      </x:c>
      <x:c r="D241" s="10" t="str">
        <x:v>retained</x:v>
      </x:c>
      <x:c r="E241" s="13" t="n">
        <x:v>126</x:v>
      </x:c>
      <x:c r="F241" s="13" t="n">
        <x:v>0</x:v>
      </x:c>
      <x:c r="G241" s="10" t="n">
        <x:v>0</x:v>
      </x:c>
      <x:c r="H241" s="10" t="n">
        <x:v>2.77</x:v>
      </x:c>
      <x:c r="I241" s="11" t="n">
        <x:f>E241*Rates!$B$4+F241*Rates!$B$5+G241*Rates!$B$6+H241*Rates!$B$7</x:f>
        <x:v>0.005666</x:v>
      </x:c>
    </x:row>
    <x:row r="242" ht="24" customHeight="1">
      <x:c r="A242" s="10" t="str">
        <x:v>S03-03</x:v>
      </x:c>
      <x:c r="B242" s="10" t="str">
        <x:v>B</x:v>
      </x:c>
      <x:c r="C242" s="10" t="str">
        <x:v>speech_output</x:v>
      </x:c>
      <x:c r="D242" s="10" t="str">
        <x:v>retained</x:v>
      </x:c>
      <x:c r="E242" s="13" t="n">
        <x:v>174</x:v>
      </x:c>
      <x:c r="F242" s="13" t="n">
        <x:v>0</x:v>
      </x:c>
      <x:c r="G242" s="10" t="n">
        <x:v>0</x:v>
      </x:c>
      <x:c r="H242" s="10" t="n">
        <x:v>7.97</x:v>
      </x:c>
      <x:c r="I242" s="11" t="n">
        <x:f>E242*Rates!$B$4+F242*Rates!$B$5+G242*Rates!$B$6+H242*Rates!$B$7</x:f>
        <x:v>0.016114</x:v>
      </x:c>
    </x:row>
    <x:row r="243" ht="24" customHeight="1">
      <x:c r="A243" s="10" t="str">
        <x:v>S03-04</x:v>
      </x:c>
      <x:c r="B243" s="10" t="str">
        <x:v>A</x:v>
      </x:c>
      <x:c r="C243" s="10" t="str">
        <x:v>semantic</x:v>
      </x:c>
      <x:c r="D243" s="10" t="str">
        <x:v>setup</x:v>
      </x:c>
      <x:c r="E243" s="13" t="n">
        <x:v>600</x:v>
      </x:c>
      <x:c r="F243" s="13" t="n">
        <x:v>16</x:v>
      </x:c>
      <x:c r="G243" s="10" t="n">
        <x:v>0</x:v>
      </x:c>
      <x:c r="H243" s="10" t="n">
        <x:v>0</x:v>
      </x:c>
      <x:c r="I243" s="11" t="n">
        <x:f>E243*Rates!$B$4+F243*Rates!$B$5+G243*Rates!$B$6+H243*Rates!$B$7</x:f>
        <x:v>0.000664</x:v>
      </x:c>
    </x:row>
    <x:row r="244" ht="24" customHeight="1">
      <x:c r="A244" s="10" t="str">
        <x:v>S03-04</x:v>
      </x:c>
      <x:c r="B244" s="10" t="str">
        <x:v>A</x:v>
      </x:c>
      <x:c r="C244" s="10" t="str">
        <x:v>speech_input</x:v>
      </x:c>
      <x:c r="D244" s="10" t="str">
        <x:v>setup</x:v>
      </x:c>
      <x:c r="E244" s="13" t="n">
        <x:v>0</x:v>
      </x:c>
      <x:c r="F244" s="13" t="n">
        <x:v>0</x:v>
      </x:c>
      <x:c r="G244" s="10" t="n">
        <x:v>2</x:v>
      </x:c>
      <x:c r="H244" s="10" t="n">
        <x:v>0</x:v>
      </x:c>
      <x:c r="I244" s="11" t="n">
        <x:f>E244*Rates!$B$4+F244*Rates!$B$5+G244*Rates!$B$6+H244*Rates!$B$7</x:f>
        <x:v>0.002</x:v>
      </x:c>
    </x:row>
    <x:row r="245" ht="24" customHeight="1">
      <x:c r="A245" s="10" t="str">
        <x:v>S03-04</x:v>
      </x:c>
      <x:c r="B245" s="10" t="str">
        <x:v>A</x:v>
      </x:c>
      <x:c r="C245" s="10" t="str">
        <x:v>semantic</x:v>
      </x:c>
      <x:c r="D245" s="10" t="str">
        <x:v>evaluation</x:v>
      </x:c>
      <x:c r="E245" s="13" t="n">
        <x:v>680</x:v>
      </x:c>
      <x:c r="F245" s="13" t="n">
        <x:v>18</x:v>
      </x:c>
      <x:c r="G245" s="10" t="n">
        <x:v>0</x:v>
      </x:c>
      <x:c r="H245" s="10" t="n">
        <x:v>0</x:v>
      </x:c>
      <x:c r="I245" s="11" t="n">
        <x:f>E245*Rates!$B$4+F245*Rates!$B$5+G245*Rates!$B$6+H245*Rates!$B$7</x:f>
        <x:v>0.000752</x:v>
      </x:c>
    </x:row>
    <x:row r="246" ht="24" customHeight="1">
      <x:c r="A246" s="10" t="str">
        <x:v>S03-04</x:v>
      </x:c>
      <x:c r="B246" s="10" t="str">
        <x:v>A</x:v>
      </x:c>
      <x:c r="C246" s="10" t="str">
        <x:v>speech_input</x:v>
      </x:c>
      <x:c r="D246" s="10" t="str">
        <x:v>evaluation</x:v>
      </x:c>
      <x:c r="E246" s="13" t="n">
        <x:v>0</x:v>
      </x:c>
      <x:c r="F246" s="13" t="n">
        <x:v>0</x:v>
      </x:c>
      <x:c r="G246" s="10" t="n">
        <x:v>4.4</x:v>
      </x:c>
      <x:c r="H246" s="10" t="n">
        <x:v>0</x:v>
      </x:c>
      <x:c r="I246" s="11" t="n">
        <x:f>E246*Rates!$B$4+F246*Rates!$B$5+G246*Rates!$B$6+H246*Rates!$B$7</x:f>
        <x:v>0.0044</x:v>
      </x:c>
    </x:row>
    <x:row r="247" ht="24" customHeight="1">
      <x:c r="A247" s="10" t="str">
        <x:v>S03-04</x:v>
      </x:c>
      <x:c r="B247" s="10" t="str">
        <x:v>A</x:v>
      </x:c>
      <x:c r="C247" s="10" t="str">
        <x:v>speech_output</x:v>
      </x:c>
      <x:c r="D247" s="10" t="str">
        <x:v>retained</x:v>
      </x:c>
      <x:c r="E247" s="13" t="n">
        <x:v>126</x:v>
      </x:c>
      <x:c r="F247" s="13" t="n">
        <x:v>0</x:v>
      </x:c>
      <x:c r="G247" s="10" t="n">
        <x:v>0</x:v>
      </x:c>
      <x:c r="H247" s="10" t="n">
        <x:v>2.782</x:v>
      </x:c>
      <x:c r="I247" s="11" t="n">
        <x:f>E247*Rates!$B$4+F247*Rates!$B$5+G247*Rates!$B$6+H247*Rates!$B$7</x:f>
        <x:v>0.005690000000000001</x:v>
      </x:c>
    </x:row>
    <x:row r="248" ht="24" customHeight="1">
      <x:c r="A248" s="10" t="str">
        <x:v>S03-04</x:v>
      </x:c>
      <x:c r="B248" s="10" t="str">
        <x:v>A</x:v>
      </x:c>
      <x:c r="C248" s="10" t="str">
        <x:v>speech_output</x:v>
      </x:c>
      <x:c r="D248" s="10" t="str">
        <x:v>discarded</x:v>
      </x:c>
      <x:c r="E248" s="13" t="n">
        <x:v>180</x:v>
      </x:c>
      <x:c r="F248" s="13" t="n">
        <x:v>0</x:v>
      </x:c>
      <x:c r="G248" s="10" t="n">
        <x:v>0</x:v>
      </x:c>
      <x:c r="H248" s="10" t="n">
        <x:v>6.473333332</x:v>
      </x:c>
      <x:c r="I248" s="11" t="n">
        <x:f>E248*Rates!$B$4+F248*Rates!$B$5+G248*Rates!$B$6+H248*Rates!$B$7</x:f>
        <x:v>0.013126666664</x:v>
      </x:c>
    </x:row>
    <x:row r="249" ht="24" customHeight="1">
      <x:c r="A249" s="10" t="str">
        <x:v>S03-04</x:v>
      </x:c>
      <x:c r="B249" s="10" t="str">
        <x:v>A</x:v>
      </x:c>
      <x:c r="C249" s="10" t="str">
        <x:v>speech_output</x:v>
      </x:c>
      <x:c r="D249" s="10" t="str">
        <x:v>retained</x:v>
      </x:c>
      <x:c r="E249" s="13" t="n">
        <x:v>174</x:v>
      </x:c>
      <x:c r="F249" s="13" t="n">
        <x:v>0</x:v>
      </x:c>
      <x:c r="G249" s="10" t="n">
        <x:v>0</x:v>
      </x:c>
      <x:c r="H249" s="10" t="n">
        <x:v>7.982</x:v>
      </x:c>
      <x:c r="I249" s="11" t="n">
        <x:f>E249*Rates!$B$4+F249*Rates!$B$5+G249*Rates!$B$6+H249*Rates!$B$7</x:f>
        <x:v>0.016138</x:v>
      </x:c>
    </x:row>
    <x:row r="250" ht="24" customHeight="1">
      <x:c r="A250" s="10" t="str">
        <x:v>S03-04</x:v>
      </x:c>
      <x:c r="B250" s="10" t="str">
        <x:v>B</x:v>
      </x:c>
      <x:c r="C250" s="10" t="str">
        <x:v>semantic</x:v>
      </x:c>
      <x:c r="D250" s="10" t="str">
        <x:v>setup</x:v>
      </x:c>
      <x:c r="E250" s="13" t="n">
        <x:v>600</x:v>
      </x:c>
      <x:c r="F250" s="13" t="n">
        <x:v>16</x:v>
      </x:c>
      <x:c r="G250" s="10" t="n">
        <x:v>0</x:v>
      </x:c>
      <x:c r="H250" s="10" t="n">
        <x:v>0</x:v>
      </x:c>
      <x:c r="I250" s="11" t="n">
        <x:f>E250*Rates!$B$4+F250*Rates!$B$5+G250*Rates!$B$6+H250*Rates!$B$7</x:f>
        <x:v>0.000664</x:v>
      </x:c>
    </x:row>
    <x:row r="251" ht="24" customHeight="1">
      <x:c r="A251" s="10" t="str">
        <x:v>S03-04</x:v>
      </x:c>
      <x:c r="B251" s="10" t="str">
        <x:v>B</x:v>
      </x:c>
      <x:c r="C251" s="10" t="str">
        <x:v>speech_input</x:v>
      </x:c>
      <x:c r="D251" s="10" t="str">
        <x:v>setup</x:v>
      </x:c>
      <x:c r="E251" s="13" t="n">
        <x:v>0</x:v>
      </x:c>
      <x:c r="F251" s="13" t="n">
        <x:v>0</x:v>
      </x:c>
      <x:c r="G251" s="10" t="n">
        <x:v>2</x:v>
      </x:c>
      <x:c r="H251" s="10" t="n">
        <x:v>0</x:v>
      </x:c>
      <x:c r="I251" s="11" t="n">
        <x:f>E251*Rates!$B$4+F251*Rates!$B$5+G251*Rates!$B$6+H251*Rates!$B$7</x:f>
        <x:v>0.002</x:v>
      </x:c>
    </x:row>
    <x:row r="252" ht="24" customHeight="1">
      <x:c r="A252" s="10" t="str">
        <x:v>S03-04</x:v>
      </x:c>
      <x:c r="B252" s="10" t="str">
        <x:v>B</x:v>
      </x:c>
      <x:c r="C252" s="10" t="str">
        <x:v>semantic</x:v>
      </x:c>
      <x:c r="D252" s="10" t="str">
        <x:v>evaluation</x:v>
      </x:c>
      <x:c r="E252" s="13" t="n">
        <x:v>680</x:v>
      </x:c>
      <x:c r="F252" s="13" t="n">
        <x:v>18</x:v>
      </x:c>
      <x:c r="G252" s="10" t="n">
        <x:v>0</x:v>
      </x:c>
      <x:c r="H252" s="10" t="n">
        <x:v>0</x:v>
      </x:c>
      <x:c r="I252" s="11" t="n">
        <x:f>E252*Rates!$B$4+F252*Rates!$B$5+G252*Rates!$B$6+H252*Rates!$B$7</x:f>
        <x:v>0.000752</x:v>
      </x:c>
    </x:row>
    <x:row r="253" ht="24" customHeight="1">
      <x:c r="A253" s="10" t="str">
        <x:v>S03-04</x:v>
      </x:c>
      <x:c r="B253" s="10" t="str">
        <x:v>B</x:v>
      </x:c>
      <x:c r="C253" s="10" t="str">
        <x:v>speech_input</x:v>
      </x:c>
      <x:c r="D253" s="10" t="str">
        <x:v>evaluation</x:v>
      </x:c>
      <x:c r="E253" s="13" t="n">
        <x:v>0</x:v>
      </x:c>
      <x:c r="F253" s="13" t="n">
        <x:v>0</x:v>
      </x:c>
      <x:c r="G253" s="10" t="n">
        <x:v>4.4</x:v>
      </x:c>
      <x:c r="H253" s="10" t="n">
        <x:v>0</x:v>
      </x:c>
      <x:c r="I253" s="11" t="n">
        <x:f>E253*Rates!$B$4+F253*Rates!$B$5+G253*Rates!$B$6+H253*Rates!$B$7</x:f>
        <x:v>0.0044</x:v>
      </x:c>
    </x:row>
    <x:row r="254" ht="24" customHeight="1">
      <x:c r="A254" s="10" t="str">
        <x:v>S03-04</x:v>
      </x:c>
      <x:c r="B254" s="10" t="str">
        <x:v>B</x:v>
      </x:c>
      <x:c r="C254" s="10" t="str">
        <x:v>speech_output</x:v>
      </x:c>
      <x:c r="D254" s="10" t="str">
        <x:v>retained</x:v>
      </x:c>
      <x:c r="E254" s="13" t="n">
        <x:v>126</x:v>
      </x:c>
      <x:c r="F254" s="13" t="n">
        <x:v>0</x:v>
      </x:c>
      <x:c r="G254" s="10" t="n">
        <x:v>0</x:v>
      </x:c>
      <x:c r="H254" s="10" t="n">
        <x:v>2.782</x:v>
      </x:c>
      <x:c r="I254" s="11" t="n">
        <x:f>E254*Rates!$B$4+F254*Rates!$B$5+G254*Rates!$B$6+H254*Rates!$B$7</x:f>
        <x:v>0.005690000000000001</x:v>
      </x:c>
    </x:row>
    <x:row r="255" ht="24" customHeight="1">
      <x:c r="A255" s="10" t="str">
        <x:v>S03-04</x:v>
      </x:c>
      <x:c r="B255" s="10" t="str">
        <x:v>B</x:v>
      </x:c>
      <x:c r="C255" s="10" t="str">
        <x:v>speech_output</x:v>
      </x:c>
      <x:c r="D255" s="10" t="str">
        <x:v>retained</x:v>
      </x:c>
      <x:c r="E255" s="13" t="n">
        <x:v>174</x:v>
      </x:c>
      <x:c r="F255" s="13" t="n">
        <x:v>0</x:v>
      </x:c>
      <x:c r="G255" s="10" t="n">
        <x:v>0</x:v>
      </x:c>
      <x:c r="H255" s="10" t="n">
        <x:v>7.982</x:v>
      </x:c>
      <x:c r="I255" s="11" t="n">
        <x:f>E255*Rates!$B$4+F255*Rates!$B$5+G255*Rates!$B$6+H255*Rates!$B$7</x:f>
        <x:v>0.016138</x:v>
      </x:c>
    </x:row>
    <x:row r="256" ht="24" customHeight="1">
      <x:c r="A256" s="10" t="str">
        <x:v>S03-05</x:v>
      </x:c>
      <x:c r="B256" s="10" t="str">
        <x:v>A</x:v>
      </x:c>
      <x:c r="C256" s="10" t="str">
        <x:v>semantic</x:v>
      </x:c>
      <x:c r="D256" s="10" t="str">
        <x:v>setup</x:v>
      </x:c>
      <x:c r="E256" s="13" t="n">
        <x:v>600</x:v>
      </x:c>
      <x:c r="F256" s="13" t="n">
        <x:v>16</x:v>
      </x:c>
      <x:c r="G256" s="10" t="n">
        <x:v>0</x:v>
      </x:c>
      <x:c r="H256" s="10" t="n">
        <x:v>0</x:v>
      </x:c>
      <x:c r="I256" s="11" t="n">
        <x:f>E256*Rates!$B$4+F256*Rates!$B$5+G256*Rates!$B$6+H256*Rates!$B$7</x:f>
        <x:v>0.000664</x:v>
      </x:c>
    </x:row>
    <x:row r="257" ht="24" customHeight="1">
      <x:c r="A257" s="10" t="str">
        <x:v>S03-05</x:v>
      </x:c>
      <x:c r="B257" s="10" t="str">
        <x:v>A</x:v>
      </x:c>
      <x:c r="C257" s="10" t="str">
        <x:v>speech_input</x:v>
      </x:c>
      <x:c r="D257" s="10" t="str">
        <x:v>setup</x:v>
      </x:c>
      <x:c r="E257" s="13" t="n">
        <x:v>0</x:v>
      </x:c>
      <x:c r="F257" s="13" t="n">
        <x:v>0</x:v>
      </x:c>
      <x:c r="G257" s="10" t="n">
        <x:v>2</x:v>
      </x:c>
      <x:c r="H257" s="10" t="n">
        <x:v>0</x:v>
      </x:c>
      <x:c r="I257" s="11" t="n">
        <x:f>E257*Rates!$B$4+F257*Rates!$B$5+G257*Rates!$B$6+H257*Rates!$B$7</x:f>
        <x:v>0.002</x:v>
      </x:c>
    </x:row>
    <x:row r="258" ht="24" customHeight="1">
      <x:c r="A258" s="10" t="str">
        <x:v>S03-05</x:v>
      </x:c>
      <x:c r="B258" s="10" t="str">
        <x:v>A</x:v>
      </x:c>
      <x:c r="C258" s="10" t="str">
        <x:v>semantic</x:v>
      </x:c>
      <x:c r="D258" s="10" t="str">
        <x:v>evaluation</x:v>
      </x:c>
      <x:c r="E258" s="13" t="n">
        <x:v>700</x:v>
      </x:c>
      <x:c r="F258" s="13" t="n">
        <x:v>20</x:v>
      </x:c>
      <x:c r="G258" s="10" t="n">
        <x:v>0</x:v>
      </x:c>
      <x:c r="H258" s="10" t="n">
        <x:v>0</x:v>
      </x:c>
      <x:c r="I258" s="11" t="n">
        <x:f>E258*Rates!$B$4+F258*Rates!$B$5+G258*Rates!$B$6+H258*Rates!$B$7</x:f>
        <x:v>0.00078</x:v>
      </x:c>
    </x:row>
    <x:row r="259" ht="24" customHeight="1">
      <x:c r="A259" s="10" t="str">
        <x:v>S03-05</x:v>
      </x:c>
      <x:c r="B259" s="10" t="str">
        <x:v>A</x:v>
      </x:c>
      <x:c r="C259" s="10" t="str">
        <x:v>speech_input</x:v>
      </x:c>
      <x:c r="D259" s="10" t="str">
        <x:v>evaluation</x:v>
      </x:c>
      <x:c r="E259" s="13" t="n">
        <x:v>0</x:v>
      </x:c>
      <x:c r="F259" s="13" t="n">
        <x:v>0</x:v>
      </x:c>
      <x:c r="G259" s="10" t="n">
        <x:v>4.4</x:v>
      </x:c>
      <x:c r="H259" s="10" t="n">
        <x:v>0</x:v>
      </x:c>
      <x:c r="I259" s="11" t="n">
        <x:f>E259*Rates!$B$4+F259*Rates!$B$5+G259*Rates!$B$6+H259*Rates!$B$7</x:f>
        <x:v>0.0044</x:v>
      </x:c>
    </x:row>
    <x:row r="260" ht="24" customHeight="1">
      <x:c r="A260" s="10" t="str">
        <x:v>S03-05</x:v>
      </x:c>
      <x:c r="B260" s="10" t="str">
        <x:v>A</x:v>
      </x:c>
      <x:c r="C260" s="10" t="str">
        <x:v>speech_output</x:v>
      </x:c>
      <x:c r="D260" s="10" t="str">
        <x:v>retained</x:v>
      </x:c>
      <x:c r="E260" s="13" t="n">
        <x:v>126</x:v>
      </x:c>
      <x:c r="F260" s="13" t="n">
        <x:v>0</x:v>
      </x:c>
      <x:c r="G260" s="10" t="n">
        <x:v>0</x:v>
      </x:c>
      <x:c r="H260" s="10" t="n">
        <x:v>2.794</x:v>
      </x:c>
      <x:c r="I260" s="11" t="n">
        <x:f>E260*Rates!$B$4+F260*Rates!$B$5+G260*Rates!$B$6+H260*Rates!$B$7</x:f>
        <x:v>0.005714</x:v>
      </x:c>
    </x:row>
    <x:row r="261" ht="24" customHeight="1">
      <x:c r="A261" s="10" t="str">
        <x:v>S03-05</x:v>
      </x:c>
      <x:c r="B261" s="10" t="str">
        <x:v>A</x:v>
      </x:c>
      <x:c r="C261" s="10" t="str">
        <x:v>speech_output</x:v>
      </x:c>
      <x:c r="D261" s="10" t="str">
        <x:v>discarded</x:v>
      </x:c>
      <x:c r="E261" s="13" t="n">
        <x:v>180</x:v>
      </x:c>
      <x:c r="F261" s="13" t="n">
        <x:v>0</x:v>
      </x:c>
      <x:c r="G261" s="10" t="n">
        <x:v>0</x:v>
      </x:c>
      <x:c r="H261" s="10" t="n">
        <x:v>6.586666668</x:v>
      </x:c>
      <x:c r="I261" s="11" t="n">
        <x:f>E261*Rates!$B$4+F261*Rates!$B$5+G261*Rates!$B$6+H261*Rates!$B$7</x:f>
        <x:v>0.013353333336</x:v>
      </x:c>
    </x:row>
    <x:row r="262" ht="24" customHeight="1">
      <x:c r="A262" s="10" t="str">
        <x:v>S03-05</x:v>
      </x:c>
      <x:c r="B262" s="10" t="str">
        <x:v>A</x:v>
      </x:c>
      <x:c r="C262" s="10" t="str">
        <x:v>speech_output</x:v>
      </x:c>
      <x:c r="D262" s="10" t="str">
        <x:v>retained</x:v>
      </x:c>
      <x:c r="E262" s="13" t="n">
        <x:v>174</x:v>
      </x:c>
      <x:c r="F262" s="13" t="n">
        <x:v>0</x:v>
      </x:c>
      <x:c r="G262" s="10" t="n">
        <x:v>0</x:v>
      </x:c>
      <x:c r="H262" s="10" t="n">
        <x:v>7.994</x:v>
      </x:c>
      <x:c r="I262" s="11" t="n">
        <x:f>E262*Rates!$B$4+F262*Rates!$B$5+G262*Rates!$B$6+H262*Rates!$B$7</x:f>
        <x:v>0.016162</x:v>
      </x:c>
    </x:row>
    <x:row r="263" ht="24" customHeight="1">
      <x:c r="A263" s="10" t="str">
        <x:v>S03-05</x:v>
      </x:c>
      <x:c r="B263" s="10" t="str">
        <x:v>B</x:v>
      </x:c>
      <x:c r="C263" s="10" t="str">
        <x:v>semantic</x:v>
      </x:c>
      <x:c r="D263" s="10" t="str">
        <x:v>setup</x:v>
      </x:c>
      <x:c r="E263" s="13" t="n">
        <x:v>600</x:v>
      </x:c>
      <x:c r="F263" s="13" t="n">
        <x:v>16</x:v>
      </x:c>
      <x:c r="G263" s="10" t="n">
        <x:v>0</x:v>
      </x:c>
      <x:c r="H263" s="10" t="n">
        <x:v>0</x:v>
      </x:c>
      <x:c r="I263" s="11" t="n">
        <x:f>E263*Rates!$B$4+F263*Rates!$B$5+G263*Rates!$B$6+H263*Rates!$B$7</x:f>
        <x:v>0.000664</x:v>
      </x:c>
    </x:row>
    <x:row r="264" ht="24" customHeight="1">
      <x:c r="A264" s="10" t="str">
        <x:v>S03-05</x:v>
      </x:c>
      <x:c r="B264" s="10" t="str">
        <x:v>B</x:v>
      </x:c>
      <x:c r="C264" s="10" t="str">
        <x:v>speech_input</x:v>
      </x:c>
      <x:c r="D264" s="10" t="str">
        <x:v>setup</x:v>
      </x:c>
      <x:c r="E264" s="13" t="n">
        <x:v>0</x:v>
      </x:c>
      <x:c r="F264" s="13" t="n">
        <x:v>0</x:v>
      </x:c>
      <x:c r="G264" s="10" t="n">
        <x:v>2</x:v>
      </x:c>
      <x:c r="H264" s="10" t="n">
        <x:v>0</x:v>
      </x:c>
      <x:c r="I264" s="11" t="n">
        <x:f>E264*Rates!$B$4+F264*Rates!$B$5+G264*Rates!$B$6+H264*Rates!$B$7</x:f>
        <x:v>0.002</x:v>
      </x:c>
    </x:row>
    <x:row r="265" ht="24" customHeight="1">
      <x:c r="A265" s="10" t="str">
        <x:v>S03-05</x:v>
      </x:c>
      <x:c r="B265" s="10" t="str">
        <x:v>B</x:v>
      </x:c>
      <x:c r="C265" s="10" t="str">
        <x:v>semantic</x:v>
      </x:c>
      <x:c r="D265" s="10" t="str">
        <x:v>evaluation</x:v>
      </x:c>
      <x:c r="E265" s="13" t="n">
        <x:v>700</x:v>
      </x:c>
      <x:c r="F265" s="13" t="n">
        <x:v>20</x:v>
      </x:c>
      <x:c r="G265" s="10" t="n">
        <x:v>0</x:v>
      </x:c>
      <x:c r="H265" s="10" t="n">
        <x:v>0</x:v>
      </x:c>
      <x:c r="I265" s="11" t="n">
        <x:f>E265*Rates!$B$4+F265*Rates!$B$5+G265*Rates!$B$6+H265*Rates!$B$7</x:f>
        <x:v>0.00078</x:v>
      </x:c>
    </x:row>
    <x:row r="266" ht="24" customHeight="1">
      <x:c r="A266" s="10" t="str">
        <x:v>S03-05</x:v>
      </x:c>
      <x:c r="B266" s="10" t="str">
        <x:v>B</x:v>
      </x:c>
      <x:c r="C266" s="10" t="str">
        <x:v>speech_input</x:v>
      </x:c>
      <x:c r="D266" s="10" t="str">
        <x:v>evaluation</x:v>
      </x:c>
      <x:c r="E266" s="13" t="n">
        <x:v>0</x:v>
      </x:c>
      <x:c r="F266" s="13" t="n">
        <x:v>0</x:v>
      </x:c>
      <x:c r="G266" s="10" t="n">
        <x:v>4.4</x:v>
      </x:c>
      <x:c r="H266" s="10" t="n">
        <x:v>0</x:v>
      </x:c>
      <x:c r="I266" s="11" t="n">
        <x:f>E266*Rates!$B$4+F266*Rates!$B$5+G266*Rates!$B$6+H266*Rates!$B$7</x:f>
        <x:v>0.0044</x:v>
      </x:c>
    </x:row>
    <x:row r="267" ht="24" customHeight="1">
      <x:c r="A267" s="10" t="str">
        <x:v>S03-05</x:v>
      </x:c>
      <x:c r="B267" s="10" t="str">
        <x:v>B</x:v>
      </x:c>
      <x:c r="C267" s="10" t="str">
        <x:v>speech_output</x:v>
      </x:c>
      <x:c r="D267" s="10" t="str">
        <x:v>retained</x:v>
      </x:c>
      <x:c r="E267" s="13" t="n">
        <x:v>126</x:v>
      </x:c>
      <x:c r="F267" s="13" t="n">
        <x:v>0</x:v>
      </x:c>
      <x:c r="G267" s="10" t="n">
        <x:v>0</x:v>
      </x:c>
      <x:c r="H267" s="10" t="n">
        <x:v>2.794</x:v>
      </x:c>
      <x:c r="I267" s="11" t="n">
        <x:f>E267*Rates!$B$4+F267*Rates!$B$5+G267*Rates!$B$6+H267*Rates!$B$7</x:f>
        <x:v>0.005714</x:v>
      </x:c>
    </x:row>
    <x:row r="268" ht="24" customHeight="1">
      <x:c r="A268" s="10" t="str">
        <x:v>S03-05</x:v>
      </x:c>
      <x:c r="B268" s="10" t="str">
        <x:v>B</x:v>
      </x:c>
      <x:c r="C268" s="10" t="str">
        <x:v>speech_output</x:v>
      </x:c>
      <x:c r="D268" s="10" t="str">
        <x:v>retained</x:v>
      </x:c>
      <x:c r="E268" s="13" t="n">
        <x:v>174</x:v>
      </x:c>
      <x:c r="F268" s="13" t="n">
        <x:v>0</x:v>
      </x:c>
      <x:c r="G268" s="10" t="n">
        <x:v>0</x:v>
      </x:c>
      <x:c r="H268" s="10" t="n">
        <x:v>7.994</x:v>
      </x:c>
      <x:c r="I268" s="11" t="n">
        <x:f>E268*Rates!$B$4+F268*Rates!$B$5+G268*Rates!$B$6+H268*Rates!$B$7</x:f>
        <x:v>0.016162</x:v>
      </x:c>
    </x:row>
    <x:row r="269" ht="24" customHeight="1">
      <x:c r="A269" s="10" t="str">
        <x:v>S03-06</x:v>
      </x:c>
      <x:c r="B269" s="10" t="str">
        <x:v>A</x:v>
      </x:c>
      <x:c r="C269" s="10" t="str">
        <x:v>semantic</x:v>
      </x:c>
      <x:c r="D269" s="10" t="str">
        <x:v>setup</x:v>
      </x:c>
      <x:c r="E269" s="13" t="n">
        <x:v>600</x:v>
      </x:c>
      <x:c r="F269" s="13" t="n">
        <x:v>16</x:v>
      </x:c>
      <x:c r="G269" s="10" t="n">
        <x:v>0</x:v>
      </x:c>
      <x:c r="H269" s="10" t="n">
        <x:v>0</x:v>
      </x:c>
      <x:c r="I269" s="11" t="n">
        <x:f>E269*Rates!$B$4+F269*Rates!$B$5+G269*Rates!$B$6+H269*Rates!$B$7</x:f>
        <x:v>0.000664</x:v>
      </x:c>
    </x:row>
    <x:row r="270" ht="24" customHeight="1">
      <x:c r="A270" s="10" t="str">
        <x:v>S03-06</x:v>
      </x:c>
      <x:c r="B270" s="10" t="str">
        <x:v>A</x:v>
      </x:c>
      <x:c r="C270" s="10" t="str">
        <x:v>speech_input</x:v>
      </x:c>
      <x:c r="D270" s="10" t="str">
        <x:v>setup</x:v>
      </x:c>
      <x:c r="E270" s="13" t="n">
        <x:v>0</x:v>
      </x:c>
      <x:c r="F270" s="13" t="n">
        <x:v>0</x:v>
      </x:c>
      <x:c r="G270" s="10" t="n">
        <x:v>2</x:v>
      </x:c>
      <x:c r="H270" s="10" t="n">
        <x:v>0</x:v>
      </x:c>
      <x:c r="I270" s="11" t="n">
        <x:f>E270*Rates!$B$4+F270*Rates!$B$5+G270*Rates!$B$6+H270*Rates!$B$7</x:f>
        <x:v>0.002</x:v>
      </x:c>
    </x:row>
    <x:row r="271" ht="24" customHeight="1">
      <x:c r="A271" s="10" t="str">
        <x:v>S03-06</x:v>
      </x:c>
      <x:c r="B271" s="10" t="str">
        <x:v>A</x:v>
      </x:c>
      <x:c r="C271" s="10" t="str">
        <x:v>semantic</x:v>
      </x:c>
      <x:c r="D271" s="10" t="str">
        <x:v>evaluation</x:v>
      </x:c>
      <x:c r="E271" s="13" t="n">
        <x:v>720</x:v>
      </x:c>
      <x:c r="F271" s="13" t="n">
        <x:v>16</x:v>
      </x:c>
      <x:c r="G271" s="10" t="n">
        <x:v>0</x:v>
      </x:c>
      <x:c r="H271" s="10" t="n">
        <x:v>0</x:v>
      </x:c>
      <x:c r="I271" s="11" t="n">
        <x:f>E271*Rates!$B$4+F271*Rates!$B$5+G271*Rates!$B$6+H271*Rates!$B$7</x:f>
        <x:v>0.000784</x:v>
      </x:c>
    </x:row>
    <x:row r="272" ht="24" customHeight="1">
      <x:c r="A272" s="10" t="str">
        <x:v>S03-06</x:v>
      </x:c>
      <x:c r="B272" s="10" t="str">
        <x:v>A</x:v>
      </x:c>
      <x:c r="C272" s="10" t="str">
        <x:v>speech_input</x:v>
      </x:c>
      <x:c r="D272" s="10" t="str">
        <x:v>evaluation</x:v>
      </x:c>
      <x:c r="E272" s="13" t="n">
        <x:v>0</x:v>
      </x:c>
      <x:c r="F272" s="13" t="n">
        <x:v>0</x:v>
      </x:c>
      <x:c r="G272" s="10" t="n">
        <x:v>4.4</x:v>
      </x:c>
      <x:c r="H272" s="10" t="n">
        <x:v>0</x:v>
      </x:c>
      <x:c r="I272" s="11" t="n">
        <x:f>E272*Rates!$B$4+F272*Rates!$B$5+G272*Rates!$B$6+H272*Rates!$B$7</x:f>
        <x:v>0.0044</x:v>
      </x:c>
    </x:row>
    <x:row r="273" ht="24" customHeight="1">
      <x:c r="A273" s="10" t="str">
        <x:v>S03-06</x:v>
      </x:c>
      <x:c r="B273" s="10" t="str">
        <x:v>A</x:v>
      </x:c>
      <x:c r="C273" s="10" t="str">
        <x:v>speech_output</x:v>
      </x:c>
      <x:c r="D273" s="10" t="str">
        <x:v>retained</x:v>
      </x:c>
      <x:c r="E273" s="13" t="n">
        <x:v>126</x:v>
      </x:c>
      <x:c r="F273" s="13" t="n">
        <x:v>0</x:v>
      </x:c>
      <x:c r="G273" s="10" t="n">
        <x:v>0</x:v>
      </x:c>
      <x:c r="H273" s="10" t="n">
        <x:v>2.806</x:v>
      </x:c>
      <x:c r="I273" s="11" t="n">
        <x:f>E273*Rates!$B$4+F273*Rates!$B$5+G273*Rates!$B$6+H273*Rates!$B$7</x:f>
        <x:v>0.005738</x:v>
      </x:c>
    </x:row>
    <x:row r="274" ht="24" customHeight="1">
      <x:c r="A274" s="10" t="str">
        <x:v>S03-06</x:v>
      </x:c>
      <x:c r="B274" s="10" t="str">
        <x:v>A</x:v>
      </x:c>
      <x:c r="C274" s="10" t="str">
        <x:v>speech_output</x:v>
      </x:c>
      <x:c r="D274" s="10" t="str">
        <x:v>discarded</x:v>
      </x:c>
      <x:c r="E274" s="13" t="n">
        <x:v>180</x:v>
      </x:c>
      <x:c r="F274" s="13" t="n">
        <x:v>0</x:v>
      </x:c>
      <x:c r="G274" s="10" t="n">
        <x:v>0</x:v>
      </x:c>
      <x:c r="H274" s="10" t="n">
        <x:v>6.4</x:v>
      </x:c>
      <x:c r="I274" s="11" t="n">
        <x:f>E274*Rates!$B$4+F274*Rates!$B$5+G274*Rates!$B$6+H274*Rates!$B$7</x:f>
        <x:v>0.01298</x:v>
      </x:c>
    </x:row>
    <x:row r="275" ht="24" customHeight="1">
      <x:c r="A275" s="10" t="str">
        <x:v>S03-06</x:v>
      </x:c>
      <x:c r="B275" s="10" t="str">
        <x:v>A</x:v>
      </x:c>
      <x:c r="C275" s="10" t="str">
        <x:v>speech_output</x:v>
      </x:c>
      <x:c r="D275" s="10" t="str">
        <x:v>retained</x:v>
      </x:c>
      <x:c r="E275" s="13" t="n">
        <x:v>174</x:v>
      </x:c>
      <x:c r="F275" s="13" t="n">
        <x:v>0</x:v>
      </x:c>
      <x:c r="G275" s="10" t="n">
        <x:v>0</x:v>
      </x:c>
      <x:c r="H275" s="10" t="n">
        <x:v>8.006</x:v>
      </x:c>
      <x:c r="I275" s="11" t="n">
        <x:f>E275*Rates!$B$4+F275*Rates!$B$5+G275*Rates!$B$6+H275*Rates!$B$7</x:f>
        <x:v>0.016186000000000002</x:v>
      </x:c>
    </x:row>
    <x:row r="276" ht="24" customHeight="1">
      <x:c r="A276" s="10" t="str">
        <x:v>S03-06</x:v>
      </x:c>
      <x:c r="B276" s="10" t="str">
        <x:v>B</x:v>
      </x:c>
      <x:c r="C276" s="10" t="str">
        <x:v>semantic</x:v>
      </x:c>
      <x:c r="D276" s="10" t="str">
        <x:v>setup</x:v>
      </x:c>
      <x:c r="E276" s="13" t="n">
        <x:v>600</x:v>
      </x:c>
      <x:c r="F276" s="13" t="n">
        <x:v>16</x:v>
      </x:c>
      <x:c r="G276" s="10" t="n">
        <x:v>0</x:v>
      </x:c>
      <x:c r="H276" s="10" t="n">
        <x:v>0</x:v>
      </x:c>
      <x:c r="I276" s="11" t="n">
        <x:f>E276*Rates!$B$4+F276*Rates!$B$5+G276*Rates!$B$6+H276*Rates!$B$7</x:f>
        <x:v>0.000664</x:v>
      </x:c>
    </x:row>
    <x:row r="277" ht="24" customHeight="1">
      <x:c r="A277" s="10" t="str">
        <x:v>S03-06</x:v>
      </x:c>
      <x:c r="B277" s="10" t="str">
        <x:v>B</x:v>
      </x:c>
      <x:c r="C277" s="10" t="str">
        <x:v>speech_input</x:v>
      </x:c>
      <x:c r="D277" s="10" t="str">
        <x:v>setup</x:v>
      </x:c>
      <x:c r="E277" s="13" t="n">
        <x:v>0</x:v>
      </x:c>
      <x:c r="F277" s="13" t="n">
        <x:v>0</x:v>
      </x:c>
      <x:c r="G277" s="10" t="n">
        <x:v>2</x:v>
      </x:c>
      <x:c r="H277" s="10" t="n">
        <x:v>0</x:v>
      </x:c>
      <x:c r="I277" s="11" t="n">
        <x:f>E277*Rates!$B$4+F277*Rates!$B$5+G277*Rates!$B$6+H277*Rates!$B$7</x:f>
        <x:v>0.002</x:v>
      </x:c>
    </x:row>
    <x:row r="278" ht="24" customHeight="1">
      <x:c r="A278" s="10" t="str">
        <x:v>S03-06</x:v>
      </x:c>
      <x:c r="B278" s="10" t="str">
        <x:v>B</x:v>
      </x:c>
      <x:c r="C278" s="10" t="str">
        <x:v>semantic</x:v>
      </x:c>
      <x:c r="D278" s="10" t="str">
        <x:v>evaluation</x:v>
      </x:c>
      <x:c r="E278" s="13" t="n">
        <x:v>720</x:v>
      </x:c>
      <x:c r="F278" s="13" t="n">
        <x:v>16</x:v>
      </x:c>
      <x:c r="G278" s="10" t="n">
        <x:v>0</x:v>
      </x:c>
      <x:c r="H278" s="10" t="n">
        <x:v>0</x:v>
      </x:c>
      <x:c r="I278" s="11" t="n">
        <x:f>E278*Rates!$B$4+F278*Rates!$B$5+G278*Rates!$B$6+H278*Rates!$B$7</x:f>
        <x:v>0.000784</x:v>
      </x:c>
    </x:row>
    <x:row r="279" ht="24" customHeight="1">
      <x:c r="A279" s="10" t="str">
        <x:v>S03-06</x:v>
      </x:c>
      <x:c r="B279" s="10" t="str">
        <x:v>B</x:v>
      </x:c>
      <x:c r="C279" s="10" t="str">
        <x:v>speech_input</x:v>
      </x:c>
      <x:c r="D279" s="10" t="str">
        <x:v>evaluation</x:v>
      </x:c>
      <x:c r="E279" s="13" t="n">
        <x:v>0</x:v>
      </x:c>
      <x:c r="F279" s="13" t="n">
        <x:v>0</x:v>
      </x:c>
      <x:c r="G279" s="10" t="n">
        <x:v>4.4</x:v>
      </x:c>
      <x:c r="H279" s="10" t="n">
        <x:v>0</x:v>
      </x:c>
      <x:c r="I279" s="11" t="n">
        <x:f>E279*Rates!$B$4+F279*Rates!$B$5+G279*Rates!$B$6+H279*Rates!$B$7</x:f>
        <x:v>0.0044</x:v>
      </x:c>
    </x:row>
    <x:row r="280" ht="24" customHeight="1">
      <x:c r="A280" s="10" t="str">
        <x:v>S03-06</x:v>
      </x:c>
      <x:c r="B280" s="10" t="str">
        <x:v>B</x:v>
      </x:c>
      <x:c r="C280" s="10" t="str">
        <x:v>speech_output</x:v>
      </x:c>
      <x:c r="D280" s="10" t="str">
        <x:v>retained</x:v>
      </x:c>
      <x:c r="E280" s="13" t="n">
        <x:v>126</x:v>
      </x:c>
      <x:c r="F280" s="13" t="n">
        <x:v>0</x:v>
      </x:c>
      <x:c r="G280" s="10" t="n">
        <x:v>0</x:v>
      </x:c>
      <x:c r="H280" s="10" t="n">
        <x:v>2.806</x:v>
      </x:c>
      <x:c r="I280" s="11" t="n">
        <x:f>E280*Rates!$B$4+F280*Rates!$B$5+G280*Rates!$B$6+H280*Rates!$B$7</x:f>
        <x:v>0.005738</x:v>
      </x:c>
    </x:row>
    <x:row r="281" ht="24" customHeight="1">
      <x:c r="A281" s="10" t="str">
        <x:v>S03-06</x:v>
      </x:c>
      <x:c r="B281" s="10" t="str">
        <x:v>B</x:v>
      </x:c>
      <x:c r="C281" s="10" t="str">
        <x:v>speech_output</x:v>
      </x:c>
      <x:c r="D281" s="10" t="str">
        <x:v>retained</x:v>
      </x:c>
      <x:c r="E281" s="13" t="n">
        <x:v>174</x:v>
      </x:c>
      <x:c r="F281" s="13" t="n">
        <x:v>0</x:v>
      </x:c>
      <x:c r="G281" s="10" t="n">
        <x:v>0</x:v>
      </x:c>
      <x:c r="H281" s="10" t="n">
        <x:v>8.006</x:v>
      </x:c>
      <x:c r="I281" s="11" t="n">
        <x:f>E281*Rates!$B$4+F281*Rates!$B$5+G281*Rates!$B$6+H281*Rates!$B$7</x:f>
        <x:v>0.016186000000000002</x:v>
      </x:c>
    </x:row>
    <x:row r="282" ht="24" customHeight="1">
      <x:c r="A282" s="10" t="str">
        <x:v>S03-07</x:v>
      </x:c>
      <x:c r="B282" s="10" t="str">
        <x:v>A</x:v>
      </x:c>
      <x:c r="C282" s="10" t="str">
        <x:v>semantic</x:v>
      </x:c>
      <x:c r="D282" s="10" t="str">
        <x:v>setup</x:v>
      </x:c>
      <x:c r="E282" s="13" t="n">
        <x:v>600</x:v>
      </x:c>
      <x:c r="F282" s="13" t="n">
        <x:v>16</x:v>
      </x:c>
      <x:c r="G282" s="10" t="n">
        <x:v>0</x:v>
      </x:c>
      <x:c r="H282" s="10" t="n">
        <x:v>0</x:v>
      </x:c>
      <x:c r="I282" s="11" t="n">
        <x:f>E282*Rates!$B$4+F282*Rates!$B$5+G282*Rates!$B$6+H282*Rates!$B$7</x:f>
        <x:v>0.000664</x:v>
      </x:c>
    </x:row>
    <x:row r="283" ht="24" customHeight="1">
      <x:c r="A283" s="10" t="str">
        <x:v>S03-07</x:v>
      </x:c>
      <x:c r="B283" s="10" t="str">
        <x:v>A</x:v>
      </x:c>
      <x:c r="C283" s="10" t="str">
        <x:v>speech_input</x:v>
      </x:c>
      <x:c r="D283" s="10" t="str">
        <x:v>setup</x:v>
      </x:c>
      <x:c r="E283" s="13" t="n">
        <x:v>0</x:v>
      </x:c>
      <x:c r="F283" s="13" t="n">
        <x:v>0</x:v>
      </x:c>
      <x:c r="G283" s="10" t="n">
        <x:v>2</x:v>
      </x:c>
      <x:c r="H283" s="10" t="n">
        <x:v>0</x:v>
      </x:c>
      <x:c r="I283" s="11" t="n">
        <x:f>E283*Rates!$B$4+F283*Rates!$B$5+G283*Rates!$B$6+H283*Rates!$B$7</x:f>
        <x:v>0.002</x:v>
      </x:c>
    </x:row>
    <x:row r="284" ht="24" customHeight="1">
      <x:c r="A284" s="10" t="str">
        <x:v>S03-07</x:v>
      </x:c>
      <x:c r="B284" s="10" t="str">
        <x:v>A</x:v>
      </x:c>
      <x:c r="C284" s="10" t="str">
        <x:v>semantic</x:v>
      </x:c>
      <x:c r="D284" s="10" t="str">
        <x:v>evaluation</x:v>
      </x:c>
      <x:c r="E284" s="13" t="n">
        <x:v>740</x:v>
      </x:c>
      <x:c r="F284" s="13" t="n">
        <x:v>18</x:v>
      </x:c>
      <x:c r="G284" s="10" t="n">
        <x:v>0</x:v>
      </x:c>
      <x:c r="H284" s="10" t="n">
        <x:v>0</x:v>
      </x:c>
      <x:c r="I284" s="11" t="n">
        <x:f>E284*Rates!$B$4+F284*Rates!$B$5+G284*Rates!$B$6+H284*Rates!$B$7</x:f>
        <x:v>0.000812</x:v>
      </x:c>
    </x:row>
    <x:row r="285" ht="24" customHeight="1">
      <x:c r="A285" s="10" t="str">
        <x:v>S03-07</x:v>
      </x:c>
      <x:c r="B285" s="10" t="str">
        <x:v>A</x:v>
      </x:c>
      <x:c r="C285" s="10" t="str">
        <x:v>speech_input</x:v>
      </x:c>
      <x:c r="D285" s="10" t="str">
        <x:v>evaluation</x:v>
      </x:c>
      <x:c r="E285" s="13" t="n">
        <x:v>0</x:v>
      </x:c>
      <x:c r="F285" s="13" t="n">
        <x:v>0</x:v>
      </x:c>
      <x:c r="G285" s="10" t="n">
        <x:v>4.4</x:v>
      </x:c>
      <x:c r="H285" s="10" t="n">
        <x:v>0</x:v>
      </x:c>
      <x:c r="I285" s="11" t="n">
        <x:f>E285*Rates!$B$4+F285*Rates!$B$5+G285*Rates!$B$6+H285*Rates!$B$7</x:f>
        <x:v>0.0044</x:v>
      </x:c>
    </x:row>
    <x:row r="286" ht="24" customHeight="1">
      <x:c r="A286" s="10" t="str">
        <x:v>S03-07</x:v>
      </x:c>
      <x:c r="B286" s="10" t="str">
        <x:v>A</x:v>
      </x:c>
      <x:c r="C286" s="10" t="str">
        <x:v>speech_output</x:v>
      </x:c>
      <x:c r="D286" s="10" t="str">
        <x:v>retained</x:v>
      </x:c>
      <x:c r="E286" s="13" t="n">
        <x:v>126</x:v>
      </x:c>
      <x:c r="F286" s="13" t="n">
        <x:v>0</x:v>
      </x:c>
      <x:c r="G286" s="10" t="n">
        <x:v>0</x:v>
      </x:c>
      <x:c r="H286" s="10" t="n">
        <x:v>2.818</x:v>
      </x:c>
      <x:c r="I286" s="11" t="n">
        <x:f>E286*Rates!$B$4+F286*Rates!$B$5+G286*Rates!$B$6+H286*Rates!$B$7</x:f>
        <x:v>0.005762000000000001</x:v>
      </x:c>
    </x:row>
    <x:row r="287" ht="24" customHeight="1">
      <x:c r="A287" s="10" t="str">
        <x:v>S03-07</x:v>
      </x:c>
      <x:c r="B287" s="10" t="str">
        <x:v>A</x:v>
      </x:c>
      <x:c r="C287" s="10" t="str">
        <x:v>speech_output</x:v>
      </x:c>
      <x:c r="D287" s="10" t="str">
        <x:v>discarded</x:v>
      </x:c>
      <x:c r="E287" s="13" t="n">
        <x:v>180</x:v>
      </x:c>
      <x:c r="F287" s="13" t="n">
        <x:v>0</x:v>
      </x:c>
      <x:c r="G287" s="10" t="n">
        <x:v>0</x:v>
      </x:c>
      <x:c r="H287" s="10" t="n">
        <x:v>6.513333332</x:v>
      </x:c>
      <x:c r="I287" s="11" t="n">
        <x:f>E287*Rates!$B$4+F287*Rates!$B$5+G287*Rates!$B$6+H287*Rates!$B$7</x:f>
        <x:v>0.013206666664</x:v>
      </x:c>
    </x:row>
    <x:row r="288" ht="24" customHeight="1">
      <x:c r="A288" s="10" t="str">
        <x:v>S03-07</x:v>
      </x:c>
      <x:c r="B288" s="10" t="str">
        <x:v>A</x:v>
      </x:c>
      <x:c r="C288" s="10" t="str">
        <x:v>speech_output</x:v>
      </x:c>
      <x:c r="D288" s="10" t="str">
        <x:v>retained</x:v>
      </x:c>
      <x:c r="E288" s="13" t="n">
        <x:v>174</x:v>
      </x:c>
      <x:c r="F288" s="13" t="n">
        <x:v>0</x:v>
      </x:c>
      <x:c r="G288" s="10" t="n">
        <x:v>0</x:v>
      </x:c>
      <x:c r="H288" s="10" t="n">
        <x:v>8.018</x:v>
      </x:c>
      <x:c r="I288" s="11" t="n">
        <x:f>E288*Rates!$B$4+F288*Rates!$B$5+G288*Rates!$B$6+H288*Rates!$B$7</x:f>
        <x:v>0.016210000000000002</x:v>
      </x:c>
    </x:row>
    <x:row r="289" ht="24" customHeight="1">
      <x:c r="A289" s="10" t="str">
        <x:v>S03-07</x:v>
      </x:c>
      <x:c r="B289" s="10" t="str">
        <x:v>B</x:v>
      </x:c>
      <x:c r="C289" s="10" t="str">
        <x:v>semantic</x:v>
      </x:c>
      <x:c r="D289" s="10" t="str">
        <x:v>setup</x:v>
      </x:c>
      <x:c r="E289" s="13" t="n">
        <x:v>600</x:v>
      </x:c>
      <x:c r="F289" s="13" t="n">
        <x:v>16</x:v>
      </x:c>
      <x:c r="G289" s="10" t="n">
        <x:v>0</x:v>
      </x:c>
      <x:c r="H289" s="10" t="n">
        <x:v>0</x:v>
      </x:c>
      <x:c r="I289" s="11" t="n">
        <x:f>E289*Rates!$B$4+F289*Rates!$B$5+G289*Rates!$B$6+H289*Rates!$B$7</x:f>
        <x:v>0.000664</x:v>
      </x:c>
    </x:row>
    <x:row r="290" ht="24" customHeight="1">
      <x:c r="A290" s="10" t="str">
        <x:v>S03-07</x:v>
      </x:c>
      <x:c r="B290" s="10" t="str">
        <x:v>B</x:v>
      </x:c>
      <x:c r="C290" s="10" t="str">
        <x:v>speech_input</x:v>
      </x:c>
      <x:c r="D290" s="10" t="str">
        <x:v>setup</x:v>
      </x:c>
      <x:c r="E290" s="13" t="n">
        <x:v>0</x:v>
      </x:c>
      <x:c r="F290" s="13" t="n">
        <x:v>0</x:v>
      </x:c>
      <x:c r="G290" s="10" t="n">
        <x:v>2</x:v>
      </x:c>
      <x:c r="H290" s="10" t="n">
        <x:v>0</x:v>
      </x:c>
      <x:c r="I290" s="11" t="n">
        <x:f>E290*Rates!$B$4+F290*Rates!$B$5+G290*Rates!$B$6+H290*Rates!$B$7</x:f>
        <x:v>0.002</x:v>
      </x:c>
    </x:row>
    <x:row r="291" ht="24" customHeight="1">
      <x:c r="A291" s="10" t="str">
        <x:v>S03-07</x:v>
      </x:c>
      <x:c r="B291" s="10" t="str">
        <x:v>B</x:v>
      </x:c>
      <x:c r="C291" s="10" t="str">
        <x:v>semantic</x:v>
      </x:c>
      <x:c r="D291" s="10" t="str">
        <x:v>evaluation</x:v>
      </x:c>
      <x:c r="E291" s="13" t="n">
        <x:v>740</x:v>
      </x:c>
      <x:c r="F291" s="13" t="n">
        <x:v>18</x:v>
      </x:c>
      <x:c r="G291" s="10" t="n">
        <x:v>0</x:v>
      </x:c>
      <x:c r="H291" s="10" t="n">
        <x:v>0</x:v>
      </x:c>
      <x:c r="I291" s="11" t="n">
        <x:f>E291*Rates!$B$4+F291*Rates!$B$5+G291*Rates!$B$6+H291*Rates!$B$7</x:f>
        <x:v>0.000812</x:v>
      </x:c>
    </x:row>
    <x:row r="292" ht="24" customHeight="1">
      <x:c r="A292" s="10" t="str">
        <x:v>S03-07</x:v>
      </x:c>
      <x:c r="B292" s="10" t="str">
        <x:v>B</x:v>
      </x:c>
      <x:c r="C292" s="10" t="str">
        <x:v>speech_input</x:v>
      </x:c>
      <x:c r="D292" s="10" t="str">
        <x:v>evaluation</x:v>
      </x:c>
      <x:c r="E292" s="13" t="n">
        <x:v>0</x:v>
      </x:c>
      <x:c r="F292" s="13" t="n">
        <x:v>0</x:v>
      </x:c>
      <x:c r="G292" s="10" t="n">
        <x:v>4.4</x:v>
      </x:c>
      <x:c r="H292" s="10" t="n">
        <x:v>0</x:v>
      </x:c>
      <x:c r="I292" s="11" t="n">
        <x:f>E292*Rates!$B$4+F292*Rates!$B$5+G292*Rates!$B$6+H292*Rates!$B$7</x:f>
        <x:v>0.0044</x:v>
      </x:c>
    </x:row>
    <x:row r="293" ht="24" customHeight="1">
      <x:c r="A293" s="10" t="str">
        <x:v>S03-07</x:v>
      </x:c>
      <x:c r="B293" s="10" t="str">
        <x:v>B</x:v>
      </x:c>
      <x:c r="C293" s="10" t="str">
        <x:v>speech_output</x:v>
      </x:c>
      <x:c r="D293" s="10" t="str">
        <x:v>retained</x:v>
      </x:c>
      <x:c r="E293" s="13" t="n">
        <x:v>126</x:v>
      </x:c>
      <x:c r="F293" s="13" t="n">
        <x:v>0</x:v>
      </x:c>
      <x:c r="G293" s="10" t="n">
        <x:v>0</x:v>
      </x:c>
      <x:c r="H293" s="10" t="n">
        <x:v>2.818</x:v>
      </x:c>
      <x:c r="I293" s="11" t="n">
        <x:f>E293*Rates!$B$4+F293*Rates!$B$5+G293*Rates!$B$6+H293*Rates!$B$7</x:f>
        <x:v>0.005762000000000001</x:v>
      </x:c>
    </x:row>
    <x:row r="294" ht="24" customHeight="1">
      <x:c r="A294" s="10" t="str">
        <x:v>S03-07</x:v>
      </x:c>
      <x:c r="B294" s="10" t="str">
        <x:v>B</x:v>
      </x:c>
      <x:c r="C294" s="10" t="str">
        <x:v>speech_output</x:v>
      </x:c>
      <x:c r="D294" s="10" t="str">
        <x:v>retained</x:v>
      </x:c>
      <x:c r="E294" s="13" t="n">
        <x:v>174</x:v>
      </x:c>
      <x:c r="F294" s="13" t="n">
        <x:v>0</x:v>
      </x:c>
      <x:c r="G294" s="10" t="n">
        <x:v>0</x:v>
      </x:c>
      <x:c r="H294" s="10" t="n">
        <x:v>8.018</x:v>
      </x:c>
      <x:c r="I294" s="11" t="n">
        <x:f>E294*Rates!$B$4+F294*Rates!$B$5+G294*Rates!$B$6+H294*Rates!$B$7</x:f>
        <x:v>0.016210000000000002</x:v>
      </x:c>
    </x:row>
    <x:row r="295" ht="24" customHeight="1">
      <x:c r="A295" s="10" t="str">
        <x:v>S03-08</x:v>
      </x:c>
      <x:c r="B295" s="10" t="str">
        <x:v>A</x:v>
      </x:c>
      <x:c r="C295" s="10" t="str">
        <x:v>semantic</x:v>
      </x:c>
      <x:c r="D295" s="10" t="str">
        <x:v>setup</x:v>
      </x:c>
      <x:c r="E295" s="13" t="n">
        <x:v>600</x:v>
      </x:c>
      <x:c r="F295" s="13" t="n">
        <x:v>16</x:v>
      </x:c>
      <x:c r="G295" s="10" t="n">
        <x:v>0</x:v>
      </x:c>
      <x:c r="H295" s="10" t="n">
        <x:v>0</x:v>
      </x:c>
      <x:c r="I295" s="11" t="n">
        <x:f>E295*Rates!$B$4+F295*Rates!$B$5+G295*Rates!$B$6+H295*Rates!$B$7</x:f>
        <x:v>0.000664</x:v>
      </x:c>
    </x:row>
    <x:row r="296" ht="24" customHeight="1">
      <x:c r="A296" s="10" t="str">
        <x:v>S03-08</x:v>
      </x:c>
      <x:c r="B296" s="10" t="str">
        <x:v>A</x:v>
      </x:c>
      <x:c r="C296" s="10" t="str">
        <x:v>speech_input</x:v>
      </x:c>
      <x:c r="D296" s="10" t="str">
        <x:v>setup</x:v>
      </x:c>
      <x:c r="E296" s="13" t="n">
        <x:v>0</x:v>
      </x:c>
      <x:c r="F296" s="13" t="n">
        <x:v>0</x:v>
      </x:c>
      <x:c r="G296" s="10" t="n">
        <x:v>2</x:v>
      </x:c>
      <x:c r="H296" s="10" t="n">
        <x:v>0</x:v>
      </x:c>
      <x:c r="I296" s="11" t="n">
        <x:f>E296*Rates!$B$4+F296*Rates!$B$5+G296*Rates!$B$6+H296*Rates!$B$7</x:f>
        <x:v>0.002</x:v>
      </x:c>
    </x:row>
    <x:row r="297" ht="24" customHeight="1">
      <x:c r="A297" s="10" t="str">
        <x:v>S03-08</x:v>
      </x:c>
      <x:c r="B297" s="10" t="str">
        <x:v>A</x:v>
      </x:c>
      <x:c r="C297" s="10" t="str">
        <x:v>semantic</x:v>
      </x:c>
      <x:c r="D297" s="10" t="str">
        <x:v>evaluation</x:v>
      </x:c>
      <x:c r="E297" s="13" t="n">
        <x:v>760</x:v>
      </x:c>
      <x:c r="F297" s="13" t="n">
        <x:v>20</x:v>
      </x:c>
      <x:c r="G297" s="10" t="n">
        <x:v>0</x:v>
      </x:c>
      <x:c r="H297" s="10" t="n">
        <x:v>0</x:v>
      </x:c>
      <x:c r="I297" s="11" t="n">
        <x:f>E297*Rates!$B$4+F297*Rates!$B$5+G297*Rates!$B$6+H297*Rates!$B$7</x:f>
        <x:v>0.0008399999999999999</x:v>
      </x:c>
    </x:row>
    <x:row r="298" ht="24" customHeight="1">
      <x:c r="A298" s="10" t="str">
        <x:v>S03-08</x:v>
      </x:c>
      <x:c r="B298" s="10" t="str">
        <x:v>A</x:v>
      </x:c>
      <x:c r="C298" s="10" t="str">
        <x:v>speech_input</x:v>
      </x:c>
      <x:c r="D298" s="10" t="str">
        <x:v>evaluation</x:v>
      </x:c>
      <x:c r="E298" s="13" t="n">
        <x:v>0</x:v>
      </x:c>
      <x:c r="F298" s="13" t="n">
        <x:v>0</x:v>
      </x:c>
      <x:c r="G298" s="10" t="n">
        <x:v>4.4</x:v>
      </x:c>
      <x:c r="H298" s="10" t="n">
        <x:v>0</x:v>
      </x:c>
      <x:c r="I298" s="11" t="n">
        <x:f>E298*Rates!$B$4+F298*Rates!$B$5+G298*Rates!$B$6+H298*Rates!$B$7</x:f>
        <x:v>0.0044</x:v>
      </x:c>
    </x:row>
    <x:row r="299" ht="24" customHeight="1">
      <x:c r="A299" s="10" t="str">
        <x:v>S03-08</x:v>
      </x:c>
      <x:c r="B299" s="10" t="str">
        <x:v>A</x:v>
      </x:c>
      <x:c r="C299" s="10" t="str">
        <x:v>speech_output</x:v>
      </x:c>
      <x:c r="D299" s="10" t="str">
        <x:v>retained</x:v>
      </x:c>
      <x:c r="E299" s="13" t="n">
        <x:v>126</x:v>
      </x:c>
      <x:c r="F299" s="13" t="n">
        <x:v>0</x:v>
      </x:c>
      <x:c r="G299" s="10" t="n">
        <x:v>0</x:v>
      </x:c>
      <x:c r="H299" s="10" t="n">
        <x:v>2.83</x:v>
      </x:c>
      <x:c r="I299" s="11" t="n">
        <x:f>E299*Rates!$B$4+F299*Rates!$B$5+G299*Rates!$B$6+H299*Rates!$B$7</x:f>
        <x:v>0.005786</x:v>
      </x:c>
    </x:row>
    <x:row r="300" ht="24" customHeight="1">
      <x:c r="A300" s="10" t="str">
        <x:v>S03-08</x:v>
      </x:c>
      <x:c r="B300" s="10" t="str">
        <x:v>A</x:v>
      </x:c>
      <x:c r="C300" s="10" t="str">
        <x:v>speech_output</x:v>
      </x:c>
      <x:c r="D300" s="10" t="str">
        <x:v>discarded</x:v>
      </x:c>
      <x:c r="E300" s="13" t="n">
        <x:v>180</x:v>
      </x:c>
      <x:c r="F300" s="13" t="n">
        <x:v>0</x:v>
      </x:c>
      <x:c r="G300" s="10" t="n">
        <x:v>0</x:v>
      </x:c>
      <x:c r="H300" s="10" t="n">
        <x:v>6.626666668</x:v>
      </x:c>
      <x:c r="I300" s="11" t="n">
        <x:f>E300*Rates!$B$4+F300*Rates!$B$5+G300*Rates!$B$6+H300*Rates!$B$7</x:f>
        <x:v>0.013433333336</x:v>
      </x:c>
    </x:row>
    <x:row r="301" ht="24" customHeight="1">
      <x:c r="A301" s="10" t="str">
        <x:v>S03-08</x:v>
      </x:c>
      <x:c r="B301" s="10" t="str">
        <x:v>A</x:v>
      </x:c>
      <x:c r="C301" s="10" t="str">
        <x:v>speech_output</x:v>
      </x:c>
      <x:c r="D301" s="10" t="str">
        <x:v>retained</x:v>
      </x:c>
      <x:c r="E301" s="13" t="n">
        <x:v>174</x:v>
      </x:c>
      <x:c r="F301" s="13" t="n">
        <x:v>0</x:v>
      </x:c>
      <x:c r="G301" s="10" t="n">
        <x:v>0</x:v>
      </x:c>
      <x:c r="H301" s="10" t="n">
        <x:v>8.03</x:v>
      </x:c>
      <x:c r="I301" s="11" t="n">
        <x:f>E301*Rates!$B$4+F301*Rates!$B$5+G301*Rates!$B$6+H301*Rates!$B$7</x:f>
        <x:v>0.016234</x:v>
      </x:c>
    </x:row>
    <x:row r="302" ht="24" customHeight="1">
      <x:c r="A302" s="10" t="str">
        <x:v>S03-08</x:v>
      </x:c>
      <x:c r="B302" s="10" t="str">
        <x:v>B</x:v>
      </x:c>
      <x:c r="C302" s="10" t="str">
        <x:v>semantic</x:v>
      </x:c>
      <x:c r="D302" s="10" t="str">
        <x:v>setup</x:v>
      </x:c>
      <x:c r="E302" s="13" t="n">
        <x:v>600</x:v>
      </x:c>
      <x:c r="F302" s="13" t="n">
        <x:v>16</x:v>
      </x:c>
      <x:c r="G302" s="10" t="n">
        <x:v>0</x:v>
      </x:c>
      <x:c r="H302" s="10" t="n">
        <x:v>0</x:v>
      </x:c>
      <x:c r="I302" s="11" t="n">
        <x:f>E302*Rates!$B$4+F302*Rates!$B$5+G302*Rates!$B$6+H302*Rates!$B$7</x:f>
        <x:v>0.000664</x:v>
      </x:c>
    </x:row>
    <x:row r="303" ht="24" customHeight="1">
      <x:c r="A303" s="10" t="str">
        <x:v>S03-08</x:v>
      </x:c>
      <x:c r="B303" s="10" t="str">
        <x:v>B</x:v>
      </x:c>
      <x:c r="C303" s="10" t="str">
        <x:v>speech_input</x:v>
      </x:c>
      <x:c r="D303" s="10" t="str">
        <x:v>setup</x:v>
      </x:c>
      <x:c r="E303" s="13" t="n">
        <x:v>0</x:v>
      </x:c>
      <x:c r="F303" s="13" t="n">
        <x:v>0</x:v>
      </x:c>
      <x:c r="G303" s="10" t="n">
        <x:v>2</x:v>
      </x:c>
      <x:c r="H303" s="10" t="n">
        <x:v>0</x:v>
      </x:c>
      <x:c r="I303" s="11" t="n">
        <x:f>E303*Rates!$B$4+F303*Rates!$B$5+G303*Rates!$B$6+H303*Rates!$B$7</x:f>
        <x:v>0.002</x:v>
      </x:c>
    </x:row>
    <x:row r="304" ht="24" customHeight="1">
      <x:c r="A304" s="10" t="str">
        <x:v>S03-08</x:v>
      </x:c>
      <x:c r="B304" s="10" t="str">
        <x:v>B</x:v>
      </x:c>
      <x:c r="C304" s="10" t="str">
        <x:v>semantic</x:v>
      </x:c>
      <x:c r="D304" s="10" t="str">
        <x:v>evaluation</x:v>
      </x:c>
      <x:c r="E304" s="13" t="n">
        <x:v>760</x:v>
      </x:c>
      <x:c r="F304" s="13" t="n">
        <x:v>20</x:v>
      </x:c>
      <x:c r="G304" s="10" t="n">
        <x:v>0</x:v>
      </x:c>
      <x:c r="H304" s="10" t="n">
        <x:v>0</x:v>
      </x:c>
      <x:c r="I304" s="11" t="n">
        <x:f>E304*Rates!$B$4+F304*Rates!$B$5+G304*Rates!$B$6+H304*Rates!$B$7</x:f>
        <x:v>0.0008399999999999999</x:v>
      </x:c>
    </x:row>
    <x:row r="305" ht="24" customHeight="1">
      <x:c r="A305" s="10" t="str">
        <x:v>S03-08</x:v>
      </x:c>
      <x:c r="B305" s="10" t="str">
        <x:v>B</x:v>
      </x:c>
      <x:c r="C305" s="10" t="str">
        <x:v>speech_input</x:v>
      </x:c>
      <x:c r="D305" s="10" t="str">
        <x:v>evaluation</x:v>
      </x:c>
      <x:c r="E305" s="13" t="n">
        <x:v>0</x:v>
      </x:c>
      <x:c r="F305" s="13" t="n">
        <x:v>0</x:v>
      </x:c>
      <x:c r="G305" s="10" t="n">
        <x:v>4.4</x:v>
      </x:c>
      <x:c r="H305" s="10" t="n">
        <x:v>0</x:v>
      </x:c>
      <x:c r="I305" s="11" t="n">
        <x:f>E305*Rates!$B$4+F305*Rates!$B$5+G305*Rates!$B$6+H305*Rates!$B$7</x:f>
        <x:v>0.0044</x:v>
      </x:c>
    </x:row>
    <x:row r="306" ht="24" customHeight="1">
      <x:c r="A306" s="10" t="str">
        <x:v>S03-08</x:v>
      </x:c>
      <x:c r="B306" s="10" t="str">
        <x:v>B</x:v>
      </x:c>
      <x:c r="C306" s="10" t="str">
        <x:v>speech_output</x:v>
      </x:c>
      <x:c r="D306" s="10" t="str">
        <x:v>retained</x:v>
      </x:c>
      <x:c r="E306" s="13" t="n">
        <x:v>126</x:v>
      </x:c>
      <x:c r="F306" s="13" t="n">
        <x:v>0</x:v>
      </x:c>
      <x:c r="G306" s="10" t="n">
        <x:v>0</x:v>
      </x:c>
      <x:c r="H306" s="10" t="n">
        <x:v>2.83</x:v>
      </x:c>
      <x:c r="I306" s="11" t="n">
        <x:f>E306*Rates!$B$4+F306*Rates!$B$5+G306*Rates!$B$6+H306*Rates!$B$7</x:f>
        <x:v>0.005786</x:v>
      </x:c>
    </x:row>
    <x:row r="307" ht="24" customHeight="1">
      <x:c r="A307" s="10" t="str">
        <x:v>S03-08</x:v>
      </x:c>
      <x:c r="B307" s="10" t="str">
        <x:v>B</x:v>
      </x:c>
      <x:c r="C307" s="10" t="str">
        <x:v>speech_output</x:v>
      </x:c>
      <x:c r="D307" s="10" t="str">
        <x:v>retained</x:v>
      </x:c>
      <x:c r="E307" s="13" t="n">
        <x:v>174</x:v>
      </x:c>
      <x:c r="F307" s="13" t="n">
        <x:v>0</x:v>
      </x:c>
      <x:c r="G307" s="10" t="n">
        <x:v>0</x:v>
      </x:c>
      <x:c r="H307" s="10" t="n">
        <x:v>8.03</x:v>
      </x:c>
      <x:c r="I307" s="11" t="n">
        <x:f>E307*Rates!$B$4+F307*Rates!$B$5+G307*Rates!$B$6+H307*Rates!$B$7</x:f>
        <x:v>0.016234</x:v>
      </x:c>
    </x:row>
    <x:row r="308" ht="24" customHeight="1">
      <x:c r="A308" s="10" t="str">
        <x:v>S03-09</x:v>
      </x:c>
      <x:c r="B308" s="10" t="str">
        <x:v>A</x:v>
      </x:c>
      <x:c r="C308" s="10" t="str">
        <x:v>semantic</x:v>
      </x:c>
      <x:c r="D308" s="10" t="str">
        <x:v>setup</x:v>
      </x:c>
      <x:c r="E308" s="13" t="n">
        <x:v>600</x:v>
      </x:c>
      <x:c r="F308" s="13" t="n">
        <x:v>16</x:v>
      </x:c>
      <x:c r="G308" s="10" t="n">
        <x:v>0</x:v>
      </x:c>
      <x:c r="H308" s="10" t="n">
        <x:v>0</x:v>
      </x:c>
      <x:c r="I308" s="11" t="n">
        <x:f>E308*Rates!$B$4+F308*Rates!$B$5+G308*Rates!$B$6+H308*Rates!$B$7</x:f>
        <x:v>0.000664</x:v>
      </x:c>
    </x:row>
    <x:row r="309" ht="24" customHeight="1">
      <x:c r="A309" s="10" t="str">
        <x:v>S03-09</x:v>
      </x:c>
      <x:c r="B309" s="10" t="str">
        <x:v>A</x:v>
      </x:c>
      <x:c r="C309" s="10" t="str">
        <x:v>speech_input</x:v>
      </x:c>
      <x:c r="D309" s="10" t="str">
        <x:v>setup</x:v>
      </x:c>
      <x:c r="E309" s="13" t="n">
        <x:v>0</x:v>
      </x:c>
      <x:c r="F309" s="13" t="n">
        <x:v>0</x:v>
      </x:c>
      <x:c r="G309" s="10" t="n">
        <x:v>2</x:v>
      </x:c>
      <x:c r="H309" s="10" t="n">
        <x:v>0</x:v>
      </x:c>
      <x:c r="I309" s="11" t="n">
        <x:f>E309*Rates!$B$4+F309*Rates!$B$5+G309*Rates!$B$6+H309*Rates!$B$7</x:f>
        <x:v>0.002</x:v>
      </x:c>
    </x:row>
    <x:row r="310" ht="24" customHeight="1">
      <x:c r="A310" s="10" t="str">
        <x:v>S03-09</x:v>
      </x:c>
      <x:c r="B310" s="10" t="str">
        <x:v>A</x:v>
      </x:c>
      <x:c r="C310" s="10" t="str">
        <x:v>semantic</x:v>
      </x:c>
      <x:c r="D310" s="10" t="str">
        <x:v>evaluation</x:v>
      </x:c>
      <x:c r="E310" s="13" t="n">
        <x:v>780</x:v>
      </x:c>
      <x:c r="F310" s="13" t="n">
        <x:v>16</x:v>
      </x:c>
      <x:c r="G310" s="10" t="n">
        <x:v>0</x:v>
      </x:c>
      <x:c r="H310" s="10" t="n">
        <x:v>0</x:v>
      </x:c>
      <x:c r="I310" s="11" t="n">
        <x:f>E310*Rates!$B$4+F310*Rates!$B$5+G310*Rates!$B$6+H310*Rates!$B$7</x:f>
        <x:v>0.000844</x:v>
      </x:c>
    </x:row>
    <x:row r="311" ht="24" customHeight="1">
      <x:c r="A311" s="10" t="str">
        <x:v>S03-09</x:v>
      </x:c>
      <x:c r="B311" s="10" t="str">
        <x:v>A</x:v>
      </x:c>
      <x:c r="C311" s="10" t="str">
        <x:v>speech_input</x:v>
      </x:c>
      <x:c r="D311" s="10" t="str">
        <x:v>evaluation</x:v>
      </x:c>
      <x:c r="E311" s="13" t="n">
        <x:v>0</x:v>
      </x:c>
      <x:c r="F311" s="13" t="n">
        <x:v>0</x:v>
      </x:c>
      <x:c r="G311" s="10" t="n">
        <x:v>4.4</x:v>
      </x:c>
      <x:c r="H311" s="10" t="n">
        <x:v>0</x:v>
      </x:c>
      <x:c r="I311" s="11" t="n">
        <x:f>E311*Rates!$B$4+F311*Rates!$B$5+G311*Rates!$B$6+H311*Rates!$B$7</x:f>
        <x:v>0.0044</x:v>
      </x:c>
    </x:row>
    <x:row r="312" ht="24" customHeight="1">
      <x:c r="A312" s="10" t="str">
        <x:v>S03-09</x:v>
      </x:c>
      <x:c r="B312" s="10" t="str">
        <x:v>A</x:v>
      </x:c>
      <x:c r="C312" s="10" t="str">
        <x:v>speech_output</x:v>
      </x:c>
      <x:c r="D312" s="10" t="str">
        <x:v>retained</x:v>
      </x:c>
      <x:c r="E312" s="13" t="n">
        <x:v>126</x:v>
      </x:c>
      <x:c r="F312" s="13" t="n">
        <x:v>0</x:v>
      </x:c>
      <x:c r="G312" s="10" t="n">
        <x:v>0</x:v>
      </x:c>
      <x:c r="H312" s="10" t="n">
        <x:v>2.842</x:v>
      </x:c>
      <x:c r="I312" s="11" t="n">
        <x:f>E312*Rates!$B$4+F312*Rates!$B$5+G312*Rates!$B$6+H312*Rates!$B$7</x:f>
        <x:v>0.005810000000000001</x:v>
      </x:c>
    </x:row>
    <x:row r="313" ht="24" customHeight="1">
      <x:c r="A313" s="10" t="str">
        <x:v>S03-09</x:v>
      </x:c>
      <x:c r="B313" s="10" t="str">
        <x:v>A</x:v>
      </x:c>
      <x:c r="C313" s="10" t="str">
        <x:v>speech_output</x:v>
      </x:c>
      <x:c r="D313" s="10" t="str">
        <x:v>discarded</x:v>
      </x:c>
      <x:c r="E313" s="13" t="n">
        <x:v>180</x:v>
      </x:c>
      <x:c r="F313" s="13" t="n">
        <x:v>0</x:v>
      </x:c>
      <x:c r="G313" s="10" t="n">
        <x:v>0</x:v>
      </x:c>
      <x:c r="H313" s="10" t="n">
        <x:v>6.44</x:v>
      </x:c>
      <x:c r="I313" s="11" t="n">
        <x:f>E313*Rates!$B$4+F313*Rates!$B$5+G313*Rates!$B$6+H313*Rates!$B$7</x:f>
        <x:v>0.01306</x:v>
      </x:c>
    </x:row>
    <x:row r="314" ht="24" customHeight="1">
      <x:c r="A314" s="10" t="str">
        <x:v>S03-09</x:v>
      </x:c>
      <x:c r="B314" s="10" t="str">
        <x:v>A</x:v>
      </x:c>
      <x:c r="C314" s="10" t="str">
        <x:v>speech_output</x:v>
      </x:c>
      <x:c r="D314" s="10" t="str">
        <x:v>retained</x:v>
      </x:c>
      <x:c r="E314" s="13" t="n">
        <x:v>174</x:v>
      </x:c>
      <x:c r="F314" s="13" t="n">
        <x:v>0</x:v>
      </x:c>
      <x:c r="G314" s="10" t="n">
        <x:v>0</x:v>
      </x:c>
      <x:c r="H314" s="10" t="n">
        <x:v>8.042</x:v>
      </x:c>
      <x:c r="I314" s="11" t="n">
        <x:f>E314*Rates!$B$4+F314*Rates!$B$5+G314*Rates!$B$6+H314*Rates!$B$7</x:f>
        <x:v>0.016258</x:v>
      </x:c>
    </x:row>
    <x:row r="315" ht="24" customHeight="1">
      <x:c r="A315" s="10" t="str">
        <x:v>S03-09</x:v>
      </x:c>
      <x:c r="B315" s="10" t="str">
        <x:v>B</x:v>
      </x:c>
      <x:c r="C315" s="10" t="str">
        <x:v>semantic</x:v>
      </x:c>
      <x:c r="D315" s="10" t="str">
        <x:v>setup</x:v>
      </x:c>
      <x:c r="E315" s="13" t="n">
        <x:v>600</x:v>
      </x:c>
      <x:c r="F315" s="13" t="n">
        <x:v>16</x:v>
      </x:c>
      <x:c r="G315" s="10" t="n">
        <x:v>0</x:v>
      </x:c>
      <x:c r="H315" s="10" t="n">
        <x:v>0</x:v>
      </x:c>
      <x:c r="I315" s="11" t="n">
        <x:f>E315*Rates!$B$4+F315*Rates!$B$5+G315*Rates!$B$6+H315*Rates!$B$7</x:f>
        <x:v>0.000664</x:v>
      </x:c>
    </x:row>
    <x:row r="316" ht="24" customHeight="1">
      <x:c r="A316" s="10" t="str">
        <x:v>S03-09</x:v>
      </x:c>
      <x:c r="B316" s="10" t="str">
        <x:v>B</x:v>
      </x:c>
      <x:c r="C316" s="10" t="str">
        <x:v>speech_input</x:v>
      </x:c>
      <x:c r="D316" s="10" t="str">
        <x:v>setup</x:v>
      </x:c>
      <x:c r="E316" s="13" t="n">
        <x:v>0</x:v>
      </x:c>
      <x:c r="F316" s="13" t="n">
        <x:v>0</x:v>
      </x:c>
      <x:c r="G316" s="10" t="n">
        <x:v>2</x:v>
      </x:c>
      <x:c r="H316" s="10" t="n">
        <x:v>0</x:v>
      </x:c>
      <x:c r="I316" s="11" t="n">
        <x:f>E316*Rates!$B$4+F316*Rates!$B$5+G316*Rates!$B$6+H316*Rates!$B$7</x:f>
        <x:v>0.002</x:v>
      </x:c>
    </x:row>
    <x:row r="317" ht="24" customHeight="1">
      <x:c r="A317" s="10" t="str">
        <x:v>S03-09</x:v>
      </x:c>
      <x:c r="B317" s="10" t="str">
        <x:v>B</x:v>
      </x:c>
      <x:c r="C317" s="10" t="str">
        <x:v>semantic</x:v>
      </x:c>
      <x:c r="D317" s="10" t="str">
        <x:v>evaluation</x:v>
      </x:c>
      <x:c r="E317" s="13" t="n">
        <x:v>780</x:v>
      </x:c>
      <x:c r="F317" s="13" t="n">
        <x:v>16</x:v>
      </x:c>
      <x:c r="G317" s="10" t="n">
        <x:v>0</x:v>
      </x:c>
      <x:c r="H317" s="10" t="n">
        <x:v>0</x:v>
      </x:c>
      <x:c r="I317" s="11" t="n">
        <x:f>E317*Rates!$B$4+F317*Rates!$B$5+G317*Rates!$B$6+H317*Rates!$B$7</x:f>
        <x:v>0.000844</x:v>
      </x:c>
    </x:row>
    <x:row r="318" ht="24" customHeight="1">
      <x:c r="A318" s="10" t="str">
        <x:v>S03-09</x:v>
      </x:c>
      <x:c r="B318" s="10" t="str">
        <x:v>B</x:v>
      </x:c>
      <x:c r="C318" s="10" t="str">
        <x:v>speech_input</x:v>
      </x:c>
      <x:c r="D318" s="10" t="str">
        <x:v>evaluation</x:v>
      </x:c>
      <x:c r="E318" s="13" t="n">
        <x:v>0</x:v>
      </x:c>
      <x:c r="F318" s="13" t="n">
        <x:v>0</x:v>
      </x:c>
      <x:c r="G318" s="10" t="n">
        <x:v>4.4</x:v>
      </x:c>
      <x:c r="H318" s="10" t="n">
        <x:v>0</x:v>
      </x:c>
      <x:c r="I318" s="11" t="n">
        <x:f>E318*Rates!$B$4+F318*Rates!$B$5+G318*Rates!$B$6+H318*Rates!$B$7</x:f>
        <x:v>0.0044</x:v>
      </x:c>
    </x:row>
    <x:row r="319" ht="24" customHeight="1">
      <x:c r="A319" s="10" t="str">
        <x:v>S03-09</x:v>
      </x:c>
      <x:c r="B319" s="10" t="str">
        <x:v>B</x:v>
      </x:c>
      <x:c r="C319" s="10" t="str">
        <x:v>speech_output</x:v>
      </x:c>
      <x:c r="D319" s="10" t="str">
        <x:v>retained</x:v>
      </x:c>
      <x:c r="E319" s="13" t="n">
        <x:v>126</x:v>
      </x:c>
      <x:c r="F319" s="13" t="n">
        <x:v>0</x:v>
      </x:c>
      <x:c r="G319" s="10" t="n">
        <x:v>0</x:v>
      </x:c>
      <x:c r="H319" s="10" t="n">
        <x:v>2.842</x:v>
      </x:c>
      <x:c r="I319" s="11" t="n">
        <x:f>E319*Rates!$B$4+F319*Rates!$B$5+G319*Rates!$B$6+H319*Rates!$B$7</x:f>
        <x:v>0.005810000000000001</x:v>
      </x:c>
    </x:row>
    <x:row r="320" ht="24" customHeight="1">
      <x:c r="A320" s="10" t="str">
        <x:v>S03-09</x:v>
      </x:c>
      <x:c r="B320" s="10" t="str">
        <x:v>B</x:v>
      </x:c>
      <x:c r="C320" s="10" t="str">
        <x:v>speech_output</x:v>
      </x:c>
      <x:c r="D320" s="10" t="str">
        <x:v>retained</x:v>
      </x:c>
      <x:c r="E320" s="13" t="n">
        <x:v>174</x:v>
      </x:c>
      <x:c r="F320" s="13" t="n">
        <x:v>0</x:v>
      </x:c>
      <x:c r="G320" s="10" t="n">
        <x:v>0</x:v>
      </x:c>
      <x:c r="H320" s="10" t="n">
        <x:v>8.042</x:v>
      </x:c>
      <x:c r="I320" s="11" t="n">
        <x:f>E320*Rates!$B$4+F320*Rates!$B$5+G320*Rates!$B$6+H320*Rates!$B$7</x:f>
        <x:v>0.016258</x:v>
      </x:c>
    </x:row>
    <x:row r="321" ht="24" customHeight="1">
      <x:c r="A321" s="10" t="str">
        <x:v>S03-10</x:v>
      </x:c>
      <x:c r="B321" s="10" t="str">
        <x:v>A</x:v>
      </x:c>
      <x:c r="C321" s="10" t="str">
        <x:v>semantic</x:v>
      </x:c>
      <x:c r="D321" s="10" t="str">
        <x:v>setup</x:v>
      </x:c>
      <x:c r="E321" s="13" t="n">
        <x:v>600</x:v>
      </x:c>
      <x:c r="F321" s="13" t="n">
        <x:v>16</x:v>
      </x:c>
      <x:c r="G321" s="10" t="n">
        <x:v>0</x:v>
      </x:c>
      <x:c r="H321" s="10" t="n">
        <x:v>0</x:v>
      </x:c>
      <x:c r="I321" s="11" t="n">
        <x:f>E321*Rates!$B$4+F321*Rates!$B$5+G321*Rates!$B$6+H321*Rates!$B$7</x:f>
        <x:v>0.000664</x:v>
      </x:c>
    </x:row>
    <x:row r="322" ht="24" customHeight="1">
      <x:c r="A322" s="10" t="str">
        <x:v>S03-10</x:v>
      </x:c>
      <x:c r="B322" s="10" t="str">
        <x:v>A</x:v>
      </x:c>
      <x:c r="C322" s="10" t="str">
        <x:v>speech_input</x:v>
      </x:c>
      <x:c r="D322" s="10" t="str">
        <x:v>setup</x:v>
      </x:c>
      <x:c r="E322" s="13" t="n">
        <x:v>0</x:v>
      </x:c>
      <x:c r="F322" s="13" t="n">
        <x:v>0</x:v>
      </x:c>
      <x:c r="G322" s="10" t="n">
        <x:v>2</x:v>
      </x:c>
      <x:c r="H322" s="10" t="n">
        <x:v>0</x:v>
      </x:c>
      <x:c r="I322" s="11" t="n">
        <x:f>E322*Rates!$B$4+F322*Rates!$B$5+G322*Rates!$B$6+H322*Rates!$B$7</x:f>
        <x:v>0.002</x:v>
      </x:c>
    </x:row>
    <x:row r="323" ht="24" customHeight="1">
      <x:c r="A323" s="10" t="str">
        <x:v>S03-10</x:v>
      </x:c>
      <x:c r="B323" s="10" t="str">
        <x:v>A</x:v>
      </x:c>
      <x:c r="C323" s="10" t="str">
        <x:v>semantic</x:v>
      </x:c>
      <x:c r="D323" s="10" t="str">
        <x:v>evaluation</x:v>
      </x:c>
      <x:c r="E323" s="13" t="n">
        <x:v>800</x:v>
      </x:c>
      <x:c r="F323" s="13" t="n">
        <x:v>18</x:v>
      </x:c>
      <x:c r="G323" s="10" t="n">
        <x:v>0</x:v>
      </x:c>
      <x:c r="H323" s="10" t="n">
        <x:v>0</x:v>
      </x:c>
      <x:c r="I323" s="11" t="n">
        <x:f>E323*Rates!$B$4+F323*Rates!$B$5+G323*Rates!$B$6+H323*Rates!$B$7</x:f>
        <x:v>0.0008719999999999999</x:v>
      </x:c>
    </x:row>
    <x:row r="324" ht="24" customHeight="1">
      <x:c r="A324" s="10" t="str">
        <x:v>S03-10</x:v>
      </x:c>
      <x:c r="B324" s="10" t="str">
        <x:v>A</x:v>
      </x:c>
      <x:c r="C324" s="10" t="str">
        <x:v>speech_input</x:v>
      </x:c>
      <x:c r="D324" s="10" t="str">
        <x:v>evaluation</x:v>
      </x:c>
      <x:c r="E324" s="13" t="n">
        <x:v>0</x:v>
      </x:c>
      <x:c r="F324" s="13" t="n">
        <x:v>0</x:v>
      </x:c>
      <x:c r="G324" s="10" t="n">
        <x:v>4.4</x:v>
      </x:c>
      <x:c r="H324" s="10" t="n">
        <x:v>0</x:v>
      </x:c>
      <x:c r="I324" s="11" t="n">
        <x:f>E324*Rates!$B$4+F324*Rates!$B$5+G324*Rates!$B$6+H324*Rates!$B$7</x:f>
        <x:v>0.0044</x:v>
      </x:c>
    </x:row>
    <x:row r="325" ht="24" customHeight="1">
      <x:c r="A325" s="10" t="str">
        <x:v>S03-10</x:v>
      </x:c>
      <x:c r="B325" s="10" t="str">
        <x:v>A</x:v>
      </x:c>
      <x:c r="C325" s="10" t="str">
        <x:v>speech_output</x:v>
      </x:c>
      <x:c r="D325" s="10" t="str">
        <x:v>retained</x:v>
      </x:c>
      <x:c r="E325" s="13" t="n">
        <x:v>126</x:v>
      </x:c>
      <x:c r="F325" s="13" t="n">
        <x:v>0</x:v>
      </x:c>
      <x:c r="G325" s="10" t="n">
        <x:v>0</x:v>
      </x:c>
      <x:c r="H325" s="10" t="n">
        <x:v>2.854</x:v>
      </x:c>
      <x:c r="I325" s="11" t="n">
        <x:f>E325*Rates!$B$4+F325*Rates!$B$5+G325*Rates!$B$6+H325*Rates!$B$7</x:f>
        <x:v>0.005834000000000001</x:v>
      </x:c>
    </x:row>
    <x:row r="326" ht="24" customHeight="1">
      <x:c r="A326" s="10" t="str">
        <x:v>S03-10</x:v>
      </x:c>
      <x:c r="B326" s="10" t="str">
        <x:v>A</x:v>
      </x:c>
      <x:c r="C326" s="10" t="str">
        <x:v>speech_output</x:v>
      </x:c>
      <x:c r="D326" s="10" t="str">
        <x:v>discarded</x:v>
      </x:c>
      <x:c r="E326" s="13" t="n">
        <x:v>180</x:v>
      </x:c>
      <x:c r="F326" s="13" t="n">
        <x:v>0</x:v>
      </x:c>
      <x:c r="G326" s="10" t="n">
        <x:v>0</x:v>
      </x:c>
      <x:c r="H326" s="10" t="n">
        <x:v>6.553333332</x:v>
      </x:c>
      <x:c r="I326" s="11" t="n">
        <x:f>E326*Rates!$B$4+F326*Rates!$B$5+G326*Rates!$B$6+H326*Rates!$B$7</x:f>
        <x:v>0.013286666664</x:v>
      </x:c>
    </x:row>
    <x:row r="327" ht="24" customHeight="1">
      <x:c r="A327" s="10" t="str">
        <x:v>S03-10</x:v>
      </x:c>
      <x:c r="B327" s="10" t="str">
        <x:v>A</x:v>
      </x:c>
      <x:c r="C327" s="10" t="str">
        <x:v>speech_output</x:v>
      </x:c>
      <x:c r="D327" s="10" t="str">
        <x:v>retained</x:v>
      </x:c>
      <x:c r="E327" s="13" t="n">
        <x:v>174</x:v>
      </x:c>
      <x:c r="F327" s="13" t="n">
        <x:v>0</x:v>
      </x:c>
      <x:c r="G327" s="10" t="n">
        <x:v>0</x:v>
      </x:c>
      <x:c r="H327" s="10" t="n">
        <x:v>8.054</x:v>
      </x:c>
      <x:c r="I327" s="11" t="n">
        <x:f>E327*Rates!$B$4+F327*Rates!$B$5+G327*Rates!$B$6+H327*Rates!$B$7</x:f>
        <x:v>0.016282</x:v>
      </x:c>
    </x:row>
    <x:row r="328" ht="24" customHeight="1">
      <x:c r="A328" s="10" t="str">
        <x:v>S03-10</x:v>
      </x:c>
      <x:c r="B328" s="10" t="str">
        <x:v>B</x:v>
      </x:c>
      <x:c r="C328" s="10" t="str">
        <x:v>semantic</x:v>
      </x:c>
      <x:c r="D328" s="10" t="str">
        <x:v>setup</x:v>
      </x:c>
      <x:c r="E328" s="13" t="n">
        <x:v>600</x:v>
      </x:c>
      <x:c r="F328" s="13" t="n">
        <x:v>16</x:v>
      </x:c>
      <x:c r="G328" s="10" t="n">
        <x:v>0</x:v>
      </x:c>
      <x:c r="H328" s="10" t="n">
        <x:v>0</x:v>
      </x:c>
      <x:c r="I328" s="11" t="n">
        <x:f>E328*Rates!$B$4+F328*Rates!$B$5+G328*Rates!$B$6+H328*Rates!$B$7</x:f>
        <x:v>0.000664</x:v>
      </x:c>
    </x:row>
    <x:row r="329" ht="24" customHeight="1">
      <x:c r="A329" s="10" t="str">
        <x:v>S03-10</x:v>
      </x:c>
      <x:c r="B329" s="10" t="str">
        <x:v>B</x:v>
      </x:c>
      <x:c r="C329" s="10" t="str">
        <x:v>speech_input</x:v>
      </x:c>
      <x:c r="D329" s="10" t="str">
        <x:v>setup</x:v>
      </x:c>
      <x:c r="E329" s="13" t="n">
        <x:v>0</x:v>
      </x:c>
      <x:c r="F329" s="13" t="n">
        <x:v>0</x:v>
      </x:c>
      <x:c r="G329" s="10" t="n">
        <x:v>2</x:v>
      </x:c>
      <x:c r="H329" s="10" t="n">
        <x:v>0</x:v>
      </x:c>
      <x:c r="I329" s="11" t="n">
        <x:f>E329*Rates!$B$4+F329*Rates!$B$5+G329*Rates!$B$6+H329*Rates!$B$7</x:f>
        <x:v>0.002</x:v>
      </x:c>
    </x:row>
    <x:row r="330" ht="24" customHeight="1">
      <x:c r="A330" s="10" t="str">
        <x:v>S03-10</x:v>
      </x:c>
      <x:c r="B330" s="10" t="str">
        <x:v>B</x:v>
      </x:c>
      <x:c r="C330" s="10" t="str">
        <x:v>semantic</x:v>
      </x:c>
      <x:c r="D330" s="10" t="str">
        <x:v>evaluation</x:v>
      </x:c>
      <x:c r="E330" s="13" t="n">
        <x:v>800</x:v>
      </x:c>
      <x:c r="F330" s="13" t="n">
        <x:v>18</x:v>
      </x:c>
      <x:c r="G330" s="10" t="n">
        <x:v>0</x:v>
      </x:c>
      <x:c r="H330" s="10" t="n">
        <x:v>0</x:v>
      </x:c>
      <x:c r="I330" s="11" t="n">
        <x:f>E330*Rates!$B$4+F330*Rates!$B$5+G330*Rates!$B$6+H330*Rates!$B$7</x:f>
        <x:v>0.0008719999999999999</x:v>
      </x:c>
    </x:row>
    <x:row r="331" ht="24" customHeight="1">
      <x:c r="A331" s="10" t="str">
        <x:v>S03-10</x:v>
      </x:c>
      <x:c r="B331" s="10" t="str">
        <x:v>B</x:v>
      </x:c>
      <x:c r="C331" s="10" t="str">
        <x:v>speech_input</x:v>
      </x:c>
      <x:c r="D331" s="10" t="str">
        <x:v>evaluation</x:v>
      </x:c>
      <x:c r="E331" s="13" t="n">
        <x:v>0</x:v>
      </x:c>
      <x:c r="F331" s="13" t="n">
        <x:v>0</x:v>
      </x:c>
      <x:c r="G331" s="10" t="n">
        <x:v>4.4</x:v>
      </x:c>
      <x:c r="H331" s="10" t="n">
        <x:v>0</x:v>
      </x:c>
      <x:c r="I331" s="11" t="n">
        <x:f>E331*Rates!$B$4+F331*Rates!$B$5+G331*Rates!$B$6+H331*Rates!$B$7</x:f>
        <x:v>0.0044</x:v>
      </x:c>
    </x:row>
    <x:row r="332" ht="24" customHeight="1">
      <x:c r="A332" s="10" t="str">
        <x:v>S03-10</x:v>
      </x:c>
      <x:c r="B332" s="10" t="str">
        <x:v>B</x:v>
      </x:c>
      <x:c r="C332" s="10" t="str">
        <x:v>speech_output</x:v>
      </x:c>
      <x:c r="D332" s="10" t="str">
        <x:v>retained</x:v>
      </x:c>
      <x:c r="E332" s="13" t="n">
        <x:v>126</x:v>
      </x:c>
      <x:c r="F332" s="13" t="n">
        <x:v>0</x:v>
      </x:c>
      <x:c r="G332" s="10" t="n">
        <x:v>0</x:v>
      </x:c>
      <x:c r="H332" s="10" t="n">
        <x:v>2.854</x:v>
      </x:c>
      <x:c r="I332" s="11" t="n">
        <x:f>E332*Rates!$B$4+F332*Rates!$B$5+G332*Rates!$B$6+H332*Rates!$B$7</x:f>
        <x:v>0.005834000000000001</x:v>
      </x:c>
    </x:row>
    <x:row r="333" ht="24" customHeight="1">
      <x:c r="A333" s="10" t="str">
        <x:v>S03-10</x:v>
      </x:c>
      <x:c r="B333" s="10" t="str">
        <x:v>B</x:v>
      </x:c>
      <x:c r="C333" s="10" t="str">
        <x:v>speech_output</x:v>
      </x:c>
      <x:c r="D333" s="10" t="str">
        <x:v>retained</x:v>
      </x:c>
      <x:c r="E333" s="13" t="n">
        <x:v>174</x:v>
      </x:c>
      <x:c r="F333" s="13" t="n">
        <x:v>0</x:v>
      </x:c>
      <x:c r="G333" s="10" t="n">
        <x:v>0</x:v>
      </x:c>
      <x:c r="H333" s="10" t="n">
        <x:v>8.054</x:v>
      </x:c>
      <x:c r="I333" s="11" t="n">
        <x:f>E333*Rates!$B$4+F333*Rates!$B$5+G333*Rates!$B$6+H333*Rates!$B$7</x:f>
        <x:v>0.016282</x:v>
      </x:c>
    </x:row>
    <x:row r="334" ht="24" customHeight="1">
      <x:c r="A334" s="10" t="str">
        <x:v>S04-01</x:v>
      </x:c>
      <x:c r="B334" s="10" t="str">
        <x:v>A</x:v>
      </x:c>
      <x:c r="C334" s="10" t="str">
        <x:v>semantic</x:v>
      </x:c>
      <x:c r="D334" s="10" t="str">
        <x:v>setup</x:v>
      </x:c>
      <x:c r="E334" s="13" t="n">
        <x:v>600</x:v>
      </x:c>
      <x:c r="F334" s="13" t="n">
        <x:v>16</x:v>
      </x:c>
      <x:c r="G334" s="10" t="n">
        <x:v>0</x:v>
      </x:c>
      <x:c r="H334" s="10" t="n">
        <x:v>0</x:v>
      </x:c>
      <x:c r="I334" s="11" t="n">
        <x:f>E334*Rates!$B$4+F334*Rates!$B$5+G334*Rates!$B$6+H334*Rates!$B$7</x:f>
        <x:v>0.000664</x:v>
      </x:c>
    </x:row>
    <x:row r="335" ht="24" customHeight="1">
      <x:c r="A335" s="10" t="str">
        <x:v>S04-01</x:v>
      </x:c>
      <x:c r="B335" s="10" t="str">
        <x:v>A</x:v>
      </x:c>
      <x:c r="C335" s="10" t="str">
        <x:v>speech_input</x:v>
      </x:c>
      <x:c r="D335" s="10" t="str">
        <x:v>setup</x:v>
      </x:c>
      <x:c r="E335" s="13" t="n">
        <x:v>0</x:v>
      </x:c>
      <x:c r="F335" s="13" t="n">
        <x:v>0</x:v>
      </x:c>
      <x:c r="G335" s="10" t="n">
        <x:v>2</x:v>
      </x:c>
      <x:c r="H335" s="10" t="n">
        <x:v>0</x:v>
      </x:c>
      <x:c r="I335" s="11" t="n">
        <x:f>E335*Rates!$B$4+F335*Rates!$B$5+G335*Rates!$B$6+H335*Rates!$B$7</x:f>
        <x:v>0.002</x:v>
      </x:c>
    </x:row>
    <x:row r="336" ht="24" customHeight="1">
      <x:c r="A336" s="10" t="str">
        <x:v>S04-01</x:v>
      </x:c>
      <x:c r="B336" s="10" t="str">
        <x:v>A</x:v>
      </x:c>
      <x:c r="C336" s="10" t="str">
        <x:v>semantic</x:v>
      </x:c>
      <x:c r="D336" s="10" t="str">
        <x:v>evaluation</x:v>
      </x:c>
      <x:c r="E336" s="13" t="n">
        <x:v>620</x:v>
      </x:c>
      <x:c r="F336" s="13" t="n">
        <x:v>18</x:v>
      </x:c>
      <x:c r="G336" s="10" t="n">
        <x:v>0</x:v>
      </x:c>
      <x:c r="H336" s="10" t="n">
        <x:v>0</x:v>
      </x:c>
      <x:c r="I336" s="11" t="n">
        <x:f>E336*Rates!$B$4+F336*Rates!$B$5+G336*Rates!$B$6+H336*Rates!$B$7</x:f>
        <x:v>0.000692</x:v>
      </x:c>
    </x:row>
    <x:row r="337" ht="24" customHeight="1">
      <x:c r="A337" s="10" t="str">
        <x:v>S04-01</x:v>
      </x:c>
      <x:c r="B337" s="10" t="str">
        <x:v>A</x:v>
      </x:c>
      <x:c r="C337" s="10" t="str">
        <x:v>speech_input</x:v>
      </x:c>
      <x:c r="D337" s="10" t="str">
        <x:v>evaluation</x:v>
      </x:c>
      <x:c r="E337" s="13" t="n">
        <x:v>0</x:v>
      </x:c>
      <x:c r="F337" s="13" t="n">
        <x:v>0</x:v>
      </x:c>
      <x:c r="G337" s="10" t="n">
        <x:v>4.4</x:v>
      </x:c>
      <x:c r="H337" s="10" t="n">
        <x:v>0</x:v>
      </x:c>
      <x:c r="I337" s="11" t="n">
        <x:f>E337*Rates!$B$4+F337*Rates!$B$5+G337*Rates!$B$6+H337*Rates!$B$7</x:f>
        <x:v>0.0044</x:v>
      </x:c>
    </x:row>
    <x:row r="338" ht="24" customHeight="1">
      <x:c r="A338" s="10" t="str">
        <x:v>S04-01</x:v>
      </x:c>
      <x:c r="B338" s="10" t="str">
        <x:v>A</x:v>
      </x:c>
      <x:c r="C338" s="10" t="str">
        <x:v>speech_output</x:v>
      </x:c>
      <x:c r="D338" s="10" t="str">
        <x:v>discarded</x:v>
      </x:c>
      <x:c r="E338" s="13" t="n">
        <x:v>180</x:v>
      </x:c>
      <x:c r="F338" s="13" t="n">
        <x:v>0</x:v>
      </x:c>
      <x:c r="G338" s="10" t="n">
        <x:v>0</x:v>
      </x:c>
      <x:c r="H338" s="10" t="n">
        <x:v>6.433333332</x:v>
      </x:c>
      <x:c r="I338" s="11" t="n">
        <x:f>E338*Rates!$B$4+F338*Rates!$B$5+G338*Rates!$B$6+H338*Rates!$B$7</x:f>
        <x:v>0.013046666664000001</x:v>
      </x:c>
    </x:row>
    <x:row r="339" ht="24" customHeight="1">
      <x:c r="A339" s="10" t="str">
        <x:v>S04-01</x:v>
      </x:c>
      <x:c r="B339" s="10" t="str">
        <x:v>A</x:v>
      </x:c>
      <x:c r="C339" s="10" t="str">
        <x:v>speech_output</x:v>
      </x:c>
      <x:c r="D339" s="10" t="str">
        <x:v>retained</x:v>
      </x:c>
      <x:c r="E339" s="13" t="n">
        <x:v>164</x:v>
      </x:c>
      <x:c r="F339" s="13" t="n">
        <x:v>0</x:v>
      </x:c>
      <x:c r="G339" s="10" t="n">
        <x:v>0</x:v>
      </x:c>
      <x:c r="H339" s="10" t="n">
        <x:v>3.546</x:v>
      </x:c>
      <x:c r="I339" s="11" t="n">
        <x:f>E339*Rates!$B$4+F339*Rates!$B$5+G339*Rates!$B$6+H339*Rates!$B$7</x:f>
        <x:v>0.007256</x:v>
      </x:c>
    </x:row>
    <x:row r="340" ht="24" customHeight="1">
      <x:c r="A340" s="10" t="str">
        <x:v>S04-01</x:v>
      </x:c>
      <x:c r="B340" s="10" t="str">
        <x:v>B</x:v>
      </x:c>
      <x:c r="C340" s="10" t="str">
        <x:v>semantic</x:v>
      </x:c>
      <x:c r="D340" s="10" t="str">
        <x:v>setup</x:v>
      </x:c>
      <x:c r="E340" s="13" t="n">
        <x:v>600</x:v>
      </x:c>
      <x:c r="F340" s="13" t="n">
        <x:v>16</x:v>
      </x:c>
      <x:c r="G340" s="10" t="n">
        <x:v>0</x:v>
      </x:c>
      <x:c r="H340" s="10" t="n">
        <x:v>0</x:v>
      </x:c>
      <x:c r="I340" s="11" t="n">
        <x:f>E340*Rates!$B$4+F340*Rates!$B$5+G340*Rates!$B$6+H340*Rates!$B$7</x:f>
        <x:v>0.000664</x:v>
      </x:c>
    </x:row>
    <x:row r="341" ht="24" customHeight="1">
      <x:c r="A341" s="10" t="str">
        <x:v>S04-01</x:v>
      </x:c>
      <x:c r="B341" s="10" t="str">
        <x:v>B</x:v>
      </x:c>
      <x:c r="C341" s="10" t="str">
        <x:v>speech_input</x:v>
      </x:c>
      <x:c r="D341" s="10" t="str">
        <x:v>setup</x:v>
      </x:c>
      <x:c r="E341" s="13" t="n">
        <x:v>0</x:v>
      </x:c>
      <x:c r="F341" s="13" t="n">
        <x:v>0</x:v>
      </x:c>
      <x:c r="G341" s="10" t="n">
        <x:v>2</x:v>
      </x:c>
      <x:c r="H341" s="10" t="n">
        <x:v>0</x:v>
      </x:c>
      <x:c r="I341" s="11" t="n">
        <x:f>E341*Rates!$B$4+F341*Rates!$B$5+G341*Rates!$B$6+H341*Rates!$B$7</x:f>
        <x:v>0.002</x:v>
      </x:c>
    </x:row>
    <x:row r="342" ht="24" customHeight="1">
      <x:c r="A342" s="10" t="str">
        <x:v>S04-01</x:v>
      </x:c>
      <x:c r="B342" s="10" t="str">
        <x:v>B</x:v>
      </x:c>
      <x:c r="C342" s="10" t="str">
        <x:v>semantic</x:v>
      </x:c>
      <x:c r="D342" s="10" t="str">
        <x:v>evaluation</x:v>
      </x:c>
      <x:c r="E342" s="13" t="n">
        <x:v>620</x:v>
      </x:c>
      <x:c r="F342" s="13" t="n">
        <x:v>18</x:v>
      </x:c>
      <x:c r="G342" s="10" t="n">
        <x:v>0</x:v>
      </x:c>
      <x:c r="H342" s="10" t="n">
        <x:v>0</x:v>
      </x:c>
      <x:c r="I342" s="11" t="n">
        <x:f>E342*Rates!$B$4+F342*Rates!$B$5+G342*Rates!$B$6+H342*Rates!$B$7</x:f>
        <x:v>0.000692</x:v>
      </x:c>
    </x:row>
    <x:row r="343" ht="24" customHeight="1">
      <x:c r="A343" s="10" t="str">
        <x:v>S04-01</x:v>
      </x:c>
      <x:c r="B343" s="10" t="str">
        <x:v>B</x:v>
      </x:c>
      <x:c r="C343" s="10" t="str">
        <x:v>speech_input</x:v>
      </x:c>
      <x:c r="D343" s="10" t="str">
        <x:v>evaluation</x:v>
      </x:c>
      <x:c r="E343" s="13" t="n">
        <x:v>0</x:v>
      </x:c>
      <x:c r="F343" s="13" t="n">
        <x:v>0</x:v>
      </x:c>
      <x:c r="G343" s="10" t="n">
        <x:v>4.4</x:v>
      </x:c>
      <x:c r="H343" s="10" t="n">
        <x:v>0</x:v>
      </x:c>
      <x:c r="I343" s="11" t="n">
        <x:f>E343*Rates!$B$4+F343*Rates!$B$5+G343*Rates!$B$6+H343*Rates!$B$7</x:f>
        <x:v>0.0044</x:v>
      </x:c>
    </x:row>
    <x:row r="344" ht="24" customHeight="1">
      <x:c r="A344" s="10" t="str">
        <x:v>S04-01</x:v>
      </x:c>
      <x:c r="B344" s="10" t="str">
        <x:v>B</x:v>
      </x:c>
      <x:c r="C344" s="10" t="str">
        <x:v>speech_output</x:v>
      </x:c>
      <x:c r="D344" s="10" t="str">
        <x:v>retained</x:v>
      </x:c>
      <x:c r="E344" s="13" t="n">
        <x:v>164</x:v>
      </x:c>
      <x:c r="F344" s="13" t="n">
        <x:v>0</x:v>
      </x:c>
      <x:c r="G344" s="10" t="n">
        <x:v>0</x:v>
      </x:c>
      <x:c r="H344" s="10" t="n">
        <x:v>3.546</x:v>
      </x:c>
      <x:c r="I344" s="11" t="n">
        <x:f>E344*Rates!$B$4+F344*Rates!$B$5+G344*Rates!$B$6+H344*Rates!$B$7</x:f>
        <x:v>0.007256</x:v>
      </x:c>
    </x:row>
    <x:row r="345" ht="24" customHeight="1">
      <x:c r="A345" s="10" t="str">
        <x:v>S04-02</x:v>
      </x:c>
      <x:c r="B345" s="10" t="str">
        <x:v>A</x:v>
      </x:c>
      <x:c r="C345" s="10" t="str">
        <x:v>semantic</x:v>
      </x:c>
      <x:c r="D345" s="10" t="str">
        <x:v>setup</x:v>
      </x:c>
      <x:c r="E345" s="13" t="n">
        <x:v>600</x:v>
      </x:c>
      <x:c r="F345" s="13" t="n">
        <x:v>16</x:v>
      </x:c>
      <x:c r="G345" s="10" t="n">
        <x:v>0</x:v>
      </x:c>
      <x:c r="H345" s="10" t="n">
        <x:v>0</x:v>
      </x:c>
      <x:c r="I345" s="11" t="n">
        <x:f>E345*Rates!$B$4+F345*Rates!$B$5+G345*Rates!$B$6+H345*Rates!$B$7</x:f>
        <x:v>0.000664</x:v>
      </x:c>
    </x:row>
    <x:row r="346" ht="24" customHeight="1">
      <x:c r="A346" s="10" t="str">
        <x:v>S04-02</x:v>
      </x:c>
      <x:c r="B346" s="10" t="str">
        <x:v>A</x:v>
      </x:c>
      <x:c r="C346" s="10" t="str">
        <x:v>speech_input</x:v>
      </x:c>
      <x:c r="D346" s="10" t="str">
        <x:v>setup</x:v>
      </x:c>
      <x:c r="E346" s="13" t="n">
        <x:v>0</x:v>
      </x:c>
      <x:c r="F346" s="13" t="n">
        <x:v>0</x:v>
      </x:c>
      <x:c r="G346" s="10" t="n">
        <x:v>2</x:v>
      </x:c>
      <x:c r="H346" s="10" t="n">
        <x:v>0</x:v>
      </x:c>
      <x:c r="I346" s="11" t="n">
        <x:f>E346*Rates!$B$4+F346*Rates!$B$5+G346*Rates!$B$6+H346*Rates!$B$7</x:f>
        <x:v>0.002</x:v>
      </x:c>
    </x:row>
    <x:row r="347" ht="24" customHeight="1">
      <x:c r="A347" s="10" t="str">
        <x:v>S04-02</x:v>
      </x:c>
      <x:c r="B347" s="10" t="str">
        <x:v>A</x:v>
      </x:c>
      <x:c r="C347" s="10" t="str">
        <x:v>semantic</x:v>
      </x:c>
      <x:c r="D347" s="10" t="str">
        <x:v>evaluation</x:v>
      </x:c>
      <x:c r="E347" s="13" t="n">
        <x:v>640</x:v>
      </x:c>
      <x:c r="F347" s="13" t="n">
        <x:v>20</x:v>
      </x:c>
      <x:c r="G347" s="10" t="n">
        <x:v>0</x:v>
      </x:c>
      <x:c r="H347" s="10" t="n">
        <x:v>0</x:v>
      </x:c>
      <x:c r="I347" s="11" t="n">
        <x:f>E347*Rates!$B$4+F347*Rates!$B$5+G347*Rates!$B$6+H347*Rates!$B$7</x:f>
        <x:v>0.0007199999999999999</x:v>
      </x:c>
    </x:row>
    <x:row r="348" ht="24" customHeight="1">
      <x:c r="A348" s="10" t="str">
        <x:v>S04-02</x:v>
      </x:c>
      <x:c r="B348" s="10" t="str">
        <x:v>A</x:v>
      </x:c>
      <x:c r="C348" s="10" t="str">
        <x:v>speech_input</x:v>
      </x:c>
      <x:c r="D348" s="10" t="str">
        <x:v>evaluation</x:v>
      </x:c>
      <x:c r="E348" s="13" t="n">
        <x:v>0</x:v>
      </x:c>
      <x:c r="F348" s="13" t="n">
        <x:v>0</x:v>
      </x:c>
      <x:c r="G348" s="10" t="n">
        <x:v>4.4</x:v>
      </x:c>
      <x:c r="H348" s="10" t="n">
        <x:v>0</x:v>
      </x:c>
      <x:c r="I348" s="11" t="n">
        <x:f>E348*Rates!$B$4+F348*Rates!$B$5+G348*Rates!$B$6+H348*Rates!$B$7</x:f>
        <x:v>0.0044</x:v>
      </x:c>
    </x:row>
    <x:row r="349" ht="24" customHeight="1">
      <x:c r="A349" s="10" t="str">
        <x:v>S04-02</x:v>
      </x:c>
      <x:c r="B349" s="10" t="str">
        <x:v>A</x:v>
      </x:c>
      <x:c r="C349" s="10" t="str">
        <x:v>speech_output</x:v>
      </x:c>
      <x:c r="D349" s="10" t="str">
        <x:v>discarded</x:v>
      </x:c>
      <x:c r="E349" s="13" t="n">
        <x:v>180</x:v>
      </x:c>
      <x:c r="F349" s="13" t="n">
        <x:v>0</x:v>
      </x:c>
      <x:c r="G349" s="10" t="n">
        <x:v>0</x:v>
      </x:c>
      <x:c r="H349" s="10" t="n">
        <x:v>6.546666668</x:v>
      </x:c>
      <x:c r="I349" s="11" t="n">
        <x:f>E349*Rates!$B$4+F349*Rates!$B$5+G349*Rates!$B$6+H349*Rates!$B$7</x:f>
        <x:v>0.013273333336</x:v>
      </x:c>
    </x:row>
    <x:row r="350" ht="24" customHeight="1">
      <x:c r="A350" s="10" t="str">
        <x:v>S04-02</x:v>
      </x:c>
      <x:c r="B350" s="10" t="str">
        <x:v>A</x:v>
      </x:c>
      <x:c r="C350" s="10" t="str">
        <x:v>speech_output</x:v>
      </x:c>
      <x:c r="D350" s="10" t="str">
        <x:v>retained</x:v>
      </x:c>
      <x:c r="E350" s="13" t="n">
        <x:v>164</x:v>
      </x:c>
      <x:c r="F350" s="13" t="n">
        <x:v>0</x:v>
      </x:c>
      <x:c r="G350" s="10" t="n">
        <x:v>0</x:v>
      </x:c>
      <x:c r="H350" s="10" t="n">
        <x:v>3.558</x:v>
      </x:c>
      <x:c r="I350" s="11" t="n">
        <x:f>E350*Rates!$B$4+F350*Rates!$B$5+G350*Rates!$B$6+H350*Rates!$B$7</x:f>
        <x:v>0.00728</x:v>
      </x:c>
    </x:row>
    <x:row r="351" ht="24" customHeight="1">
      <x:c r="A351" s="10" t="str">
        <x:v>S04-02</x:v>
      </x:c>
      <x:c r="B351" s="10" t="str">
        <x:v>B</x:v>
      </x:c>
      <x:c r="C351" s="10" t="str">
        <x:v>semantic</x:v>
      </x:c>
      <x:c r="D351" s="10" t="str">
        <x:v>setup</x:v>
      </x:c>
      <x:c r="E351" s="13" t="n">
        <x:v>600</x:v>
      </x:c>
      <x:c r="F351" s="13" t="n">
        <x:v>16</x:v>
      </x:c>
      <x:c r="G351" s="10" t="n">
        <x:v>0</x:v>
      </x:c>
      <x:c r="H351" s="10" t="n">
        <x:v>0</x:v>
      </x:c>
      <x:c r="I351" s="11" t="n">
        <x:f>E351*Rates!$B$4+F351*Rates!$B$5+G351*Rates!$B$6+H351*Rates!$B$7</x:f>
        <x:v>0.000664</x:v>
      </x:c>
    </x:row>
    <x:row r="352" ht="24" customHeight="1">
      <x:c r="A352" s="10" t="str">
        <x:v>S04-02</x:v>
      </x:c>
      <x:c r="B352" s="10" t="str">
        <x:v>B</x:v>
      </x:c>
      <x:c r="C352" s="10" t="str">
        <x:v>speech_input</x:v>
      </x:c>
      <x:c r="D352" s="10" t="str">
        <x:v>setup</x:v>
      </x:c>
      <x:c r="E352" s="13" t="n">
        <x:v>0</x:v>
      </x:c>
      <x:c r="F352" s="13" t="n">
        <x:v>0</x:v>
      </x:c>
      <x:c r="G352" s="10" t="n">
        <x:v>2</x:v>
      </x:c>
      <x:c r="H352" s="10" t="n">
        <x:v>0</x:v>
      </x:c>
      <x:c r="I352" s="11" t="n">
        <x:f>E352*Rates!$B$4+F352*Rates!$B$5+G352*Rates!$B$6+H352*Rates!$B$7</x:f>
        <x:v>0.002</x:v>
      </x:c>
    </x:row>
    <x:row r="353" ht="24" customHeight="1">
      <x:c r="A353" s="10" t="str">
        <x:v>S04-02</x:v>
      </x:c>
      <x:c r="B353" s="10" t="str">
        <x:v>B</x:v>
      </x:c>
      <x:c r="C353" s="10" t="str">
        <x:v>semantic</x:v>
      </x:c>
      <x:c r="D353" s="10" t="str">
        <x:v>evaluation</x:v>
      </x:c>
      <x:c r="E353" s="13" t="n">
        <x:v>640</x:v>
      </x:c>
      <x:c r="F353" s="13" t="n">
        <x:v>20</x:v>
      </x:c>
      <x:c r="G353" s="10" t="n">
        <x:v>0</x:v>
      </x:c>
      <x:c r="H353" s="10" t="n">
        <x:v>0</x:v>
      </x:c>
      <x:c r="I353" s="11" t="n">
        <x:f>E353*Rates!$B$4+F353*Rates!$B$5+G353*Rates!$B$6+H353*Rates!$B$7</x:f>
        <x:v>0.0007199999999999999</x:v>
      </x:c>
    </x:row>
    <x:row r="354" ht="24" customHeight="1">
      <x:c r="A354" s="10" t="str">
        <x:v>S04-02</x:v>
      </x:c>
      <x:c r="B354" s="10" t="str">
        <x:v>B</x:v>
      </x:c>
      <x:c r="C354" s="10" t="str">
        <x:v>speech_input</x:v>
      </x:c>
      <x:c r="D354" s="10" t="str">
        <x:v>evaluation</x:v>
      </x:c>
      <x:c r="E354" s="13" t="n">
        <x:v>0</x:v>
      </x:c>
      <x:c r="F354" s="13" t="n">
        <x:v>0</x:v>
      </x:c>
      <x:c r="G354" s="10" t="n">
        <x:v>4.4</x:v>
      </x:c>
      <x:c r="H354" s="10" t="n">
        <x:v>0</x:v>
      </x:c>
      <x:c r="I354" s="11" t="n">
        <x:f>E354*Rates!$B$4+F354*Rates!$B$5+G354*Rates!$B$6+H354*Rates!$B$7</x:f>
        <x:v>0.0044</x:v>
      </x:c>
    </x:row>
    <x:row r="355" ht="24" customHeight="1">
      <x:c r="A355" s="10" t="str">
        <x:v>S04-02</x:v>
      </x:c>
      <x:c r="B355" s="10" t="str">
        <x:v>B</x:v>
      </x:c>
      <x:c r="C355" s="10" t="str">
        <x:v>speech_output</x:v>
      </x:c>
      <x:c r="D355" s="10" t="str">
        <x:v>retained</x:v>
      </x:c>
      <x:c r="E355" s="13" t="n">
        <x:v>164</x:v>
      </x:c>
      <x:c r="F355" s="13" t="n">
        <x:v>0</x:v>
      </x:c>
      <x:c r="G355" s="10" t="n">
        <x:v>0</x:v>
      </x:c>
      <x:c r="H355" s="10" t="n">
        <x:v>3.558</x:v>
      </x:c>
      <x:c r="I355" s="11" t="n">
        <x:f>E355*Rates!$B$4+F355*Rates!$B$5+G355*Rates!$B$6+H355*Rates!$B$7</x:f>
        <x:v>0.00728</x:v>
      </x:c>
    </x:row>
    <x:row r="356" ht="24" customHeight="1">
      <x:c r="A356" s="10" t="str">
        <x:v>S04-03</x:v>
      </x:c>
      <x:c r="B356" s="10" t="str">
        <x:v>A</x:v>
      </x:c>
      <x:c r="C356" s="10" t="str">
        <x:v>semantic</x:v>
      </x:c>
      <x:c r="D356" s="10" t="str">
        <x:v>setup</x:v>
      </x:c>
      <x:c r="E356" s="13" t="n">
        <x:v>600</x:v>
      </x:c>
      <x:c r="F356" s="13" t="n">
        <x:v>16</x:v>
      </x:c>
      <x:c r="G356" s="10" t="n">
        <x:v>0</x:v>
      </x:c>
      <x:c r="H356" s="10" t="n">
        <x:v>0</x:v>
      </x:c>
      <x:c r="I356" s="11" t="n">
        <x:f>E356*Rates!$B$4+F356*Rates!$B$5+G356*Rates!$B$6+H356*Rates!$B$7</x:f>
        <x:v>0.000664</x:v>
      </x:c>
    </x:row>
    <x:row r="357" ht="24" customHeight="1">
      <x:c r="A357" s="10" t="str">
        <x:v>S04-03</x:v>
      </x:c>
      <x:c r="B357" s="10" t="str">
        <x:v>A</x:v>
      </x:c>
      <x:c r="C357" s="10" t="str">
        <x:v>speech_input</x:v>
      </x:c>
      <x:c r="D357" s="10" t="str">
        <x:v>setup</x:v>
      </x:c>
      <x:c r="E357" s="13" t="n">
        <x:v>0</x:v>
      </x:c>
      <x:c r="F357" s="13" t="n">
        <x:v>0</x:v>
      </x:c>
      <x:c r="G357" s="10" t="n">
        <x:v>2</x:v>
      </x:c>
      <x:c r="H357" s="10" t="n">
        <x:v>0</x:v>
      </x:c>
      <x:c r="I357" s="11" t="n">
        <x:f>E357*Rates!$B$4+F357*Rates!$B$5+G357*Rates!$B$6+H357*Rates!$B$7</x:f>
        <x:v>0.002</x:v>
      </x:c>
    </x:row>
    <x:row r="358" ht="24" customHeight="1">
      <x:c r="A358" s="10" t="str">
        <x:v>S04-03</x:v>
      </x:c>
      <x:c r="B358" s="10" t="str">
        <x:v>A</x:v>
      </x:c>
      <x:c r="C358" s="10" t="str">
        <x:v>semantic</x:v>
      </x:c>
      <x:c r="D358" s="10" t="str">
        <x:v>evaluation</x:v>
      </x:c>
      <x:c r="E358" s="13" t="n">
        <x:v>660</x:v>
      </x:c>
      <x:c r="F358" s="13" t="n">
        <x:v>16</x:v>
      </x:c>
      <x:c r="G358" s="10" t="n">
        <x:v>0</x:v>
      </x:c>
      <x:c r="H358" s="10" t="n">
        <x:v>0</x:v>
      </x:c>
      <x:c r="I358" s="11" t="n">
        <x:f>E358*Rates!$B$4+F358*Rates!$B$5+G358*Rates!$B$6+H358*Rates!$B$7</x:f>
        <x:v>0.000724</x:v>
      </x:c>
    </x:row>
    <x:row r="359" ht="24" customHeight="1">
      <x:c r="A359" s="10" t="str">
        <x:v>S04-03</x:v>
      </x:c>
      <x:c r="B359" s="10" t="str">
        <x:v>A</x:v>
      </x:c>
      <x:c r="C359" s="10" t="str">
        <x:v>speech_input</x:v>
      </x:c>
      <x:c r="D359" s="10" t="str">
        <x:v>evaluation</x:v>
      </x:c>
      <x:c r="E359" s="13" t="n">
        <x:v>0</x:v>
      </x:c>
      <x:c r="F359" s="13" t="n">
        <x:v>0</x:v>
      </x:c>
      <x:c r="G359" s="10" t="n">
        <x:v>4.4</x:v>
      </x:c>
      <x:c r="H359" s="10" t="n">
        <x:v>0</x:v>
      </x:c>
      <x:c r="I359" s="11" t="n">
        <x:f>E359*Rates!$B$4+F359*Rates!$B$5+G359*Rates!$B$6+H359*Rates!$B$7</x:f>
        <x:v>0.0044</x:v>
      </x:c>
    </x:row>
    <x:row r="360" ht="24" customHeight="1">
      <x:c r="A360" s="10" t="str">
        <x:v>S04-03</x:v>
      </x:c>
      <x:c r="B360" s="10" t="str">
        <x:v>A</x:v>
      </x:c>
      <x:c r="C360" s="10" t="str">
        <x:v>speech_output</x:v>
      </x:c>
      <x:c r="D360" s="10" t="str">
        <x:v>discarded</x:v>
      </x:c>
      <x:c r="E360" s="13" t="n">
        <x:v>180</x:v>
      </x:c>
      <x:c r="F360" s="13" t="n">
        <x:v>0</x:v>
      </x:c>
      <x:c r="G360" s="10" t="n">
        <x:v>0</x:v>
      </x:c>
      <x:c r="H360" s="10" t="n">
        <x:v>6.36</x:v>
      </x:c>
      <x:c r="I360" s="11" t="n">
        <x:f>E360*Rates!$B$4+F360*Rates!$B$5+G360*Rates!$B$6+H360*Rates!$B$7</x:f>
        <x:v>0.0129</x:v>
      </x:c>
    </x:row>
    <x:row r="361" ht="24" customHeight="1">
      <x:c r="A361" s="10" t="str">
        <x:v>S04-03</x:v>
      </x:c>
      <x:c r="B361" s="10" t="str">
        <x:v>A</x:v>
      </x:c>
      <x:c r="C361" s="10" t="str">
        <x:v>speech_output</x:v>
      </x:c>
      <x:c r="D361" s="10" t="str">
        <x:v>retained</x:v>
      </x:c>
      <x:c r="E361" s="13" t="n">
        <x:v>164</x:v>
      </x:c>
      <x:c r="F361" s="13" t="n">
        <x:v>0</x:v>
      </x:c>
      <x:c r="G361" s="10" t="n">
        <x:v>0</x:v>
      </x:c>
      <x:c r="H361" s="10" t="n">
        <x:v>3.57</x:v>
      </x:c>
      <x:c r="I361" s="11" t="n">
        <x:f>E361*Rates!$B$4+F361*Rates!$B$5+G361*Rates!$B$6+H361*Rates!$B$7</x:f>
        <x:v>0.007304</x:v>
      </x:c>
    </x:row>
    <x:row r="362" ht="24" customHeight="1">
      <x:c r="A362" s="10" t="str">
        <x:v>S04-03</x:v>
      </x:c>
      <x:c r="B362" s="10" t="str">
        <x:v>B</x:v>
      </x:c>
      <x:c r="C362" s="10" t="str">
        <x:v>semantic</x:v>
      </x:c>
      <x:c r="D362" s="10" t="str">
        <x:v>setup</x:v>
      </x:c>
      <x:c r="E362" s="13" t="n">
        <x:v>600</x:v>
      </x:c>
      <x:c r="F362" s="13" t="n">
        <x:v>16</x:v>
      </x:c>
      <x:c r="G362" s="10" t="n">
        <x:v>0</x:v>
      </x:c>
      <x:c r="H362" s="10" t="n">
        <x:v>0</x:v>
      </x:c>
      <x:c r="I362" s="11" t="n">
        <x:f>E362*Rates!$B$4+F362*Rates!$B$5+G362*Rates!$B$6+H362*Rates!$B$7</x:f>
        <x:v>0.000664</x:v>
      </x:c>
    </x:row>
    <x:row r="363" ht="24" customHeight="1">
      <x:c r="A363" s="10" t="str">
        <x:v>S04-03</x:v>
      </x:c>
      <x:c r="B363" s="10" t="str">
        <x:v>B</x:v>
      </x:c>
      <x:c r="C363" s="10" t="str">
        <x:v>speech_input</x:v>
      </x:c>
      <x:c r="D363" s="10" t="str">
        <x:v>setup</x:v>
      </x:c>
      <x:c r="E363" s="13" t="n">
        <x:v>0</x:v>
      </x:c>
      <x:c r="F363" s="13" t="n">
        <x:v>0</x:v>
      </x:c>
      <x:c r="G363" s="10" t="n">
        <x:v>2</x:v>
      </x:c>
      <x:c r="H363" s="10" t="n">
        <x:v>0</x:v>
      </x:c>
      <x:c r="I363" s="11" t="n">
        <x:f>E363*Rates!$B$4+F363*Rates!$B$5+G363*Rates!$B$6+H363*Rates!$B$7</x:f>
        <x:v>0.002</x:v>
      </x:c>
    </x:row>
    <x:row r="364" ht="24" customHeight="1">
      <x:c r="A364" s="10" t="str">
        <x:v>S04-03</x:v>
      </x:c>
      <x:c r="B364" s="10" t="str">
        <x:v>B</x:v>
      </x:c>
      <x:c r="C364" s="10" t="str">
        <x:v>semantic</x:v>
      </x:c>
      <x:c r="D364" s="10" t="str">
        <x:v>evaluation</x:v>
      </x:c>
      <x:c r="E364" s="13" t="n">
        <x:v>660</x:v>
      </x:c>
      <x:c r="F364" s="13" t="n">
        <x:v>16</x:v>
      </x:c>
      <x:c r="G364" s="10" t="n">
        <x:v>0</x:v>
      </x:c>
      <x:c r="H364" s="10" t="n">
        <x:v>0</x:v>
      </x:c>
      <x:c r="I364" s="11" t="n">
        <x:f>E364*Rates!$B$4+F364*Rates!$B$5+G364*Rates!$B$6+H364*Rates!$B$7</x:f>
        <x:v>0.000724</x:v>
      </x:c>
    </x:row>
    <x:row r="365" ht="24" customHeight="1">
      <x:c r="A365" s="10" t="str">
        <x:v>S04-03</x:v>
      </x:c>
      <x:c r="B365" s="10" t="str">
        <x:v>B</x:v>
      </x:c>
      <x:c r="C365" s="10" t="str">
        <x:v>speech_input</x:v>
      </x:c>
      <x:c r="D365" s="10" t="str">
        <x:v>evaluation</x:v>
      </x:c>
      <x:c r="E365" s="13" t="n">
        <x:v>0</x:v>
      </x:c>
      <x:c r="F365" s="13" t="n">
        <x:v>0</x:v>
      </x:c>
      <x:c r="G365" s="10" t="n">
        <x:v>4.4</x:v>
      </x:c>
      <x:c r="H365" s="10" t="n">
        <x:v>0</x:v>
      </x:c>
      <x:c r="I365" s="11" t="n">
        <x:f>E365*Rates!$B$4+F365*Rates!$B$5+G365*Rates!$B$6+H365*Rates!$B$7</x:f>
        <x:v>0.0044</x:v>
      </x:c>
    </x:row>
    <x:row r="366" ht="24" customHeight="1">
      <x:c r="A366" s="10" t="str">
        <x:v>S04-03</x:v>
      </x:c>
      <x:c r="B366" s="10" t="str">
        <x:v>B</x:v>
      </x:c>
      <x:c r="C366" s="10" t="str">
        <x:v>speech_output</x:v>
      </x:c>
      <x:c r="D366" s="10" t="str">
        <x:v>retained</x:v>
      </x:c>
      <x:c r="E366" s="13" t="n">
        <x:v>164</x:v>
      </x:c>
      <x:c r="F366" s="13" t="n">
        <x:v>0</x:v>
      </x:c>
      <x:c r="G366" s="10" t="n">
        <x:v>0</x:v>
      </x:c>
      <x:c r="H366" s="10" t="n">
        <x:v>3.57</x:v>
      </x:c>
      <x:c r="I366" s="11" t="n">
        <x:f>E366*Rates!$B$4+F366*Rates!$B$5+G366*Rates!$B$6+H366*Rates!$B$7</x:f>
        <x:v>0.007304</x:v>
      </x:c>
    </x:row>
    <x:row r="367" ht="24" customHeight="1">
      <x:c r="A367" s="10" t="str">
        <x:v>S04-04</x:v>
      </x:c>
      <x:c r="B367" s="10" t="str">
        <x:v>A</x:v>
      </x:c>
      <x:c r="C367" s="10" t="str">
        <x:v>semantic</x:v>
      </x:c>
      <x:c r="D367" s="10" t="str">
        <x:v>setup</x:v>
      </x:c>
      <x:c r="E367" s="13" t="n">
        <x:v>600</x:v>
      </x:c>
      <x:c r="F367" s="13" t="n">
        <x:v>16</x:v>
      </x:c>
      <x:c r="G367" s="10" t="n">
        <x:v>0</x:v>
      </x:c>
      <x:c r="H367" s="10" t="n">
        <x:v>0</x:v>
      </x:c>
      <x:c r="I367" s="11" t="n">
        <x:f>E367*Rates!$B$4+F367*Rates!$B$5+G367*Rates!$B$6+H367*Rates!$B$7</x:f>
        <x:v>0.000664</x:v>
      </x:c>
    </x:row>
    <x:row r="368" ht="24" customHeight="1">
      <x:c r="A368" s="10" t="str">
        <x:v>S04-04</x:v>
      </x:c>
      <x:c r="B368" s="10" t="str">
        <x:v>A</x:v>
      </x:c>
      <x:c r="C368" s="10" t="str">
        <x:v>speech_input</x:v>
      </x:c>
      <x:c r="D368" s="10" t="str">
        <x:v>setup</x:v>
      </x:c>
      <x:c r="E368" s="13" t="n">
        <x:v>0</x:v>
      </x:c>
      <x:c r="F368" s="13" t="n">
        <x:v>0</x:v>
      </x:c>
      <x:c r="G368" s="10" t="n">
        <x:v>2</x:v>
      </x:c>
      <x:c r="H368" s="10" t="n">
        <x:v>0</x:v>
      </x:c>
      <x:c r="I368" s="11" t="n">
        <x:f>E368*Rates!$B$4+F368*Rates!$B$5+G368*Rates!$B$6+H368*Rates!$B$7</x:f>
        <x:v>0.002</x:v>
      </x:c>
    </x:row>
    <x:row r="369" ht="24" customHeight="1">
      <x:c r="A369" s="10" t="str">
        <x:v>S04-04</x:v>
      </x:c>
      <x:c r="B369" s="10" t="str">
        <x:v>A</x:v>
      </x:c>
      <x:c r="C369" s="10" t="str">
        <x:v>semantic</x:v>
      </x:c>
      <x:c r="D369" s="10" t="str">
        <x:v>evaluation</x:v>
      </x:c>
      <x:c r="E369" s="13" t="n">
        <x:v>680</x:v>
      </x:c>
      <x:c r="F369" s="13" t="n">
        <x:v>18</x:v>
      </x:c>
      <x:c r="G369" s="10" t="n">
        <x:v>0</x:v>
      </x:c>
      <x:c r="H369" s="10" t="n">
        <x:v>0</x:v>
      </x:c>
      <x:c r="I369" s="11" t="n">
        <x:f>E369*Rates!$B$4+F369*Rates!$B$5+G369*Rates!$B$6+H369*Rates!$B$7</x:f>
        <x:v>0.000752</x:v>
      </x:c>
    </x:row>
    <x:row r="370" ht="24" customHeight="1">
      <x:c r="A370" s="10" t="str">
        <x:v>S04-04</x:v>
      </x:c>
      <x:c r="B370" s="10" t="str">
        <x:v>A</x:v>
      </x:c>
      <x:c r="C370" s="10" t="str">
        <x:v>speech_input</x:v>
      </x:c>
      <x:c r="D370" s="10" t="str">
        <x:v>evaluation</x:v>
      </x:c>
      <x:c r="E370" s="13" t="n">
        <x:v>0</x:v>
      </x:c>
      <x:c r="F370" s="13" t="n">
        <x:v>0</x:v>
      </x:c>
      <x:c r="G370" s="10" t="n">
        <x:v>4.4</x:v>
      </x:c>
      <x:c r="H370" s="10" t="n">
        <x:v>0</x:v>
      </x:c>
      <x:c r="I370" s="11" t="n">
        <x:f>E370*Rates!$B$4+F370*Rates!$B$5+G370*Rates!$B$6+H370*Rates!$B$7</x:f>
        <x:v>0.0044</x:v>
      </x:c>
    </x:row>
    <x:row r="371" ht="24" customHeight="1">
      <x:c r="A371" s="10" t="str">
        <x:v>S04-04</x:v>
      </x:c>
      <x:c r="B371" s="10" t="str">
        <x:v>A</x:v>
      </x:c>
      <x:c r="C371" s="10" t="str">
        <x:v>speech_output</x:v>
      </x:c>
      <x:c r="D371" s="10" t="str">
        <x:v>discarded</x:v>
      </x:c>
      <x:c r="E371" s="13" t="n">
        <x:v>180</x:v>
      </x:c>
      <x:c r="F371" s="13" t="n">
        <x:v>0</x:v>
      </x:c>
      <x:c r="G371" s="10" t="n">
        <x:v>0</x:v>
      </x:c>
      <x:c r="H371" s="10" t="n">
        <x:v>6.473333332</x:v>
      </x:c>
      <x:c r="I371" s="11" t="n">
        <x:f>E371*Rates!$B$4+F371*Rates!$B$5+G371*Rates!$B$6+H371*Rates!$B$7</x:f>
        <x:v>0.013126666664</x:v>
      </x:c>
    </x:row>
    <x:row r="372" ht="24" customHeight="1">
      <x:c r="A372" s="10" t="str">
        <x:v>S04-04</x:v>
      </x:c>
      <x:c r="B372" s="10" t="str">
        <x:v>A</x:v>
      </x:c>
      <x:c r="C372" s="10" t="str">
        <x:v>speech_output</x:v>
      </x:c>
      <x:c r="D372" s="10" t="str">
        <x:v>retained</x:v>
      </x:c>
      <x:c r="E372" s="13" t="n">
        <x:v>164</x:v>
      </x:c>
      <x:c r="F372" s="13" t="n">
        <x:v>0</x:v>
      </x:c>
      <x:c r="G372" s="10" t="n">
        <x:v>0</x:v>
      </x:c>
      <x:c r="H372" s="10" t="n">
        <x:v>3.582</x:v>
      </x:c>
      <x:c r="I372" s="11" t="n">
        <x:f>E372*Rates!$B$4+F372*Rates!$B$5+G372*Rates!$B$6+H372*Rates!$B$7</x:f>
        <x:v>0.007328</x:v>
      </x:c>
    </x:row>
    <x:row r="373" ht="24" customHeight="1">
      <x:c r="A373" s="10" t="str">
        <x:v>S04-04</x:v>
      </x:c>
      <x:c r="B373" s="10" t="str">
        <x:v>B</x:v>
      </x:c>
      <x:c r="C373" s="10" t="str">
        <x:v>semantic</x:v>
      </x:c>
      <x:c r="D373" s="10" t="str">
        <x:v>setup</x:v>
      </x:c>
      <x:c r="E373" s="13" t="n">
        <x:v>600</x:v>
      </x:c>
      <x:c r="F373" s="13" t="n">
        <x:v>16</x:v>
      </x:c>
      <x:c r="G373" s="10" t="n">
        <x:v>0</x:v>
      </x:c>
      <x:c r="H373" s="10" t="n">
        <x:v>0</x:v>
      </x:c>
      <x:c r="I373" s="11" t="n">
        <x:f>E373*Rates!$B$4+F373*Rates!$B$5+G373*Rates!$B$6+H373*Rates!$B$7</x:f>
        <x:v>0.000664</x:v>
      </x:c>
    </x:row>
    <x:row r="374" ht="24" customHeight="1">
      <x:c r="A374" s="10" t="str">
        <x:v>S04-04</x:v>
      </x:c>
      <x:c r="B374" s="10" t="str">
        <x:v>B</x:v>
      </x:c>
      <x:c r="C374" s="10" t="str">
        <x:v>speech_input</x:v>
      </x:c>
      <x:c r="D374" s="10" t="str">
        <x:v>setup</x:v>
      </x:c>
      <x:c r="E374" s="13" t="n">
        <x:v>0</x:v>
      </x:c>
      <x:c r="F374" s="13" t="n">
        <x:v>0</x:v>
      </x:c>
      <x:c r="G374" s="10" t="n">
        <x:v>2</x:v>
      </x:c>
      <x:c r="H374" s="10" t="n">
        <x:v>0</x:v>
      </x:c>
      <x:c r="I374" s="11" t="n">
        <x:f>E374*Rates!$B$4+F374*Rates!$B$5+G374*Rates!$B$6+H374*Rates!$B$7</x:f>
        <x:v>0.002</x:v>
      </x:c>
    </x:row>
    <x:row r="375" ht="24" customHeight="1">
      <x:c r="A375" s="10" t="str">
        <x:v>S04-04</x:v>
      </x:c>
      <x:c r="B375" s="10" t="str">
        <x:v>B</x:v>
      </x:c>
      <x:c r="C375" s="10" t="str">
        <x:v>semantic</x:v>
      </x:c>
      <x:c r="D375" s="10" t="str">
        <x:v>evaluation</x:v>
      </x:c>
      <x:c r="E375" s="13" t="n">
        <x:v>680</x:v>
      </x:c>
      <x:c r="F375" s="13" t="n">
        <x:v>18</x:v>
      </x:c>
      <x:c r="G375" s="10" t="n">
        <x:v>0</x:v>
      </x:c>
      <x:c r="H375" s="10" t="n">
        <x:v>0</x:v>
      </x:c>
      <x:c r="I375" s="11" t="n">
        <x:f>E375*Rates!$B$4+F375*Rates!$B$5+G375*Rates!$B$6+H375*Rates!$B$7</x:f>
        <x:v>0.000752</x:v>
      </x:c>
    </x:row>
    <x:row r="376" ht="24" customHeight="1">
      <x:c r="A376" s="10" t="str">
        <x:v>S04-04</x:v>
      </x:c>
      <x:c r="B376" s="10" t="str">
        <x:v>B</x:v>
      </x:c>
      <x:c r="C376" s="10" t="str">
        <x:v>speech_input</x:v>
      </x:c>
      <x:c r="D376" s="10" t="str">
        <x:v>evaluation</x:v>
      </x:c>
      <x:c r="E376" s="13" t="n">
        <x:v>0</x:v>
      </x:c>
      <x:c r="F376" s="13" t="n">
        <x:v>0</x:v>
      </x:c>
      <x:c r="G376" s="10" t="n">
        <x:v>4.4</x:v>
      </x:c>
      <x:c r="H376" s="10" t="n">
        <x:v>0</x:v>
      </x:c>
      <x:c r="I376" s="11" t="n">
        <x:f>E376*Rates!$B$4+F376*Rates!$B$5+G376*Rates!$B$6+H376*Rates!$B$7</x:f>
        <x:v>0.0044</x:v>
      </x:c>
    </x:row>
    <x:row r="377" ht="24" customHeight="1">
      <x:c r="A377" s="10" t="str">
        <x:v>S04-04</x:v>
      </x:c>
      <x:c r="B377" s="10" t="str">
        <x:v>B</x:v>
      </x:c>
      <x:c r="C377" s="10" t="str">
        <x:v>speech_output</x:v>
      </x:c>
      <x:c r="D377" s="10" t="str">
        <x:v>retained</x:v>
      </x:c>
      <x:c r="E377" s="13" t="n">
        <x:v>164</x:v>
      </x:c>
      <x:c r="F377" s="13" t="n">
        <x:v>0</x:v>
      </x:c>
      <x:c r="G377" s="10" t="n">
        <x:v>0</x:v>
      </x:c>
      <x:c r="H377" s="10" t="n">
        <x:v>3.582</x:v>
      </x:c>
      <x:c r="I377" s="11" t="n">
        <x:f>E377*Rates!$B$4+F377*Rates!$B$5+G377*Rates!$B$6+H377*Rates!$B$7</x:f>
        <x:v>0.007328</x:v>
      </x:c>
    </x:row>
    <x:row r="378" ht="24" customHeight="1">
      <x:c r="A378" s="10" t="str">
        <x:v>S04-05</x:v>
      </x:c>
      <x:c r="B378" s="10" t="str">
        <x:v>A</x:v>
      </x:c>
      <x:c r="C378" s="10" t="str">
        <x:v>semantic</x:v>
      </x:c>
      <x:c r="D378" s="10" t="str">
        <x:v>setup</x:v>
      </x:c>
      <x:c r="E378" s="13" t="n">
        <x:v>600</x:v>
      </x:c>
      <x:c r="F378" s="13" t="n">
        <x:v>16</x:v>
      </x:c>
      <x:c r="G378" s="10" t="n">
        <x:v>0</x:v>
      </x:c>
      <x:c r="H378" s="10" t="n">
        <x:v>0</x:v>
      </x:c>
      <x:c r="I378" s="11" t="n">
        <x:f>E378*Rates!$B$4+F378*Rates!$B$5+G378*Rates!$B$6+H378*Rates!$B$7</x:f>
        <x:v>0.000664</x:v>
      </x:c>
    </x:row>
    <x:row r="379" ht="24" customHeight="1">
      <x:c r="A379" s="10" t="str">
        <x:v>S04-05</x:v>
      </x:c>
      <x:c r="B379" s="10" t="str">
        <x:v>A</x:v>
      </x:c>
      <x:c r="C379" s="10" t="str">
        <x:v>speech_input</x:v>
      </x:c>
      <x:c r="D379" s="10" t="str">
        <x:v>setup</x:v>
      </x:c>
      <x:c r="E379" s="13" t="n">
        <x:v>0</x:v>
      </x:c>
      <x:c r="F379" s="13" t="n">
        <x:v>0</x:v>
      </x:c>
      <x:c r="G379" s="10" t="n">
        <x:v>2</x:v>
      </x:c>
      <x:c r="H379" s="10" t="n">
        <x:v>0</x:v>
      </x:c>
      <x:c r="I379" s="11" t="n">
        <x:f>E379*Rates!$B$4+F379*Rates!$B$5+G379*Rates!$B$6+H379*Rates!$B$7</x:f>
        <x:v>0.002</x:v>
      </x:c>
    </x:row>
    <x:row r="380" ht="24" customHeight="1">
      <x:c r="A380" s="10" t="str">
        <x:v>S04-05</x:v>
      </x:c>
      <x:c r="B380" s="10" t="str">
        <x:v>A</x:v>
      </x:c>
      <x:c r="C380" s="10" t="str">
        <x:v>semantic</x:v>
      </x:c>
      <x:c r="D380" s="10" t="str">
        <x:v>evaluation</x:v>
      </x:c>
      <x:c r="E380" s="13" t="n">
        <x:v>700</x:v>
      </x:c>
      <x:c r="F380" s="13" t="n">
        <x:v>20</x:v>
      </x:c>
      <x:c r="G380" s="10" t="n">
        <x:v>0</x:v>
      </x:c>
      <x:c r="H380" s="10" t="n">
        <x:v>0</x:v>
      </x:c>
      <x:c r="I380" s="11" t="n">
        <x:f>E380*Rates!$B$4+F380*Rates!$B$5+G380*Rates!$B$6+H380*Rates!$B$7</x:f>
        <x:v>0.00078</x:v>
      </x:c>
    </x:row>
    <x:row r="381" ht="24" customHeight="1">
      <x:c r="A381" s="10" t="str">
        <x:v>S04-05</x:v>
      </x:c>
      <x:c r="B381" s="10" t="str">
        <x:v>A</x:v>
      </x:c>
      <x:c r="C381" s="10" t="str">
        <x:v>speech_input</x:v>
      </x:c>
      <x:c r="D381" s="10" t="str">
        <x:v>evaluation</x:v>
      </x:c>
      <x:c r="E381" s="13" t="n">
        <x:v>0</x:v>
      </x:c>
      <x:c r="F381" s="13" t="n">
        <x:v>0</x:v>
      </x:c>
      <x:c r="G381" s="10" t="n">
        <x:v>4.4</x:v>
      </x:c>
      <x:c r="H381" s="10" t="n">
        <x:v>0</x:v>
      </x:c>
      <x:c r="I381" s="11" t="n">
        <x:f>E381*Rates!$B$4+F381*Rates!$B$5+G381*Rates!$B$6+H381*Rates!$B$7</x:f>
        <x:v>0.0044</x:v>
      </x:c>
    </x:row>
    <x:row r="382" ht="24" customHeight="1">
      <x:c r="A382" s="10" t="str">
        <x:v>S04-05</x:v>
      </x:c>
      <x:c r="B382" s="10" t="str">
        <x:v>A</x:v>
      </x:c>
      <x:c r="C382" s="10" t="str">
        <x:v>speech_output</x:v>
      </x:c>
      <x:c r="D382" s="10" t="str">
        <x:v>discarded</x:v>
      </x:c>
      <x:c r="E382" s="13" t="n">
        <x:v>180</x:v>
      </x:c>
      <x:c r="F382" s="13" t="n">
        <x:v>0</x:v>
      </x:c>
      <x:c r="G382" s="10" t="n">
        <x:v>0</x:v>
      </x:c>
      <x:c r="H382" s="10" t="n">
        <x:v>6.586666668</x:v>
      </x:c>
      <x:c r="I382" s="11" t="n">
        <x:f>E382*Rates!$B$4+F382*Rates!$B$5+G382*Rates!$B$6+H382*Rates!$B$7</x:f>
        <x:v>0.013353333336</x:v>
      </x:c>
    </x:row>
    <x:row r="383" ht="24" customHeight="1">
      <x:c r="A383" s="10" t="str">
        <x:v>S04-05</x:v>
      </x:c>
      <x:c r="B383" s="10" t="str">
        <x:v>A</x:v>
      </x:c>
      <x:c r="C383" s="10" t="str">
        <x:v>speech_output</x:v>
      </x:c>
      <x:c r="D383" s="10" t="str">
        <x:v>retained</x:v>
      </x:c>
      <x:c r="E383" s="13" t="n">
        <x:v>164</x:v>
      </x:c>
      <x:c r="F383" s="13" t="n">
        <x:v>0</x:v>
      </x:c>
      <x:c r="G383" s="10" t="n">
        <x:v>0</x:v>
      </x:c>
      <x:c r="H383" s="10" t="n">
        <x:v>3.594</x:v>
      </x:c>
      <x:c r="I383" s="11" t="n">
        <x:f>E383*Rates!$B$4+F383*Rates!$B$5+G383*Rates!$B$6+H383*Rates!$B$7</x:f>
        <x:v>0.007352</x:v>
      </x:c>
    </x:row>
    <x:row r="384" ht="24" customHeight="1">
      <x:c r="A384" s="10" t="str">
        <x:v>S04-05</x:v>
      </x:c>
      <x:c r="B384" s="10" t="str">
        <x:v>B</x:v>
      </x:c>
      <x:c r="C384" s="10" t="str">
        <x:v>semantic</x:v>
      </x:c>
      <x:c r="D384" s="10" t="str">
        <x:v>setup</x:v>
      </x:c>
      <x:c r="E384" s="13" t="n">
        <x:v>600</x:v>
      </x:c>
      <x:c r="F384" s="13" t="n">
        <x:v>16</x:v>
      </x:c>
      <x:c r="G384" s="10" t="n">
        <x:v>0</x:v>
      </x:c>
      <x:c r="H384" s="10" t="n">
        <x:v>0</x:v>
      </x:c>
      <x:c r="I384" s="11" t="n">
        <x:f>E384*Rates!$B$4+F384*Rates!$B$5+G384*Rates!$B$6+H384*Rates!$B$7</x:f>
        <x:v>0.000664</x:v>
      </x:c>
    </x:row>
    <x:row r="385" ht="24" customHeight="1">
      <x:c r="A385" s="10" t="str">
        <x:v>S04-05</x:v>
      </x:c>
      <x:c r="B385" s="10" t="str">
        <x:v>B</x:v>
      </x:c>
      <x:c r="C385" s="10" t="str">
        <x:v>speech_input</x:v>
      </x:c>
      <x:c r="D385" s="10" t="str">
        <x:v>setup</x:v>
      </x:c>
      <x:c r="E385" s="13" t="n">
        <x:v>0</x:v>
      </x:c>
      <x:c r="F385" s="13" t="n">
        <x:v>0</x:v>
      </x:c>
      <x:c r="G385" s="10" t="n">
        <x:v>2</x:v>
      </x:c>
      <x:c r="H385" s="10" t="n">
        <x:v>0</x:v>
      </x:c>
      <x:c r="I385" s="11" t="n">
        <x:f>E385*Rates!$B$4+F385*Rates!$B$5+G385*Rates!$B$6+H385*Rates!$B$7</x:f>
        <x:v>0.002</x:v>
      </x:c>
    </x:row>
    <x:row r="386" ht="24" customHeight="1">
      <x:c r="A386" s="10" t="str">
        <x:v>S04-05</x:v>
      </x:c>
      <x:c r="B386" s="10" t="str">
        <x:v>B</x:v>
      </x:c>
      <x:c r="C386" s="10" t="str">
        <x:v>semantic</x:v>
      </x:c>
      <x:c r="D386" s="10" t="str">
        <x:v>evaluation</x:v>
      </x:c>
      <x:c r="E386" s="13" t="n">
        <x:v>700</x:v>
      </x:c>
      <x:c r="F386" s="13" t="n">
        <x:v>20</x:v>
      </x:c>
      <x:c r="G386" s="10" t="n">
        <x:v>0</x:v>
      </x:c>
      <x:c r="H386" s="10" t="n">
        <x:v>0</x:v>
      </x:c>
      <x:c r="I386" s="11" t="n">
        <x:f>E386*Rates!$B$4+F386*Rates!$B$5+G386*Rates!$B$6+H386*Rates!$B$7</x:f>
        <x:v>0.00078</x:v>
      </x:c>
    </x:row>
    <x:row r="387" ht="24" customHeight="1">
      <x:c r="A387" s="10" t="str">
        <x:v>S04-05</x:v>
      </x:c>
      <x:c r="B387" s="10" t="str">
        <x:v>B</x:v>
      </x:c>
      <x:c r="C387" s="10" t="str">
        <x:v>speech_input</x:v>
      </x:c>
      <x:c r="D387" s="10" t="str">
        <x:v>evaluation</x:v>
      </x:c>
      <x:c r="E387" s="13" t="n">
        <x:v>0</x:v>
      </x:c>
      <x:c r="F387" s="13" t="n">
        <x:v>0</x:v>
      </x:c>
      <x:c r="G387" s="10" t="n">
        <x:v>4.4</x:v>
      </x:c>
      <x:c r="H387" s="10" t="n">
        <x:v>0</x:v>
      </x:c>
      <x:c r="I387" s="11" t="n">
        <x:f>E387*Rates!$B$4+F387*Rates!$B$5+G387*Rates!$B$6+H387*Rates!$B$7</x:f>
        <x:v>0.0044</x:v>
      </x:c>
    </x:row>
    <x:row r="388" ht="24" customHeight="1">
      <x:c r="A388" s="10" t="str">
        <x:v>S04-05</x:v>
      </x:c>
      <x:c r="B388" s="10" t="str">
        <x:v>B</x:v>
      </x:c>
      <x:c r="C388" s="10" t="str">
        <x:v>speech_output</x:v>
      </x:c>
      <x:c r="D388" s="10" t="str">
        <x:v>retained</x:v>
      </x:c>
      <x:c r="E388" s="13" t="n">
        <x:v>164</x:v>
      </x:c>
      <x:c r="F388" s="13" t="n">
        <x:v>0</x:v>
      </x:c>
      <x:c r="G388" s="10" t="n">
        <x:v>0</x:v>
      </x:c>
      <x:c r="H388" s="10" t="n">
        <x:v>3.594</x:v>
      </x:c>
      <x:c r="I388" s="11" t="n">
        <x:f>E388*Rates!$B$4+F388*Rates!$B$5+G388*Rates!$B$6+H388*Rates!$B$7</x:f>
        <x:v>0.007352</x:v>
      </x:c>
    </x:row>
    <x:row r="389" ht="24" customHeight="1">
      <x:c r="A389" s="10" t="str">
        <x:v>S04-06</x:v>
      </x:c>
      <x:c r="B389" s="10" t="str">
        <x:v>A</x:v>
      </x:c>
      <x:c r="C389" s="10" t="str">
        <x:v>semantic</x:v>
      </x:c>
      <x:c r="D389" s="10" t="str">
        <x:v>setup</x:v>
      </x:c>
      <x:c r="E389" s="13" t="n">
        <x:v>600</x:v>
      </x:c>
      <x:c r="F389" s="13" t="n">
        <x:v>16</x:v>
      </x:c>
      <x:c r="G389" s="10" t="n">
        <x:v>0</x:v>
      </x:c>
      <x:c r="H389" s="10" t="n">
        <x:v>0</x:v>
      </x:c>
      <x:c r="I389" s="11" t="n">
        <x:f>E389*Rates!$B$4+F389*Rates!$B$5+G389*Rates!$B$6+H389*Rates!$B$7</x:f>
        <x:v>0.000664</x:v>
      </x:c>
    </x:row>
    <x:row r="390" ht="24" customHeight="1">
      <x:c r="A390" s="10" t="str">
        <x:v>S04-06</x:v>
      </x:c>
      <x:c r="B390" s="10" t="str">
        <x:v>A</x:v>
      </x:c>
      <x:c r="C390" s="10" t="str">
        <x:v>speech_input</x:v>
      </x:c>
      <x:c r="D390" s="10" t="str">
        <x:v>setup</x:v>
      </x:c>
      <x:c r="E390" s="13" t="n">
        <x:v>0</x:v>
      </x:c>
      <x:c r="F390" s="13" t="n">
        <x:v>0</x:v>
      </x:c>
      <x:c r="G390" s="10" t="n">
        <x:v>2</x:v>
      </x:c>
      <x:c r="H390" s="10" t="n">
        <x:v>0</x:v>
      </x:c>
      <x:c r="I390" s="11" t="n">
        <x:f>E390*Rates!$B$4+F390*Rates!$B$5+G390*Rates!$B$6+H390*Rates!$B$7</x:f>
        <x:v>0.002</x:v>
      </x:c>
    </x:row>
    <x:row r="391" ht="24" customHeight="1">
      <x:c r="A391" s="10" t="str">
        <x:v>S04-06</x:v>
      </x:c>
      <x:c r="B391" s="10" t="str">
        <x:v>A</x:v>
      </x:c>
      <x:c r="C391" s="10" t="str">
        <x:v>semantic</x:v>
      </x:c>
      <x:c r="D391" s="10" t="str">
        <x:v>evaluation</x:v>
      </x:c>
      <x:c r="E391" s="13" t="n">
        <x:v>720</x:v>
      </x:c>
      <x:c r="F391" s="13" t="n">
        <x:v>16</x:v>
      </x:c>
      <x:c r="G391" s="10" t="n">
        <x:v>0</x:v>
      </x:c>
      <x:c r="H391" s="10" t="n">
        <x:v>0</x:v>
      </x:c>
      <x:c r="I391" s="11" t="n">
        <x:f>E391*Rates!$B$4+F391*Rates!$B$5+G391*Rates!$B$6+H391*Rates!$B$7</x:f>
        <x:v>0.000784</x:v>
      </x:c>
    </x:row>
    <x:row r="392" ht="24" customHeight="1">
      <x:c r="A392" s="10" t="str">
        <x:v>S04-06</x:v>
      </x:c>
      <x:c r="B392" s="10" t="str">
        <x:v>A</x:v>
      </x:c>
      <x:c r="C392" s="10" t="str">
        <x:v>speech_input</x:v>
      </x:c>
      <x:c r="D392" s="10" t="str">
        <x:v>evaluation</x:v>
      </x:c>
      <x:c r="E392" s="13" t="n">
        <x:v>0</x:v>
      </x:c>
      <x:c r="F392" s="13" t="n">
        <x:v>0</x:v>
      </x:c>
      <x:c r="G392" s="10" t="n">
        <x:v>4.4</x:v>
      </x:c>
      <x:c r="H392" s="10" t="n">
        <x:v>0</x:v>
      </x:c>
      <x:c r="I392" s="11" t="n">
        <x:f>E392*Rates!$B$4+F392*Rates!$B$5+G392*Rates!$B$6+H392*Rates!$B$7</x:f>
        <x:v>0.0044</x:v>
      </x:c>
    </x:row>
    <x:row r="393" ht="24" customHeight="1">
      <x:c r="A393" s="10" t="str">
        <x:v>S04-06</x:v>
      </x:c>
      <x:c r="B393" s="10" t="str">
        <x:v>A</x:v>
      </x:c>
      <x:c r="C393" s="10" t="str">
        <x:v>speech_output</x:v>
      </x:c>
      <x:c r="D393" s="10" t="str">
        <x:v>discarded</x:v>
      </x:c>
      <x:c r="E393" s="13" t="n">
        <x:v>180</x:v>
      </x:c>
      <x:c r="F393" s="13" t="n">
        <x:v>0</x:v>
      </x:c>
      <x:c r="G393" s="10" t="n">
        <x:v>0</x:v>
      </x:c>
      <x:c r="H393" s="10" t="n">
        <x:v>6.4</x:v>
      </x:c>
      <x:c r="I393" s="11" t="n">
        <x:f>E393*Rates!$B$4+F393*Rates!$B$5+G393*Rates!$B$6+H393*Rates!$B$7</x:f>
        <x:v>0.01298</x:v>
      </x:c>
    </x:row>
    <x:row r="394" ht="24" customHeight="1">
      <x:c r="A394" s="10" t="str">
        <x:v>S04-06</x:v>
      </x:c>
      <x:c r="B394" s="10" t="str">
        <x:v>A</x:v>
      </x:c>
      <x:c r="C394" s="10" t="str">
        <x:v>speech_output</x:v>
      </x:c>
      <x:c r="D394" s="10" t="str">
        <x:v>retained</x:v>
      </x:c>
      <x:c r="E394" s="13" t="n">
        <x:v>164</x:v>
      </x:c>
      <x:c r="F394" s="13" t="n">
        <x:v>0</x:v>
      </x:c>
      <x:c r="G394" s="10" t="n">
        <x:v>0</x:v>
      </x:c>
      <x:c r="H394" s="10" t="n">
        <x:v>3.606</x:v>
      </x:c>
      <x:c r="I394" s="11" t="n">
        <x:f>E394*Rates!$B$4+F394*Rates!$B$5+G394*Rates!$B$6+H394*Rates!$B$7</x:f>
        <x:v>0.007376</x:v>
      </x:c>
    </x:row>
    <x:row r="395" ht="24" customHeight="1">
      <x:c r="A395" s="10" t="str">
        <x:v>S04-06</x:v>
      </x:c>
      <x:c r="B395" s="10" t="str">
        <x:v>B</x:v>
      </x:c>
      <x:c r="C395" s="10" t="str">
        <x:v>semantic</x:v>
      </x:c>
      <x:c r="D395" s="10" t="str">
        <x:v>setup</x:v>
      </x:c>
      <x:c r="E395" s="13" t="n">
        <x:v>600</x:v>
      </x:c>
      <x:c r="F395" s="13" t="n">
        <x:v>16</x:v>
      </x:c>
      <x:c r="G395" s="10" t="n">
        <x:v>0</x:v>
      </x:c>
      <x:c r="H395" s="10" t="n">
        <x:v>0</x:v>
      </x:c>
      <x:c r="I395" s="11" t="n">
        <x:f>E395*Rates!$B$4+F395*Rates!$B$5+G395*Rates!$B$6+H395*Rates!$B$7</x:f>
        <x:v>0.000664</x:v>
      </x:c>
    </x:row>
    <x:row r="396" ht="24" customHeight="1">
      <x:c r="A396" s="10" t="str">
        <x:v>S04-06</x:v>
      </x:c>
      <x:c r="B396" s="10" t="str">
        <x:v>B</x:v>
      </x:c>
      <x:c r="C396" s="10" t="str">
        <x:v>speech_input</x:v>
      </x:c>
      <x:c r="D396" s="10" t="str">
        <x:v>setup</x:v>
      </x:c>
      <x:c r="E396" s="13" t="n">
        <x:v>0</x:v>
      </x:c>
      <x:c r="F396" s="13" t="n">
        <x:v>0</x:v>
      </x:c>
      <x:c r="G396" s="10" t="n">
        <x:v>2</x:v>
      </x:c>
      <x:c r="H396" s="10" t="n">
        <x:v>0</x:v>
      </x:c>
      <x:c r="I396" s="11" t="n">
        <x:f>E396*Rates!$B$4+F396*Rates!$B$5+G396*Rates!$B$6+H396*Rates!$B$7</x:f>
        <x:v>0.002</x:v>
      </x:c>
    </x:row>
    <x:row r="397" ht="24" customHeight="1">
      <x:c r="A397" s="10" t="str">
        <x:v>S04-06</x:v>
      </x:c>
      <x:c r="B397" s="10" t="str">
        <x:v>B</x:v>
      </x:c>
      <x:c r="C397" s="10" t="str">
        <x:v>semantic</x:v>
      </x:c>
      <x:c r="D397" s="10" t="str">
        <x:v>evaluation</x:v>
      </x:c>
      <x:c r="E397" s="13" t="n">
        <x:v>720</x:v>
      </x:c>
      <x:c r="F397" s="13" t="n">
        <x:v>16</x:v>
      </x:c>
      <x:c r="G397" s="10" t="n">
        <x:v>0</x:v>
      </x:c>
      <x:c r="H397" s="10" t="n">
        <x:v>0</x:v>
      </x:c>
      <x:c r="I397" s="11" t="n">
        <x:f>E397*Rates!$B$4+F397*Rates!$B$5+G397*Rates!$B$6+H397*Rates!$B$7</x:f>
        <x:v>0.000784</x:v>
      </x:c>
    </x:row>
    <x:row r="398" ht="24" customHeight="1">
      <x:c r="A398" s="10" t="str">
        <x:v>S04-06</x:v>
      </x:c>
      <x:c r="B398" s="10" t="str">
        <x:v>B</x:v>
      </x:c>
      <x:c r="C398" s="10" t="str">
        <x:v>speech_input</x:v>
      </x:c>
      <x:c r="D398" s="10" t="str">
        <x:v>evaluation</x:v>
      </x:c>
      <x:c r="E398" s="13" t="n">
        <x:v>0</x:v>
      </x:c>
      <x:c r="F398" s="13" t="n">
        <x:v>0</x:v>
      </x:c>
      <x:c r="G398" s="10" t="n">
        <x:v>4.4</x:v>
      </x:c>
      <x:c r="H398" s="10" t="n">
        <x:v>0</x:v>
      </x:c>
      <x:c r="I398" s="11" t="n">
        <x:f>E398*Rates!$B$4+F398*Rates!$B$5+G398*Rates!$B$6+H398*Rates!$B$7</x:f>
        <x:v>0.0044</x:v>
      </x:c>
    </x:row>
    <x:row r="399" ht="24" customHeight="1">
      <x:c r="A399" s="10" t="str">
        <x:v>S04-06</x:v>
      </x:c>
      <x:c r="B399" s="10" t="str">
        <x:v>B</x:v>
      </x:c>
      <x:c r="C399" s="10" t="str">
        <x:v>speech_output</x:v>
      </x:c>
      <x:c r="D399" s="10" t="str">
        <x:v>retained</x:v>
      </x:c>
      <x:c r="E399" s="13" t="n">
        <x:v>164</x:v>
      </x:c>
      <x:c r="F399" s="13" t="n">
        <x:v>0</x:v>
      </x:c>
      <x:c r="G399" s="10" t="n">
        <x:v>0</x:v>
      </x:c>
      <x:c r="H399" s="10" t="n">
        <x:v>3.606</x:v>
      </x:c>
      <x:c r="I399" s="11" t="n">
        <x:f>E399*Rates!$B$4+F399*Rates!$B$5+G399*Rates!$B$6+H399*Rates!$B$7</x:f>
        <x:v>0.007376</x:v>
      </x:c>
    </x:row>
    <x:row r="400" ht="24" customHeight="1">
      <x:c r="A400" s="10" t="str">
        <x:v>S04-07</x:v>
      </x:c>
      <x:c r="B400" s="10" t="str">
        <x:v>A</x:v>
      </x:c>
      <x:c r="C400" s="10" t="str">
        <x:v>semantic</x:v>
      </x:c>
      <x:c r="D400" s="10" t="str">
        <x:v>setup</x:v>
      </x:c>
      <x:c r="E400" s="13" t="n">
        <x:v>600</x:v>
      </x:c>
      <x:c r="F400" s="13" t="n">
        <x:v>16</x:v>
      </x:c>
      <x:c r="G400" s="10" t="n">
        <x:v>0</x:v>
      </x:c>
      <x:c r="H400" s="10" t="n">
        <x:v>0</x:v>
      </x:c>
      <x:c r="I400" s="11" t="n">
        <x:f>E400*Rates!$B$4+F400*Rates!$B$5+G400*Rates!$B$6+H400*Rates!$B$7</x:f>
        <x:v>0.000664</x:v>
      </x:c>
    </x:row>
    <x:row r="401" ht="24" customHeight="1">
      <x:c r="A401" s="10" t="str">
        <x:v>S04-07</x:v>
      </x:c>
      <x:c r="B401" s="10" t="str">
        <x:v>A</x:v>
      </x:c>
      <x:c r="C401" s="10" t="str">
        <x:v>speech_input</x:v>
      </x:c>
      <x:c r="D401" s="10" t="str">
        <x:v>setup</x:v>
      </x:c>
      <x:c r="E401" s="13" t="n">
        <x:v>0</x:v>
      </x:c>
      <x:c r="F401" s="13" t="n">
        <x:v>0</x:v>
      </x:c>
      <x:c r="G401" s="10" t="n">
        <x:v>2</x:v>
      </x:c>
      <x:c r="H401" s="10" t="n">
        <x:v>0</x:v>
      </x:c>
      <x:c r="I401" s="11" t="n">
        <x:f>E401*Rates!$B$4+F401*Rates!$B$5+G401*Rates!$B$6+H401*Rates!$B$7</x:f>
        <x:v>0.002</x:v>
      </x:c>
    </x:row>
    <x:row r="402" ht="24" customHeight="1">
      <x:c r="A402" s="10" t="str">
        <x:v>S04-07</x:v>
      </x:c>
      <x:c r="B402" s="10" t="str">
        <x:v>A</x:v>
      </x:c>
      <x:c r="C402" s="10" t="str">
        <x:v>semantic</x:v>
      </x:c>
      <x:c r="D402" s="10" t="str">
        <x:v>evaluation</x:v>
      </x:c>
      <x:c r="E402" s="13" t="n">
        <x:v>740</x:v>
      </x:c>
      <x:c r="F402" s="13" t="n">
        <x:v>18</x:v>
      </x:c>
      <x:c r="G402" s="10" t="n">
        <x:v>0</x:v>
      </x:c>
      <x:c r="H402" s="10" t="n">
        <x:v>0</x:v>
      </x:c>
      <x:c r="I402" s="11" t="n">
        <x:f>E402*Rates!$B$4+F402*Rates!$B$5+G402*Rates!$B$6+H402*Rates!$B$7</x:f>
        <x:v>0.000812</x:v>
      </x:c>
    </x:row>
    <x:row r="403" ht="24" customHeight="1">
      <x:c r="A403" s="10" t="str">
        <x:v>S04-07</x:v>
      </x:c>
      <x:c r="B403" s="10" t="str">
        <x:v>A</x:v>
      </x:c>
      <x:c r="C403" s="10" t="str">
        <x:v>speech_input</x:v>
      </x:c>
      <x:c r="D403" s="10" t="str">
        <x:v>evaluation</x:v>
      </x:c>
      <x:c r="E403" s="13" t="n">
        <x:v>0</x:v>
      </x:c>
      <x:c r="F403" s="13" t="n">
        <x:v>0</x:v>
      </x:c>
      <x:c r="G403" s="10" t="n">
        <x:v>4.4</x:v>
      </x:c>
      <x:c r="H403" s="10" t="n">
        <x:v>0</x:v>
      </x:c>
      <x:c r="I403" s="11" t="n">
        <x:f>E403*Rates!$B$4+F403*Rates!$B$5+G403*Rates!$B$6+H403*Rates!$B$7</x:f>
        <x:v>0.0044</x:v>
      </x:c>
    </x:row>
    <x:row r="404" ht="24" customHeight="1">
      <x:c r="A404" s="10" t="str">
        <x:v>S04-07</x:v>
      </x:c>
      <x:c r="B404" s="10" t="str">
        <x:v>A</x:v>
      </x:c>
      <x:c r="C404" s="10" t="str">
        <x:v>speech_output</x:v>
      </x:c>
      <x:c r="D404" s="10" t="str">
        <x:v>discarded</x:v>
      </x:c>
      <x:c r="E404" s="13" t="n">
        <x:v>180</x:v>
      </x:c>
      <x:c r="F404" s="13" t="n">
        <x:v>0</x:v>
      </x:c>
      <x:c r="G404" s="10" t="n">
        <x:v>0</x:v>
      </x:c>
      <x:c r="H404" s="10" t="n">
        <x:v>6.513333332</x:v>
      </x:c>
      <x:c r="I404" s="11" t="n">
        <x:f>E404*Rates!$B$4+F404*Rates!$B$5+G404*Rates!$B$6+H404*Rates!$B$7</x:f>
        <x:v>0.013206666664</x:v>
      </x:c>
    </x:row>
    <x:row r="405" ht="24" customHeight="1">
      <x:c r="A405" s="10" t="str">
        <x:v>S04-07</x:v>
      </x:c>
      <x:c r="B405" s="10" t="str">
        <x:v>A</x:v>
      </x:c>
      <x:c r="C405" s="10" t="str">
        <x:v>speech_output</x:v>
      </x:c>
      <x:c r="D405" s="10" t="str">
        <x:v>retained</x:v>
      </x:c>
      <x:c r="E405" s="13" t="n">
        <x:v>164</x:v>
      </x:c>
      <x:c r="F405" s="13" t="n">
        <x:v>0</x:v>
      </x:c>
      <x:c r="G405" s="10" t="n">
        <x:v>0</x:v>
      </x:c>
      <x:c r="H405" s="10" t="n">
        <x:v>3.618</x:v>
      </x:c>
      <x:c r="I405" s="11" t="n">
        <x:f>E405*Rates!$B$4+F405*Rates!$B$5+G405*Rates!$B$6+H405*Rates!$B$7</x:f>
        <x:v>0.0074</x:v>
      </x:c>
    </x:row>
    <x:row r="406" ht="24" customHeight="1">
      <x:c r="A406" s="10" t="str">
        <x:v>S04-07</x:v>
      </x:c>
      <x:c r="B406" s="10" t="str">
        <x:v>B</x:v>
      </x:c>
      <x:c r="C406" s="10" t="str">
        <x:v>semantic</x:v>
      </x:c>
      <x:c r="D406" s="10" t="str">
        <x:v>setup</x:v>
      </x:c>
      <x:c r="E406" s="13" t="n">
        <x:v>600</x:v>
      </x:c>
      <x:c r="F406" s="13" t="n">
        <x:v>16</x:v>
      </x:c>
      <x:c r="G406" s="10" t="n">
        <x:v>0</x:v>
      </x:c>
      <x:c r="H406" s="10" t="n">
        <x:v>0</x:v>
      </x:c>
      <x:c r="I406" s="11" t="n">
        <x:f>E406*Rates!$B$4+F406*Rates!$B$5+G406*Rates!$B$6+H406*Rates!$B$7</x:f>
        <x:v>0.000664</x:v>
      </x:c>
    </x:row>
    <x:row r="407" ht="24" customHeight="1">
      <x:c r="A407" s="10" t="str">
        <x:v>S04-07</x:v>
      </x:c>
      <x:c r="B407" s="10" t="str">
        <x:v>B</x:v>
      </x:c>
      <x:c r="C407" s="10" t="str">
        <x:v>speech_input</x:v>
      </x:c>
      <x:c r="D407" s="10" t="str">
        <x:v>setup</x:v>
      </x:c>
      <x:c r="E407" s="13" t="n">
        <x:v>0</x:v>
      </x:c>
      <x:c r="F407" s="13" t="n">
        <x:v>0</x:v>
      </x:c>
      <x:c r="G407" s="10" t="n">
        <x:v>2</x:v>
      </x:c>
      <x:c r="H407" s="10" t="n">
        <x:v>0</x:v>
      </x:c>
      <x:c r="I407" s="11" t="n">
        <x:f>E407*Rates!$B$4+F407*Rates!$B$5+G407*Rates!$B$6+H407*Rates!$B$7</x:f>
        <x:v>0.002</x:v>
      </x:c>
    </x:row>
    <x:row r="408" ht="24" customHeight="1">
      <x:c r="A408" s="10" t="str">
        <x:v>S04-07</x:v>
      </x:c>
      <x:c r="B408" s="10" t="str">
        <x:v>B</x:v>
      </x:c>
      <x:c r="C408" s="10" t="str">
        <x:v>semantic</x:v>
      </x:c>
      <x:c r="D408" s="10" t="str">
        <x:v>evaluation</x:v>
      </x:c>
      <x:c r="E408" s="13" t="n">
        <x:v>740</x:v>
      </x:c>
      <x:c r="F408" s="13" t="n">
        <x:v>18</x:v>
      </x:c>
      <x:c r="G408" s="10" t="n">
        <x:v>0</x:v>
      </x:c>
      <x:c r="H408" s="10" t="n">
        <x:v>0</x:v>
      </x:c>
      <x:c r="I408" s="11" t="n">
        <x:f>E408*Rates!$B$4+F408*Rates!$B$5+G408*Rates!$B$6+H408*Rates!$B$7</x:f>
        <x:v>0.000812</x:v>
      </x:c>
    </x:row>
    <x:row r="409" ht="24" customHeight="1">
      <x:c r="A409" s="10" t="str">
        <x:v>S04-07</x:v>
      </x:c>
      <x:c r="B409" s="10" t="str">
        <x:v>B</x:v>
      </x:c>
      <x:c r="C409" s="10" t="str">
        <x:v>speech_input</x:v>
      </x:c>
      <x:c r="D409" s="10" t="str">
        <x:v>evaluation</x:v>
      </x:c>
      <x:c r="E409" s="13" t="n">
        <x:v>0</x:v>
      </x:c>
      <x:c r="F409" s="13" t="n">
        <x:v>0</x:v>
      </x:c>
      <x:c r="G409" s="10" t="n">
        <x:v>4.4</x:v>
      </x:c>
      <x:c r="H409" s="10" t="n">
        <x:v>0</x:v>
      </x:c>
      <x:c r="I409" s="11" t="n">
        <x:f>E409*Rates!$B$4+F409*Rates!$B$5+G409*Rates!$B$6+H409*Rates!$B$7</x:f>
        <x:v>0.0044</x:v>
      </x:c>
    </x:row>
    <x:row r="410" ht="24" customHeight="1">
      <x:c r="A410" s="10" t="str">
        <x:v>S04-07</x:v>
      </x:c>
      <x:c r="B410" s="10" t="str">
        <x:v>B</x:v>
      </x:c>
      <x:c r="C410" s="10" t="str">
        <x:v>speech_output</x:v>
      </x:c>
      <x:c r="D410" s="10" t="str">
        <x:v>retained</x:v>
      </x:c>
      <x:c r="E410" s="13" t="n">
        <x:v>164</x:v>
      </x:c>
      <x:c r="F410" s="13" t="n">
        <x:v>0</x:v>
      </x:c>
      <x:c r="G410" s="10" t="n">
        <x:v>0</x:v>
      </x:c>
      <x:c r="H410" s="10" t="n">
        <x:v>3.618</x:v>
      </x:c>
      <x:c r="I410" s="11" t="n">
        <x:f>E410*Rates!$B$4+F410*Rates!$B$5+G410*Rates!$B$6+H410*Rates!$B$7</x:f>
        <x:v>0.0074</x:v>
      </x:c>
    </x:row>
    <x:row r="411" ht="24" customHeight="1">
      <x:c r="A411" s="10" t="str">
        <x:v>S04-08</x:v>
      </x:c>
      <x:c r="B411" s="10" t="str">
        <x:v>A</x:v>
      </x:c>
      <x:c r="C411" s="10" t="str">
        <x:v>semantic</x:v>
      </x:c>
      <x:c r="D411" s="10" t="str">
        <x:v>setup</x:v>
      </x:c>
      <x:c r="E411" s="13" t="n">
        <x:v>600</x:v>
      </x:c>
      <x:c r="F411" s="13" t="n">
        <x:v>16</x:v>
      </x:c>
      <x:c r="G411" s="10" t="n">
        <x:v>0</x:v>
      </x:c>
      <x:c r="H411" s="10" t="n">
        <x:v>0</x:v>
      </x:c>
      <x:c r="I411" s="11" t="n">
        <x:f>E411*Rates!$B$4+F411*Rates!$B$5+G411*Rates!$B$6+H411*Rates!$B$7</x:f>
        <x:v>0.000664</x:v>
      </x:c>
    </x:row>
    <x:row r="412" ht="24" customHeight="1">
      <x:c r="A412" s="10" t="str">
        <x:v>S04-08</x:v>
      </x:c>
      <x:c r="B412" s="10" t="str">
        <x:v>A</x:v>
      </x:c>
      <x:c r="C412" s="10" t="str">
        <x:v>speech_input</x:v>
      </x:c>
      <x:c r="D412" s="10" t="str">
        <x:v>setup</x:v>
      </x:c>
      <x:c r="E412" s="13" t="n">
        <x:v>0</x:v>
      </x:c>
      <x:c r="F412" s="13" t="n">
        <x:v>0</x:v>
      </x:c>
      <x:c r="G412" s="10" t="n">
        <x:v>2</x:v>
      </x:c>
      <x:c r="H412" s="10" t="n">
        <x:v>0</x:v>
      </x:c>
      <x:c r="I412" s="11" t="n">
        <x:f>E412*Rates!$B$4+F412*Rates!$B$5+G412*Rates!$B$6+H412*Rates!$B$7</x:f>
        <x:v>0.002</x:v>
      </x:c>
    </x:row>
    <x:row r="413" ht="24" customHeight="1">
      <x:c r="A413" s="10" t="str">
        <x:v>S04-08</x:v>
      </x:c>
      <x:c r="B413" s="10" t="str">
        <x:v>A</x:v>
      </x:c>
      <x:c r="C413" s="10" t="str">
        <x:v>semantic</x:v>
      </x:c>
      <x:c r="D413" s="10" t="str">
        <x:v>evaluation</x:v>
      </x:c>
      <x:c r="E413" s="13" t="n">
        <x:v>760</x:v>
      </x:c>
      <x:c r="F413" s="13" t="n">
        <x:v>20</x:v>
      </x:c>
      <x:c r="G413" s="10" t="n">
        <x:v>0</x:v>
      </x:c>
      <x:c r="H413" s="10" t="n">
        <x:v>0</x:v>
      </x:c>
      <x:c r="I413" s="11" t="n">
        <x:f>E413*Rates!$B$4+F413*Rates!$B$5+G413*Rates!$B$6+H413*Rates!$B$7</x:f>
        <x:v>0.0008399999999999999</x:v>
      </x:c>
    </x:row>
    <x:row r="414" ht="24" customHeight="1">
      <x:c r="A414" s="10" t="str">
        <x:v>S04-08</x:v>
      </x:c>
      <x:c r="B414" s="10" t="str">
        <x:v>A</x:v>
      </x:c>
      <x:c r="C414" s="10" t="str">
        <x:v>speech_input</x:v>
      </x:c>
      <x:c r="D414" s="10" t="str">
        <x:v>evaluation</x:v>
      </x:c>
      <x:c r="E414" s="13" t="n">
        <x:v>0</x:v>
      </x:c>
      <x:c r="F414" s="13" t="n">
        <x:v>0</x:v>
      </x:c>
      <x:c r="G414" s="10" t="n">
        <x:v>4.4</x:v>
      </x:c>
      <x:c r="H414" s="10" t="n">
        <x:v>0</x:v>
      </x:c>
      <x:c r="I414" s="11" t="n">
        <x:f>E414*Rates!$B$4+F414*Rates!$B$5+G414*Rates!$B$6+H414*Rates!$B$7</x:f>
        <x:v>0.0044</x:v>
      </x:c>
    </x:row>
    <x:row r="415" ht="24" customHeight="1">
      <x:c r="A415" s="10" t="str">
        <x:v>S04-08</x:v>
      </x:c>
      <x:c r="B415" s="10" t="str">
        <x:v>A</x:v>
      </x:c>
      <x:c r="C415" s="10" t="str">
        <x:v>speech_output</x:v>
      </x:c>
      <x:c r="D415" s="10" t="str">
        <x:v>discarded</x:v>
      </x:c>
      <x:c r="E415" s="13" t="n">
        <x:v>180</x:v>
      </x:c>
      <x:c r="F415" s="13" t="n">
        <x:v>0</x:v>
      </x:c>
      <x:c r="G415" s="10" t="n">
        <x:v>0</x:v>
      </x:c>
      <x:c r="H415" s="10" t="n">
        <x:v>6.626666668</x:v>
      </x:c>
      <x:c r="I415" s="11" t="n">
        <x:f>E415*Rates!$B$4+F415*Rates!$B$5+G415*Rates!$B$6+H415*Rates!$B$7</x:f>
        <x:v>0.013433333336</x:v>
      </x:c>
    </x:row>
    <x:row r="416" ht="24" customHeight="1">
      <x:c r="A416" s="10" t="str">
        <x:v>S04-08</x:v>
      </x:c>
      <x:c r="B416" s="10" t="str">
        <x:v>A</x:v>
      </x:c>
      <x:c r="C416" s="10" t="str">
        <x:v>speech_output</x:v>
      </x:c>
      <x:c r="D416" s="10" t="str">
        <x:v>retained</x:v>
      </x:c>
      <x:c r="E416" s="13" t="n">
        <x:v>164</x:v>
      </x:c>
      <x:c r="F416" s="13" t="n">
        <x:v>0</x:v>
      </x:c>
      <x:c r="G416" s="10" t="n">
        <x:v>0</x:v>
      </x:c>
      <x:c r="H416" s="10" t="n">
        <x:v>3.63</x:v>
      </x:c>
      <x:c r="I416" s="11" t="n">
        <x:f>E416*Rates!$B$4+F416*Rates!$B$5+G416*Rates!$B$6+H416*Rates!$B$7</x:f>
        <x:v>0.007424</x:v>
      </x:c>
    </x:row>
    <x:row r="417" ht="24" customHeight="1">
      <x:c r="A417" s="10" t="str">
        <x:v>S04-08</x:v>
      </x:c>
      <x:c r="B417" s="10" t="str">
        <x:v>B</x:v>
      </x:c>
      <x:c r="C417" s="10" t="str">
        <x:v>semantic</x:v>
      </x:c>
      <x:c r="D417" s="10" t="str">
        <x:v>setup</x:v>
      </x:c>
      <x:c r="E417" s="13" t="n">
        <x:v>600</x:v>
      </x:c>
      <x:c r="F417" s="13" t="n">
        <x:v>16</x:v>
      </x:c>
      <x:c r="G417" s="10" t="n">
        <x:v>0</x:v>
      </x:c>
      <x:c r="H417" s="10" t="n">
        <x:v>0</x:v>
      </x:c>
      <x:c r="I417" s="11" t="n">
        <x:f>E417*Rates!$B$4+F417*Rates!$B$5+G417*Rates!$B$6+H417*Rates!$B$7</x:f>
        <x:v>0.000664</x:v>
      </x:c>
    </x:row>
    <x:row r="418" ht="24" customHeight="1">
      <x:c r="A418" s="10" t="str">
        <x:v>S04-08</x:v>
      </x:c>
      <x:c r="B418" s="10" t="str">
        <x:v>B</x:v>
      </x:c>
      <x:c r="C418" s="10" t="str">
        <x:v>speech_input</x:v>
      </x:c>
      <x:c r="D418" s="10" t="str">
        <x:v>setup</x:v>
      </x:c>
      <x:c r="E418" s="13" t="n">
        <x:v>0</x:v>
      </x:c>
      <x:c r="F418" s="13" t="n">
        <x:v>0</x:v>
      </x:c>
      <x:c r="G418" s="10" t="n">
        <x:v>2</x:v>
      </x:c>
      <x:c r="H418" s="10" t="n">
        <x:v>0</x:v>
      </x:c>
      <x:c r="I418" s="11" t="n">
        <x:f>E418*Rates!$B$4+F418*Rates!$B$5+G418*Rates!$B$6+H418*Rates!$B$7</x:f>
        <x:v>0.002</x:v>
      </x:c>
    </x:row>
    <x:row r="419" ht="24" customHeight="1">
      <x:c r="A419" s="10" t="str">
        <x:v>S04-08</x:v>
      </x:c>
      <x:c r="B419" s="10" t="str">
        <x:v>B</x:v>
      </x:c>
      <x:c r="C419" s="10" t="str">
        <x:v>semantic</x:v>
      </x:c>
      <x:c r="D419" s="10" t="str">
        <x:v>evaluation</x:v>
      </x:c>
      <x:c r="E419" s="13" t="n">
        <x:v>760</x:v>
      </x:c>
      <x:c r="F419" s="13" t="n">
        <x:v>20</x:v>
      </x:c>
      <x:c r="G419" s="10" t="n">
        <x:v>0</x:v>
      </x:c>
      <x:c r="H419" s="10" t="n">
        <x:v>0</x:v>
      </x:c>
      <x:c r="I419" s="11" t="n">
        <x:f>E419*Rates!$B$4+F419*Rates!$B$5+G419*Rates!$B$6+H419*Rates!$B$7</x:f>
        <x:v>0.0008399999999999999</x:v>
      </x:c>
    </x:row>
    <x:row r="420" ht="24" customHeight="1">
      <x:c r="A420" s="10" t="str">
        <x:v>S04-08</x:v>
      </x:c>
      <x:c r="B420" s="10" t="str">
        <x:v>B</x:v>
      </x:c>
      <x:c r="C420" s="10" t="str">
        <x:v>speech_input</x:v>
      </x:c>
      <x:c r="D420" s="10" t="str">
        <x:v>evaluation</x:v>
      </x:c>
      <x:c r="E420" s="13" t="n">
        <x:v>0</x:v>
      </x:c>
      <x:c r="F420" s="13" t="n">
        <x:v>0</x:v>
      </x:c>
      <x:c r="G420" s="10" t="n">
        <x:v>4.4</x:v>
      </x:c>
      <x:c r="H420" s="10" t="n">
        <x:v>0</x:v>
      </x:c>
      <x:c r="I420" s="11" t="n">
        <x:f>E420*Rates!$B$4+F420*Rates!$B$5+G420*Rates!$B$6+H420*Rates!$B$7</x:f>
        <x:v>0.0044</x:v>
      </x:c>
    </x:row>
    <x:row r="421" ht="24" customHeight="1">
      <x:c r="A421" s="10" t="str">
        <x:v>S04-08</x:v>
      </x:c>
      <x:c r="B421" s="10" t="str">
        <x:v>B</x:v>
      </x:c>
      <x:c r="C421" s="10" t="str">
        <x:v>speech_output</x:v>
      </x:c>
      <x:c r="D421" s="10" t="str">
        <x:v>retained</x:v>
      </x:c>
      <x:c r="E421" s="13" t="n">
        <x:v>164</x:v>
      </x:c>
      <x:c r="F421" s="13" t="n">
        <x:v>0</x:v>
      </x:c>
      <x:c r="G421" s="10" t="n">
        <x:v>0</x:v>
      </x:c>
      <x:c r="H421" s="10" t="n">
        <x:v>3.63</x:v>
      </x:c>
      <x:c r="I421" s="11" t="n">
        <x:f>E421*Rates!$B$4+F421*Rates!$B$5+G421*Rates!$B$6+H421*Rates!$B$7</x:f>
        <x:v>0.007424</x:v>
      </x:c>
    </x:row>
    <x:row r="422" ht="24" customHeight="1">
      <x:c r="A422" s="10" t="str">
        <x:v>S04-09</x:v>
      </x:c>
      <x:c r="B422" s="10" t="str">
        <x:v>A</x:v>
      </x:c>
      <x:c r="C422" s="10" t="str">
        <x:v>semantic</x:v>
      </x:c>
      <x:c r="D422" s="10" t="str">
        <x:v>setup</x:v>
      </x:c>
      <x:c r="E422" s="13" t="n">
        <x:v>600</x:v>
      </x:c>
      <x:c r="F422" s="13" t="n">
        <x:v>16</x:v>
      </x:c>
      <x:c r="G422" s="10" t="n">
        <x:v>0</x:v>
      </x:c>
      <x:c r="H422" s="10" t="n">
        <x:v>0</x:v>
      </x:c>
      <x:c r="I422" s="11" t="n">
        <x:f>E422*Rates!$B$4+F422*Rates!$B$5+G422*Rates!$B$6+H422*Rates!$B$7</x:f>
        <x:v>0.000664</x:v>
      </x:c>
    </x:row>
    <x:row r="423" ht="24" customHeight="1">
      <x:c r="A423" s="10" t="str">
        <x:v>S04-09</x:v>
      </x:c>
      <x:c r="B423" s="10" t="str">
        <x:v>A</x:v>
      </x:c>
      <x:c r="C423" s="10" t="str">
        <x:v>speech_input</x:v>
      </x:c>
      <x:c r="D423" s="10" t="str">
        <x:v>setup</x:v>
      </x:c>
      <x:c r="E423" s="13" t="n">
        <x:v>0</x:v>
      </x:c>
      <x:c r="F423" s="13" t="n">
        <x:v>0</x:v>
      </x:c>
      <x:c r="G423" s="10" t="n">
        <x:v>2</x:v>
      </x:c>
      <x:c r="H423" s="10" t="n">
        <x:v>0</x:v>
      </x:c>
      <x:c r="I423" s="11" t="n">
        <x:f>E423*Rates!$B$4+F423*Rates!$B$5+G423*Rates!$B$6+H423*Rates!$B$7</x:f>
        <x:v>0.002</x:v>
      </x:c>
    </x:row>
    <x:row r="424" ht="24" customHeight="1">
      <x:c r="A424" s="10" t="str">
        <x:v>S04-09</x:v>
      </x:c>
      <x:c r="B424" s="10" t="str">
        <x:v>A</x:v>
      </x:c>
      <x:c r="C424" s="10" t="str">
        <x:v>semantic</x:v>
      </x:c>
      <x:c r="D424" s="10" t="str">
        <x:v>evaluation</x:v>
      </x:c>
      <x:c r="E424" s="13" t="n">
        <x:v>780</x:v>
      </x:c>
      <x:c r="F424" s="13" t="n">
        <x:v>16</x:v>
      </x:c>
      <x:c r="G424" s="10" t="n">
        <x:v>0</x:v>
      </x:c>
      <x:c r="H424" s="10" t="n">
        <x:v>0</x:v>
      </x:c>
      <x:c r="I424" s="11" t="n">
        <x:f>E424*Rates!$B$4+F424*Rates!$B$5+G424*Rates!$B$6+H424*Rates!$B$7</x:f>
        <x:v>0.000844</x:v>
      </x:c>
    </x:row>
    <x:row r="425" ht="24" customHeight="1">
      <x:c r="A425" s="10" t="str">
        <x:v>S04-09</x:v>
      </x:c>
      <x:c r="B425" s="10" t="str">
        <x:v>A</x:v>
      </x:c>
      <x:c r="C425" s="10" t="str">
        <x:v>speech_input</x:v>
      </x:c>
      <x:c r="D425" s="10" t="str">
        <x:v>evaluation</x:v>
      </x:c>
      <x:c r="E425" s="13" t="n">
        <x:v>0</x:v>
      </x:c>
      <x:c r="F425" s="13" t="n">
        <x:v>0</x:v>
      </x:c>
      <x:c r="G425" s="10" t="n">
        <x:v>4.4</x:v>
      </x:c>
      <x:c r="H425" s="10" t="n">
        <x:v>0</x:v>
      </x:c>
      <x:c r="I425" s="11" t="n">
        <x:f>E425*Rates!$B$4+F425*Rates!$B$5+G425*Rates!$B$6+H425*Rates!$B$7</x:f>
        <x:v>0.0044</x:v>
      </x:c>
    </x:row>
    <x:row r="426" ht="24" customHeight="1">
      <x:c r="A426" s="10" t="str">
        <x:v>S04-09</x:v>
      </x:c>
      <x:c r="B426" s="10" t="str">
        <x:v>A</x:v>
      </x:c>
      <x:c r="C426" s="10" t="str">
        <x:v>speech_output</x:v>
      </x:c>
      <x:c r="D426" s="10" t="str">
        <x:v>discarded</x:v>
      </x:c>
      <x:c r="E426" s="13" t="n">
        <x:v>180</x:v>
      </x:c>
      <x:c r="F426" s="13" t="n">
        <x:v>0</x:v>
      </x:c>
      <x:c r="G426" s="10" t="n">
        <x:v>0</x:v>
      </x:c>
      <x:c r="H426" s="10" t="n">
        <x:v>6.44</x:v>
      </x:c>
      <x:c r="I426" s="11" t="n">
        <x:f>E426*Rates!$B$4+F426*Rates!$B$5+G426*Rates!$B$6+H426*Rates!$B$7</x:f>
        <x:v>0.01306</x:v>
      </x:c>
    </x:row>
    <x:row r="427" ht="24" customHeight="1">
      <x:c r="A427" s="10" t="str">
        <x:v>S04-09</x:v>
      </x:c>
      <x:c r="B427" s="10" t="str">
        <x:v>A</x:v>
      </x:c>
      <x:c r="C427" s="10" t="str">
        <x:v>speech_output</x:v>
      </x:c>
      <x:c r="D427" s="10" t="str">
        <x:v>retained</x:v>
      </x:c>
      <x:c r="E427" s="13" t="n">
        <x:v>164</x:v>
      </x:c>
      <x:c r="F427" s="13" t="n">
        <x:v>0</x:v>
      </x:c>
      <x:c r="G427" s="10" t="n">
        <x:v>0</x:v>
      </x:c>
      <x:c r="H427" s="10" t="n">
        <x:v>3.642</x:v>
      </x:c>
      <x:c r="I427" s="11" t="n">
        <x:f>E427*Rates!$B$4+F427*Rates!$B$5+G427*Rates!$B$6+H427*Rates!$B$7</x:f>
        <x:v>0.007448</x:v>
      </x:c>
    </x:row>
    <x:row r="428" ht="24" customHeight="1">
      <x:c r="A428" s="10" t="str">
        <x:v>S04-09</x:v>
      </x:c>
      <x:c r="B428" s="10" t="str">
        <x:v>B</x:v>
      </x:c>
      <x:c r="C428" s="10" t="str">
        <x:v>semantic</x:v>
      </x:c>
      <x:c r="D428" s="10" t="str">
        <x:v>setup</x:v>
      </x:c>
      <x:c r="E428" s="13" t="n">
        <x:v>600</x:v>
      </x:c>
      <x:c r="F428" s="13" t="n">
        <x:v>16</x:v>
      </x:c>
      <x:c r="G428" s="10" t="n">
        <x:v>0</x:v>
      </x:c>
      <x:c r="H428" s="10" t="n">
        <x:v>0</x:v>
      </x:c>
      <x:c r="I428" s="11" t="n">
        <x:f>E428*Rates!$B$4+F428*Rates!$B$5+G428*Rates!$B$6+H428*Rates!$B$7</x:f>
        <x:v>0.000664</x:v>
      </x:c>
    </x:row>
    <x:row r="429" ht="24" customHeight="1">
      <x:c r="A429" s="10" t="str">
        <x:v>S04-09</x:v>
      </x:c>
      <x:c r="B429" s="10" t="str">
        <x:v>B</x:v>
      </x:c>
      <x:c r="C429" s="10" t="str">
        <x:v>speech_input</x:v>
      </x:c>
      <x:c r="D429" s="10" t="str">
        <x:v>setup</x:v>
      </x:c>
      <x:c r="E429" s="13" t="n">
        <x:v>0</x:v>
      </x:c>
      <x:c r="F429" s="13" t="n">
        <x:v>0</x:v>
      </x:c>
      <x:c r="G429" s="10" t="n">
        <x:v>2</x:v>
      </x:c>
      <x:c r="H429" s="10" t="n">
        <x:v>0</x:v>
      </x:c>
      <x:c r="I429" s="11" t="n">
        <x:f>E429*Rates!$B$4+F429*Rates!$B$5+G429*Rates!$B$6+H429*Rates!$B$7</x:f>
        <x:v>0.002</x:v>
      </x:c>
    </x:row>
    <x:row r="430" ht="24" customHeight="1">
      <x:c r="A430" s="10" t="str">
        <x:v>S04-09</x:v>
      </x:c>
      <x:c r="B430" s="10" t="str">
        <x:v>B</x:v>
      </x:c>
      <x:c r="C430" s="10" t="str">
        <x:v>semantic</x:v>
      </x:c>
      <x:c r="D430" s="10" t="str">
        <x:v>evaluation</x:v>
      </x:c>
      <x:c r="E430" s="13" t="n">
        <x:v>780</x:v>
      </x:c>
      <x:c r="F430" s="13" t="n">
        <x:v>16</x:v>
      </x:c>
      <x:c r="G430" s="10" t="n">
        <x:v>0</x:v>
      </x:c>
      <x:c r="H430" s="10" t="n">
        <x:v>0</x:v>
      </x:c>
      <x:c r="I430" s="11" t="n">
        <x:f>E430*Rates!$B$4+F430*Rates!$B$5+G430*Rates!$B$6+H430*Rates!$B$7</x:f>
        <x:v>0.000844</x:v>
      </x:c>
    </x:row>
    <x:row r="431" ht="24" customHeight="1">
      <x:c r="A431" s="10" t="str">
        <x:v>S04-09</x:v>
      </x:c>
      <x:c r="B431" s="10" t="str">
        <x:v>B</x:v>
      </x:c>
      <x:c r="C431" s="10" t="str">
        <x:v>speech_input</x:v>
      </x:c>
      <x:c r="D431" s="10" t="str">
        <x:v>evaluation</x:v>
      </x:c>
      <x:c r="E431" s="13" t="n">
        <x:v>0</x:v>
      </x:c>
      <x:c r="F431" s="13" t="n">
        <x:v>0</x:v>
      </x:c>
      <x:c r="G431" s="10" t="n">
        <x:v>4.4</x:v>
      </x:c>
      <x:c r="H431" s="10" t="n">
        <x:v>0</x:v>
      </x:c>
      <x:c r="I431" s="11" t="n">
        <x:f>E431*Rates!$B$4+F431*Rates!$B$5+G431*Rates!$B$6+H431*Rates!$B$7</x:f>
        <x:v>0.0044</x:v>
      </x:c>
    </x:row>
    <x:row r="432" ht="24" customHeight="1">
      <x:c r="A432" s="10" t="str">
        <x:v>S04-09</x:v>
      </x:c>
      <x:c r="B432" s="10" t="str">
        <x:v>B</x:v>
      </x:c>
      <x:c r="C432" s="10" t="str">
        <x:v>speech_output</x:v>
      </x:c>
      <x:c r="D432" s="10" t="str">
        <x:v>retained</x:v>
      </x:c>
      <x:c r="E432" s="13" t="n">
        <x:v>164</x:v>
      </x:c>
      <x:c r="F432" s="13" t="n">
        <x:v>0</x:v>
      </x:c>
      <x:c r="G432" s="10" t="n">
        <x:v>0</x:v>
      </x:c>
      <x:c r="H432" s="10" t="n">
        <x:v>3.642</x:v>
      </x:c>
      <x:c r="I432" s="11" t="n">
        <x:f>E432*Rates!$B$4+F432*Rates!$B$5+G432*Rates!$B$6+H432*Rates!$B$7</x:f>
        <x:v>0.007448</x:v>
      </x:c>
    </x:row>
    <x:row r="433" ht="24" customHeight="1">
      <x:c r="A433" s="10" t="str">
        <x:v>S04-10</x:v>
      </x:c>
      <x:c r="B433" s="10" t="str">
        <x:v>A</x:v>
      </x:c>
      <x:c r="C433" s="10" t="str">
        <x:v>semantic</x:v>
      </x:c>
      <x:c r="D433" s="10" t="str">
        <x:v>setup</x:v>
      </x:c>
      <x:c r="E433" s="13" t="n">
        <x:v>600</x:v>
      </x:c>
      <x:c r="F433" s="13" t="n">
        <x:v>16</x:v>
      </x:c>
      <x:c r="G433" s="10" t="n">
        <x:v>0</x:v>
      </x:c>
      <x:c r="H433" s="10" t="n">
        <x:v>0</x:v>
      </x:c>
      <x:c r="I433" s="11" t="n">
        <x:f>E433*Rates!$B$4+F433*Rates!$B$5+G433*Rates!$B$6+H433*Rates!$B$7</x:f>
        <x:v>0.000664</x:v>
      </x:c>
    </x:row>
    <x:row r="434" ht="24" customHeight="1">
      <x:c r="A434" s="10" t="str">
        <x:v>S04-10</x:v>
      </x:c>
      <x:c r="B434" s="10" t="str">
        <x:v>A</x:v>
      </x:c>
      <x:c r="C434" s="10" t="str">
        <x:v>speech_input</x:v>
      </x:c>
      <x:c r="D434" s="10" t="str">
        <x:v>setup</x:v>
      </x:c>
      <x:c r="E434" s="13" t="n">
        <x:v>0</x:v>
      </x:c>
      <x:c r="F434" s="13" t="n">
        <x:v>0</x:v>
      </x:c>
      <x:c r="G434" s="10" t="n">
        <x:v>2</x:v>
      </x:c>
      <x:c r="H434" s="10" t="n">
        <x:v>0</x:v>
      </x:c>
      <x:c r="I434" s="11" t="n">
        <x:f>E434*Rates!$B$4+F434*Rates!$B$5+G434*Rates!$B$6+H434*Rates!$B$7</x:f>
        <x:v>0.002</x:v>
      </x:c>
    </x:row>
    <x:row r="435" ht="24" customHeight="1">
      <x:c r="A435" s="10" t="str">
        <x:v>S04-10</x:v>
      </x:c>
      <x:c r="B435" s="10" t="str">
        <x:v>A</x:v>
      </x:c>
      <x:c r="C435" s="10" t="str">
        <x:v>semantic</x:v>
      </x:c>
      <x:c r="D435" s="10" t="str">
        <x:v>evaluation</x:v>
      </x:c>
      <x:c r="E435" s="13" t="n">
        <x:v>800</x:v>
      </x:c>
      <x:c r="F435" s="13" t="n">
        <x:v>18</x:v>
      </x:c>
      <x:c r="G435" s="10" t="n">
        <x:v>0</x:v>
      </x:c>
      <x:c r="H435" s="10" t="n">
        <x:v>0</x:v>
      </x:c>
      <x:c r="I435" s="11" t="n">
        <x:f>E435*Rates!$B$4+F435*Rates!$B$5+G435*Rates!$B$6+H435*Rates!$B$7</x:f>
        <x:v>0.0008719999999999999</x:v>
      </x:c>
    </x:row>
    <x:row r="436" ht="24" customHeight="1">
      <x:c r="A436" s="10" t="str">
        <x:v>S04-10</x:v>
      </x:c>
      <x:c r="B436" s="10" t="str">
        <x:v>A</x:v>
      </x:c>
      <x:c r="C436" s="10" t="str">
        <x:v>speech_input</x:v>
      </x:c>
      <x:c r="D436" s="10" t="str">
        <x:v>evaluation</x:v>
      </x:c>
      <x:c r="E436" s="13" t="n">
        <x:v>0</x:v>
      </x:c>
      <x:c r="F436" s="13" t="n">
        <x:v>0</x:v>
      </x:c>
      <x:c r="G436" s="10" t="n">
        <x:v>4.4</x:v>
      </x:c>
      <x:c r="H436" s="10" t="n">
        <x:v>0</x:v>
      </x:c>
      <x:c r="I436" s="11" t="n">
        <x:f>E436*Rates!$B$4+F436*Rates!$B$5+G436*Rates!$B$6+H436*Rates!$B$7</x:f>
        <x:v>0.0044</x:v>
      </x:c>
    </x:row>
    <x:row r="437" ht="24" customHeight="1">
      <x:c r="A437" s="10" t="str">
        <x:v>S04-10</x:v>
      </x:c>
      <x:c r="B437" s="10" t="str">
        <x:v>A</x:v>
      </x:c>
      <x:c r="C437" s="10" t="str">
        <x:v>speech_output</x:v>
      </x:c>
      <x:c r="D437" s="10" t="str">
        <x:v>discarded</x:v>
      </x:c>
      <x:c r="E437" s="13" t="n">
        <x:v>180</x:v>
      </x:c>
      <x:c r="F437" s="13" t="n">
        <x:v>0</x:v>
      </x:c>
      <x:c r="G437" s="10" t="n">
        <x:v>0</x:v>
      </x:c>
      <x:c r="H437" s="10" t="n">
        <x:v>6.553333332</x:v>
      </x:c>
      <x:c r="I437" s="11" t="n">
        <x:f>E437*Rates!$B$4+F437*Rates!$B$5+G437*Rates!$B$6+H437*Rates!$B$7</x:f>
        <x:v>0.013286666664</x:v>
      </x:c>
    </x:row>
    <x:row r="438" ht="24" customHeight="1">
      <x:c r="A438" s="10" t="str">
        <x:v>S04-10</x:v>
      </x:c>
      <x:c r="B438" s="10" t="str">
        <x:v>A</x:v>
      </x:c>
      <x:c r="C438" s="10" t="str">
        <x:v>speech_output</x:v>
      </x:c>
      <x:c r="D438" s="10" t="str">
        <x:v>retained</x:v>
      </x:c>
      <x:c r="E438" s="13" t="n">
        <x:v>164</x:v>
      </x:c>
      <x:c r="F438" s="13" t="n">
        <x:v>0</x:v>
      </x:c>
      <x:c r="G438" s="10" t="n">
        <x:v>0</x:v>
      </x:c>
      <x:c r="H438" s="10" t="n">
        <x:v>3.654</x:v>
      </x:c>
      <x:c r="I438" s="11" t="n">
        <x:f>E438*Rates!$B$4+F438*Rates!$B$5+G438*Rates!$B$6+H438*Rates!$B$7</x:f>
        <x:v>0.007472</x:v>
      </x:c>
    </x:row>
    <x:row r="439" ht="24" customHeight="1">
      <x:c r="A439" s="10" t="str">
        <x:v>S04-10</x:v>
      </x:c>
      <x:c r="B439" s="10" t="str">
        <x:v>B</x:v>
      </x:c>
      <x:c r="C439" s="10" t="str">
        <x:v>semantic</x:v>
      </x:c>
      <x:c r="D439" s="10" t="str">
        <x:v>setup</x:v>
      </x:c>
      <x:c r="E439" s="13" t="n">
        <x:v>600</x:v>
      </x:c>
      <x:c r="F439" s="13" t="n">
        <x:v>16</x:v>
      </x:c>
      <x:c r="G439" s="10" t="n">
        <x:v>0</x:v>
      </x:c>
      <x:c r="H439" s="10" t="n">
        <x:v>0</x:v>
      </x:c>
      <x:c r="I439" s="11" t="n">
        <x:f>E439*Rates!$B$4+F439*Rates!$B$5+G439*Rates!$B$6+H439*Rates!$B$7</x:f>
        <x:v>0.000664</x:v>
      </x:c>
    </x:row>
    <x:row r="440" ht="24" customHeight="1">
      <x:c r="A440" s="10" t="str">
        <x:v>S04-10</x:v>
      </x:c>
      <x:c r="B440" s="10" t="str">
        <x:v>B</x:v>
      </x:c>
      <x:c r="C440" s="10" t="str">
        <x:v>speech_input</x:v>
      </x:c>
      <x:c r="D440" s="10" t="str">
        <x:v>setup</x:v>
      </x:c>
      <x:c r="E440" s="13" t="n">
        <x:v>0</x:v>
      </x:c>
      <x:c r="F440" s="13" t="n">
        <x:v>0</x:v>
      </x:c>
      <x:c r="G440" s="10" t="n">
        <x:v>2</x:v>
      </x:c>
      <x:c r="H440" s="10" t="n">
        <x:v>0</x:v>
      </x:c>
      <x:c r="I440" s="11" t="n">
        <x:f>E440*Rates!$B$4+F440*Rates!$B$5+G440*Rates!$B$6+H440*Rates!$B$7</x:f>
        <x:v>0.002</x:v>
      </x:c>
    </x:row>
    <x:row r="441" ht="24" customHeight="1">
      <x:c r="A441" s="10" t="str">
        <x:v>S04-10</x:v>
      </x:c>
      <x:c r="B441" s="10" t="str">
        <x:v>B</x:v>
      </x:c>
      <x:c r="C441" s="10" t="str">
        <x:v>semantic</x:v>
      </x:c>
      <x:c r="D441" s="10" t="str">
        <x:v>evaluation</x:v>
      </x:c>
      <x:c r="E441" s="13" t="n">
        <x:v>800</x:v>
      </x:c>
      <x:c r="F441" s="13" t="n">
        <x:v>18</x:v>
      </x:c>
      <x:c r="G441" s="10" t="n">
        <x:v>0</x:v>
      </x:c>
      <x:c r="H441" s="10" t="n">
        <x:v>0</x:v>
      </x:c>
      <x:c r="I441" s="11" t="n">
        <x:f>E441*Rates!$B$4+F441*Rates!$B$5+G441*Rates!$B$6+H441*Rates!$B$7</x:f>
        <x:v>0.0008719999999999999</x:v>
      </x:c>
    </x:row>
    <x:row r="442" ht="24" customHeight="1">
      <x:c r="A442" s="10" t="str">
        <x:v>S04-10</x:v>
      </x:c>
      <x:c r="B442" s="10" t="str">
        <x:v>B</x:v>
      </x:c>
      <x:c r="C442" s="10" t="str">
        <x:v>speech_input</x:v>
      </x:c>
      <x:c r="D442" s="10" t="str">
        <x:v>evaluation</x:v>
      </x:c>
      <x:c r="E442" s="13" t="n">
        <x:v>0</x:v>
      </x:c>
      <x:c r="F442" s="13" t="n">
        <x:v>0</x:v>
      </x:c>
      <x:c r="G442" s="10" t="n">
        <x:v>4.4</x:v>
      </x:c>
      <x:c r="H442" s="10" t="n">
        <x:v>0</x:v>
      </x:c>
      <x:c r="I442" s="11" t="n">
        <x:f>E442*Rates!$B$4+F442*Rates!$B$5+G442*Rates!$B$6+H442*Rates!$B$7</x:f>
        <x:v>0.0044</x:v>
      </x:c>
    </x:row>
    <x:row r="443" ht="24" customHeight="1">
      <x:c r="A443" s="10" t="str">
        <x:v>S04-10</x:v>
      </x:c>
      <x:c r="B443" s="10" t="str">
        <x:v>B</x:v>
      </x:c>
      <x:c r="C443" s="10" t="str">
        <x:v>speech_output</x:v>
      </x:c>
      <x:c r="D443" s="10" t="str">
        <x:v>retained</x:v>
      </x:c>
      <x:c r="E443" s="13" t="n">
        <x:v>164</x:v>
      </x:c>
      <x:c r="F443" s="13" t="n">
        <x:v>0</x:v>
      </x:c>
      <x:c r="G443" s="10" t="n">
        <x:v>0</x:v>
      </x:c>
      <x:c r="H443" s="10" t="n">
        <x:v>3.654</x:v>
      </x:c>
      <x:c r="I443" s="11" t="n">
        <x:f>E443*Rates!$B$4+F443*Rates!$B$5+G443*Rates!$B$6+H443*Rates!$B$7</x:f>
        <x:v>0.007472</x:v>
      </x:c>
    </x:row>
    <x:row r="444" ht="24" customHeight="1">
      <x:c r="A444" s="10" t="str">
        <x:v>S05-01</x:v>
      </x:c>
      <x:c r="B444" s="10" t="str">
        <x:v>A</x:v>
      </x:c>
      <x:c r="C444" s="10" t="str">
        <x:v>semantic</x:v>
      </x:c>
      <x:c r="D444" s="10" t="str">
        <x:v>setup</x:v>
      </x:c>
      <x:c r="E444" s="13" t="n">
        <x:v>600</x:v>
      </x:c>
      <x:c r="F444" s="13" t="n">
        <x:v>16</x:v>
      </x:c>
      <x:c r="G444" s="10" t="n">
        <x:v>0</x:v>
      </x:c>
      <x:c r="H444" s="10" t="n">
        <x:v>0</x:v>
      </x:c>
      <x:c r="I444" s="11" t="n">
        <x:f>E444*Rates!$B$4+F444*Rates!$B$5+G444*Rates!$B$6+H444*Rates!$B$7</x:f>
        <x:v>0.000664</x:v>
      </x:c>
    </x:row>
    <x:row r="445" ht="24" customHeight="1">
      <x:c r="A445" s="10" t="str">
        <x:v>S05-01</x:v>
      </x:c>
      <x:c r="B445" s="10" t="str">
        <x:v>A</x:v>
      </x:c>
      <x:c r="C445" s="10" t="str">
        <x:v>speech_input</x:v>
      </x:c>
      <x:c r="D445" s="10" t="str">
        <x:v>setup</x:v>
      </x:c>
      <x:c r="E445" s="13" t="n">
        <x:v>0</x:v>
      </x:c>
      <x:c r="F445" s="13" t="n">
        <x:v>0</x:v>
      </x:c>
      <x:c r="G445" s="10" t="n">
        <x:v>2</x:v>
      </x:c>
      <x:c r="H445" s="10" t="n">
        <x:v>0</x:v>
      </x:c>
      <x:c r="I445" s="11" t="n">
        <x:f>E445*Rates!$B$4+F445*Rates!$B$5+G445*Rates!$B$6+H445*Rates!$B$7</x:f>
        <x:v>0.002</x:v>
      </x:c>
    </x:row>
    <x:row r="446" ht="24" customHeight="1">
      <x:c r="A446" s="10" t="str">
        <x:v>S05-01</x:v>
      </x:c>
      <x:c r="B446" s="10" t="str">
        <x:v>A</x:v>
      </x:c>
      <x:c r="C446" s="10" t="str">
        <x:v>semantic</x:v>
      </x:c>
      <x:c r="D446" s="10" t="str">
        <x:v>evaluation</x:v>
      </x:c>
      <x:c r="E446" s="13" t="n">
        <x:v>620</x:v>
      </x:c>
      <x:c r="F446" s="13" t="n">
        <x:v>18</x:v>
      </x:c>
      <x:c r="G446" s="10" t="n">
        <x:v>0</x:v>
      </x:c>
      <x:c r="H446" s="10" t="n">
        <x:v>0</x:v>
      </x:c>
      <x:c r="I446" s="11" t="n">
        <x:f>E446*Rates!$B$4+F446*Rates!$B$5+G446*Rates!$B$6+H446*Rates!$B$7</x:f>
        <x:v>0.000692</x:v>
      </x:c>
    </x:row>
    <x:row r="447" ht="24" customHeight="1">
      <x:c r="A447" s="10" t="str">
        <x:v>S05-01</x:v>
      </x:c>
      <x:c r="B447" s="10" t="str">
        <x:v>A</x:v>
      </x:c>
      <x:c r="C447" s="10" t="str">
        <x:v>speech_input</x:v>
      </x:c>
      <x:c r="D447" s="10" t="str">
        <x:v>evaluation</x:v>
      </x:c>
      <x:c r="E447" s="13" t="n">
        <x:v>0</x:v>
      </x:c>
      <x:c r="F447" s="13" t="n">
        <x:v>0</x:v>
      </x:c>
      <x:c r="G447" s="10" t="n">
        <x:v>3.6</x:v>
      </x:c>
      <x:c r="H447" s="10" t="n">
        <x:v>0</x:v>
      </x:c>
      <x:c r="I447" s="11" t="n">
        <x:f>E447*Rates!$B$4+F447*Rates!$B$5+G447*Rates!$B$6+H447*Rates!$B$7</x:f>
        <x:v>0.0036000000000000003</x:v>
      </x:c>
    </x:row>
    <x:row r="448" ht="24" customHeight="1">
      <x:c r="A448" s="10" t="str">
        <x:v>S05-01</x:v>
      </x:c>
      <x:c r="B448" s="10" t="str">
        <x:v>A</x:v>
      </x:c>
      <x:c r="C448" s="10" t="str">
        <x:v>speech_output</x:v>
      </x:c>
      <x:c r="D448" s="10" t="str">
        <x:v>retained</x:v>
      </x:c>
      <x:c r="E448" s="13" t="n">
        <x:v>572</x:v>
      </x:c>
      <x:c r="F448" s="13" t="n">
        <x:v>0</x:v>
      </x:c>
      <x:c r="G448" s="10" t="n">
        <x:v>0</x:v>
      </x:c>
      <x:c r="H448" s="10" t="n">
        <x:v>35.946</x:v>
      </x:c>
      <x:c r="I448" s="11" t="n">
        <x:f>E448*Rates!$B$4+F448*Rates!$B$5+G448*Rates!$B$6+H448*Rates!$B$7</x:f>
        <x:v>0.072464</x:v>
      </x:c>
    </x:row>
    <x:row r="449" ht="24" customHeight="1">
      <x:c r="A449" s="10" t="str">
        <x:v>S05-01</x:v>
      </x:c>
      <x:c r="B449" s="10" t="str">
        <x:v>A</x:v>
      </x:c>
      <x:c r="C449" s="10" t="str">
        <x:v>speech_output</x:v>
      </x:c>
      <x:c r="D449" s="10" t="str">
        <x:v>retained</x:v>
      </x:c>
      <x:c r="E449" s="13" t="n">
        <x:v>126</x:v>
      </x:c>
      <x:c r="F449" s="13" t="n">
        <x:v>0</x:v>
      </x:c>
      <x:c r="G449" s="10" t="n">
        <x:v>0</x:v>
      </x:c>
      <x:c r="H449" s="10" t="n">
        <x:v>2.746</x:v>
      </x:c>
      <x:c r="I449" s="11" t="n">
        <x:f>E449*Rates!$B$4+F449*Rates!$B$5+G449*Rates!$B$6+H449*Rates!$B$7</x:f>
        <x:v>0.005618000000000001</x:v>
      </x:c>
    </x:row>
    <x:row r="450" ht="24" customHeight="1">
      <x:c r="A450" s="10" t="str">
        <x:v>S05-01</x:v>
      </x:c>
      <x:c r="B450" s="10" t="str">
        <x:v>B</x:v>
      </x:c>
      <x:c r="C450" s="10" t="str">
        <x:v>semantic</x:v>
      </x:c>
      <x:c r="D450" s="10" t="str">
        <x:v>setup</x:v>
      </x:c>
      <x:c r="E450" s="13" t="n">
        <x:v>600</x:v>
      </x:c>
      <x:c r="F450" s="13" t="n">
        <x:v>16</x:v>
      </x:c>
      <x:c r="G450" s="10" t="n">
        <x:v>0</x:v>
      </x:c>
      <x:c r="H450" s="10" t="n">
        <x:v>0</x:v>
      </x:c>
      <x:c r="I450" s="11" t="n">
        <x:f>E450*Rates!$B$4+F450*Rates!$B$5+G450*Rates!$B$6+H450*Rates!$B$7</x:f>
        <x:v>0.000664</x:v>
      </x:c>
    </x:row>
    <x:row r="451" ht="24" customHeight="1">
      <x:c r="A451" s="10" t="str">
        <x:v>S05-01</x:v>
      </x:c>
      <x:c r="B451" s="10" t="str">
        <x:v>B</x:v>
      </x:c>
      <x:c r="C451" s="10" t="str">
        <x:v>speech_input</x:v>
      </x:c>
      <x:c r="D451" s="10" t="str">
        <x:v>setup</x:v>
      </x:c>
      <x:c r="E451" s="13" t="n">
        <x:v>0</x:v>
      </x:c>
      <x:c r="F451" s="13" t="n">
        <x:v>0</x:v>
      </x:c>
      <x:c r="G451" s="10" t="n">
        <x:v>2</x:v>
      </x:c>
      <x:c r="H451" s="10" t="n">
        <x:v>0</x:v>
      </x:c>
      <x:c r="I451" s="11" t="n">
        <x:f>E451*Rates!$B$4+F451*Rates!$B$5+G451*Rates!$B$6+H451*Rates!$B$7</x:f>
        <x:v>0.002</x:v>
      </x:c>
    </x:row>
    <x:row r="452" ht="24" customHeight="1">
      <x:c r="A452" s="10" t="str">
        <x:v>S05-01</x:v>
      </x:c>
      <x:c r="B452" s="10" t="str">
        <x:v>B</x:v>
      </x:c>
      <x:c r="C452" s="10" t="str">
        <x:v>semantic</x:v>
      </x:c>
      <x:c r="D452" s="10" t="str">
        <x:v>evaluation</x:v>
      </x:c>
      <x:c r="E452" s="13" t="n">
        <x:v>620</x:v>
      </x:c>
      <x:c r="F452" s="13" t="n">
        <x:v>18</x:v>
      </x:c>
      <x:c r="G452" s="10" t="n">
        <x:v>0</x:v>
      </x:c>
      <x:c r="H452" s="10" t="n">
        <x:v>0</x:v>
      </x:c>
      <x:c r="I452" s="11" t="n">
        <x:f>E452*Rates!$B$4+F452*Rates!$B$5+G452*Rates!$B$6+H452*Rates!$B$7</x:f>
        <x:v>0.000692</x:v>
      </x:c>
    </x:row>
    <x:row r="453" ht="24" customHeight="1">
      <x:c r="A453" s="10" t="str">
        <x:v>S05-01</x:v>
      </x:c>
      <x:c r="B453" s="10" t="str">
        <x:v>B</x:v>
      </x:c>
      <x:c r="C453" s="10" t="str">
        <x:v>speech_input</x:v>
      </x:c>
      <x:c r="D453" s="10" t="str">
        <x:v>evaluation</x:v>
      </x:c>
      <x:c r="E453" s="13" t="n">
        <x:v>0</x:v>
      </x:c>
      <x:c r="F453" s="13" t="n">
        <x:v>0</x:v>
      </x:c>
      <x:c r="G453" s="10" t="n">
        <x:v>3.6</x:v>
      </x:c>
      <x:c r="H453" s="10" t="n">
        <x:v>0</x:v>
      </x:c>
      <x:c r="I453" s="11" t="n">
        <x:f>E453*Rates!$B$4+F453*Rates!$B$5+G453*Rates!$B$6+H453*Rates!$B$7</x:f>
        <x:v>0.0036000000000000003</x:v>
      </x:c>
    </x:row>
    <x:row r="454" ht="24" customHeight="1">
      <x:c r="A454" s="10" t="str">
        <x:v>S05-01</x:v>
      </x:c>
      <x:c r="B454" s="10" t="str">
        <x:v>B</x:v>
      </x:c>
      <x:c r="C454" s="10" t="str">
        <x:v>speech_output</x:v>
      </x:c>
      <x:c r="D454" s="10" t="str">
        <x:v>retained</x:v>
      </x:c>
      <x:c r="E454" s="13" t="n">
        <x:v>572</x:v>
      </x:c>
      <x:c r="F454" s="13" t="n">
        <x:v>0</x:v>
      </x:c>
      <x:c r="G454" s="10" t="n">
        <x:v>0</x:v>
      </x:c>
      <x:c r="H454" s="10" t="n">
        <x:v>21.372</x:v>
      </x:c>
      <x:c r="I454" s="11" t="n">
        <x:f>E454*Rates!$B$4+F454*Rates!$B$5+G454*Rates!$B$6+H454*Rates!$B$7</x:f>
        <x:v>0.043316</x:v>
      </x:c>
    </x:row>
    <x:row r="455" ht="24" customHeight="1">
      <x:c r="A455" s="10" t="str">
        <x:v>S05-01</x:v>
      </x:c>
      <x:c r="B455" s="10" t="str">
        <x:v>B</x:v>
      </x:c>
      <x:c r="C455" s="10" t="str">
        <x:v>speech_output</x:v>
      </x:c>
      <x:c r="D455" s="10" t="str">
        <x:v>retained</x:v>
      </x:c>
      <x:c r="E455" s="13" t="n">
        <x:v>126</x:v>
      </x:c>
      <x:c r="F455" s="13" t="n">
        <x:v>0</x:v>
      </x:c>
      <x:c r="G455" s="10" t="n">
        <x:v>0</x:v>
      </x:c>
      <x:c r="H455" s="10" t="n">
        <x:v>2.746</x:v>
      </x:c>
      <x:c r="I455" s="11" t="n">
        <x:f>E455*Rates!$B$4+F455*Rates!$B$5+G455*Rates!$B$6+H455*Rates!$B$7</x:f>
        <x:v>0.005618000000000001</x:v>
      </x:c>
    </x:row>
    <x:row r="456" ht="24" customHeight="1">
      <x:c r="A456" s="10" t="str">
        <x:v>S05-01</x:v>
      </x:c>
      <x:c r="B456" s="10" t="str">
        <x:v>B</x:v>
      </x:c>
      <x:c r="C456" s="10" t="str">
        <x:v>speech_output</x:v>
      </x:c>
      <x:c r="D456" s="10" t="str">
        <x:v>retained</x:v>
      </x:c>
      <x:c r="E456" s="13" t="n">
        <x:v>812</x:v>
      </x:c>
      <x:c r="F456" s="13" t="n">
        <x:v>0</x:v>
      </x:c>
      <x:c r="G456" s="10" t="n">
        <x:v>0</x:v>
      </x:c>
      <x:c r="H456" s="10" t="n">
        <x:v>14.574</x:v>
      </x:c>
      <x:c r="I456" s="11" t="n">
        <x:f>E456*Rates!$B$4+F456*Rates!$B$5+G456*Rates!$B$6+H456*Rates!$B$7</x:f>
        <x:v>0.02996</x:v>
      </x:c>
    </x:row>
    <x:row r="457" ht="24" customHeight="1">
      <x:c r="A457" s="10" t="str">
        <x:v>S05-02</x:v>
      </x:c>
      <x:c r="B457" s="10" t="str">
        <x:v>A</x:v>
      </x:c>
      <x:c r="C457" s="10" t="str">
        <x:v>semantic</x:v>
      </x:c>
      <x:c r="D457" s="10" t="str">
        <x:v>setup</x:v>
      </x:c>
      <x:c r="E457" s="13" t="n">
        <x:v>600</x:v>
      </x:c>
      <x:c r="F457" s="13" t="n">
        <x:v>16</x:v>
      </x:c>
      <x:c r="G457" s="10" t="n">
        <x:v>0</x:v>
      </x:c>
      <x:c r="H457" s="10" t="n">
        <x:v>0</x:v>
      </x:c>
      <x:c r="I457" s="11" t="n">
        <x:f>E457*Rates!$B$4+F457*Rates!$B$5+G457*Rates!$B$6+H457*Rates!$B$7</x:f>
        <x:v>0.000664</x:v>
      </x:c>
    </x:row>
    <x:row r="458" ht="24" customHeight="1">
      <x:c r="A458" s="10" t="str">
        <x:v>S05-02</x:v>
      </x:c>
      <x:c r="B458" s="10" t="str">
        <x:v>A</x:v>
      </x:c>
      <x:c r="C458" s="10" t="str">
        <x:v>speech_input</x:v>
      </x:c>
      <x:c r="D458" s="10" t="str">
        <x:v>setup</x:v>
      </x:c>
      <x:c r="E458" s="13" t="n">
        <x:v>0</x:v>
      </x:c>
      <x:c r="F458" s="13" t="n">
        <x:v>0</x:v>
      </x:c>
      <x:c r="G458" s="10" t="n">
        <x:v>2</x:v>
      </x:c>
      <x:c r="H458" s="10" t="n">
        <x:v>0</x:v>
      </x:c>
      <x:c r="I458" s="11" t="n">
        <x:f>E458*Rates!$B$4+F458*Rates!$B$5+G458*Rates!$B$6+H458*Rates!$B$7</x:f>
        <x:v>0.002</x:v>
      </x:c>
    </x:row>
    <x:row r="459" ht="24" customHeight="1">
      <x:c r="A459" s="10" t="str">
        <x:v>S05-02</x:v>
      </x:c>
      <x:c r="B459" s="10" t="str">
        <x:v>A</x:v>
      </x:c>
      <x:c r="C459" s="10" t="str">
        <x:v>semantic</x:v>
      </x:c>
      <x:c r="D459" s="10" t="str">
        <x:v>evaluation</x:v>
      </x:c>
      <x:c r="E459" s="13" t="n">
        <x:v>640</x:v>
      </x:c>
      <x:c r="F459" s="13" t="n">
        <x:v>20</x:v>
      </x:c>
      <x:c r="G459" s="10" t="n">
        <x:v>0</x:v>
      </x:c>
      <x:c r="H459" s="10" t="n">
        <x:v>0</x:v>
      </x:c>
      <x:c r="I459" s="11" t="n">
        <x:f>E459*Rates!$B$4+F459*Rates!$B$5+G459*Rates!$B$6+H459*Rates!$B$7</x:f>
        <x:v>0.0007199999999999999</x:v>
      </x:c>
    </x:row>
    <x:row r="460" ht="24" customHeight="1">
      <x:c r="A460" s="10" t="str">
        <x:v>S05-02</x:v>
      </x:c>
      <x:c r="B460" s="10" t="str">
        <x:v>A</x:v>
      </x:c>
      <x:c r="C460" s="10" t="str">
        <x:v>speech_input</x:v>
      </x:c>
      <x:c r="D460" s="10" t="str">
        <x:v>evaluation</x:v>
      </x:c>
      <x:c r="E460" s="13" t="n">
        <x:v>0</x:v>
      </x:c>
      <x:c r="F460" s="13" t="n">
        <x:v>0</x:v>
      </x:c>
      <x:c r="G460" s="10" t="n">
        <x:v>3.6</x:v>
      </x:c>
      <x:c r="H460" s="10" t="n">
        <x:v>0</x:v>
      </x:c>
      <x:c r="I460" s="11" t="n">
        <x:f>E460*Rates!$B$4+F460*Rates!$B$5+G460*Rates!$B$6+H460*Rates!$B$7</x:f>
        <x:v>0.0036000000000000003</x:v>
      </x:c>
    </x:row>
    <x:row r="461" ht="24" customHeight="1">
      <x:c r="A461" s="10" t="str">
        <x:v>S05-02</x:v>
      </x:c>
      <x:c r="B461" s="10" t="str">
        <x:v>A</x:v>
      </x:c>
      <x:c r="C461" s="10" t="str">
        <x:v>speech_output</x:v>
      </x:c>
      <x:c r="D461" s="10" t="str">
        <x:v>retained</x:v>
      </x:c>
      <x:c r="E461" s="13" t="n">
        <x:v>572</x:v>
      </x:c>
      <x:c r="F461" s="13" t="n">
        <x:v>0</x:v>
      </x:c>
      <x:c r="G461" s="10" t="n">
        <x:v>0</x:v>
      </x:c>
      <x:c r="H461" s="10" t="n">
        <x:v>35.958</x:v>
      </x:c>
      <x:c r="I461" s="11" t="n">
        <x:f>E461*Rates!$B$4+F461*Rates!$B$5+G461*Rates!$B$6+H461*Rates!$B$7</x:f>
        <x:v>0.072488</x:v>
      </x:c>
    </x:row>
    <x:row r="462" ht="24" customHeight="1">
      <x:c r="A462" s="10" t="str">
        <x:v>S05-02</x:v>
      </x:c>
      <x:c r="B462" s="10" t="str">
        <x:v>A</x:v>
      </x:c>
      <x:c r="C462" s="10" t="str">
        <x:v>speech_output</x:v>
      </x:c>
      <x:c r="D462" s="10" t="str">
        <x:v>retained</x:v>
      </x:c>
      <x:c r="E462" s="13" t="n">
        <x:v>126</x:v>
      </x:c>
      <x:c r="F462" s="13" t="n">
        <x:v>0</x:v>
      </x:c>
      <x:c r="G462" s="10" t="n">
        <x:v>0</x:v>
      </x:c>
      <x:c r="H462" s="10" t="n">
        <x:v>2.758</x:v>
      </x:c>
      <x:c r="I462" s="11" t="n">
        <x:f>E462*Rates!$B$4+F462*Rates!$B$5+G462*Rates!$B$6+H462*Rates!$B$7</x:f>
        <x:v>0.005642</x:v>
      </x:c>
    </x:row>
    <x:row r="463" ht="24" customHeight="1">
      <x:c r="A463" s="10" t="str">
        <x:v>S05-02</x:v>
      </x:c>
      <x:c r="B463" s="10" t="str">
        <x:v>B</x:v>
      </x:c>
      <x:c r="C463" s="10" t="str">
        <x:v>semantic</x:v>
      </x:c>
      <x:c r="D463" s="10" t="str">
        <x:v>setup</x:v>
      </x:c>
      <x:c r="E463" s="13" t="n">
        <x:v>600</x:v>
      </x:c>
      <x:c r="F463" s="13" t="n">
        <x:v>16</x:v>
      </x:c>
      <x:c r="G463" s="10" t="n">
        <x:v>0</x:v>
      </x:c>
      <x:c r="H463" s="10" t="n">
        <x:v>0</x:v>
      </x:c>
      <x:c r="I463" s="11" t="n">
        <x:f>E463*Rates!$B$4+F463*Rates!$B$5+G463*Rates!$B$6+H463*Rates!$B$7</x:f>
        <x:v>0.000664</x:v>
      </x:c>
    </x:row>
    <x:row r="464" ht="24" customHeight="1">
      <x:c r="A464" s="10" t="str">
        <x:v>S05-02</x:v>
      </x:c>
      <x:c r="B464" s="10" t="str">
        <x:v>B</x:v>
      </x:c>
      <x:c r="C464" s="10" t="str">
        <x:v>speech_input</x:v>
      </x:c>
      <x:c r="D464" s="10" t="str">
        <x:v>setup</x:v>
      </x:c>
      <x:c r="E464" s="13" t="n">
        <x:v>0</x:v>
      </x:c>
      <x:c r="F464" s="13" t="n">
        <x:v>0</x:v>
      </x:c>
      <x:c r="G464" s="10" t="n">
        <x:v>2</x:v>
      </x:c>
      <x:c r="H464" s="10" t="n">
        <x:v>0</x:v>
      </x:c>
      <x:c r="I464" s="11" t="n">
        <x:f>E464*Rates!$B$4+F464*Rates!$B$5+G464*Rates!$B$6+H464*Rates!$B$7</x:f>
        <x:v>0.002</x:v>
      </x:c>
    </x:row>
    <x:row r="465" ht="24" customHeight="1">
      <x:c r="A465" s="10" t="str">
        <x:v>S05-02</x:v>
      </x:c>
      <x:c r="B465" s="10" t="str">
        <x:v>B</x:v>
      </x:c>
      <x:c r="C465" s="10" t="str">
        <x:v>semantic</x:v>
      </x:c>
      <x:c r="D465" s="10" t="str">
        <x:v>evaluation</x:v>
      </x:c>
      <x:c r="E465" s="13" t="n">
        <x:v>640</x:v>
      </x:c>
      <x:c r="F465" s="13" t="n">
        <x:v>20</x:v>
      </x:c>
      <x:c r="G465" s="10" t="n">
        <x:v>0</x:v>
      </x:c>
      <x:c r="H465" s="10" t="n">
        <x:v>0</x:v>
      </x:c>
      <x:c r="I465" s="11" t="n">
        <x:f>E465*Rates!$B$4+F465*Rates!$B$5+G465*Rates!$B$6+H465*Rates!$B$7</x:f>
        <x:v>0.0007199999999999999</x:v>
      </x:c>
    </x:row>
    <x:row r="466" ht="24" customHeight="1">
      <x:c r="A466" s="10" t="str">
        <x:v>S05-02</x:v>
      </x:c>
      <x:c r="B466" s="10" t="str">
        <x:v>B</x:v>
      </x:c>
      <x:c r="C466" s="10" t="str">
        <x:v>speech_input</x:v>
      </x:c>
      <x:c r="D466" s="10" t="str">
        <x:v>evaluation</x:v>
      </x:c>
      <x:c r="E466" s="13" t="n">
        <x:v>0</x:v>
      </x:c>
      <x:c r="F466" s="13" t="n">
        <x:v>0</x:v>
      </x:c>
      <x:c r="G466" s="10" t="n">
        <x:v>3.6</x:v>
      </x:c>
      <x:c r="H466" s="10" t="n">
        <x:v>0</x:v>
      </x:c>
      <x:c r="I466" s="11" t="n">
        <x:f>E466*Rates!$B$4+F466*Rates!$B$5+G466*Rates!$B$6+H466*Rates!$B$7</x:f>
        <x:v>0.0036000000000000003</x:v>
      </x:c>
    </x:row>
    <x:row r="467" ht="24" customHeight="1">
      <x:c r="A467" s="10" t="str">
        <x:v>S05-02</x:v>
      </x:c>
      <x:c r="B467" s="10" t="str">
        <x:v>B</x:v>
      </x:c>
      <x:c r="C467" s="10" t="str">
        <x:v>speech_output</x:v>
      </x:c>
      <x:c r="D467" s="10" t="str">
        <x:v>retained</x:v>
      </x:c>
      <x:c r="E467" s="13" t="n">
        <x:v>572</x:v>
      </x:c>
      <x:c r="F467" s="13" t="n">
        <x:v>0</x:v>
      </x:c>
      <x:c r="G467" s="10" t="n">
        <x:v>0</x:v>
      </x:c>
      <x:c r="H467" s="10" t="n">
        <x:v>21.485333336</x:v>
      </x:c>
      <x:c r="I467" s="11" t="n">
        <x:f>E467*Rates!$B$4+F467*Rates!$B$5+G467*Rates!$B$6+H467*Rates!$B$7</x:f>
        <x:v>0.043542666672000005</x:v>
      </x:c>
    </x:row>
    <x:row r="468" ht="24" customHeight="1">
      <x:c r="A468" s="10" t="str">
        <x:v>S05-02</x:v>
      </x:c>
      <x:c r="B468" s="10" t="str">
        <x:v>B</x:v>
      </x:c>
      <x:c r="C468" s="10" t="str">
        <x:v>speech_output</x:v>
      </x:c>
      <x:c r="D468" s="10" t="str">
        <x:v>retained</x:v>
      </x:c>
      <x:c r="E468" s="13" t="n">
        <x:v>126</x:v>
      </x:c>
      <x:c r="F468" s="13" t="n">
        <x:v>0</x:v>
      </x:c>
      <x:c r="G468" s="10" t="n">
        <x:v>0</x:v>
      </x:c>
      <x:c r="H468" s="10" t="n">
        <x:v>2.758</x:v>
      </x:c>
      <x:c r="I468" s="11" t="n">
        <x:f>E468*Rates!$B$4+F468*Rates!$B$5+G468*Rates!$B$6+H468*Rates!$B$7</x:f>
        <x:v>0.005642</x:v>
      </x:c>
    </x:row>
    <x:row r="469" ht="24" customHeight="1">
      <x:c r="A469" s="10" t="str">
        <x:v>S05-02</x:v>
      </x:c>
      <x:c r="B469" s="10" t="str">
        <x:v>B</x:v>
      </x:c>
      <x:c r="C469" s="10" t="str">
        <x:v>speech_output</x:v>
      </x:c>
      <x:c r="D469" s="10" t="str">
        <x:v>retained</x:v>
      </x:c>
      <x:c r="E469" s="13" t="n">
        <x:v>812</x:v>
      </x:c>
      <x:c r="F469" s="13" t="n">
        <x:v>0</x:v>
      </x:c>
      <x:c r="G469" s="10" t="n">
        <x:v>0</x:v>
      </x:c>
      <x:c r="H469" s="10" t="n">
        <x:v>14.472666664</x:v>
      </x:c>
      <x:c r="I469" s="11" t="n">
        <x:f>E469*Rates!$B$4+F469*Rates!$B$5+G469*Rates!$B$6+H469*Rates!$B$7</x:f>
        <x:v>0.029757333328000003</x:v>
      </x:c>
    </x:row>
    <x:row r="470" ht="24" customHeight="1">
      <x:c r="A470" s="10" t="str">
        <x:v>S05-03</x:v>
      </x:c>
      <x:c r="B470" s="10" t="str">
        <x:v>A</x:v>
      </x:c>
      <x:c r="C470" s="10" t="str">
        <x:v>semantic</x:v>
      </x:c>
      <x:c r="D470" s="10" t="str">
        <x:v>setup</x:v>
      </x:c>
      <x:c r="E470" s="13" t="n">
        <x:v>600</x:v>
      </x:c>
      <x:c r="F470" s="13" t="n">
        <x:v>16</x:v>
      </x:c>
      <x:c r="G470" s="10" t="n">
        <x:v>0</x:v>
      </x:c>
      <x:c r="H470" s="10" t="n">
        <x:v>0</x:v>
      </x:c>
      <x:c r="I470" s="11" t="n">
        <x:f>E470*Rates!$B$4+F470*Rates!$B$5+G470*Rates!$B$6+H470*Rates!$B$7</x:f>
        <x:v>0.000664</x:v>
      </x:c>
    </x:row>
    <x:row r="471" ht="24" customHeight="1">
      <x:c r="A471" s="10" t="str">
        <x:v>S05-03</x:v>
      </x:c>
      <x:c r="B471" s="10" t="str">
        <x:v>A</x:v>
      </x:c>
      <x:c r="C471" s="10" t="str">
        <x:v>speech_input</x:v>
      </x:c>
      <x:c r="D471" s="10" t="str">
        <x:v>setup</x:v>
      </x:c>
      <x:c r="E471" s="13" t="n">
        <x:v>0</x:v>
      </x:c>
      <x:c r="F471" s="13" t="n">
        <x:v>0</x:v>
      </x:c>
      <x:c r="G471" s="10" t="n">
        <x:v>2</x:v>
      </x:c>
      <x:c r="H471" s="10" t="n">
        <x:v>0</x:v>
      </x:c>
      <x:c r="I471" s="11" t="n">
        <x:f>E471*Rates!$B$4+F471*Rates!$B$5+G471*Rates!$B$6+H471*Rates!$B$7</x:f>
        <x:v>0.002</x:v>
      </x:c>
    </x:row>
    <x:row r="472" ht="24" customHeight="1">
      <x:c r="A472" s="10" t="str">
        <x:v>S05-03</x:v>
      </x:c>
      <x:c r="B472" s="10" t="str">
        <x:v>A</x:v>
      </x:c>
      <x:c r="C472" s="10" t="str">
        <x:v>semantic</x:v>
      </x:c>
      <x:c r="D472" s="10" t="str">
        <x:v>evaluation</x:v>
      </x:c>
      <x:c r="E472" s="13" t="n">
        <x:v>660</x:v>
      </x:c>
      <x:c r="F472" s="13" t="n">
        <x:v>16</x:v>
      </x:c>
      <x:c r="G472" s="10" t="n">
        <x:v>0</x:v>
      </x:c>
      <x:c r="H472" s="10" t="n">
        <x:v>0</x:v>
      </x:c>
      <x:c r="I472" s="11" t="n">
        <x:f>E472*Rates!$B$4+F472*Rates!$B$5+G472*Rates!$B$6+H472*Rates!$B$7</x:f>
        <x:v>0.000724</x:v>
      </x:c>
    </x:row>
    <x:row r="473" ht="24" customHeight="1">
      <x:c r="A473" s="10" t="str">
        <x:v>S05-03</x:v>
      </x:c>
      <x:c r="B473" s="10" t="str">
        <x:v>A</x:v>
      </x:c>
      <x:c r="C473" s="10" t="str">
        <x:v>speech_input</x:v>
      </x:c>
      <x:c r="D473" s="10" t="str">
        <x:v>evaluation</x:v>
      </x:c>
      <x:c r="E473" s="13" t="n">
        <x:v>0</x:v>
      </x:c>
      <x:c r="F473" s="13" t="n">
        <x:v>0</x:v>
      </x:c>
      <x:c r="G473" s="10" t="n">
        <x:v>3.6</x:v>
      </x:c>
      <x:c r="H473" s="10" t="n">
        <x:v>0</x:v>
      </x:c>
      <x:c r="I473" s="11" t="n">
        <x:f>E473*Rates!$B$4+F473*Rates!$B$5+G473*Rates!$B$6+H473*Rates!$B$7</x:f>
        <x:v>0.0036000000000000003</x:v>
      </x:c>
    </x:row>
    <x:row r="474" ht="24" customHeight="1">
      <x:c r="A474" s="10" t="str">
        <x:v>S05-03</x:v>
      </x:c>
      <x:c r="B474" s="10" t="str">
        <x:v>A</x:v>
      </x:c>
      <x:c r="C474" s="10" t="str">
        <x:v>speech_output</x:v>
      </x:c>
      <x:c r="D474" s="10" t="str">
        <x:v>retained</x:v>
      </x:c>
      <x:c r="E474" s="13" t="n">
        <x:v>572</x:v>
      </x:c>
      <x:c r="F474" s="13" t="n">
        <x:v>0</x:v>
      </x:c>
      <x:c r="G474" s="10" t="n">
        <x:v>0</x:v>
      </x:c>
      <x:c r="H474" s="10" t="n">
        <x:v>35.97</x:v>
      </x:c>
      <x:c r="I474" s="11" t="n">
        <x:f>E474*Rates!$B$4+F474*Rates!$B$5+G474*Rates!$B$6+H474*Rates!$B$7</x:f>
        <x:v>0.07251200000000001</x:v>
      </x:c>
    </x:row>
    <x:row r="475" ht="24" customHeight="1">
      <x:c r="A475" s="10" t="str">
        <x:v>S05-03</x:v>
      </x:c>
      <x:c r="B475" s="10" t="str">
        <x:v>A</x:v>
      </x:c>
      <x:c r="C475" s="10" t="str">
        <x:v>speech_output</x:v>
      </x:c>
      <x:c r="D475" s="10" t="str">
        <x:v>retained</x:v>
      </x:c>
      <x:c r="E475" s="13" t="n">
        <x:v>126</x:v>
      </x:c>
      <x:c r="F475" s="13" t="n">
        <x:v>0</x:v>
      </x:c>
      <x:c r="G475" s="10" t="n">
        <x:v>0</x:v>
      </x:c>
      <x:c r="H475" s="10" t="n">
        <x:v>2.77</x:v>
      </x:c>
      <x:c r="I475" s="11" t="n">
        <x:f>E475*Rates!$B$4+F475*Rates!$B$5+G475*Rates!$B$6+H475*Rates!$B$7</x:f>
        <x:v>0.005666</x:v>
      </x:c>
    </x:row>
    <x:row r="476" ht="24" customHeight="1">
      <x:c r="A476" s="10" t="str">
        <x:v>S05-03</x:v>
      </x:c>
      <x:c r="B476" s="10" t="str">
        <x:v>B</x:v>
      </x:c>
      <x:c r="C476" s="10" t="str">
        <x:v>semantic</x:v>
      </x:c>
      <x:c r="D476" s="10" t="str">
        <x:v>setup</x:v>
      </x:c>
      <x:c r="E476" s="13" t="n">
        <x:v>600</x:v>
      </x:c>
      <x:c r="F476" s="13" t="n">
        <x:v>16</x:v>
      </x:c>
      <x:c r="G476" s="10" t="n">
        <x:v>0</x:v>
      </x:c>
      <x:c r="H476" s="10" t="n">
        <x:v>0</x:v>
      </x:c>
      <x:c r="I476" s="11" t="n">
        <x:f>E476*Rates!$B$4+F476*Rates!$B$5+G476*Rates!$B$6+H476*Rates!$B$7</x:f>
        <x:v>0.000664</x:v>
      </x:c>
    </x:row>
    <x:row r="477" ht="24" customHeight="1">
      <x:c r="A477" s="10" t="str">
        <x:v>S05-03</x:v>
      </x:c>
      <x:c r="B477" s="10" t="str">
        <x:v>B</x:v>
      </x:c>
      <x:c r="C477" s="10" t="str">
        <x:v>speech_input</x:v>
      </x:c>
      <x:c r="D477" s="10" t="str">
        <x:v>setup</x:v>
      </x:c>
      <x:c r="E477" s="13" t="n">
        <x:v>0</x:v>
      </x:c>
      <x:c r="F477" s="13" t="n">
        <x:v>0</x:v>
      </x:c>
      <x:c r="G477" s="10" t="n">
        <x:v>2</x:v>
      </x:c>
      <x:c r="H477" s="10" t="n">
        <x:v>0</x:v>
      </x:c>
      <x:c r="I477" s="11" t="n">
        <x:f>E477*Rates!$B$4+F477*Rates!$B$5+G477*Rates!$B$6+H477*Rates!$B$7</x:f>
        <x:v>0.002</x:v>
      </x:c>
    </x:row>
    <x:row r="478" ht="24" customHeight="1">
      <x:c r="A478" s="10" t="str">
        <x:v>S05-03</x:v>
      </x:c>
      <x:c r="B478" s="10" t="str">
        <x:v>B</x:v>
      </x:c>
      <x:c r="C478" s="10" t="str">
        <x:v>semantic</x:v>
      </x:c>
      <x:c r="D478" s="10" t="str">
        <x:v>evaluation</x:v>
      </x:c>
      <x:c r="E478" s="13" t="n">
        <x:v>660</x:v>
      </x:c>
      <x:c r="F478" s="13" t="n">
        <x:v>16</x:v>
      </x:c>
      <x:c r="G478" s="10" t="n">
        <x:v>0</x:v>
      </x:c>
      <x:c r="H478" s="10" t="n">
        <x:v>0</x:v>
      </x:c>
      <x:c r="I478" s="11" t="n">
        <x:f>E478*Rates!$B$4+F478*Rates!$B$5+G478*Rates!$B$6+H478*Rates!$B$7</x:f>
        <x:v>0.000724</x:v>
      </x:c>
    </x:row>
    <x:row r="479" ht="24" customHeight="1">
      <x:c r="A479" s="10" t="str">
        <x:v>S05-03</x:v>
      </x:c>
      <x:c r="B479" s="10" t="str">
        <x:v>B</x:v>
      </x:c>
      <x:c r="C479" s="10" t="str">
        <x:v>speech_input</x:v>
      </x:c>
      <x:c r="D479" s="10" t="str">
        <x:v>evaluation</x:v>
      </x:c>
      <x:c r="E479" s="13" t="n">
        <x:v>0</x:v>
      </x:c>
      <x:c r="F479" s="13" t="n">
        <x:v>0</x:v>
      </x:c>
      <x:c r="G479" s="10" t="n">
        <x:v>3.6</x:v>
      </x:c>
      <x:c r="H479" s="10" t="n">
        <x:v>0</x:v>
      </x:c>
      <x:c r="I479" s="11" t="n">
        <x:f>E479*Rates!$B$4+F479*Rates!$B$5+G479*Rates!$B$6+H479*Rates!$B$7</x:f>
        <x:v>0.0036000000000000003</x:v>
      </x:c>
    </x:row>
    <x:row r="480" ht="24" customHeight="1">
      <x:c r="A480" s="10" t="str">
        <x:v>S05-03</x:v>
      </x:c>
      <x:c r="B480" s="10" t="str">
        <x:v>B</x:v>
      </x:c>
      <x:c r="C480" s="10" t="str">
        <x:v>speech_output</x:v>
      </x:c>
      <x:c r="D480" s="10" t="str">
        <x:v>retained</x:v>
      </x:c>
      <x:c r="E480" s="13" t="n">
        <x:v>572</x:v>
      </x:c>
      <x:c r="F480" s="13" t="n">
        <x:v>0</x:v>
      </x:c>
      <x:c r="G480" s="10" t="n">
        <x:v>0</x:v>
      </x:c>
      <x:c r="H480" s="10" t="n">
        <x:v>21.298666668</x:v>
      </x:c>
      <x:c r="I480" s="11" t="n">
        <x:f>E480*Rates!$B$4+F480*Rates!$B$5+G480*Rates!$B$6+H480*Rates!$B$7</x:f>
        <x:v>0.043169333336</x:v>
      </x:c>
    </x:row>
    <x:row r="481" ht="24" customHeight="1">
      <x:c r="A481" s="10" t="str">
        <x:v>S05-03</x:v>
      </x:c>
      <x:c r="B481" s="10" t="str">
        <x:v>B</x:v>
      </x:c>
      <x:c r="C481" s="10" t="str">
        <x:v>speech_output</x:v>
      </x:c>
      <x:c r="D481" s="10" t="str">
        <x:v>retained</x:v>
      </x:c>
      <x:c r="E481" s="13" t="n">
        <x:v>126</x:v>
      </x:c>
      <x:c r="F481" s="13" t="n">
        <x:v>0</x:v>
      </x:c>
      <x:c r="G481" s="10" t="n">
        <x:v>0</x:v>
      </x:c>
      <x:c r="H481" s="10" t="n">
        <x:v>2.77</x:v>
      </x:c>
      <x:c r="I481" s="11" t="n">
        <x:f>E481*Rates!$B$4+F481*Rates!$B$5+G481*Rates!$B$6+H481*Rates!$B$7</x:f>
        <x:v>0.005666</x:v>
      </x:c>
    </x:row>
    <x:row r="482" ht="24" customHeight="1">
      <x:c r="A482" s="10" t="str">
        <x:v>S05-03</x:v>
      </x:c>
      <x:c r="B482" s="10" t="str">
        <x:v>B</x:v>
      </x:c>
      <x:c r="C482" s="10" t="str">
        <x:v>speech_output</x:v>
      </x:c>
      <x:c r="D482" s="10" t="str">
        <x:v>retained</x:v>
      </x:c>
      <x:c r="E482" s="13" t="n">
        <x:v>812</x:v>
      </x:c>
      <x:c r="F482" s="13" t="n">
        <x:v>0</x:v>
      </x:c>
      <x:c r="G482" s="10" t="n">
        <x:v>0</x:v>
      </x:c>
      <x:c r="H482" s="10" t="n">
        <x:v>14.671333332</x:v>
      </x:c>
      <x:c r="I482" s="11" t="n">
        <x:f>E482*Rates!$B$4+F482*Rates!$B$5+G482*Rates!$B$6+H482*Rates!$B$7</x:f>
        <x:v>0.030154666664</x:v>
      </x:c>
    </x:row>
    <x:row r="483" ht="24" customHeight="1">
      <x:c r="A483" s="10" t="str">
        <x:v>S05-04</x:v>
      </x:c>
      <x:c r="B483" s="10" t="str">
        <x:v>A</x:v>
      </x:c>
      <x:c r="C483" s="10" t="str">
        <x:v>semantic</x:v>
      </x:c>
      <x:c r="D483" s="10" t="str">
        <x:v>setup</x:v>
      </x:c>
      <x:c r="E483" s="13" t="n">
        <x:v>600</x:v>
      </x:c>
      <x:c r="F483" s="13" t="n">
        <x:v>16</x:v>
      </x:c>
      <x:c r="G483" s="10" t="n">
        <x:v>0</x:v>
      </x:c>
      <x:c r="H483" s="10" t="n">
        <x:v>0</x:v>
      </x:c>
      <x:c r="I483" s="11" t="n">
        <x:f>E483*Rates!$B$4+F483*Rates!$B$5+G483*Rates!$B$6+H483*Rates!$B$7</x:f>
        <x:v>0.000664</x:v>
      </x:c>
    </x:row>
    <x:row r="484" ht="24" customHeight="1">
      <x:c r="A484" s="10" t="str">
        <x:v>S05-04</x:v>
      </x:c>
      <x:c r="B484" s="10" t="str">
        <x:v>A</x:v>
      </x:c>
      <x:c r="C484" s="10" t="str">
        <x:v>speech_input</x:v>
      </x:c>
      <x:c r="D484" s="10" t="str">
        <x:v>setup</x:v>
      </x:c>
      <x:c r="E484" s="13" t="n">
        <x:v>0</x:v>
      </x:c>
      <x:c r="F484" s="13" t="n">
        <x:v>0</x:v>
      </x:c>
      <x:c r="G484" s="10" t="n">
        <x:v>2</x:v>
      </x:c>
      <x:c r="H484" s="10" t="n">
        <x:v>0</x:v>
      </x:c>
      <x:c r="I484" s="11" t="n">
        <x:f>E484*Rates!$B$4+F484*Rates!$B$5+G484*Rates!$B$6+H484*Rates!$B$7</x:f>
        <x:v>0.002</x:v>
      </x:c>
    </x:row>
    <x:row r="485" ht="24" customHeight="1">
      <x:c r="A485" s="10" t="str">
        <x:v>S05-04</x:v>
      </x:c>
      <x:c r="B485" s="10" t="str">
        <x:v>A</x:v>
      </x:c>
      <x:c r="C485" s="10" t="str">
        <x:v>semantic</x:v>
      </x:c>
      <x:c r="D485" s="10" t="str">
        <x:v>evaluation</x:v>
      </x:c>
      <x:c r="E485" s="13" t="n">
        <x:v>680</x:v>
      </x:c>
      <x:c r="F485" s="13" t="n">
        <x:v>18</x:v>
      </x:c>
      <x:c r="G485" s="10" t="n">
        <x:v>0</x:v>
      </x:c>
      <x:c r="H485" s="10" t="n">
        <x:v>0</x:v>
      </x:c>
      <x:c r="I485" s="11" t="n">
        <x:f>E485*Rates!$B$4+F485*Rates!$B$5+G485*Rates!$B$6+H485*Rates!$B$7</x:f>
        <x:v>0.000752</x:v>
      </x:c>
    </x:row>
    <x:row r="486" ht="24" customHeight="1">
      <x:c r="A486" s="10" t="str">
        <x:v>S05-04</x:v>
      </x:c>
      <x:c r="B486" s="10" t="str">
        <x:v>A</x:v>
      </x:c>
      <x:c r="C486" s="10" t="str">
        <x:v>speech_input</x:v>
      </x:c>
      <x:c r="D486" s="10" t="str">
        <x:v>evaluation</x:v>
      </x:c>
      <x:c r="E486" s="13" t="n">
        <x:v>0</x:v>
      </x:c>
      <x:c r="F486" s="13" t="n">
        <x:v>0</x:v>
      </x:c>
      <x:c r="G486" s="10" t="n">
        <x:v>3.6</x:v>
      </x:c>
      <x:c r="H486" s="10" t="n">
        <x:v>0</x:v>
      </x:c>
      <x:c r="I486" s="11" t="n">
        <x:f>E486*Rates!$B$4+F486*Rates!$B$5+G486*Rates!$B$6+H486*Rates!$B$7</x:f>
        <x:v>0.0036000000000000003</x:v>
      </x:c>
    </x:row>
    <x:row r="487" ht="24" customHeight="1">
      <x:c r="A487" s="10" t="str">
        <x:v>S05-04</x:v>
      </x:c>
      <x:c r="B487" s="10" t="str">
        <x:v>A</x:v>
      </x:c>
      <x:c r="C487" s="10" t="str">
        <x:v>speech_output</x:v>
      </x:c>
      <x:c r="D487" s="10" t="str">
        <x:v>retained</x:v>
      </x:c>
      <x:c r="E487" s="13" t="n">
        <x:v>572</x:v>
      </x:c>
      <x:c r="F487" s="13" t="n">
        <x:v>0</x:v>
      </x:c>
      <x:c r="G487" s="10" t="n">
        <x:v>0</x:v>
      </x:c>
      <x:c r="H487" s="10" t="n">
        <x:v>35.982</x:v>
      </x:c>
      <x:c r="I487" s="11" t="n">
        <x:f>E487*Rates!$B$4+F487*Rates!$B$5+G487*Rates!$B$6+H487*Rates!$B$7</x:f>
        <x:v>0.072536</x:v>
      </x:c>
    </x:row>
    <x:row r="488" ht="24" customHeight="1">
      <x:c r="A488" s="10" t="str">
        <x:v>S05-04</x:v>
      </x:c>
      <x:c r="B488" s="10" t="str">
        <x:v>A</x:v>
      </x:c>
      <x:c r="C488" s="10" t="str">
        <x:v>speech_output</x:v>
      </x:c>
      <x:c r="D488" s="10" t="str">
        <x:v>retained</x:v>
      </x:c>
      <x:c r="E488" s="13" t="n">
        <x:v>126</x:v>
      </x:c>
      <x:c r="F488" s="13" t="n">
        <x:v>0</x:v>
      </x:c>
      <x:c r="G488" s="10" t="n">
        <x:v>0</x:v>
      </x:c>
      <x:c r="H488" s="10" t="n">
        <x:v>2.782</x:v>
      </x:c>
      <x:c r="I488" s="11" t="n">
        <x:f>E488*Rates!$B$4+F488*Rates!$B$5+G488*Rates!$B$6+H488*Rates!$B$7</x:f>
        <x:v>0.005690000000000001</x:v>
      </x:c>
    </x:row>
    <x:row r="489" ht="24" customHeight="1">
      <x:c r="A489" s="10" t="str">
        <x:v>S05-04</x:v>
      </x:c>
      <x:c r="B489" s="10" t="str">
        <x:v>B</x:v>
      </x:c>
      <x:c r="C489" s="10" t="str">
        <x:v>semantic</x:v>
      </x:c>
      <x:c r="D489" s="10" t="str">
        <x:v>setup</x:v>
      </x:c>
      <x:c r="E489" s="13" t="n">
        <x:v>600</x:v>
      </x:c>
      <x:c r="F489" s="13" t="n">
        <x:v>16</x:v>
      </x:c>
      <x:c r="G489" s="10" t="n">
        <x:v>0</x:v>
      </x:c>
      <x:c r="H489" s="10" t="n">
        <x:v>0</x:v>
      </x:c>
      <x:c r="I489" s="11" t="n">
        <x:f>E489*Rates!$B$4+F489*Rates!$B$5+G489*Rates!$B$6+H489*Rates!$B$7</x:f>
        <x:v>0.000664</x:v>
      </x:c>
    </x:row>
    <x:row r="490" ht="24" customHeight="1">
      <x:c r="A490" s="10" t="str">
        <x:v>S05-04</x:v>
      </x:c>
      <x:c r="B490" s="10" t="str">
        <x:v>B</x:v>
      </x:c>
      <x:c r="C490" s="10" t="str">
        <x:v>speech_input</x:v>
      </x:c>
      <x:c r="D490" s="10" t="str">
        <x:v>setup</x:v>
      </x:c>
      <x:c r="E490" s="13" t="n">
        <x:v>0</x:v>
      </x:c>
      <x:c r="F490" s="13" t="n">
        <x:v>0</x:v>
      </x:c>
      <x:c r="G490" s="10" t="n">
        <x:v>2</x:v>
      </x:c>
      <x:c r="H490" s="10" t="n">
        <x:v>0</x:v>
      </x:c>
      <x:c r="I490" s="11" t="n">
        <x:f>E490*Rates!$B$4+F490*Rates!$B$5+G490*Rates!$B$6+H490*Rates!$B$7</x:f>
        <x:v>0.002</x:v>
      </x:c>
    </x:row>
    <x:row r="491" ht="24" customHeight="1">
      <x:c r="A491" s="10" t="str">
        <x:v>S05-04</x:v>
      </x:c>
      <x:c r="B491" s="10" t="str">
        <x:v>B</x:v>
      </x:c>
      <x:c r="C491" s="10" t="str">
        <x:v>semantic</x:v>
      </x:c>
      <x:c r="D491" s="10" t="str">
        <x:v>evaluation</x:v>
      </x:c>
      <x:c r="E491" s="13" t="n">
        <x:v>680</x:v>
      </x:c>
      <x:c r="F491" s="13" t="n">
        <x:v>18</x:v>
      </x:c>
      <x:c r="G491" s="10" t="n">
        <x:v>0</x:v>
      </x:c>
      <x:c r="H491" s="10" t="n">
        <x:v>0</x:v>
      </x:c>
      <x:c r="I491" s="11" t="n">
        <x:f>E491*Rates!$B$4+F491*Rates!$B$5+G491*Rates!$B$6+H491*Rates!$B$7</x:f>
        <x:v>0.000752</x:v>
      </x:c>
    </x:row>
    <x:row r="492" ht="24" customHeight="1">
      <x:c r="A492" s="10" t="str">
        <x:v>S05-04</x:v>
      </x:c>
      <x:c r="B492" s="10" t="str">
        <x:v>B</x:v>
      </x:c>
      <x:c r="C492" s="10" t="str">
        <x:v>speech_input</x:v>
      </x:c>
      <x:c r="D492" s="10" t="str">
        <x:v>evaluation</x:v>
      </x:c>
      <x:c r="E492" s="13" t="n">
        <x:v>0</x:v>
      </x:c>
      <x:c r="F492" s="13" t="n">
        <x:v>0</x:v>
      </x:c>
      <x:c r="G492" s="10" t="n">
        <x:v>3.6</x:v>
      </x:c>
      <x:c r="H492" s="10" t="n">
        <x:v>0</x:v>
      </x:c>
      <x:c r="I492" s="11" t="n">
        <x:f>E492*Rates!$B$4+F492*Rates!$B$5+G492*Rates!$B$6+H492*Rates!$B$7</x:f>
        <x:v>0.0036000000000000003</x:v>
      </x:c>
    </x:row>
    <x:row r="493" ht="24" customHeight="1">
      <x:c r="A493" s="10" t="str">
        <x:v>S05-04</x:v>
      </x:c>
      <x:c r="B493" s="10" t="str">
        <x:v>B</x:v>
      </x:c>
      <x:c r="C493" s="10" t="str">
        <x:v>speech_output</x:v>
      </x:c>
      <x:c r="D493" s="10" t="str">
        <x:v>retained</x:v>
      </x:c>
      <x:c r="E493" s="13" t="n">
        <x:v>572</x:v>
      </x:c>
      <x:c r="F493" s="13" t="n">
        <x:v>0</x:v>
      </x:c>
      <x:c r="G493" s="10" t="n">
        <x:v>0</x:v>
      </x:c>
      <x:c r="H493" s="10" t="n">
        <x:v>21.412</x:v>
      </x:c>
      <x:c r="I493" s="11" t="n">
        <x:f>E493*Rates!$B$4+F493*Rates!$B$5+G493*Rates!$B$6+H493*Rates!$B$7</x:f>
        <x:v>0.043396000000000004</x:v>
      </x:c>
    </x:row>
    <x:row r="494" ht="24" customHeight="1">
      <x:c r="A494" s="10" t="str">
        <x:v>S05-04</x:v>
      </x:c>
      <x:c r="B494" s="10" t="str">
        <x:v>B</x:v>
      </x:c>
      <x:c r="C494" s="10" t="str">
        <x:v>speech_output</x:v>
      </x:c>
      <x:c r="D494" s="10" t="str">
        <x:v>retained</x:v>
      </x:c>
      <x:c r="E494" s="13" t="n">
        <x:v>126</x:v>
      </x:c>
      <x:c r="F494" s="13" t="n">
        <x:v>0</x:v>
      </x:c>
      <x:c r="G494" s="10" t="n">
        <x:v>0</x:v>
      </x:c>
      <x:c r="H494" s="10" t="n">
        <x:v>2.782</x:v>
      </x:c>
      <x:c r="I494" s="11" t="n">
        <x:f>E494*Rates!$B$4+F494*Rates!$B$5+G494*Rates!$B$6+H494*Rates!$B$7</x:f>
        <x:v>0.005690000000000001</x:v>
      </x:c>
    </x:row>
    <x:row r="495" ht="24" customHeight="1">
      <x:c r="A495" s="10" t="str">
        <x:v>S05-04</x:v>
      </x:c>
      <x:c r="B495" s="10" t="str">
        <x:v>B</x:v>
      </x:c>
      <x:c r="C495" s="10" t="str">
        <x:v>speech_output</x:v>
      </x:c>
      <x:c r="D495" s="10" t="str">
        <x:v>retained</x:v>
      </x:c>
      <x:c r="E495" s="13" t="n">
        <x:v>812</x:v>
      </x:c>
      <x:c r="F495" s="13" t="n">
        <x:v>0</x:v>
      </x:c>
      <x:c r="G495" s="10" t="n">
        <x:v>0</x:v>
      </x:c>
      <x:c r="H495" s="10" t="n">
        <x:v>14.57</x:v>
      </x:c>
      <x:c r="I495" s="11" t="n">
        <x:f>E495*Rates!$B$4+F495*Rates!$B$5+G495*Rates!$B$6+H495*Rates!$B$7</x:f>
        <x:v>0.029952000000000003</x:v>
      </x:c>
    </x:row>
    <x:row r="496" ht="24" customHeight="1">
      <x:c r="A496" s="10" t="str">
        <x:v>S05-05</x:v>
      </x:c>
      <x:c r="B496" s="10" t="str">
        <x:v>A</x:v>
      </x:c>
      <x:c r="C496" s="10" t="str">
        <x:v>semantic</x:v>
      </x:c>
      <x:c r="D496" s="10" t="str">
        <x:v>setup</x:v>
      </x:c>
      <x:c r="E496" s="13" t="n">
        <x:v>600</x:v>
      </x:c>
      <x:c r="F496" s="13" t="n">
        <x:v>16</x:v>
      </x:c>
      <x:c r="G496" s="10" t="n">
        <x:v>0</x:v>
      </x:c>
      <x:c r="H496" s="10" t="n">
        <x:v>0</x:v>
      </x:c>
      <x:c r="I496" s="11" t="n">
        <x:f>E496*Rates!$B$4+F496*Rates!$B$5+G496*Rates!$B$6+H496*Rates!$B$7</x:f>
        <x:v>0.000664</x:v>
      </x:c>
    </x:row>
    <x:row r="497" ht="24" customHeight="1">
      <x:c r="A497" s="10" t="str">
        <x:v>S05-05</x:v>
      </x:c>
      <x:c r="B497" s="10" t="str">
        <x:v>A</x:v>
      </x:c>
      <x:c r="C497" s="10" t="str">
        <x:v>speech_input</x:v>
      </x:c>
      <x:c r="D497" s="10" t="str">
        <x:v>setup</x:v>
      </x:c>
      <x:c r="E497" s="13" t="n">
        <x:v>0</x:v>
      </x:c>
      <x:c r="F497" s="13" t="n">
        <x:v>0</x:v>
      </x:c>
      <x:c r="G497" s="10" t="n">
        <x:v>2</x:v>
      </x:c>
      <x:c r="H497" s="10" t="n">
        <x:v>0</x:v>
      </x:c>
      <x:c r="I497" s="11" t="n">
        <x:f>E497*Rates!$B$4+F497*Rates!$B$5+G497*Rates!$B$6+H497*Rates!$B$7</x:f>
        <x:v>0.002</x:v>
      </x:c>
    </x:row>
    <x:row r="498" ht="24" customHeight="1">
      <x:c r="A498" s="10" t="str">
        <x:v>S05-05</x:v>
      </x:c>
      <x:c r="B498" s="10" t="str">
        <x:v>A</x:v>
      </x:c>
      <x:c r="C498" s="10" t="str">
        <x:v>semantic</x:v>
      </x:c>
      <x:c r="D498" s="10" t="str">
        <x:v>evaluation</x:v>
      </x:c>
      <x:c r="E498" s="13" t="n">
        <x:v>700</x:v>
      </x:c>
      <x:c r="F498" s="13" t="n">
        <x:v>20</x:v>
      </x:c>
      <x:c r="G498" s="10" t="n">
        <x:v>0</x:v>
      </x:c>
      <x:c r="H498" s="10" t="n">
        <x:v>0</x:v>
      </x:c>
      <x:c r="I498" s="11" t="n">
        <x:f>E498*Rates!$B$4+F498*Rates!$B$5+G498*Rates!$B$6+H498*Rates!$B$7</x:f>
        <x:v>0.00078</x:v>
      </x:c>
    </x:row>
    <x:row r="499" ht="24" customHeight="1">
      <x:c r="A499" s="10" t="str">
        <x:v>S05-05</x:v>
      </x:c>
      <x:c r="B499" s="10" t="str">
        <x:v>A</x:v>
      </x:c>
      <x:c r="C499" s="10" t="str">
        <x:v>speech_input</x:v>
      </x:c>
      <x:c r="D499" s="10" t="str">
        <x:v>evaluation</x:v>
      </x:c>
      <x:c r="E499" s="13" t="n">
        <x:v>0</x:v>
      </x:c>
      <x:c r="F499" s="13" t="n">
        <x:v>0</x:v>
      </x:c>
      <x:c r="G499" s="10" t="n">
        <x:v>3.6</x:v>
      </x:c>
      <x:c r="H499" s="10" t="n">
        <x:v>0</x:v>
      </x:c>
      <x:c r="I499" s="11" t="n">
        <x:f>E499*Rates!$B$4+F499*Rates!$B$5+G499*Rates!$B$6+H499*Rates!$B$7</x:f>
        <x:v>0.0036000000000000003</x:v>
      </x:c>
    </x:row>
    <x:row r="500" ht="24" customHeight="1">
      <x:c r="A500" s="10" t="str">
        <x:v>S05-05</x:v>
      </x:c>
      <x:c r="B500" s="10" t="str">
        <x:v>A</x:v>
      </x:c>
      <x:c r="C500" s="10" t="str">
        <x:v>speech_output</x:v>
      </x:c>
      <x:c r="D500" s="10" t="str">
        <x:v>retained</x:v>
      </x:c>
      <x:c r="E500" s="13" t="n">
        <x:v>572</x:v>
      </x:c>
      <x:c r="F500" s="13" t="n">
        <x:v>0</x:v>
      </x:c>
      <x:c r="G500" s="10" t="n">
        <x:v>0</x:v>
      </x:c>
      <x:c r="H500" s="10" t="n">
        <x:v>35.994</x:v>
      </x:c>
      <x:c r="I500" s="11" t="n">
        <x:f>E500*Rates!$B$4+F500*Rates!$B$5+G500*Rates!$B$6+H500*Rates!$B$7</x:f>
        <x:v>0.07256</x:v>
      </x:c>
    </x:row>
    <x:row r="501" ht="24" customHeight="1">
      <x:c r="A501" s="10" t="str">
        <x:v>S05-05</x:v>
      </x:c>
      <x:c r="B501" s="10" t="str">
        <x:v>A</x:v>
      </x:c>
      <x:c r="C501" s="10" t="str">
        <x:v>speech_output</x:v>
      </x:c>
      <x:c r="D501" s="10" t="str">
        <x:v>retained</x:v>
      </x:c>
      <x:c r="E501" s="13" t="n">
        <x:v>126</x:v>
      </x:c>
      <x:c r="F501" s="13" t="n">
        <x:v>0</x:v>
      </x:c>
      <x:c r="G501" s="10" t="n">
        <x:v>0</x:v>
      </x:c>
      <x:c r="H501" s="10" t="n">
        <x:v>2.794</x:v>
      </x:c>
      <x:c r="I501" s="11" t="n">
        <x:f>E501*Rates!$B$4+F501*Rates!$B$5+G501*Rates!$B$6+H501*Rates!$B$7</x:f>
        <x:v>0.005714</x:v>
      </x:c>
    </x:row>
    <x:row r="502" ht="24" customHeight="1">
      <x:c r="A502" s="10" t="str">
        <x:v>S05-05</x:v>
      </x:c>
      <x:c r="B502" s="10" t="str">
        <x:v>B</x:v>
      </x:c>
      <x:c r="C502" s="10" t="str">
        <x:v>semantic</x:v>
      </x:c>
      <x:c r="D502" s="10" t="str">
        <x:v>setup</x:v>
      </x:c>
      <x:c r="E502" s="13" t="n">
        <x:v>600</x:v>
      </x:c>
      <x:c r="F502" s="13" t="n">
        <x:v>16</x:v>
      </x:c>
      <x:c r="G502" s="10" t="n">
        <x:v>0</x:v>
      </x:c>
      <x:c r="H502" s="10" t="n">
        <x:v>0</x:v>
      </x:c>
      <x:c r="I502" s="11" t="n">
        <x:f>E502*Rates!$B$4+F502*Rates!$B$5+G502*Rates!$B$6+H502*Rates!$B$7</x:f>
        <x:v>0.000664</x:v>
      </x:c>
    </x:row>
    <x:row r="503" ht="24" customHeight="1">
      <x:c r="A503" s="10" t="str">
        <x:v>S05-05</x:v>
      </x:c>
      <x:c r="B503" s="10" t="str">
        <x:v>B</x:v>
      </x:c>
      <x:c r="C503" s="10" t="str">
        <x:v>speech_input</x:v>
      </x:c>
      <x:c r="D503" s="10" t="str">
        <x:v>setup</x:v>
      </x:c>
      <x:c r="E503" s="13" t="n">
        <x:v>0</x:v>
      </x:c>
      <x:c r="F503" s="13" t="n">
        <x:v>0</x:v>
      </x:c>
      <x:c r="G503" s="10" t="n">
        <x:v>2</x:v>
      </x:c>
      <x:c r="H503" s="10" t="n">
        <x:v>0</x:v>
      </x:c>
      <x:c r="I503" s="11" t="n">
        <x:f>E503*Rates!$B$4+F503*Rates!$B$5+G503*Rates!$B$6+H503*Rates!$B$7</x:f>
        <x:v>0.002</x:v>
      </x:c>
    </x:row>
    <x:row r="504" ht="24" customHeight="1">
      <x:c r="A504" s="10" t="str">
        <x:v>S05-05</x:v>
      </x:c>
      <x:c r="B504" s="10" t="str">
        <x:v>B</x:v>
      </x:c>
      <x:c r="C504" s="10" t="str">
        <x:v>semantic</x:v>
      </x:c>
      <x:c r="D504" s="10" t="str">
        <x:v>evaluation</x:v>
      </x:c>
      <x:c r="E504" s="13" t="n">
        <x:v>700</x:v>
      </x:c>
      <x:c r="F504" s="13" t="n">
        <x:v>20</x:v>
      </x:c>
      <x:c r="G504" s="10" t="n">
        <x:v>0</x:v>
      </x:c>
      <x:c r="H504" s="10" t="n">
        <x:v>0</x:v>
      </x:c>
      <x:c r="I504" s="11" t="n">
        <x:f>E504*Rates!$B$4+F504*Rates!$B$5+G504*Rates!$B$6+H504*Rates!$B$7</x:f>
        <x:v>0.00078</x:v>
      </x:c>
    </x:row>
    <x:row r="505" ht="24" customHeight="1">
      <x:c r="A505" s="10" t="str">
        <x:v>S05-05</x:v>
      </x:c>
      <x:c r="B505" s="10" t="str">
        <x:v>B</x:v>
      </x:c>
      <x:c r="C505" s="10" t="str">
        <x:v>speech_input</x:v>
      </x:c>
      <x:c r="D505" s="10" t="str">
        <x:v>evaluation</x:v>
      </x:c>
      <x:c r="E505" s="13" t="n">
        <x:v>0</x:v>
      </x:c>
      <x:c r="F505" s="13" t="n">
        <x:v>0</x:v>
      </x:c>
      <x:c r="G505" s="10" t="n">
        <x:v>3.6</x:v>
      </x:c>
      <x:c r="H505" s="10" t="n">
        <x:v>0</x:v>
      </x:c>
      <x:c r="I505" s="11" t="n">
        <x:f>E505*Rates!$B$4+F505*Rates!$B$5+G505*Rates!$B$6+H505*Rates!$B$7</x:f>
        <x:v>0.0036000000000000003</x:v>
      </x:c>
    </x:row>
    <x:row r="506" ht="24" customHeight="1">
      <x:c r="A506" s="10" t="str">
        <x:v>S05-05</x:v>
      </x:c>
      <x:c r="B506" s="10" t="str">
        <x:v>B</x:v>
      </x:c>
      <x:c r="C506" s="10" t="str">
        <x:v>speech_output</x:v>
      </x:c>
      <x:c r="D506" s="10" t="str">
        <x:v>retained</x:v>
      </x:c>
      <x:c r="E506" s="13" t="n">
        <x:v>572</x:v>
      </x:c>
      <x:c r="F506" s="13" t="n">
        <x:v>0</x:v>
      </x:c>
      <x:c r="G506" s="10" t="n">
        <x:v>0</x:v>
      </x:c>
      <x:c r="H506" s="10" t="n">
        <x:v>21.525333336</x:v>
      </x:c>
      <x:c r="I506" s="11" t="n">
        <x:f>E506*Rates!$B$4+F506*Rates!$B$5+G506*Rates!$B$6+H506*Rates!$B$7</x:f>
        <x:v>0.043622666672</x:v>
      </x:c>
    </x:row>
    <x:row r="507" ht="24" customHeight="1">
      <x:c r="A507" s="10" t="str">
        <x:v>S05-05</x:v>
      </x:c>
      <x:c r="B507" s="10" t="str">
        <x:v>B</x:v>
      </x:c>
      <x:c r="C507" s="10" t="str">
        <x:v>speech_output</x:v>
      </x:c>
      <x:c r="D507" s="10" t="str">
        <x:v>retained</x:v>
      </x:c>
      <x:c r="E507" s="13" t="n">
        <x:v>126</x:v>
      </x:c>
      <x:c r="F507" s="13" t="n">
        <x:v>0</x:v>
      </x:c>
      <x:c r="G507" s="10" t="n">
        <x:v>0</x:v>
      </x:c>
      <x:c r="H507" s="10" t="n">
        <x:v>2.794</x:v>
      </x:c>
      <x:c r="I507" s="11" t="n">
        <x:f>E507*Rates!$B$4+F507*Rates!$B$5+G507*Rates!$B$6+H507*Rates!$B$7</x:f>
        <x:v>0.005714</x:v>
      </x:c>
    </x:row>
    <x:row r="508" ht="24" customHeight="1">
      <x:c r="A508" s="10" t="str">
        <x:v>S05-05</x:v>
      </x:c>
      <x:c r="B508" s="10" t="str">
        <x:v>B</x:v>
      </x:c>
      <x:c r="C508" s="10" t="str">
        <x:v>speech_output</x:v>
      </x:c>
      <x:c r="D508" s="10" t="str">
        <x:v>retained</x:v>
      </x:c>
      <x:c r="E508" s="13" t="n">
        <x:v>812</x:v>
      </x:c>
      <x:c r="F508" s="13" t="n">
        <x:v>0</x:v>
      </x:c>
      <x:c r="G508" s="10" t="n">
        <x:v>0</x:v>
      </x:c>
      <x:c r="H508" s="10" t="n">
        <x:v>14.468666664</x:v>
      </x:c>
      <x:c r="I508" s="11" t="n">
        <x:f>E508*Rates!$B$4+F508*Rates!$B$5+G508*Rates!$B$6+H508*Rates!$B$7</x:f>
        <x:v>0.029749333328</x:v>
      </x:c>
    </x:row>
    <x:row r="509" ht="24" customHeight="1">
      <x:c r="A509" s="10" t="str">
        <x:v>S05-06</x:v>
      </x:c>
      <x:c r="B509" s="10" t="str">
        <x:v>A</x:v>
      </x:c>
      <x:c r="C509" s="10" t="str">
        <x:v>semantic</x:v>
      </x:c>
      <x:c r="D509" s="10" t="str">
        <x:v>setup</x:v>
      </x:c>
      <x:c r="E509" s="13" t="n">
        <x:v>600</x:v>
      </x:c>
      <x:c r="F509" s="13" t="n">
        <x:v>16</x:v>
      </x:c>
      <x:c r="G509" s="10" t="n">
        <x:v>0</x:v>
      </x:c>
      <x:c r="H509" s="10" t="n">
        <x:v>0</x:v>
      </x:c>
      <x:c r="I509" s="11" t="n">
        <x:f>E509*Rates!$B$4+F509*Rates!$B$5+G509*Rates!$B$6+H509*Rates!$B$7</x:f>
        <x:v>0.000664</x:v>
      </x:c>
    </x:row>
    <x:row r="510" ht="24" customHeight="1">
      <x:c r="A510" s="10" t="str">
        <x:v>S05-06</x:v>
      </x:c>
      <x:c r="B510" s="10" t="str">
        <x:v>A</x:v>
      </x:c>
      <x:c r="C510" s="10" t="str">
        <x:v>speech_input</x:v>
      </x:c>
      <x:c r="D510" s="10" t="str">
        <x:v>setup</x:v>
      </x:c>
      <x:c r="E510" s="13" t="n">
        <x:v>0</x:v>
      </x:c>
      <x:c r="F510" s="13" t="n">
        <x:v>0</x:v>
      </x:c>
      <x:c r="G510" s="10" t="n">
        <x:v>2</x:v>
      </x:c>
      <x:c r="H510" s="10" t="n">
        <x:v>0</x:v>
      </x:c>
      <x:c r="I510" s="11" t="n">
        <x:f>E510*Rates!$B$4+F510*Rates!$B$5+G510*Rates!$B$6+H510*Rates!$B$7</x:f>
        <x:v>0.002</x:v>
      </x:c>
    </x:row>
    <x:row r="511" ht="24" customHeight="1">
      <x:c r="A511" s="10" t="str">
        <x:v>S05-06</x:v>
      </x:c>
      <x:c r="B511" s="10" t="str">
        <x:v>A</x:v>
      </x:c>
      <x:c r="C511" s="10" t="str">
        <x:v>semantic</x:v>
      </x:c>
      <x:c r="D511" s="10" t="str">
        <x:v>evaluation</x:v>
      </x:c>
      <x:c r="E511" s="13" t="n">
        <x:v>720</x:v>
      </x:c>
      <x:c r="F511" s="13" t="n">
        <x:v>16</x:v>
      </x:c>
      <x:c r="G511" s="10" t="n">
        <x:v>0</x:v>
      </x:c>
      <x:c r="H511" s="10" t="n">
        <x:v>0</x:v>
      </x:c>
      <x:c r="I511" s="11" t="n">
        <x:f>E511*Rates!$B$4+F511*Rates!$B$5+G511*Rates!$B$6+H511*Rates!$B$7</x:f>
        <x:v>0.000784</x:v>
      </x:c>
    </x:row>
    <x:row r="512" ht="24" customHeight="1">
      <x:c r="A512" s="10" t="str">
        <x:v>S05-06</x:v>
      </x:c>
      <x:c r="B512" s="10" t="str">
        <x:v>A</x:v>
      </x:c>
      <x:c r="C512" s="10" t="str">
        <x:v>speech_input</x:v>
      </x:c>
      <x:c r="D512" s="10" t="str">
        <x:v>evaluation</x:v>
      </x:c>
      <x:c r="E512" s="13" t="n">
        <x:v>0</x:v>
      </x:c>
      <x:c r="F512" s="13" t="n">
        <x:v>0</x:v>
      </x:c>
      <x:c r="G512" s="10" t="n">
        <x:v>3.6</x:v>
      </x:c>
      <x:c r="H512" s="10" t="n">
        <x:v>0</x:v>
      </x:c>
      <x:c r="I512" s="11" t="n">
        <x:f>E512*Rates!$B$4+F512*Rates!$B$5+G512*Rates!$B$6+H512*Rates!$B$7</x:f>
        <x:v>0.0036000000000000003</x:v>
      </x:c>
    </x:row>
    <x:row r="513" ht="24" customHeight="1">
      <x:c r="A513" s="10" t="str">
        <x:v>S05-06</x:v>
      </x:c>
      <x:c r="B513" s="10" t="str">
        <x:v>A</x:v>
      </x:c>
      <x:c r="C513" s="10" t="str">
        <x:v>speech_output</x:v>
      </x:c>
      <x:c r="D513" s="10" t="str">
        <x:v>retained</x:v>
      </x:c>
      <x:c r="E513" s="13" t="n">
        <x:v>572</x:v>
      </x:c>
      <x:c r="F513" s="13" t="n">
        <x:v>0</x:v>
      </x:c>
      <x:c r="G513" s="10" t="n">
        <x:v>0</x:v>
      </x:c>
      <x:c r="H513" s="10" t="n">
        <x:v>36.006</x:v>
      </x:c>
      <x:c r="I513" s="11" t="n">
        <x:f>E513*Rates!$B$4+F513*Rates!$B$5+G513*Rates!$B$6+H513*Rates!$B$7</x:f>
        <x:v>0.07258400000000001</x:v>
      </x:c>
    </x:row>
    <x:row r="514" ht="24" customHeight="1">
      <x:c r="A514" s="10" t="str">
        <x:v>S05-06</x:v>
      </x:c>
      <x:c r="B514" s="10" t="str">
        <x:v>A</x:v>
      </x:c>
      <x:c r="C514" s="10" t="str">
        <x:v>speech_output</x:v>
      </x:c>
      <x:c r="D514" s="10" t="str">
        <x:v>retained</x:v>
      </x:c>
      <x:c r="E514" s="13" t="n">
        <x:v>126</x:v>
      </x:c>
      <x:c r="F514" s="13" t="n">
        <x:v>0</x:v>
      </x:c>
      <x:c r="G514" s="10" t="n">
        <x:v>0</x:v>
      </x:c>
      <x:c r="H514" s="10" t="n">
        <x:v>2.806</x:v>
      </x:c>
      <x:c r="I514" s="11" t="n">
        <x:f>E514*Rates!$B$4+F514*Rates!$B$5+G514*Rates!$B$6+H514*Rates!$B$7</x:f>
        <x:v>0.005738</x:v>
      </x:c>
    </x:row>
    <x:row r="515" ht="24" customHeight="1">
      <x:c r="A515" s="10" t="str">
        <x:v>S05-06</x:v>
      </x:c>
      <x:c r="B515" s="10" t="str">
        <x:v>B</x:v>
      </x:c>
      <x:c r="C515" s="10" t="str">
        <x:v>semantic</x:v>
      </x:c>
      <x:c r="D515" s="10" t="str">
        <x:v>setup</x:v>
      </x:c>
      <x:c r="E515" s="13" t="n">
        <x:v>600</x:v>
      </x:c>
      <x:c r="F515" s="13" t="n">
        <x:v>16</x:v>
      </x:c>
      <x:c r="G515" s="10" t="n">
        <x:v>0</x:v>
      </x:c>
      <x:c r="H515" s="10" t="n">
        <x:v>0</x:v>
      </x:c>
      <x:c r="I515" s="11" t="n">
        <x:f>E515*Rates!$B$4+F515*Rates!$B$5+G515*Rates!$B$6+H515*Rates!$B$7</x:f>
        <x:v>0.000664</x:v>
      </x:c>
    </x:row>
    <x:row r="516" ht="24" customHeight="1">
      <x:c r="A516" s="10" t="str">
        <x:v>S05-06</x:v>
      </x:c>
      <x:c r="B516" s="10" t="str">
        <x:v>B</x:v>
      </x:c>
      <x:c r="C516" s="10" t="str">
        <x:v>speech_input</x:v>
      </x:c>
      <x:c r="D516" s="10" t="str">
        <x:v>setup</x:v>
      </x:c>
      <x:c r="E516" s="13" t="n">
        <x:v>0</x:v>
      </x:c>
      <x:c r="F516" s="13" t="n">
        <x:v>0</x:v>
      </x:c>
      <x:c r="G516" s="10" t="n">
        <x:v>2</x:v>
      </x:c>
      <x:c r="H516" s="10" t="n">
        <x:v>0</x:v>
      </x:c>
      <x:c r="I516" s="11" t="n">
        <x:f>E516*Rates!$B$4+F516*Rates!$B$5+G516*Rates!$B$6+H516*Rates!$B$7</x:f>
        <x:v>0.002</x:v>
      </x:c>
    </x:row>
    <x:row r="517" ht="24" customHeight="1">
      <x:c r="A517" s="10" t="str">
        <x:v>S05-06</x:v>
      </x:c>
      <x:c r="B517" s="10" t="str">
        <x:v>B</x:v>
      </x:c>
      <x:c r="C517" s="10" t="str">
        <x:v>semantic</x:v>
      </x:c>
      <x:c r="D517" s="10" t="str">
        <x:v>evaluation</x:v>
      </x:c>
      <x:c r="E517" s="13" t="n">
        <x:v>720</x:v>
      </x:c>
      <x:c r="F517" s="13" t="n">
        <x:v>16</x:v>
      </x:c>
      <x:c r="G517" s="10" t="n">
        <x:v>0</x:v>
      </x:c>
      <x:c r="H517" s="10" t="n">
        <x:v>0</x:v>
      </x:c>
      <x:c r="I517" s="11" t="n">
        <x:f>E517*Rates!$B$4+F517*Rates!$B$5+G517*Rates!$B$6+H517*Rates!$B$7</x:f>
        <x:v>0.000784</x:v>
      </x:c>
    </x:row>
    <x:row r="518" ht="24" customHeight="1">
      <x:c r="A518" s="10" t="str">
        <x:v>S05-06</x:v>
      </x:c>
      <x:c r="B518" s="10" t="str">
        <x:v>B</x:v>
      </x:c>
      <x:c r="C518" s="10" t="str">
        <x:v>speech_input</x:v>
      </x:c>
      <x:c r="D518" s="10" t="str">
        <x:v>evaluation</x:v>
      </x:c>
      <x:c r="E518" s="13" t="n">
        <x:v>0</x:v>
      </x:c>
      <x:c r="F518" s="13" t="n">
        <x:v>0</x:v>
      </x:c>
      <x:c r="G518" s="10" t="n">
        <x:v>3.6</x:v>
      </x:c>
      <x:c r="H518" s="10" t="n">
        <x:v>0</x:v>
      </x:c>
      <x:c r="I518" s="11" t="n">
        <x:f>E518*Rates!$B$4+F518*Rates!$B$5+G518*Rates!$B$6+H518*Rates!$B$7</x:f>
        <x:v>0.0036000000000000003</x:v>
      </x:c>
    </x:row>
    <x:row r="519" ht="24" customHeight="1">
      <x:c r="A519" s="10" t="str">
        <x:v>S05-06</x:v>
      </x:c>
      <x:c r="B519" s="10" t="str">
        <x:v>B</x:v>
      </x:c>
      <x:c r="C519" s="10" t="str">
        <x:v>speech_output</x:v>
      </x:c>
      <x:c r="D519" s="10" t="str">
        <x:v>retained</x:v>
      </x:c>
      <x:c r="E519" s="13" t="n">
        <x:v>572</x:v>
      </x:c>
      <x:c r="F519" s="13" t="n">
        <x:v>0</x:v>
      </x:c>
      <x:c r="G519" s="10" t="n">
        <x:v>0</x:v>
      </x:c>
      <x:c r="H519" s="10" t="n">
        <x:v>21.338666668</x:v>
      </x:c>
      <x:c r="I519" s="11" t="n">
        <x:f>E519*Rates!$B$4+F519*Rates!$B$5+G519*Rates!$B$6+H519*Rates!$B$7</x:f>
        <x:v>0.043249333336</x:v>
      </x:c>
    </x:row>
    <x:row r="520" ht="24" customHeight="1">
      <x:c r="A520" s="10" t="str">
        <x:v>S05-06</x:v>
      </x:c>
      <x:c r="B520" s="10" t="str">
        <x:v>B</x:v>
      </x:c>
      <x:c r="C520" s="10" t="str">
        <x:v>speech_output</x:v>
      </x:c>
      <x:c r="D520" s="10" t="str">
        <x:v>retained</x:v>
      </x:c>
      <x:c r="E520" s="13" t="n">
        <x:v>126</x:v>
      </x:c>
      <x:c r="F520" s="13" t="n">
        <x:v>0</x:v>
      </x:c>
      <x:c r="G520" s="10" t="n">
        <x:v>0</x:v>
      </x:c>
      <x:c r="H520" s="10" t="n">
        <x:v>2.806</x:v>
      </x:c>
      <x:c r="I520" s="11" t="n">
        <x:f>E520*Rates!$B$4+F520*Rates!$B$5+G520*Rates!$B$6+H520*Rates!$B$7</x:f>
        <x:v>0.005738</x:v>
      </x:c>
    </x:row>
    <x:row r="521" ht="24" customHeight="1">
      <x:c r="A521" s="10" t="str">
        <x:v>S05-06</x:v>
      </x:c>
      <x:c r="B521" s="10" t="str">
        <x:v>B</x:v>
      </x:c>
      <x:c r="C521" s="10" t="str">
        <x:v>speech_output</x:v>
      </x:c>
      <x:c r="D521" s="10" t="str">
        <x:v>retained</x:v>
      </x:c>
      <x:c r="E521" s="13" t="n">
        <x:v>812</x:v>
      </x:c>
      <x:c r="F521" s="13" t="n">
        <x:v>0</x:v>
      </x:c>
      <x:c r="G521" s="10" t="n">
        <x:v>0</x:v>
      </x:c>
      <x:c r="H521" s="10" t="n">
        <x:v>14.667333332</x:v>
      </x:c>
      <x:c r="I521" s="11" t="n">
        <x:f>E521*Rates!$B$4+F521*Rates!$B$5+G521*Rates!$B$6+H521*Rates!$B$7</x:f>
        <x:v>0.030146666664</x:v>
      </x:c>
    </x:row>
    <x:row r="522" ht="24" customHeight="1">
      <x:c r="A522" s="10" t="str">
        <x:v>S05-07</x:v>
      </x:c>
      <x:c r="B522" s="10" t="str">
        <x:v>A</x:v>
      </x:c>
      <x:c r="C522" s="10" t="str">
        <x:v>semantic</x:v>
      </x:c>
      <x:c r="D522" s="10" t="str">
        <x:v>setup</x:v>
      </x:c>
      <x:c r="E522" s="13" t="n">
        <x:v>600</x:v>
      </x:c>
      <x:c r="F522" s="13" t="n">
        <x:v>16</x:v>
      </x:c>
      <x:c r="G522" s="10" t="n">
        <x:v>0</x:v>
      </x:c>
      <x:c r="H522" s="10" t="n">
        <x:v>0</x:v>
      </x:c>
      <x:c r="I522" s="11" t="n">
        <x:f>E522*Rates!$B$4+F522*Rates!$B$5+G522*Rates!$B$6+H522*Rates!$B$7</x:f>
        <x:v>0.000664</x:v>
      </x:c>
    </x:row>
    <x:row r="523" ht="24" customHeight="1">
      <x:c r="A523" s="10" t="str">
        <x:v>S05-07</x:v>
      </x:c>
      <x:c r="B523" s="10" t="str">
        <x:v>A</x:v>
      </x:c>
      <x:c r="C523" s="10" t="str">
        <x:v>speech_input</x:v>
      </x:c>
      <x:c r="D523" s="10" t="str">
        <x:v>setup</x:v>
      </x:c>
      <x:c r="E523" s="13" t="n">
        <x:v>0</x:v>
      </x:c>
      <x:c r="F523" s="13" t="n">
        <x:v>0</x:v>
      </x:c>
      <x:c r="G523" s="10" t="n">
        <x:v>2</x:v>
      </x:c>
      <x:c r="H523" s="10" t="n">
        <x:v>0</x:v>
      </x:c>
      <x:c r="I523" s="11" t="n">
        <x:f>E523*Rates!$B$4+F523*Rates!$B$5+G523*Rates!$B$6+H523*Rates!$B$7</x:f>
        <x:v>0.002</x:v>
      </x:c>
    </x:row>
    <x:row r="524" ht="24" customHeight="1">
      <x:c r="A524" s="10" t="str">
        <x:v>S05-07</x:v>
      </x:c>
      <x:c r="B524" s="10" t="str">
        <x:v>A</x:v>
      </x:c>
      <x:c r="C524" s="10" t="str">
        <x:v>semantic</x:v>
      </x:c>
      <x:c r="D524" s="10" t="str">
        <x:v>evaluation</x:v>
      </x:c>
      <x:c r="E524" s="13" t="n">
        <x:v>740</x:v>
      </x:c>
      <x:c r="F524" s="13" t="n">
        <x:v>18</x:v>
      </x:c>
      <x:c r="G524" s="10" t="n">
        <x:v>0</x:v>
      </x:c>
      <x:c r="H524" s="10" t="n">
        <x:v>0</x:v>
      </x:c>
      <x:c r="I524" s="11" t="n">
        <x:f>E524*Rates!$B$4+F524*Rates!$B$5+G524*Rates!$B$6+H524*Rates!$B$7</x:f>
        <x:v>0.000812</x:v>
      </x:c>
    </x:row>
    <x:row r="525" ht="24" customHeight="1">
      <x:c r="A525" s="10" t="str">
        <x:v>S05-07</x:v>
      </x:c>
      <x:c r="B525" s="10" t="str">
        <x:v>A</x:v>
      </x:c>
      <x:c r="C525" s="10" t="str">
        <x:v>speech_input</x:v>
      </x:c>
      <x:c r="D525" s="10" t="str">
        <x:v>evaluation</x:v>
      </x:c>
      <x:c r="E525" s="13" t="n">
        <x:v>0</x:v>
      </x:c>
      <x:c r="F525" s="13" t="n">
        <x:v>0</x:v>
      </x:c>
      <x:c r="G525" s="10" t="n">
        <x:v>3.6</x:v>
      </x:c>
      <x:c r="H525" s="10" t="n">
        <x:v>0</x:v>
      </x:c>
      <x:c r="I525" s="11" t="n">
        <x:f>E525*Rates!$B$4+F525*Rates!$B$5+G525*Rates!$B$6+H525*Rates!$B$7</x:f>
        <x:v>0.0036000000000000003</x:v>
      </x:c>
    </x:row>
    <x:row r="526" ht="24" customHeight="1">
      <x:c r="A526" s="10" t="str">
        <x:v>S05-07</x:v>
      </x:c>
      <x:c r="B526" s="10" t="str">
        <x:v>A</x:v>
      </x:c>
      <x:c r="C526" s="10" t="str">
        <x:v>speech_output</x:v>
      </x:c>
      <x:c r="D526" s="10" t="str">
        <x:v>retained</x:v>
      </x:c>
      <x:c r="E526" s="13" t="n">
        <x:v>572</x:v>
      </x:c>
      <x:c r="F526" s="13" t="n">
        <x:v>0</x:v>
      </x:c>
      <x:c r="G526" s="10" t="n">
        <x:v>0</x:v>
      </x:c>
      <x:c r="H526" s="10" t="n">
        <x:v>36.018</x:v>
      </x:c>
      <x:c r="I526" s="11" t="n">
        <x:f>E526*Rates!$B$4+F526*Rates!$B$5+G526*Rates!$B$6+H526*Rates!$B$7</x:f>
        <x:v>0.072608</x:v>
      </x:c>
    </x:row>
    <x:row r="527" ht="24" customHeight="1">
      <x:c r="A527" s="10" t="str">
        <x:v>S05-07</x:v>
      </x:c>
      <x:c r="B527" s="10" t="str">
        <x:v>A</x:v>
      </x:c>
      <x:c r="C527" s="10" t="str">
        <x:v>speech_output</x:v>
      </x:c>
      <x:c r="D527" s="10" t="str">
        <x:v>retained</x:v>
      </x:c>
      <x:c r="E527" s="13" t="n">
        <x:v>126</x:v>
      </x:c>
      <x:c r="F527" s="13" t="n">
        <x:v>0</x:v>
      </x:c>
      <x:c r="G527" s="10" t="n">
        <x:v>0</x:v>
      </x:c>
      <x:c r="H527" s="10" t="n">
        <x:v>2.818</x:v>
      </x:c>
      <x:c r="I527" s="11" t="n">
        <x:f>E527*Rates!$B$4+F527*Rates!$B$5+G527*Rates!$B$6+H527*Rates!$B$7</x:f>
        <x:v>0.005762000000000001</x:v>
      </x:c>
    </x:row>
    <x:row r="528" ht="24" customHeight="1">
      <x:c r="A528" s="10" t="str">
        <x:v>S05-07</x:v>
      </x:c>
      <x:c r="B528" s="10" t="str">
        <x:v>B</x:v>
      </x:c>
      <x:c r="C528" s="10" t="str">
        <x:v>semantic</x:v>
      </x:c>
      <x:c r="D528" s="10" t="str">
        <x:v>setup</x:v>
      </x:c>
      <x:c r="E528" s="13" t="n">
        <x:v>600</x:v>
      </x:c>
      <x:c r="F528" s="13" t="n">
        <x:v>16</x:v>
      </x:c>
      <x:c r="G528" s="10" t="n">
        <x:v>0</x:v>
      </x:c>
      <x:c r="H528" s="10" t="n">
        <x:v>0</x:v>
      </x:c>
      <x:c r="I528" s="11" t="n">
        <x:f>E528*Rates!$B$4+F528*Rates!$B$5+G528*Rates!$B$6+H528*Rates!$B$7</x:f>
        <x:v>0.000664</x:v>
      </x:c>
    </x:row>
    <x:row r="529" ht="24" customHeight="1">
      <x:c r="A529" s="10" t="str">
        <x:v>S05-07</x:v>
      </x:c>
      <x:c r="B529" s="10" t="str">
        <x:v>B</x:v>
      </x:c>
      <x:c r="C529" s="10" t="str">
        <x:v>speech_input</x:v>
      </x:c>
      <x:c r="D529" s="10" t="str">
        <x:v>setup</x:v>
      </x:c>
      <x:c r="E529" s="13" t="n">
        <x:v>0</x:v>
      </x:c>
      <x:c r="F529" s="13" t="n">
        <x:v>0</x:v>
      </x:c>
      <x:c r="G529" s="10" t="n">
        <x:v>2</x:v>
      </x:c>
      <x:c r="H529" s="10" t="n">
        <x:v>0</x:v>
      </x:c>
      <x:c r="I529" s="11" t="n">
        <x:f>E529*Rates!$B$4+F529*Rates!$B$5+G529*Rates!$B$6+H529*Rates!$B$7</x:f>
        <x:v>0.002</x:v>
      </x:c>
    </x:row>
    <x:row r="530" ht="24" customHeight="1">
      <x:c r="A530" s="10" t="str">
        <x:v>S05-07</x:v>
      </x:c>
      <x:c r="B530" s="10" t="str">
        <x:v>B</x:v>
      </x:c>
      <x:c r="C530" s="10" t="str">
        <x:v>semantic</x:v>
      </x:c>
      <x:c r="D530" s="10" t="str">
        <x:v>evaluation</x:v>
      </x:c>
      <x:c r="E530" s="13" t="n">
        <x:v>740</x:v>
      </x:c>
      <x:c r="F530" s="13" t="n">
        <x:v>18</x:v>
      </x:c>
      <x:c r="G530" s="10" t="n">
        <x:v>0</x:v>
      </x:c>
      <x:c r="H530" s="10" t="n">
        <x:v>0</x:v>
      </x:c>
      <x:c r="I530" s="11" t="n">
        <x:f>E530*Rates!$B$4+F530*Rates!$B$5+G530*Rates!$B$6+H530*Rates!$B$7</x:f>
        <x:v>0.000812</x:v>
      </x:c>
    </x:row>
    <x:row r="531" ht="24" customHeight="1">
      <x:c r="A531" s="10" t="str">
        <x:v>S05-07</x:v>
      </x:c>
      <x:c r="B531" s="10" t="str">
        <x:v>B</x:v>
      </x:c>
      <x:c r="C531" s="10" t="str">
        <x:v>speech_input</x:v>
      </x:c>
      <x:c r="D531" s="10" t="str">
        <x:v>evaluation</x:v>
      </x:c>
      <x:c r="E531" s="13" t="n">
        <x:v>0</x:v>
      </x:c>
      <x:c r="F531" s="13" t="n">
        <x:v>0</x:v>
      </x:c>
      <x:c r="G531" s="10" t="n">
        <x:v>3.6</x:v>
      </x:c>
      <x:c r="H531" s="10" t="n">
        <x:v>0</x:v>
      </x:c>
      <x:c r="I531" s="11" t="n">
        <x:f>E531*Rates!$B$4+F531*Rates!$B$5+G531*Rates!$B$6+H531*Rates!$B$7</x:f>
        <x:v>0.0036000000000000003</x:v>
      </x:c>
    </x:row>
    <x:row r="532" ht="24" customHeight="1">
      <x:c r="A532" s="10" t="str">
        <x:v>S05-07</x:v>
      </x:c>
      <x:c r="B532" s="10" t="str">
        <x:v>B</x:v>
      </x:c>
      <x:c r="C532" s="10" t="str">
        <x:v>speech_output</x:v>
      </x:c>
      <x:c r="D532" s="10" t="str">
        <x:v>retained</x:v>
      </x:c>
      <x:c r="E532" s="13" t="n">
        <x:v>572</x:v>
      </x:c>
      <x:c r="F532" s="13" t="n">
        <x:v>0</x:v>
      </x:c>
      <x:c r="G532" s="10" t="n">
        <x:v>0</x:v>
      </x:c>
      <x:c r="H532" s="10" t="n">
        <x:v>21.452</x:v>
      </x:c>
      <x:c r="I532" s="11" t="n">
        <x:f>E532*Rates!$B$4+F532*Rates!$B$5+G532*Rates!$B$6+H532*Rates!$B$7</x:f>
        <x:v>0.04347600000000001</x:v>
      </x:c>
    </x:row>
    <x:row r="533" ht="24" customHeight="1">
      <x:c r="A533" s="10" t="str">
        <x:v>S05-07</x:v>
      </x:c>
      <x:c r="B533" s="10" t="str">
        <x:v>B</x:v>
      </x:c>
      <x:c r="C533" s="10" t="str">
        <x:v>speech_output</x:v>
      </x:c>
      <x:c r="D533" s="10" t="str">
        <x:v>retained</x:v>
      </x:c>
      <x:c r="E533" s="13" t="n">
        <x:v>126</x:v>
      </x:c>
      <x:c r="F533" s="13" t="n">
        <x:v>0</x:v>
      </x:c>
      <x:c r="G533" s="10" t="n">
        <x:v>0</x:v>
      </x:c>
      <x:c r="H533" s="10" t="n">
        <x:v>2.818</x:v>
      </x:c>
      <x:c r="I533" s="11" t="n">
        <x:f>E533*Rates!$B$4+F533*Rates!$B$5+G533*Rates!$B$6+H533*Rates!$B$7</x:f>
        <x:v>0.005762000000000001</x:v>
      </x:c>
    </x:row>
    <x:row r="534" ht="24" customHeight="1">
      <x:c r="A534" s="10" t="str">
        <x:v>S05-07</x:v>
      </x:c>
      <x:c r="B534" s="10" t="str">
        <x:v>B</x:v>
      </x:c>
      <x:c r="C534" s="10" t="str">
        <x:v>speech_output</x:v>
      </x:c>
      <x:c r="D534" s="10" t="str">
        <x:v>retained</x:v>
      </x:c>
      <x:c r="E534" s="13" t="n">
        <x:v>812</x:v>
      </x:c>
      <x:c r="F534" s="13" t="n">
        <x:v>0</x:v>
      </x:c>
      <x:c r="G534" s="10" t="n">
        <x:v>0</x:v>
      </x:c>
      <x:c r="H534" s="10" t="n">
        <x:v>14.566</x:v>
      </x:c>
      <x:c r="I534" s="11" t="n">
        <x:f>E534*Rates!$B$4+F534*Rates!$B$5+G534*Rates!$B$6+H534*Rates!$B$7</x:f>
        <x:v>0.029944000000000002</x:v>
      </x:c>
    </x:row>
    <x:row r="535" ht="24" customHeight="1">
      <x:c r="A535" s="10" t="str">
        <x:v>S05-08</x:v>
      </x:c>
      <x:c r="B535" s="10" t="str">
        <x:v>A</x:v>
      </x:c>
      <x:c r="C535" s="10" t="str">
        <x:v>semantic</x:v>
      </x:c>
      <x:c r="D535" s="10" t="str">
        <x:v>setup</x:v>
      </x:c>
      <x:c r="E535" s="13" t="n">
        <x:v>600</x:v>
      </x:c>
      <x:c r="F535" s="13" t="n">
        <x:v>16</x:v>
      </x:c>
      <x:c r="G535" s="10" t="n">
        <x:v>0</x:v>
      </x:c>
      <x:c r="H535" s="10" t="n">
        <x:v>0</x:v>
      </x:c>
      <x:c r="I535" s="11" t="n">
        <x:f>E535*Rates!$B$4+F535*Rates!$B$5+G535*Rates!$B$6+H535*Rates!$B$7</x:f>
        <x:v>0.000664</x:v>
      </x:c>
    </x:row>
    <x:row r="536" ht="24" customHeight="1">
      <x:c r="A536" s="10" t="str">
        <x:v>S05-08</x:v>
      </x:c>
      <x:c r="B536" s="10" t="str">
        <x:v>A</x:v>
      </x:c>
      <x:c r="C536" s="10" t="str">
        <x:v>speech_input</x:v>
      </x:c>
      <x:c r="D536" s="10" t="str">
        <x:v>setup</x:v>
      </x:c>
      <x:c r="E536" s="13" t="n">
        <x:v>0</x:v>
      </x:c>
      <x:c r="F536" s="13" t="n">
        <x:v>0</x:v>
      </x:c>
      <x:c r="G536" s="10" t="n">
        <x:v>2</x:v>
      </x:c>
      <x:c r="H536" s="10" t="n">
        <x:v>0</x:v>
      </x:c>
      <x:c r="I536" s="11" t="n">
        <x:f>E536*Rates!$B$4+F536*Rates!$B$5+G536*Rates!$B$6+H536*Rates!$B$7</x:f>
        <x:v>0.002</x:v>
      </x:c>
    </x:row>
    <x:row r="537" ht="24" customHeight="1">
      <x:c r="A537" s="10" t="str">
        <x:v>S05-08</x:v>
      </x:c>
      <x:c r="B537" s="10" t="str">
        <x:v>A</x:v>
      </x:c>
      <x:c r="C537" s="10" t="str">
        <x:v>semantic</x:v>
      </x:c>
      <x:c r="D537" s="10" t="str">
        <x:v>evaluation</x:v>
      </x:c>
      <x:c r="E537" s="13" t="n">
        <x:v>760</x:v>
      </x:c>
      <x:c r="F537" s="13" t="n">
        <x:v>20</x:v>
      </x:c>
      <x:c r="G537" s="10" t="n">
        <x:v>0</x:v>
      </x:c>
      <x:c r="H537" s="10" t="n">
        <x:v>0</x:v>
      </x:c>
      <x:c r="I537" s="11" t="n">
        <x:f>E537*Rates!$B$4+F537*Rates!$B$5+G537*Rates!$B$6+H537*Rates!$B$7</x:f>
        <x:v>0.0008399999999999999</x:v>
      </x:c>
    </x:row>
    <x:row r="538" ht="24" customHeight="1">
      <x:c r="A538" s="10" t="str">
        <x:v>S05-08</x:v>
      </x:c>
      <x:c r="B538" s="10" t="str">
        <x:v>A</x:v>
      </x:c>
      <x:c r="C538" s="10" t="str">
        <x:v>speech_input</x:v>
      </x:c>
      <x:c r="D538" s="10" t="str">
        <x:v>evaluation</x:v>
      </x:c>
      <x:c r="E538" s="13" t="n">
        <x:v>0</x:v>
      </x:c>
      <x:c r="F538" s="13" t="n">
        <x:v>0</x:v>
      </x:c>
      <x:c r="G538" s="10" t="n">
        <x:v>3.6</x:v>
      </x:c>
      <x:c r="H538" s="10" t="n">
        <x:v>0</x:v>
      </x:c>
      <x:c r="I538" s="11" t="n">
        <x:f>E538*Rates!$B$4+F538*Rates!$B$5+G538*Rates!$B$6+H538*Rates!$B$7</x:f>
        <x:v>0.0036000000000000003</x:v>
      </x:c>
    </x:row>
    <x:row r="539" ht="24" customHeight="1">
      <x:c r="A539" s="10" t="str">
        <x:v>S05-08</x:v>
      </x:c>
      <x:c r="B539" s="10" t="str">
        <x:v>A</x:v>
      </x:c>
      <x:c r="C539" s="10" t="str">
        <x:v>speech_output</x:v>
      </x:c>
      <x:c r="D539" s="10" t="str">
        <x:v>retained</x:v>
      </x:c>
      <x:c r="E539" s="13" t="n">
        <x:v>572</x:v>
      </x:c>
      <x:c r="F539" s="13" t="n">
        <x:v>0</x:v>
      </x:c>
      <x:c r="G539" s="10" t="n">
        <x:v>0</x:v>
      </x:c>
      <x:c r="H539" s="10" t="n">
        <x:v>36.03</x:v>
      </x:c>
      <x:c r="I539" s="11" t="n">
        <x:f>E539*Rates!$B$4+F539*Rates!$B$5+G539*Rates!$B$6+H539*Rates!$B$7</x:f>
        <x:v>0.072632</x:v>
      </x:c>
    </x:row>
    <x:row r="540" ht="24" customHeight="1">
      <x:c r="A540" s="10" t="str">
        <x:v>S05-08</x:v>
      </x:c>
      <x:c r="B540" s="10" t="str">
        <x:v>A</x:v>
      </x:c>
      <x:c r="C540" s="10" t="str">
        <x:v>speech_output</x:v>
      </x:c>
      <x:c r="D540" s="10" t="str">
        <x:v>retained</x:v>
      </x:c>
      <x:c r="E540" s="13" t="n">
        <x:v>126</x:v>
      </x:c>
      <x:c r="F540" s="13" t="n">
        <x:v>0</x:v>
      </x:c>
      <x:c r="G540" s="10" t="n">
        <x:v>0</x:v>
      </x:c>
      <x:c r="H540" s="10" t="n">
        <x:v>2.83</x:v>
      </x:c>
      <x:c r="I540" s="11" t="n">
        <x:f>E540*Rates!$B$4+F540*Rates!$B$5+G540*Rates!$B$6+H540*Rates!$B$7</x:f>
        <x:v>0.005786</x:v>
      </x:c>
    </x:row>
    <x:row r="541" ht="24" customHeight="1">
      <x:c r="A541" s="10" t="str">
        <x:v>S05-08</x:v>
      </x:c>
      <x:c r="B541" s="10" t="str">
        <x:v>B</x:v>
      </x:c>
      <x:c r="C541" s="10" t="str">
        <x:v>semantic</x:v>
      </x:c>
      <x:c r="D541" s="10" t="str">
        <x:v>setup</x:v>
      </x:c>
      <x:c r="E541" s="13" t="n">
        <x:v>600</x:v>
      </x:c>
      <x:c r="F541" s="13" t="n">
        <x:v>16</x:v>
      </x:c>
      <x:c r="G541" s="10" t="n">
        <x:v>0</x:v>
      </x:c>
      <x:c r="H541" s="10" t="n">
        <x:v>0</x:v>
      </x:c>
      <x:c r="I541" s="11" t="n">
        <x:f>E541*Rates!$B$4+F541*Rates!$B$5+G541*Rates!$B$6+H541*Rates!$B$7</x:f>
        <x:v>0.000664</x:v>
      </x:c>
    </x:row>
    <x:row r="542" ht="24" customHeight="1">
      <x:c r="A542" s="10" t="str">
        <x:v>S05-08</x:v>
      </x:c>
      <x:c r="B542" s="10" t="str">
        <x:v>B</x:v>
      </x:c>
      <x:c r="C542" s="10" t="str">
        <x:v>speech_input</x:v>
      </x:c>
      <x:c r="D542" s="10" t="str">
        <x:v>setup</x:v>
      </x:c>
      <x:c r="E542" s="13" t="n">
        <x:v>0</x:v>
      </x:c>
      <x:c r="F542" s="13" t="n">
        <x:v>0</x:v>
      </x:c>
      <x:c r="G542" s="10" t="n">
        <x:v>2</x:v>
      </x:c>
      <x:c r="H542" s="10" t="n">
        <x:v>0</x:v>
      </x:c>
      <x:c r="I542" s="11" t="n">
        <x:f>E542*Rates!$B$4+F542*Rates!$B$5+G542*Rates!$B$6+H542*Rates!$B$7</x:f>
        <x:v>0.002</x:v>
      </x:c>
    </x:row>
    <x:row r="543" ht="24" customHeight="1">
      <x:c r="A543" s="10" t="str">
        <x:v>S05-08</x:v>
      </x:c>
      <x:c r="B543" s="10" t="str">
        <x:v>B</x:v>
      </x:c>
      <x:c r="C543" s="10" t="str">
        <x:v>semantic</x:v>
      </x:c>
      <x:c r="D543" s="10" t="str">
        <x:v>evaluation</x:v>
      </x:c>
      <x:c r="E543" s="13" t="n">
        <x:v>760</x:v>
      </x:c>
      <x:c r="F543" s="13" t="n">
        <x:v>20</x:v>
      </x:c>
      <x:c r="G543" s="10" t="n">
        <x:v>0</x:v>
      </x:c>
      <x:c r="H543" s="10" t="n">
        <x:v>0</x:v>
      </x:c>
      <x:c r="I543" s="11" t="n">
        <x:f>E543*Rates!$B$4+F543*Rates!$B$5+G543*Rates!$B$6+H543*Rates!$B$7</x:f>
        <x:v>0.0008399999999999999</x:v>
      </x:c>
    </x:row>
    <x:row r="544" ht="24" customHeight="1">
      <x:c r="A544" s="10" t="str">
        <x:v>S05-08</x:v>
      </x:c>
      <x:c r="B544" s="10" t="str">
        <x:v>B</x:v>
      </x:c>
      <x:c r="C544" s="10" t="str">
        <x:v>speech_input</x:v>
      </x:c>
      <x:c r="D544" s="10" t="str">
        <x:v>evaluation</x:v>
      </x:c>
      <x:c r="E544" s="13" t="n">
        <x:v>0</x:v>
      </x:c>
      <x:c r="F544" s="13" t="n">
        <x:v>0</x:v>
      </x:c>
      <x:c r="G544" s="10" t="n">
        <x:v>3.6</x:v>
      </x:c>
      <x:c r="H544" s="10" t="n">
        <x:v>0</x:v>
      </x:c>
      <x:c r="I544" s="11" t="n">
        <x:f>E544*Rates!$B$4+F544*Rates!$B$5+G544*Rates!$B$6+H544*Rates!$B$7</x:f>
        <x:v>0.0036000000000000003</x:v>
      </x:c>
    </x:row>
    <x:row r="545" ht="24" customHeight="1">
      <x:c r="A545" s="10" t="str">
        <x:v>S05-08</x:v>
      </x:c>
      <x:c r="B545" s="10" t="str">
        <x:v>B</x:v>
      </x:c>
      <x:c r="C545" s="10" t="str">
        <x:v>speech_output</x:v>
      </x:c>
      <x:c r="D545" s="10" t="str">
        <x:v>retained</x:v>
      </x:c>
      <x:c r="E545" s="13" t="n">
        <x:v>572</x:v>
      </x:c>
      <x:c r="F545" s="13" t="n">
        <x:v>0</x:v>
      </x:c>
      <x:c r="G545" s="10" t="n">
        <x:v>0</x:v>
      </x:c>
      <x:c r="H545" s="10" t="n">
        <x:v>21.565333336</x:v>
      </x:c>
      <x:c r="I545" s="11" t="n">
        <x:f>E545*Rates!$B$4+F545*Rates!$B$5+G545*Rates!$B$6+H545*Rates!$B$7</x:f>
        <x:v>0.043702666672</x:v>
      </x:c>
    </x:row>
    <x:row r="546" ht="24" customHeight="1">
      <x:c r="A546" s="10" t="str">
        <x:v>S05-08</x:v>
      </x:c>
      <x:c r="B546" s="10" t="str">
        <x:v>B</x:v>
      </x:c>
      <x:c r="C546" s="10" t="str">
        <x:v>speech_output</x:v>
      </x:c>
      <x:c r="D546" s="10" t="str">
        <x:v>retained</x:v>
      </x:c>
      <x:c r="E546" s="13" t="n">
        <x:v>126</x:v>
      </x:c>
      <x:c r="F546" s="13" t="n">
        <x:v>0</x:v>
      </x:c>
      <x:c r="G546" s="10" t="n">
        <x:v>0</x:v>
      </x:c>
      <x:c r="H546" s="10" t="n">
        <x:v>2.83</x:v>
      </x:c>
      <x:c r="I546" s="11" t="n">
        <x:f>E546*Rates!$B$4+F546*Rates!$B$5+G546*Rates!$B$6+H546*Rates!$B$7</x:f>
        <x:v>0.005786</x:v>
      </x:c>
    </x:row>
    <x:row r="547" ht="24" customHeight="1">
      <x:c r="A547" s="10" t="str">
        <x:v>S05-08</x:v>
      </x:c>
      <x:c r="B547" s="10" t="str">
        <x:v>B</x:v>
      </x:c>
      <x:c r="C547" s="10" t="str">
        <x:v>speech_output</x:v>
      </x:c>
      <x:c r="D547" s="10" t="str">
        <x:v>retained</x:v>
      </x:c>
      <x:c r="E547" s="13" t="n">
        <x:v>812</x:v>
      </x:c>
      <x:c r="F547" s="13" t="n">
        <x:v>0</x:v>
      </x:c>
      <x:c r="G547" s="10" t="n">
        <x:v>0</x:v>
      </x:c>
      <x:c r="H547" s="10" t="n">
        <x:v>14.464666664</x:v>
      </x:c>
      <x:c r="I547" s="11" t="n">
        <x:f>E547*Rates!$B$4+F547*Rates!$B$5+G547*Rates!$B$6+H547*Rates!$B$7</x:f>
        <x:v>0.029741333328</x:v>
      </x:c>
    </x:row>
    <x:row r="548" ht="24" customHeight="1">
      <x:c r="A548" s="10" t="str">
        <x:v>S05-09</x:v>
      </x:c>
      <x:c r="B548" s="10" t="str">
        <x:v>A</x:v>
      </x:c>
      <x:c r="C548" s="10" t="str">
        <x:v>semantic</x:v>
      </x:c>
      <x:c r="D548" s="10" t="str">
        <x:v>setup</x:v>
      </x:c>
      <x:c r="E548" s="13" t="n">
        <x:v>600</x:v>
      </x:c>
      <x:c r="F548" s="13" t="n">
        <x:v>16</x:v>
      </x:c>
      <x:c r="G548" s="10" t="n">
        <x:v>0</x:v>
      </x:c>
      <x:c r="H548" s="10" t="n">
        <x:v>0</x:v>
      </x:c>
      <x:c r="I548" s="11" t="n">
        <x:f>E548*Rates!$B$4+F548*Rates!$B$5+G548*Rates!$B$6+H548*Rates!$B$7</x:f>
        <x:v>0.000664</x:v>
      </x:c>
    </x:row>
    <x:row r="549" ht="24" customHeight="1">
      <x:c r="A549" s="10" t="str">
        <x:v>S05-09</x:v>
      </x:c>
      <x:c r="B549" s="10" t="str">
        <x:v>A</x:v>
      </x:c>
      <x:c r="C549" s="10" t="str">
        <x:v>speech_input</x:v>
      </x:c>
      <x:c r="D549" s="10" t="str">
        <x:v>setup</x:v>
      </x:c>
      <x:c r="E549" s="13" t="n">
        <x:v>0</x:v>
      </x:c>
      <x:c r="F549" s="13" t="n">
        <x:v>0</x:v>
      </x:c>
      <x:c r="G549" s="10" t="n">
        <x:v>2</x:v>
      </x:c>
      <x:c r="H549" s="10" t="n">
        <x:v>0</x:v>
      </x:c>
      <x:c r="I549" s="11" t="n">
        <x:f>E549*Rates!$B$4+F549*Rates!$B$5+G549*Rates!$B$6+H549*Rates!$B$7</x:f>
        <x:v>0.002</x:v>
      </x:c>
    </x:row>
    <x:row r="550" ht="24" customHeight="1">
      <x:c r="A550" s="10" t="str">
        <x:v>S05-09</x:v>
      </x:c>
      <x:c r="B550" s="10" t="str">
        <x:v>A</x:v>
      </x:c>
      <x:c r="C550" s="10" t="str">
        <x:v>semantic</x:v>
      </x:c>
      <x:c r="D550" s="10" t="str">
        <x:v>evaluation</x:v>
      </x:c>
      <x:c r="E550" s="13" t="n">
        <x:v>780</x:v>
      </x:c>
      <x:c r="F550" s="13" t="n">
        <x:v>16</x:v>
      </x:c>
      <x:c r="G550" s="10" t="n">
        <x:v>0</x:v>
      </x:c>
      <x:c r="H550" s="10" t="n">
        <x:v>0</x:v>
      </x:c>
      <x:c r="I550" s="11" t="n">
        <x:f>E550*Rates!$B$4+F550*Rates!$B$5+G550*Rates!$B$6+H550*Rates!$B$7</x:f>
        <x:v>0.000844</x:v>
      </x:c>
    </x:row>
    <x:row r="551" ht="24" customHeight="1">
      <x:c r="A551" s="10" t="str">
        <x:v>S05-09</x:v>
      </x:c>
      <x:c r="B551" s="10" t="str">
        <x:v>A</x:v>
      </x:c>
      <x:c r="C551" s="10" t="str">
        <x:v>speech_input</x:v>
      </x:c>
      <x:c r="D551" s="10" t="str">
        <x:v>evaluation</x:v>
      </x:c>
      <x:c r="E551" s="13" t="n">
        <x:v>0</x:v>
      </x:c>
      <x:c r="F551" s="13" t="n">
        <x:v>0</x:v>
      </x:c>
      <x:c r="G551" s="10" t="n">
        <x:v>3.6</x:v>
      </x:c>
      <x:c r="H551" s="10" t="n">
        <x:v>0</x:v>
      </x:c>
      <x:c r="I551" s="11" t="n">
        <x:f>E551*Rates!$B$4+F551*Rates!$B$5+G551*Rates!$B$6+H551*Rates!$B$7</x:f>
        <x:v>0.0036000000000000003</x:v>
      </x:c>
    </x:row>
    <x:row r="552" ht="24" customHeight="1">
      <x:c r="A552" s="10" t="str">
        <x:v>S05-09</x:v>
      </x:c>
      <x:c r="B552" s="10" t="str">
        <x:v>A</x:v>
      </x:c>
      <x:c r="C552" s="10" t="str">
        <x:v>speech_output</x:v>
      </x:c>
      <x:c r="D552" s="10" t="str">
        <x:v>retained</x:v>
      </x:c>
      <x:c r="E552" s="13" t="n">
        <x:v>572</x:v>
      </x:c>
      <x:c r="F552" s="13" t="n">
        <x:v>0</x:v>
      </x:c>
      <x:c r="G552" s="10" t="n">
        <x:v>0</x:v>
      </x:c>
      <x:c r="H552" s="10" t="n">
        <x:v>36.042</x:v>
      </x:c>
      <x:c r="I552" s="11" t="n">
        <x:f>E552*Rates!$B$4+F552*Rates!$B$5+G552*Rates!$B$6+H552*Rates!$B$7</x:f>
        <x:v>0.07265600000000001</x:v>
      </x:c>
    </x:row>
    <x:row r="553" ht="24" customHeight="1">
      <x:c r="A553" s="10" t="str">
        <x:v>S05-09</x:v>
      </x:c>
      <x:c r="B553" s="10" t="str">
        <x:v>A</x:v>
      </x:c>
      <x:c r="C553" s="10" t="str">
        <x:v>speech_output</x:v>
      </x:c>
      <x:c r="D553" s="10" t="str">
        <x:v>retained</x:v>
      </x:c>
      <x:c r="E553" s="13" t="n">
        <x:v>126</x:v>
      </x:c>
      <x:c r="F553" s="13" t="n">
        <x:v>0</x:v>
      </x:c>
      <x:c r="G553" s="10" t="n">
        <x:v>0</x:v>
      </x:c>
      <x:c r="H553" s="10" t="n">
        <x:v>2.842</x:v>
      </x:c>
      <x:c r="I553" s="11" t="n">
        <x:f>E553*Rates!$B$4+F553*Rates!$B$5+G553*Rates!$B$6+H553*Rates!$B$7</x:f>
        <x:v>0.005810000000000001</x:v>
      </x:c>
    </x:row>
    <x:row r="554" ht="24" customHeight="1">
      <x:c r="A554" s="10" t="str">
        <x:v>S05-09</x:v>
      </x:c>
      <x:c r="B554" s="10" t="str">
        <x:v>B</x:v>
      </x:c>
      <x:c r="C554" s="10" t="str">
        <x:v>semantic</x:v>
      </x:c>
      <x:c r="D554" s="10" t="str">
        <x:v>setup</x:v>
      </x:c>
      <x:c r="E554" s="13" t="n">
        <x:v>600</x:v>
      </x:c>
      <x:c r="F554" s="13" t="n">
        <x:v>16</x:v>
      </x:c>
      <x:c r="G554" s="10" t="n">
        <x:v>0</x:v>
      </x:c>
      <x:c r="H554" s="10" t="n">
        <x:v>0</x:v>
      </x:c>
      <x:c r="I554" s="11" t="n">
        <x:f>E554*Rates!$B$4+F554*Rates!$B$5+G554*Rates!$B$6+H554*Rates!$B$7</x:f>
        <x:v>0.000664</x:v>
      </x:c>
    </x:row>
    <x:row r="555" ht="24" customHeight="1">
      <x:c r="A555" s="10" t="str">
        <x:v>S05-09</x:v>
      </x:c>
      <x:c r="B555" s="10" t="str">
        <x:v>B</x:v>
      </x:c>
      <x:c r="C555" s="10" t="str">
        <x:v>speech_input</x:v>
      </x:c>
      <x:c r="D555" s="10" t="str">
        <x:v>setup</x:v>
      </x:c>
      <x:c r="E555" s="13" t="n">
        <x:v>0</x:v>
      </x:c>
      <x:c r="F555" s="13" t="n">
        <x:v>0</x:v>
      </x:c>
      <x:c r="G555" s="10" t="n">
        <x:v>2</x:v>
      </x:c>
      <x:c r="H555" s="10" t="n">
        <x:v>0</x:v>
      </x:c>
      <x:c r="I555" s="11" t="n">
        <x:f>E555*Rates!$B$4+F555*Rates!$B$5+G555*Rates!$B$6+H555*Rates!$B$7</x:f>
        <x:v>0.002</x:v>
      </x:c>
    </x:row>
    <x:row r="556" ht="24" customHeight="1">
      <x:c r="A556" s="10" t="str">
        <x:v>S05-09</x:v>
      </x:c>
      <x:c r="B556" s="10" t="str">
        <x:v>B</x:v>
      </x:c>
      <x:c r="C556" s="10" t="str">
        <x:v>semantic</x:v>
      </x:c>
      <x:c r="D556" s="10" t="str">
        <x:v>evaluation</x:v>
      </x:c>
      <x:c r="E556" s="13" t="n">
        <x:v>780</x:v>
      </x:c>
      <x:c r="F556" s="13" t="n">
        <x:v>16</x:v>
      </x:c>
      <x:c r="G556" s="10" t="n">
        <x:v>0</x:v>
      </x:c>
      <x:c r="H556" s="10" t="n">
        <x:v>0</x:v>
      </x:c>
      <x:c r="I556" s="11" t="n">
        <x:f>E556*Rates!$B$4+F556*Rates!$B$5+G556*Rates!$B$6+H556*Rates!$B$7</x:f>
        <x:v>0.000844</x:v>
      </x:c>
    </x:row>
    <x:row r="557" ht="24" customHeight="1">
      <x:c r="A557" s="10" t="str">
        <x:v>S05-09</x:v>
      </x:c>
      <x:c r="B557" s="10" t="str">
        <x:v>B</x:v>
      </x:c>
      <x:c r="C557" s="10" t="str">
        <x:v>speech_input</x:v>
      </x:c>
      <x:c r="D557" s="10" t="str">
        <x:v>evaluation</x:v>
      </x:c>
      <x:c r="E557" s="13" t="n">
        <x:v>0</x:v>
      </x:c>
      <x:c r="F557" s="13" t="n">
        <x:v>0</x:v>
      </x:c>
      <x:c r="G557" s="10" t="n">
        <x:v>3.6</x:v>
      </x:c>
      <x:c r="H557" s="10" t="n">
        <x:v>0</x:v>
      </x:c>
      <x:c r="I557" s="11" t="n">
        <x:f>E557*Rates!$B$4+F557*Rates!$B$5+G557*Rates!$B$6+H557*Rates!$B$7</x:f>
        <x:v>0.0036000000000000003</x:v>
      </x:c>
    </x:row>
    <x:row r="558" ht="24" customHeight="1">
      <x:c r="A558" s="10" t="str">
        <x:v>S05-09</x:v>
      </x:c>
      <x:c r="B558" s="10" t="str">
        <x:v>B</x:v>
      </x:c>
      <x:c r="C558" s="10" t="str">
        <x:v>speech_output</x:v>
      </x:c>
      <x:c r="D558" s="10" t="str">
        <x:v>retained</x:v>
      </x:c>
      <x:c r="E558" s="13" t="n">
        <x:v>572</x:v>
      </x:c>
      <x:c r="F558" s="13" t="n">
        <x:v>0</x:v>
      </x:c>
      <x:c r="G558" s="10" t="n">
        <x:v>0</x:v>
      </x:c>
      <x:c r="H558" s="10" t="n">
        <x:v>21.378666668</x:v>
      </x:c>
      <x:c r="I558" s="11" t="n">
        <x:f>E558*Rates!$B$4+F558*Rates!$B$5+G558*Rates!$B$6+H558*Rates!$B$7</x:f>
        <x:v>0.043329333336</x:v>
      </x:c>
    </x:row>
    <x:row r="559" ht="24" customHeight="1">
      <x:c r="A559" s="10" t="str">
        <x:v>S05-09</x:v>
      </x:c>
      <x:c r="B559" s="10" t="str">
        <x:v>B</x:v>
      </x:c>
      <x:c r="C559" s="10" t="str">
        <x:v>speech_output</x:v>
      </x:c>
      <x:c r="D559" s="10" t="str">
        <x:v>retained</x:v>
      </x:c>
      <x:c r="E559" s="13" t="n">
        <x:v>126</x:v>
      </x:c>
      <x:c r="F559" s="13" t="n">
        <x:v>0</x:v>
      </x:c>
      <x:c r="G559" s="10" t="n">
        <x:v>0</x:v>
      </x:c>
      <x:c r="H559" s="10" t="n">
        <x:v>2.842</x:v>
      </x:c>
      <x:c r="I559" s="11" t="n">
        <x:f>E559*Rates!$B$4+F559*Rates!$B$5+G559*Rates!$B$6+H559*Rates!$B$7</x:f>
        <x:v>0.005810000000000001</x:v>
      </x:c>
    </x:row>
    <x:row r="560" ht="24" customHeight="1">
      <x:c r="A560" s="10" t="str">
        <x:v>S05-09</x:v>
      </x:c>
      <x:c r="B560" s="10" t="str">
        <x:v>B</x:v>
      </x:c>
      <x:c r="C560" s="10" t="str">
        <x:v>speech_output</x:v>
      </x:c>
      <x:c r="D560" s="10" t="str">
        <x:v>retained</x:v>
      </x:c>
      <x:c r="E560" s="13" t="n">
        <x:v>812</x:v>
      </x:c>
      <x:c r="F560" s="13" t="n">
        <x:v>0</x:v>
      </x:c>
      <x:c r="G560" s="10" t="n">
        <x:v>0</x:v>
      </x:c>
      <x:c r="H560" s="10" t="n">
        <x:v>14.663333332</x:v>
      </x:c>
      <x:c r="I560" s="11" t="n">
        <x:f>E560*Rates!$B$4+F560*Rates!$B$5+G560*Rates!$B$6+H560*Rates!$B$7</x:f>
        <x:v>0.030138666664000002</x:v>
      </x:c>
    </x:row>
    <x:row r="561" ht="24" customHeight="1">
      <x:c r="A561" s="10" t="str">
        <x:v>S05-10</x:v>
      </x:c>
      <x:c r="B561" s="10" t="str">
        <x:v>A</x:v>
      </x:c>
      <x:c r="C561" s="10" t="str">
        <x:v>semantic</x:v>
      </x:c>
      <x:c r="D561" s="10" t="str">
        <x:v>setup</x:v>
      </x:c>
      <x:c r="E561" s="13" t="n">
        <x:v>600</x:v>
      </x:c>
      <x:c r="F561" s="13" t="n">
        <x:v>16</x:v>
      </x:c>
      <x:c r="G561" s="10" t="n">
        <x:v>0</x:v>
      </x:c>
      <x:c r="H561" s="10" t="n">
        <x:v>0</x:v>
      </x:c>
      <x:c r="I561" s="11" t="n">
        <x:f>E561*Rates!$B$4+F561*Rates!$B$5+G561*Rates!$B$6+H561*Rates!$B$7</x:f>
        <x:v>0.000664</x:v>
      </x:c>
    </x:row>
    <x:row r="562" ht="24" customHeight="1">
      <x:c r="A562" s="10" t="str">
        <x:v>S05-10</x:v>
      </x:c>
      <x:c r="B562" s="10" t="str">
        <x:v>A</x:v>
      </x:c>
      <x:c r="C562" s="10" t="str">
        <x:v>speech_input</x:v>
      </x:c>
      <x:c r="D562" s="10" t="str">
        <x:v>setup</x:v>
      </x:c>
      <x:c r="E562" s="13" t="n">
        <x:v>0</x:v>
      </x:c>
      <x:c r="F562" s="13" t="n">
        <x:v>0</x:v>
      </x:c>
      <x:c r="G562" s="10" t="n">
        <x:v>2</x:v>
      </x:c>
      <x:c r="H562" s="10" t="n">
        <x:v>0</x:v>
      </x:c>
      <x:c r="I562" s="11" t="n">
        <x:f>E562*Rates!$B$4+F562*Rates!$B$5+G562*Rates!$B$6+H562*Rates!$B$7</x:f>
        <x:v>0.002</x:v>
      </x:c>
    </x:row>
    <x:row r="563" ht="24" customHeight="1">
      <x:c r="A563" s="10" t="str">
        <x:v>S05-10</x:v>
      </x:c>
      <x:c r="B563" s="10" t="str">
        <x:v>A</x:v>
      </x:c>
      <x:c r="C563" s="10" t="str">
        <x:v>semantic</x:v>
      </x:c>
      <x:c r="D563" s="10" t="str">
        <x:v>evaluation</x:v>
      </x:c>
      <x:c r="E563" s="13" t="n">
        <x:v>800</x:v>
      </x:c>
      <x:c r="F563" s="13" t="n">
        <x:v>18</x:v>
      </x:c>
      <x:c r="G563" s="10" t="n">
        <x:v>0</x:v>
      </x:c>
      <x:c r="H563" s="10" t="n">
        <x:v>0</x:v>
      </x:c>
      <x:c r="I563" s="11" t="n">
        <x:f>E563*Rates!$B$4+F563*Rates!$B$5+G563*Rates!$B$6+H563*Rates!$B$7</x:f>
        <x:v>0.0008719999999999999</x:v>
      </x:c>
    </x:row>
    <x:row r="564" ht="24" customHeight="1">
      <x:c r="A564" s="10" t="str">
        <x:v>S05-10</x:v>
      </x:c>
      <x:c r="B564" s="10" t="str">
        <x:v>A</x:v>
      </x:c>
      <x:c r="C564" s="10" t="str">
        <x:v>speech_input</x:v>
      </x:c>
      <x:c r="D564" s="10" t="str">
        <x:v>evaluation</x:v>
      </x:c>
      <x:c r="E564" s="13" t="n">
        <x:v>0</x:v>
      </x:c>
      <x:c r="F564" s="13" t="n">
        <x:v>0</x:v>
      </x:c>
      <x:c r="G564" s="10" t="n">
        <x:v>3.6</x:v>
      </x:c>
      <x:c r="H564" s="10" t="n">
        <x:v>0</x:v>
      </x:c>
      <x:c r="I564" s="11" t="n">
        <x:f>E564*Rates!$B$4+F564*Rates!$B$5+G564*Rates!$B$6+H564*Rates!$B$7</x:f>
        <x:v>0.0036000000000000003</x:v>
      </x:c>
    </x:row>
    <x:row r="565" ht="24" customHeight="1">
      <x:c r="A565" s="10" t="str">
        <x:v>S05-10</x:v>
      </x:c>
      <x:c r="B565" s="10" t="str">
        <x:v>A</x:v>
      </x:c>
      <x:c r="C565" s="10" t="str">
        <x:v>speech_output</x:v>
      </x:c>
      <x:c r="D565" s="10" t="str">
        <x:v>retained</x:v>
      </x:c>
      <x:c r="E565" s="13" t="n">
        <x:v>572</x:v>
      </x:c>
      <x:c r="F565" s="13" t="n">
        <x:v>0</x:v>
      </x:c>
      <x:c r="G565" s="10" t="n">
        <x:v>0</x:v>
      </x:c>
      <x:c r="H565" s="10" t="n">
        <x:v>36.054</x:v>
      </x:c>
      <x:c r="I565" s="11" t="n">
        <x:f>E565*Rates!$B$4+F565*Rates!$B$5+G565*Rates!$B$6+H565*Rates!$B$7</x:f>
        <x:v>0.07268000000000001</x:v>
      </x:c>
    </x:row>
    <x:row r="566" ht="24" customHeight="1">
      <x:c r="A566" s="10" t="str">
        <x:v>S05-10</x:v>
      </x:c>
      <x:c r="B566" s="10" t="str">
        <x:v>A</x:v>
      </x:c>
      <x:c r="C566" s="10" t="str">
        <x:v>speech_output</x:v>
      </x:c>
      <x:c r="D566" s="10" t="str">
        <x:v>retained</x:v>
      </x:c>
      <x:c r="E566" s="13" t="n">
        <x:v>126</x:v>
      </x:c>
      <x:c r="F566" s="13" t="n">
        <x:v>0</x:v>
      </x:c>
      <x:c r="G566" s="10" t="n">
        <x:v>0</x:v>
      </x:c>
      <x:c r="H566" s="10" t="n">
        <x:v>2.854</x:v>
      </x:c>
      <x:c r="I566" s="11" t="n">
        <x:f>E566*Rates!$B$4+F566*Rates!$B$5+G566*Rates!$B$6+H566*Rates!$B$7</x:f>
        <x:v>0.005834000000000001</x:v>
      </x:c>
    </x:row>
    <x:row r="567" ht="24" customHeight="1">
      <x:c r="A567" s="10" t="str">
        <x:v>S05-10</x:v>
      </x:c>
      <x:c r="B567" s="10" t="str">
        <x:v>B</x:v>
      </x:c>
      <x:c r="C567" s="10" t="str">
        <x:v>semantic</x:v>
      </x:c>
      <x:c r="D567" s="10" t="str">
        <x:v>setup</x:v>
      </x:c>
      <x:c r="E567" s="13" t="n">
        <x:v>600</x:v>
      </x:c>
      <x:c r="F567" s="13" t="n">
        <x:v>16</x:v>
      </x:c>
      <x:c r="G567" s="10" t="n">
        <x:v>0</x:v>
      </x:c>
      <x:c r="H567" s="10" t="n">
        <x:v>0</x:v>
      </x:c>
      <x:c r="I567" s="11" t="n">
        <x:f>E567*Rates!$B$4+F567*Rates!$B$5+G567*Rates!$B$6+H567*Rates!$B$7</x:f>
        <x:v>0.000664</x:v>
      </x:c>
    </x:row>
    <x:row r="568" ht="24" customHeight="1">
      <x:c r="A568" s="10" t="str">
        <x:v>S05-10</x:v>
      </x:c>
      <x:c r="B568" s="10" t="str">
        <x:v>B</x:v>
      </x:c>
      <x:c r="C568" s="10" t="str">
        <x:v>speech_input</x:v>
      </x:c>
      <x:c r="D568" s="10" t="str">
        <x:v>setup</x:v>
      </x:c>
      <x:c r="E568" s="13" t="n">
        <x:v>0</x:v>
      </x:c>
      <x:c r="F568" s="13" t="n">
        <x:v>0</x:v>
      </x:c>
      <x:c r="G568" s="10" t="n">
        <x:v>2</x:v>
      </x:c>
      <x:c r="H568" s="10" t="n">
        <x:v>0</x:v>
      </x:c>
      <x:c r="I568" s="11" t="n">
        <x:f>E568*Rates!$B$4+F568*Rates!$B$5+G568*Rates!$B$6+H568*Rates!$B$7</x:f>
        <x:v>0.002</x:v>
      </x:c>
    </x:row>
    <x:row r="569" ht="24" customHeight="1">
      <x:c r="A569" s="10" t="str">
        <x:v>S05-10</x:v>
      </x:c>
      <x:c r="B569" s="10" t="str">
        <x:v>B</x:v>
      </x:c>
      <x:c r="C569" s="10" t="str">
        <x:v>semantic</x:v>
      </x:c>
      <x:c r="D569" s="10" t="str">
        <x:v>evaluation</x:v>
      </x:c>
      <x:c r="E569" s="13" t="n">
        <x:v>800</x:v>
      </x:c>
      <x:c r="F569" s="13" t="n">
        <x:v>18</x:v>
      </x:c>
      <x:c r="G569" s="10" t="n">
        <x:v>0</x:v>
      </x:c>
      <x:c r="H569" s="10" t="n">
        <x:v>0</x:v>
      </x:c>
      <x:c r="I569" s="11" t="n">
        <x:f>E569*Rates!$B$4+F569*Rates!$B$5+G569*Rates!$B$6+H569*Rates!$B$7</x:f>
        <x:v>0.0008719999999999999</x:v>
      </x:c>
    </x:row>
    <x:row r="570" ht="24" customHeight="1">
      <x:c r="A570" s="10" t="str">
        <x:v>S05-10</x:v>
      </x:c>
      <x:c r="B570" s="10" t="str">
        <x:v>B</x:v>
      </x:c>
      <x:c r="C570" s="10" t="str">
        <x:v>speech_input</x:v>
      </x:c>
      <x:c r="D570" s="10" t="str">
        <x:v>evaluation</x:v>
      </x:c>
      <x:c r="E570" s="13" t="n">
        <x:v>0</x:v>
      </x:c>
      <x:c r="F570" s="13" t="n">
        <x:v>0</x:v>
      </x:c>
      <x:c r="G570" s="10" t="n">
        <x:v>3.6</x:v>
      </x:c>
      <x:c r="H570" s="10" t="n">
        <x:v>0</x:v>
      </x:c>
      <x:c r="I570" s="11" t="n">
        <x:f>E570*Rates!$B$4+F570*Rates!$B$5+G570*Rates!$B$6+H570*Rates!$B$7</x:f>
        <x:v>0.0036000000000000003</x:v>
      </x:c>
    </x:row>
    <x:row r="571" ht="24" customHeight="1">
      <x:c r="A571" s="10" t="str">
        <x:v>S05-10</x:v>
      </x:c>
      <x:c r="B571" s="10" t="str">
        <x:v>B</x:v>
      </x:c>
      <x:c r="C571" s="10" t="str">
        <x:v>speech_output</x:v>
      </x:c>
      <x:c r="D571" s="10" t="str">
        <x:v>retained</x:v>
      </x:c>
      <x:c r="E571" s="13" t="n">
        <x:v>572</x:v>
      </x:c>
      <x:c r="F571" s="13" t="n">
        <x:v>0</x:v>
      </x:c>
      <x:c r="G571" s="10" t="n">
        <x:v>0</x:v>
      </x:c>
      <x:c r="H571" s="10" t="n">
        <x:v>21.492</x:v>
      </x:c>
      <x:c r="I571" s="11" t="n">
        <x:f>E571*Rates!$B$4+F571*Rates!$B$5+G571*Rates!$B$6+H571*Rates!$B$7</x:f>
        <x:v>0.043556000000000004</x:v>
      </x:c>
    </x:row>
    <x:row r="572" ht="24" customHeight="1">
      <x:c r="A572" s="10" t="str">
        <x:v>S05-10</x:v>
      </x:c>
      <x:c r="B572" s="10" t="str">
        <x:v>B</x:v>
      </x:c>
      <x:c r="C572" s="10" t="str">
        <x:v>speech_output</x:v>
      </x:c>
      <x:c r="D572" s="10" t="str">
        <x:v>retained</x:v>
      </x:c>
      <x:c r="E572" s="13" t="n">
        <x:v>126</x:v>
      </x:c>
      <x:c r="F572" s="13" t="n">
        <x:v>0</x:v>
      </x:c>
      <x:c r="G572" s="10" t="n">
        <x:v>0</x:v>
      </x:c>
      <x:c r="H572" s="10" t="n">
        <x:v>2.854</x:v>
      </x:c>
      <x:c r="I572" s="11" t="n">
        <x:f>E572*Rates!$B$4+F572*Rates!$B$5+G572*Rates!$B$6+H572*Rates!$B$7</x:f>
        <x:v>0.005834000000000001</x:v>
      </x:c>
    </x:row>
    <x:row r="573" ht="24" customHeight="1">
      <x:c r="A573" s="10" t="str">
        <x:v>S05-10</x:v>
      </x:c>
      <x:c r="B573" s="10" t="str">
        <x:v>B</x:v>
      </x:c>
      <x:c r="C573" s="10" t="str">
        <x:v>speech_output</x:v>
      </x:c>
      <x:c r="D573" s="10" t="str">
        <x:v>retained</x:v>
      </x:c>
      <x:c r="E573" s="13" t="n">
        <x:v>812</x:v>
      </x:c>
      <x:c r="F573" s="13" t="n">
        <x:v>0</x:v>
      </x:c>
      <x:c r="G573" s="10" t="n">
        <x:v>0</x:v>
      </x:c>
      <x:c r="H573" s="10" t="n">
        <x:v>14.562</x:v>
      </x:c>
      <x:c r="I573" s="11" t="n">
        <x:f>E573*Rates!$B$4+F573*Rates!$B$5+G573*Rates!$B$6+H573*Rates!$B$7</x:f>
        <x:v>0.029936</x:v>
      </x:c>
    </x:row>
    <x:row r="574" ht="24" customHeight="1">
      <x:c r="A574" s="10" t="str">
        <x:v>S06-01</x:v>
      </x:c>
      <x:c r="B574" s="10" t="str">
        <x:v>A</x:v>
      </x:c>
      <x:c r="C574" s="10" t="str">
        <x:v>semantic</x:v>
      </x:c>
      <x:c r="D574" s="10" t="str">
        <x:v>setup</x:v>
      </x:c>
      <x:c r="E574" s="13" t="n">
        <x:v>600</x:v>
      </x:c>
      <x:c r="F574" s="13" t="n">
        <x:v>16</x:v>
      </x:c>
      <x:c r="G574" s="10" t="n">
        <x:v>0</x:v>
      </x:c>
      <x:c r="H574" s="10" t="n">
        <x:v>0</x:v>
      </x:c>
      <x:c r="I574" s="11" t="n">
        <x:f>E574*Rates!$B$4+F574*Rates!$B$5+G574*Rates!$B$6+H574*Rates!$B$7</x:f>
        <x:v>0.000664</x:v>
      </x:c>
    </x:row>
    <x:row r="575" ht="24" customHeight="1">
      <x:c r="A575" s="10" t="str">
        <x:v>S06-01</x:v>
      </x:c>
      <x:c r="B575" s="10" t="str">
        <x:v>A</x:v>
      </x:c>
      <x:c r="C575" s="10" t="str">
        <x:v>speech_input</x:v>
      </x:c>
      <x:c r="D575" s="10" t="str">
        <x:v>setup</x:v>
      </x:c>
      <x:c r="E575" s="13" t="n">
        <x:v>0</x:v>
      </x:c>
      <x:c r="F575" s="13" t="n">
        <x:v>0</x:v>
      </x:c>
      <x:c r="G575" s="10" t="n">
        <x:v>2</x:v>
      </x:c>
      <x:c r="H575" s="10" t="n">
        <x:v>0</x:v>
      </x:c>
      <x:c r="I575" s="11" t="n">
        <x:f>E575*Rates!$B$4+F575*Rates!$B$5+G575*Rates!$B$6+H575*Rates!$B$7</x:f>
        <x:v>0.002</x:v>
      </x:c>
    </x:row>
    <x:row r="576" ht="24" customHeight="1">
      <x:c r="A576" s="10" t="str">
        <x:v>S06-01</x:v>
      </x:c>
      <x:c r="B576" s="10" t="str">
        <x:v>A</x:v>
      </x:c>
      <x:c r="C576" s="10" t="str">
        <x:v>semantic</x:v>
      </x:c>
      <x:c r="D576" s="10" t="str">
        <x:v>evaluation</x:v>
      </x:c>
      <x:c r="E576" s="13" t="n">
        <x:v>620</x:v>
      </x:c>
      <x:c r="F576" s="13" t="n">
        <x:v>18</x:v>
      </x:c>
      <x:c r="G576" s="10" t="n">
        <x:v>0</x:v>
      </x:c>
      <x:c r="H576" s="10" t="n">
        <x:v>0</x:v>
      </x:c>
      <x:c r="I576" s="11" t="n">
        <x:f>E576*Rates!$B$4+F576*Rates!$B$5+G576*Rates!$B$6+H576*Rates!$B$7</x:f>
        <x:v>0.000692</x:v>
      </x:c>
    </x:row>
    <x:row r="577" ht="24" customHeight="1">
      <x:c r="A577" s="10" t="str">
        <x:v>S06-01</x:v>
      </x:c>
      <x:c r="B577" s="10" t="str">
        <x:v>A</x:v>
      </x:c>
      <x:c r="C577" s="10" t="str">
        <x:v>speech_input</x:v>
      </x:c>
      <x:c r="D577" s="10" t="str">
        <x:v>evaluation</x:v>
      </x:c>
      <x:c r="E577" s="13" t="n">
        <x:v>0</x:v>
      </x:c>
      <x:c r="F577" s="13" t="n">
        <x:v>0</x:v>
      </x:c>
      <x:c r="G577" s="10" t="n">
        <x:v>2</x:v>
      </x:c>
      <x:c r="H577" s="10" t="n">
        <x:v>0</x:v>
      </x:c>
      <x:c r="I577" s="11" t="n">
        <x:f>E577*Rates!$B$4+F577*Rates!$B$5+G577*Rates!$B$6+H577*Rates!$B$7</x:f>
        <x:v>0.002</x:v>
      </x:c>
    </x:row>
    <x:row r="578" ht="24" customHeight="1">
      <x:c r="A578" s="10" t="str">
        <x:v>S06-01</x:v>
      </x:c>
      <x:c r="B578" s="10" t="str">
        <x:v>A</x:v>
      </x:c>
      <x:c r="C578" s="10" t="str">
        <x:v>speech_output</x:v>
      </x:c>
      <x:c r="D578" s="10" t="str">
        <x:v>retained</x:v>
      </x:c>
      <x:c r="E578" s="13" t="n">
        <x:v>154</x:v>
      </x:c>
      <x:c r="F578" s="13" t="n">
        <x:v>0</x:v>
      </x:c>
      <x:c r="G578" s="10" t="n">
        <x:v>0</x:v>
      </x:c>
      <x:c r="H578" s="10" t="n">
        <x:v>7.945999999</x:v>
      </x:c>
      <x:c r="I578" s="11" t="n">
        <x:f>E578*Rates!$B$4+F578*Rates!$B$5+G578*Rates!$B$6+H578*Rates!$B$7</x:f>
        <x:v>0.016045999998</x:v>
      </x:c>
    </x:row>
    <x:row r="579" ht="24" customHeight="1">
      <x:c r="A579" s="10" t="str">
        <x:v>S06-01</x:v>
      </x:c>
      <x:c r="B579" s="10" t="str">
        <x:v>B</x:v>
      </x:c>
      <x:c r="C579" s="10" t="str">
        <x:v>semantic</x:v>
      </x:c>
      <x:c r="D579" s="10" t="str">
        <x:v>setup</x:v>
      </x:c>
      <x:c r="E579" s="13" t="n">
        <x:v>600</x:v>
      </x:c>
      <x:c r="F579" s="13" t="n">
        <x:v>16</x:v>
      </x:c>
      <x:c r="G579" s="10" t="n">
        <x:v>0</x:v>
      </x:c>
      <x:c r="H579" s="10" t="n">
        <x:v>0</x:v>
      </x:c>
      <x:c r="I579" s="11" t="n">
        <x:f>E579*Rates!$B$4+F579*Rates!$B$5+G579*Rates!$B$6+H579*Rates!$B$7</x:f>
        <x:v>0.000664</x:v>
      </x:c>
    </x:row>
    <x:row r="580" ht="24" customHeight="1">
      <x:c r="A580" s="10" t="str">
        <x:v>S06-01</x:v>
      </x:c>
      <x:c r="B580" s="10" t="str">
        <x:v>B</x:v>
      </x:c>
      <x:c r="C580" s="10" t="str">
        <x:v>speech_input</x:v>
      </x:c>
      <x:c r="D580" s="10" t="str">
        <x:v>setup</x:v>
      </x:c>
      <x:c r="E580" s="13" t="n">
        <x:v>0</x:v>
      </x:c>
      <x:c r="F580" s="13" t="n">
        <x:v>0</x:v>
      </x:c>
      <x:c r="G580" s="10" t="n">
        <x:v>2</x:v>
      </x:c>
      <x:c r="H580" s="10" t="n">
        <x:v>0</x:v>
      </x:c>
      <x:c r="I580" s="11" t="n">
        <x:f>E580*Rates!$B$4+F580*Rates!$B$5+G580*Rates!$B$6+H580*Rates!$B$7</x:f>
        <x:v>0.002</x:v>
      </x:c>
    </x:row>
    <x:row r="581" ht="24" customHeight="1">
      <x:c r="A581" s="10" t="str">
        <x:v>S06-01</x:v>
      </x:c>
      <x:c r="B581" s="10" t="str">
        <x:v>B</x:v>
      </x:c>
      <x:c r="C581" s="10" t="str">
        <x:v>semantic</x:v>
      </x:c>
      <x:c r="D581" s="10" t="str">
        <x:v>evaluation</x:v>
      </x:c>
      <x:c r="E581" s="13" t="n">
        <x:v>620</x:v>
      </x:c>
      <x:c r="F581" s="13" t="n">
        <x:v>18</x:v>
      </x:c>
      <x:c r="G581" s="10" t="n">
        <x:v>0</x:v>
      </x:c>
      <x:c r="H581" s="10" t="n">
        <x:v>0</x:v>
      </x:c>
      <x:c r="I581" s="11" t="n">
        <x:f>E581*Rates!$B$4+F581*Rates!$B$5+G581*Rates!$B$6+H581*Rates!$B$7</x:f>
        <x:v>0.000692</x:v>
      </x:c>
    </x:row>
    <x:row r="582" ht="24" customHeight="1">
      <x:c r="A582" s="10" t="str">
        <x:v>S06-01</x:v>
      </x:c>
      <x:c r="B582" s="10" t="str">
        <x:v>B</x:v>
      </x:c>
      <x:c r="C582" s="10" t="str">
        <x:v>speech_input</x:v>
      </x:c>
      <x:c r="D582" s="10" t="str">
        <x:v>evaluation</x:v>
      </x:c>
      <x:c r="E582" s="13" t="n">
        <x:v>0</x:v>
      </x:c>
      <x:c r="F582" s="13" t="n">
        <x:v>0</x:v>
      </x:c>
      <x:c r="G582" s="10" t="n">
        <x:v>2</x:v>
      </x:c>
      <x:c r="H582" s="10" t="n">
        <x:v>0</x:v>
      </x:c>
      <x:c r="I582" s="11" t="n">
        <x:f>E582*Rates!$B$4+F582*Rates!$B$5+G582*Rates!$B$6+H582*Rates!$B$7</x:f>
        <x:v>0.002</x:v>
      </x:c>
    </x:row>
    <x:row r="583" ht="24" customHeight="1">
      <x:c r="A583" s="10" t="str">
        <x:v>S06-01</x:v>
      </x:c>
      <x:c r="B583" s="10" t="str">
        <x:v>B</x:v>
      </x:c>
      <x:c r="C583" s="10" t="str">
        <x:v>speech_output</x:v>
      </x:c>
      <x:c r="D583" s="10" t="str">
        <x:v>retained</x:v>
      </x:c>
      <x:c r="E583" s="13" t="n">
        <x:v>154</x:v>
      </x:c>
      <x:c r="F583" s="13" t="n">
        <x:v>0</x:v>
      </x:c>
      <x:c r="G583" s="10" t="n">
        <x:v>0</x:v>
      </x:c>
      <x:c r="H583" s="10" t="n">
        <x:v>7.945999999</x:v>
      </x:c>
      <x:c r="I583" s="11" t="n">
        <x:f>E583*Rates!$B$4+F583*Rates!$B$5+G583*Rates!$B$6+H583*Rates!$B$7</x:f>
        <x:v>0.016045999998</x:v>
      </x:c>
    </x:row>
    <x:row r="584" ht="24" customHeight="1">
      <x:c r="A584" s="10" t="str">
        <x:v>S06-02</x:v>
      </x:c>
      <x:c r="B584" s="10" t="str">
        <x:v>A</x:v>
      </x:c>
      <x:c r="C584" s="10" t="str">
        <x:v>semantic</x:v>
      </x:c>
      <x:c r="D584" s="10" t="str">
        <x:v>setup</x:v>
      </x:c>
      <x:c r="E584" s="13" t="n">
        <x:v>600</x:v>
      </x:c>
      <x:c r="F584" s="13" t="n">
        <x:v>16</x:v>
      </x:c>
      <x:c r="G584" s="10" t="n">
        <x:v>0</x:v>
      </x:c>
      <x:c r="H584" s="10" t="n">
        <x:v>0</x:v>
      </x:c>
      <x:c r="I584" s="11" t="n">
        <x:f>E584*Rates!$B$4+F584*Rates!$B$5+G584*Rates!$B$6+H584*Rates!$B$7</x:f>
        <x:v>0.000664</x:v>
      </x:c>
    </x:row>
    <x:row r="585" ht="24" customHeight="1">
      <x:c r="A585" s="10" t="str">
        <x:v>S06-02</x:v>
      </x:c>
      <x:c r="B585" s="10" t="str">
        <x:v>A</x:v>
      </x:c>
      <x:c r="C585" s="10" t="str">
        <x:v>speech_input</x:v>
      </x:c>
      <x:c r="D585" s="10" t="str">
        <x:v>setup</x:v>
      </x:c>
      <x:c r="E585" s="13" t="n">
        <x:v>0</x:v>
      </x:c>
      <x:c r="F585" s="13" t="n">
        <x:v>0</x:v>
      </x:c>
      <x:c r="G585" s="10" t="n">
        <x:v>2</x:v>
      </x:c>
      <x:c r="H585" s="10" t="n">
        <x:v>0</x:v>
      </x:c>
      <x:c r="I585" s="11" t="n">
        <x:f>E585*Rates!$B$4+F585*Rates!$B$5+G585*Rates!$B$6+H585*Rates!$B$7</x:f>
        <x:v>0.002</x:v>
      </x:c>
    </x:row>
    <x:row r="586" ht="24" customHeight="1">
      <x:c r="A586" s="10" t="str">
        <x:v>S06-02</x:v>
      </x:c>
      <x:c r="B586" s="10" t="str">
        <x:v>A</x:v>
      </x:c>
      <x:c r="C586" s="10" t="str">
        <x:v>semantic</x:v>
      </x:c>
      <x:c r="D586" s="10" t="str">
        <x:v>evaluation</x:v>
      </x:c>
      <x:c r="E586" s="13" t="n">
        <x:v>640</x:v>
      </x:c>
      <x:c r="F586" s="13" t="n">
        <x:v>20</x:v>
      </x:c>
      <x:c r="G586" s="10" t="n">
        <x:v>0</x:v>
      </x:c>
      <x:c r="H586" s="10" t="n">
        <x:v>0</x:v>
      </x:c>
      <x:c r="I586" s="11" t="n">
        <x:f>E586*Rates!$B$4+F586*Rates!$B$5+G586*Rates!$B$6+H586*Rates!$B$7</x:f>
        <x:v>0.0007199999999999999</x:v>
      </x:c>
    </x:row>
    <x:row r="587" ht="24" customHeight="1">
      <x:c r="A587" s="10" t="str">
        <x:v>S06-02</x:v>
      </x:c>
      <x:c r="B587" s="10" t="str">
        <x:v>A</x:v>
      </x:c>
      <x:c r="C587" s="10" t="str">
        <x:v>speech_input</x:v>
      </x:c>
      <x:c r="D587" s="10" t="str">
        <x:v>evaluation</x:v>
      </x:c>
      <x:c r="E587" s="13" t="n">
        <x:v>0</x:v>
      </x:c>
      <x:c r="F587" s="13" t="n">
        <x:v>0</x:v>
      </x:c>
      <x:c r="G587" s="10" t="n">
        <x:v>2</x:v>
      </x:c>
      <x:c r="H587" s="10" t="n">
        <x:v>0</x:v>
      </x:c>
      <x:c r="I587" s="11" t="n">
        <x:f>E587*Rates!$B$4+F587*Rates!$B$5+G587*Rates!$B$6+H587*Rates!$B$7</x:f>
        <x:v>0.002</x:v>
      </x:c>
    </x:row>
    <x:row r="588" ht="24" customHeight="1">
      <x:c r="A588" s="10" t="str">
        <x:v>S06-02</x:v>
      </x:c>
      <x:c r="B588" s="10" t="str">
        <x:v>A</x:v>
      </x:c>
      <x:c r="C588" s="10" t="str">
        <x:v>speech_output</x:v>
      </x:c>
      <x:c r="D588" s="10" t="str">
        <x:v>retained</x:v>
      </x:c>
      <x:c r="E588" s="13" t="n">
        <x:v>154</x:v>
      </x:c>
      <x:c r="F588" s="13" t="n">
        <x:v>0</x:v>
      </x:c>
      <x:c r="G588" s="10" t="n">
        <x:v>0</x:v>
      </x:c>
      <x:c r="H588" s="10" t="n">
        <x:v>7.957999999</x:v>
      </x:c>
      <x:c r="I588" s="11" t="n">
        <x:f>E588*Rates!$B$4+F588*Rates!$B$5+G588*Rates!$B$6+H588*Rates!$B$7</x:f>
        <x:v>0.016069999998000004</x:v>
      </x:c>
    </x:row>
    <x:row r="589" ht="24" customHeight="1">
      <x:c r="A589" s="10" t="str">
        <x:v>S06-02</x:v>
      </x:c>
      <x:c r="B589" s="10" t="str">
        <x:v>B</x:v>
      </x:c>
      <x:c r="C589" s="10" t="str">
        <x:v>semantic</x:v>
      </x:c>
      <x:c r="D589" s="10" t="str">
        <x:v>setup</x:v>
      </x:c>
      <x:c r="E589" s="13" t="n">
        <x:v>600</x:v>
      </x:c>
      <x:c r="F589" s="13" t="n">
        <x:v>16</x:v>
      </x:c>
      <x:c r="G589" s="10" t="n">
        <x:v>0</x:v>
      </x:c>
      <x:c r="H589" s="10" t="n">
        <x:v>0</x:v>
      </x:c>
      <x:c r="I589" s="11" t="n">
        <x:f>E589*Rates!$B$4+F589*Rates!$B$5+G589*Rates!$B$6+H589*Rates!$B$7</x:f>
        <x:v>0.000664</x:v>
      </x:c>
    </x:row>
    <x:row r="590" ht="24" customHeight="1">
      <x:c r="A590" s="10" t="str">
        <x:v>S06-02</x:v>
      </x:c>
      <x:c r="B590" s="10" t="str">
        <x:v>B</x:v>
      </x:c>
      <x:c r="C590" s="10" t="str">
        <x:v>speech_input</x:v>
      </x:c>
      <x:c r="D590" s="10" t="str">
        <x:v>setup</x:v>
      </x:c>
      <x:c r="E590" s="13" t="n">
        <x:v>0</x:v>
      </x:c>
      <x:c r="F590" s="13" t="n">
        <x:v>0</x:v>
      </x:c>
      <x:c r="G590" s="10" t="n">
        <x:v>2</x:v>
      </x:c>
      <x:c r="H590" s="10" t="n">
        <x:v>0</x:v>
      </x:c>
      <x:c r="I590" s="11" t="n">
        <x:f>E590*Rates!$B$4+F590*Rates!$B$5+G590*Rates!$B$6+H590*Rates!$B$7</x:f>
        <x:v>0.002</x:v>
      </x:c>
    </x:row>
    <x:row r="591" ht="24" customHeight="1">
      <x:c r="A591" s="10" t="str">
        <x:v>S06-02</x:v>
      </x:c>
      <x:c r="B591" s="10" t="str">
        <x:v>B</x:v>
      </x:c>
      <x:c r="C591" s="10" t="str">
        <x:v>semantic</x:v>
      </x:c>
      <x:c r="D591" s="10" t="str">
        <x:v>evaluation</x:v>
      </x:c>
      <x:c r="E591" s="13" t="n">
        <x:v>640</x:v>
      </x:c>
      <x:c r="F591" s="13" t="n">
        <x:v>20</x:v>
      </x:c>
      <x:c r="G591" s="10" t="n">
        <x:v>0</x:v>
      </x:c>
      <x:c r="H591" s="10" t="n">
        <x:v>0</x:v>
      </x:c>
      <x:c r="I591" s="11" t="n">
        <x:f>E591*Rates!$B$4+F591*Rates!$B$5+G591*Rates!$B$6+H591*Rates!$B$7</x:f>
        <x:v>0.0007199999999999999</x:v>
      </x:c>
    </x:row>
    <x:row r="592" ht="24" customHeight="1">
      <x:c r="A592" s="10" t="str">
        <x:v>S06-02</x:v>
      </x:c>
      <x:c r="B592" s="10" t="str">
        <x:v>B</x:v>
      </x:c>
      <x:c r="C592" s="10" t="str">
        <x:v>speech_input</x:v>
      </x:c>
      <x:c r="D592" s="10" t="str">
        <x:v>evaluation</x:v>
      </x:c>
      <x:c r="E592" s="13" t="n">
        <x:v>0</x:v>
      </x:c>
      <x:c r="F592" s="13" t="n">
        <x:v>0</x:v>
      </x:c>
      <x:c r="G592" s="10" t="n">
        <x:v>2</x:v>
      </x:c>
      <x:c r="H592" s="10" t="n">
        <x:v>0</x:v>
      </x:c>
      <x:c r="I592" s="11" t="n">
        <x:f>E592*Rates!$B$4+F592*Rates!$B$5+G592*Rates!$B$6+H592*Rates!$B$7</x:f>
        <x:v>0.002</x:v>
      </x:c>
    </x:row>
    <x:row r="593" ht="24" customHeight="1">
      <x:c r="A593" s="10" t="str">
        <x:v>S06-02</x:v>
      </x:c>
      <x:c r="B593" s="10" t="str">
        <x:v>B</x:v>
      </x:c>
      <x:c r="C593" s="10" t="str">
        <x:v>speech_output</x:v>
      </x:c>
      <x:c r="D593" s="10" t="str">
        <x:v>retained</x:v>
      </x:c>
      <x:c r="E593" s="13" t="n">
        <x:v>154</x:v>
      </x:c>
      <x:c r="F593" s="13" t="n">
        <x:v>0</x:v>
      </x:c>
      <x:c r="G593" s="10" t="n">
        <x:v>0</x:v>
      </x:c>
      <x:c r="H593" s="10" t="n">
        <x:v>7.957999999</x:v>
      </x:c>
      <x:c r="I593" s="11" t="n">
        <x:f>E593*Rates!$B$4+F593*Rates!$B$5+G593*Rates!$B$6+H593*Rates!$B$7</x:f>
        <x:v>0.016069999998000004</x:v>
      </x:c>
    </x:row>
    <x:row r="594" ht="24" customHeight="1">
      <x:c r="A594" s="10" t="str">
        <x:v>S06-03</x:v>
      </x:c>
      <x:c r="B594" s="10" t="str">
        <x:v>A</x:v>
      </x:c>
      <x:c r="C594" s="10" t="str">
        <x:v>semantic</x:v>
      </x:c>
      <x:c r="D594" s="10" t="str">
        <x:v>setup</x:v>
      </x:c>
      <x:c r="E594" s="13" t="n">
        <x:v>600</x:v>
      </x:c>
      <x:c r="F594" s="13" t="n">
        <x:v>16</x:v>
      </x:c>
      <x:c r="G594" s="10" t="n">
        <x:v>0</x:v>
      </x:c>
      <x:c r="H594" s="10" t="n">
        <x:v>0</x:v>
      </x:c>
      <x:c r="I594" s="11" t="n">
        <x:f>E594*Rates!$B$4+F594*Rates!$B$5+G594*Rates!$B$6+H594*Rates!$B$7</x:f>
        <x:v>0.000664</x:v>
      </x:c>
    </x:row>
    <x:row r="595" ht="24" customHeight="1">
      <x:c r="A595" s="10" t="str">
        <x:v>S06-03</x:v>
      </x:c>
      <x:c r="B595" s="10" t="str">
        <x:v>A</x:v>
      </x:c>
      <x:c r="C595" s="10" t="str">
        <x:v>speech_input</x:v>
      </x:c>
      <x:c r="D595" s="10" t="str">
        <x:v>setup</x:v>
      </x:c>
      <x:c r="E595" s="13" t="n">
        <x:v>0</x:v>
      </x:c>
      <x:c r="F595" s="13" t="n">
        <x:v>0</x:v>
      </x:c>
      <x:c r="G595" s="10" t="n">
        <x:v>2</x:v>
      </x:c>
      <x:c r="H595" s="10" t="n">
        <x:v>0</x:v>
      </x:c>
      <x:c r="I595" s="11" t="n">
        <x:f>E595*Rates!$B$4+F595*Rates!$B$5+G595*Rates!$B$6+H595*Rates!$B$7</x:f>
        <x:v>0.002</x:v>
      </x:c>
    </x:row>
    <x:row r="596" ht="24" customHeight="1">
      <x:c r="A596" s="10" t="str">
        <x:v>S06-03</x:v>
      </x:c>
      <x:c r="B596" s="10" t="str">
        <x:v>A</x:v>
      </x:c>
      <x:c r="C596" s="10" t="str">
        <x:v>semantic</x:v>
      </x:c>
      <x:c r="D596" s="10" t="str">
        <x:v>evaluation</x:v>
      </x:c>
      <x:c r="E596" s="13" t="n">
        <x:v>660</x:v>
      </x:c>
      <x:c r="F596" s="13" t="n">
        <x:v>16</x:v>
      </x:c>
      <x:c r="G596" s="10" t="n">
        <x:v>0</x:v>
      </x:c>
      <x:c r="H596" s="10" t="n">
        <x:v>0</x:v>
      </x:c>
      <x:c r="I596" s="11" t="n">
        <x:f>E596*Rates!$B$4+F596*Rates!$B$5+G596*Rates!$B$6+H596*Rates!$B$7</x:f>
        <x:v>0.000724</x:v>
      </x:c>
    </x:row>
    <x:row r="597" ht="24" customHeight="1">
      <x:c r="A597" s="10" t="str">
        <x:v>S06-03</x:v>
      </x:c>
      <x:c r="B597" s="10" t="str">
        <x:v>A</x:v>
      </x:c>
      <x:c r="C597" s="10" t="str">
        <x:v>speech_input</x:v>
      </x:c>
      <x:c r="D597" s="10" t="str">
        <x:v>evaluation</x:v>
      </x:c>
      <x:c r="E597" s="13" t="n">
        <x:v>0</x:v>
      </x:c>
      <x:c r="F597" s="13" t="n">
        <x:v>0</x:v>
      </x:c>
      <x:c r="G597" s="10" t="n">
        <x:v>2</x:v>
      </x:c>
      <x:c r="H597" s="10" t="n">
        <x:v>0</x:v>
      </x:c>
      <x:c r="I597" s="11" t="n">
        <x:f>E597*Rates!$B$4+F597*Rates!$B$5+G597*Rates!$B$6+H597*Rates!$B$7</x:f>
        <x:v>0.002</x:v>
      </x:c>
    </x:row>
    <x:row r="598" ht="24" customHeight="1">
      <x:c r="A598" s="10" t="str">
        <x:v>S06-03</x:v>
      </x:c>
      <x:c r="B598" s="10" t="str">
        <x:v>A</x:v>
      </x:c>
      <x:c r="C598" s="10" t="str">
        <x:v>speech_output</x:v>
      </x:c>
      <x:c r="D598" s="10" t="str">
        <x:v>retained</x:v>
      </x:c>
      <x:c r="E598" s="13" t="n">
        <x:v>154</x:v>
      </x:c>
      <x:c r="F598" s="13" t="n">
        <x:v>0</x:v>
      </x:c>
      <x:c r="G598" s="10" t="n">
        <x:v>0</x:v>
      </x:c>
      <x:c r="H598" s="10" t="n">
        <x:v>7.969999999</x:v>
      </x:c>
      <x:c r="I598" s="11" t="n">
        <x:f>E598*Rates!$B$4+F598*Rates!$B$5+G598*Rates!$B$6+H598*Rates!$B$7</x:f>
        <x:v>0.016093999998</x:v>
      </x:c>
    </x:row>
    <x:row r="599" ht="24" customHeight="1">
      <x:c r="A599" s="10" t="str">
        <x:v>S06-03</x:v>
      </x:c>
      <x:c r="B599" s="10" t="str">
        <x:v>B</x:v>
      </x:c>
      <x:c r="C599" s="10" t="str">
        <x:v>semantic</x:v>
      </x:c>
      <x:c r="D599" s="10" t="str">
        <x:v>setup</x:v>
      </x:c>
      <x:c r="E599" s="13" t="n">
        <x:v>600</x:v>
      </x:c>
      <x:c r="F599" s="13" t="n">
        <x:v>16</x:v>
      </x:c>
      <x:c r="G599" s="10" t="n">
        <x:v>0</x:v>
      </x:c>
      <x:c r="H599" s="10" t="n">
        <x:v>0</x:v>
      </x:c>
      <x:c r="I599" s="11" t="n">
        <x:f>E599*Rates!$B$4+F599*Rates!$B$5+G599*Rates!$B$6+H599*Rates!$B$7</x:f>
        <x:v>0.000664</x:v>
      </x:c>
    </x:row>
    <x:row r="600" ht="24" customHeight="1">
      <x:c r="A600" s="10" t="str">
        <x:v>S06-03</x:v>
      </x:c>
      <x:c r="B600" s="10" t="str">
        <x:v>B</x:v>
      </x:c>
      <x:c r="C600" s="10" t="str">
        <x:v>speech_input</x:v>
      </x:c>
      <x:c r="D600" s="10" t="str">
        <x:v>setup</x:v>
      </x:c>
      <x:c r="E600" s="13" t="n">
        <x:v>0</x:v>
      </x:c>
      <x:c r="F600" s="13" t="n">
        <x:v>0</x:v>
      </x:c>
      <x:c r="G600" s="10" t="n">
        <x:v>2</x:v>
      </x:c>
      <x:c r="H600" s="10" t="n">
        <x:v>0</x:v>
      </x:c>
      <x:c r="I600" s="11" t="n">
        <x:f>E600*Rates!$B$4+F600*Rates!$B$5+G600*Rates!$B$6+H600*Rates!$B$7</x:f>
        <x:v>0.002</x:v>
      </x:c>
    </x:row>
    <x:row r="601" ht="24" customHeight="1">
      <x:c r="A601" s="10" t="str">
        <x:v>S06-03</x:v>
      </x:c>
      <x:c r="B601" s="10" t="str">
        <x:v>B</x:v>
      </x:c>
      <x:c r="C601" s="10" t="str">
        <x:v>semantic</x:v>
      </x:c>
      <x:c r="D601" s="10" t="str">
        <x:v>evaluation</x:v>
      </x:c>
      <x:c r="E601" s="13" t="n">
        <x:v>660</x:v>
      </x:c>
      <x:c r="F601" s="13" t="n">
        <x:v>16</x:v>
      </x:c>
      <x:c r="G601" s="10" t="n">
        <x:v>0</x:v>
      </x:c>
      <x:c r="H601" s="10" t="n">
        <x:v>0</x:v>
      </x:c>
      <x:c r="I601" s="11" t="n">
        <x:f>E601*Rates!$B$4+F601*Rates!$B$5+G601*Rates!$B$6+H601*Rates!$B$7</x:f>
        <x:v>0.000724</x:v>
      </x:c>
    </x:row>
    <x:row r="602" ht="24" customHeight="1">
      <x:c r="A602" s="10" t="str">
        <x:v>S06-03</x:v>
      </x:c>
      <x:c r="B602" s="10" t="str">
        <x:v>B</x:v>
      </x:c>
      <x:c r="C602" s="10" t="str">
        <x:v>speech_input</x:v>
      </x:c>
      <x:c r="D602" s="10" t="str">
        <x:v>evaluation</x:v>
      </x:c>
      <x:c r="E602" s="13" t="n">
        <x:v>0</x:v>
      </x:c>
      <x:c r="F602" s="13" t="n">
        <x:v>0</x:v>
      </x:c>
      <x:c r="G602" s="10" t="n">
        <x:v>2</x:v>
      </x:c>
      <x:c r="H602" s="10" t="n">
        <x:v>0</x:v>
      </x:c>
      <x:c r="I602" s="11" t="n">
        <x:f>E602*Rates!$B$4+F602*Rates!$B$5+G602*Rates!$B$6+H602*Rates!$B$7</x:f>
        <x:v>0.002</x:v>
      </x:c>
    </x:row>
    <x:row r="603" ht="24" customHeight="1">
      <x:c r="A603" s="10" t="str">
        <x:v>S06-03</x:v>
      </x:c>
      <x:c r="B603" s="10" t="str">
        <x:v>B</x:v>
      </x:c>
      <x:c r="C603" s="10" t="str">
        <x:v>speech_output</x:v>
      </x:c>
      <x:c r="D603" s="10" t="str">
        <x:v>retained</x:v>
      </x:c>
      <x:c r="E603" s="13" t="n">
        <x:v>154</x:v>
      </x:c>
      <x:c r="F603" s="13" t="n">
        <x:v>0</x:v>
      </x:c>
      <x:c r="G603" s="10" t="n">
        <x:v>0</x:v>
      </x:c>
      <x:c r="H603" s="10" t="n">
        <x:v>7.969999999</x:v>
      </x:c>
      <x:c r="I603" s="11" t="n">
        <x:f>E603*Rates!$B$4+F603*Rates!$B$5+G603*Rates!$B$6+H603*Rates!$B$7</x:f>
        <x:v>0.016093999998</x:v>
      </x:c>
    </x:row>
    <x:row r="604" ht="24" customHeight="1">
      <x:c r="A604" s="10" t="str">
        <x:v>S06-04</x:v>
      </x:c>
      <x:c r="B604" s="10" t="str">
        <x:v>A</x:v>
      </x:c>
      <x:c r="C604" s="10" t="str">
        <x:v>semantic</x:v>
      </x:c>
      <x:c r="D604" s="10" t="str">
        <x:v>setup</x:v>
      </x:c>
      <x:c r="E604" s="13" t="n">
        <x:v>600</x:v>
      </x:c>
      <x:c r="F604" s="13" t="n">
        <x:v>16</x:v>
      </x:c>
      <x:c r="G604" s="10" t="n">
        <x:v>0</x:v>
      </x:c>
      <x:c r="H604" s="10" t="n">
        <x:v>0</x:v>
      </x:c>
      <x:c r="I604" s="11" t="n">
        <x:f>E604*Rates!$B$4+F604*Rates!$B$5+G604*Rates!$B$6+H604*Rates!$B$7</x:f>
        <x:v>0.000664</x:v>
      </x:c>
    </x:row>
    <x:row r="605" ht="24" customHeight="1">
      <x:c r="A605" s="10" t="str">
        <x:v>S06-04</x:v>
      </x:c>
      <x:c r="B605" s="10" t="str">
        <x:v>A</x:v>
      </x:c>
      <x:c r="C605" s="10" t="str">
        <x:v>speech_input</x:v>
      </x:c>
      <x:c r="D605" s="10" t="str">
        <x:v>setup</x:v>
      </x:c>
      <x:c r="E605" s="13" t="n">
        <x:v>0</x:v>
      </x:c>
      <x:c r="F605" s="13" t="n">
        <x:v>0</x:v>
      </x:c>
      <x:c r="G605" s="10" t="n">
        <x:v>2</x:v>
      </x:c>
      <x:c r="H605" s="10" t="n">
        <x:v>0</x:v>
      </x:c>
      <x:c r="I605" s="11" t="n">
        <x:f>E605*Rates!$B$4+F605*Rates!$B$5+G605*Rates!$B$6+H605*Rates!$B$7</x:f>
        <x:v>0.002</x:v>
      </x:c>
    </x:row>
    <x:row r="606" ht="24" customHeight="1">
      <x:c r="A606" s="10" t="str">
        <x:v>S06-04</x:v>
      </x:c>
      <x:c r="B606" s="10" t="str">
        <x:v>A</x:v>
      </x:c>
      <x:c r="C606" s="10" t="str">
        <x:v>semantic</x:v>
      </x:c>
      <x:c r="D606" s="10" t="str">
        <x:v>evaluation</x:v>
      </x:c>
      <x:c r="E606" s="13" t="n">
        <x:v>680</x:v>
      </x:c>
      <x:c r="F606" s="13" t="n">
        <x:v>18</x:v>
      </x:c>
      <x:c r="G606" s="10" t="n">
        <x:v>0</x:v>
      </x:c>
      <x:c r="H606" s="10" t="n">
        <x:v>0</x:v>
      </x:c>
      <x:c r="I606" s="11" t="n">
        <x:f>E606*Rates!$B$4+F606*Rates!$B$5+G606*Rates!$B$6+H606*Rates!$B$7</x:f>
        <x:v>0.000752</x:v>
      </x:c>
    </x:row>
    <x:row r="607" ht="24" customHeight="1">
      <x:c r="A607" s="10" t="str">
        <x:v>S06-04</x:v>
      </x:c>
      <x:c r="B607" s="10" t="str">
        <x:v>A</x:v>
      </x:c>
      <x:c r="C607" s="10" t="str">
        <x:v>speech_input</x:v>
      </x:c>
      <x:c r="D607" s="10" t="str">
        <x:v>evaluation</x:v>
      </x:c>
      <x:c r="E607" s="13" t="n">
        <x:v>0</x:v>
      </x:c>
      <x:c r="F607" s="13" t="n">
        <x:v>0</x:v>
      </x:c>
      <x:c r="G607" s="10" t="n">
        <x:v>2</x:v>
      </x:c>
      <x:c r="H607" s="10" t="n">
        <x:v>0</x:v>
      </x:c>
      <x:c r="I607" s="11" t="n">
        <x:f>E607*Rates!$B$4+F607*Rates!$B$5+G607*Rates!$B$6+H607*Rates!$B$7</x:f>
        <x:v>0.002</x:v>
      </x:c>
    </x:row>
    <x:row r="608" ht="24" customHeight="1">
      <x:c r="A608" s="10" t="str">
        <x:v>S06-04</x:v>
      </x:c>
      <x:c r="B608" s="10" t="str">
        <x:v>A</x:v>
      </x:c>
      <x:c r="C608" s="10" t="str">
        <x:v>speech_output</x:v>
      </x:c>
      <x:c r="D608" s="10" t="str">
        <x:v>retained</x:v>
      </x:c>
      <x:c r="E608" s="13" t="n">
        <x:v>154</x:v>
      </x:c>
      <x:c r="F608" s="13" t="n">
        <x:v>0</x:v>
      </x:c>
      <x:c r="G608" s="10" t="n">
        <x:v>0</x:v>
      </x:c>
      <x:c r="H608" s="10" t="n">
        <x:v>7.981999999</x:v>
      </x:c>
      <x:c r="I608" s="11" t="n">
        <x:f>E608*Rates!$B$4+F608*Rates!$B$5+G608*Rates!$B$6+H608*Rates!$B$7</x:f>
        <x:v>0.016117999998000003</x:v>
      </x:c>
    </x:row>
    <x:row r="609" ht="24" customHeight="1">
      <x:c r="A609" s="10" t="str">
        <x:v>S06-04</x:v>
      </x:c>
      <x:c r="B609" s="10" t="str">
        <x:v>B</x:v>
      </x:c>
      <x:c r="C609" s="10" t="str">
        <x:v>semantic</x:v>
      </x:c>
      <x:c r="D609" s="10" t="str">
        <x:v>setup</x:v>
      </x:c>
      <x:c r="E609" s="13" t="n">
        <x:v>600</x:v>
      </x:c>
      <x:c r="F609" s="13" t="n">
        <x:v>16</x:v>
      </x:c>
      <x:c r="G609" s="10" t="n">
        <x:v>0</x:v>
      </x:c>
      <x:c r="H609" s="10" t="n">
        <x:v>0</x:v>
      </x:c>
      <x:c r="I609" s="11" t="n">
        <x:f>E609*Rates!$B$4+F609*Rates!$B$5+G609*Rates!$B$6+H609*Rates!$B$7</x:f>
        <x:v>0.000664</x:v>
      </x:c>
    </x:row>
    <x:row r="610" ht="24" customHeight="1">
      <x:c r="A610" s="10" t="str">
        <x:v>S06-04</x:v>
      </x:c>
      <x:c r="B610" s="10" t="str">
        <x:v>B</x:v>
      </x:c>
      <x:c r="C610" s="10" t="str">
        <x:v>speech_input</x:v>
      </x:c>
      <x:c r="D610" s="10" t="str">
        <x:v>setup</x:v>
      </x:c>
      <x:c r="E610" s="13" t="n">
        <x:v>0</x:v>
      </x:c>
      <x:c r="F610" s="13" t="n">
        <x:v>0</x:v>
      </x:c>
      <x:c r="G610" s="10" t="n">
        <x:v>2</x:v>
      </x:c>
      <x:c r="H610" s="10" t="n">
        <x:v>0</x:v>
      </x:c>
      <x:c r="I610" s="11" t="n">
        <x:f>E610*Rates!$B$4+F610*Rates!$B$5+G610*Rates!$B$6+H610*Rates!$B$7</x:f>
        <x:v>0.002</x:v>
      </x:c>
    </x:row>
    <x:row r="611" ht="24" customHeight="1">
      <x:c r="A611" s="10" t="str">
        <x:v>S06-04</x:v>
      </x:c>
      <x:c r="B611" s="10" t="str">
        <x:v>B</x:v>
      </x:c>
      <x:c r="C611" s="10" t="str">
        <x:v>semantic</x:v>
      </x:c>
      <x:c r="D611" s="10" t="str">
        <x:v>evaluation</x:v>
      </x:c>
      <x:c r="E611" s="13" t="n">
        <x:v>680</x:v>
      </x:c>
      <x:c r="F611" s="13" t="n">
        <x:v>18</x:v>
      </x:c>
      <x:c r="G611" s="10" t="n">
        <x:v>0</x:v>
      </x:c>
      <x:c r="H611" s="10" t="n">
        <x:v>0</x:v>
      </x:c>
      <x:c r="I611" s="11" t="n">
        <x:f>E611*Rates!$B$4+F611*Rates!$B$5+G611*Rates!$B$6+H611*Rates!$B$7</x:f>
        <x:v>0.000752</x:v>
      </x:c>
    </x:row>
    <x:row r="612" ht="24" customHeight="1">
      <x:c r="A612" s="10" t="str">
        <x:v>S06-04</x:v>
      </x:c>
      <x:c r="B612" s="10" t="str">
        <x:v>B</x:v>
      </x:c>
      <x:c r="C612" s="10" t="str">
        <x:v>speech_input</x:v>
      </x:c>
      <x:c r="D612" s="10" t="str">
        <x:v>evaluation</x:v>
      </x:c>
      <x:c r="E612" s="13" t="n">
        <x:v>0</x:v>
      </x:c>
      <x:c r="F612" s="13" t="n">
        <x:v>0</x:v>
      </x:c>
      <x:c r="G612" s="10" t="n">
        <x:v>2</x:v>
      </x:c>
      <x:c r="H612" s="10" t="n">
        <x:v>0</x:v>
      </x:c>
      <x:c r="I612" s="11" t="n">
        <x:f>E612*Rates!$B$4+F612*Rates!$B$5+G612*Rates!$B$6+H612*Rates!$B$7</x:f>
        <x:v>0.002</x:v>
      </x:c>
    </x:row>
    <x:row r="613" ht="24" customHeight="1">
      <x:c r="A613" s="10" t="str">
        <x:v>S06-04</x:v>
      </x:c>
      <x:c r="B613" s="10" t="str">
        <x:v>B</x:v>
      </x:c>
      <x:c r="C613" s="10" t="str">
        <x:v>speech_output</x:v>
      </x:c>
      <x:c r="D613" s="10" t="str">
        <x:v>retained</x:v>
      </x:c>
      <x:c r="E613" s="13" t="n">
        <x:v>154</x:v>
      </x:c>
      <x:c r="F613" s="13" t="n">
        <x:v>0</x:v>
      </x:c>
      <x:c r="G613" s="10" t="n">
        <x:v>0</x:v>
      </x:c>
      <x:c r="H613" s="10" t="n">
        <x:v>7.981999999</x:v>
      </x:c>
      <x:c r="I613" s="11" t="n">
        <x:f>E613*Rates!$B$4+F613*Rates!$B$5+G613*Rates!$B$6+H613*Rates!$B$7</x:f>
        <x:v>0.016117999998000003</x:v>
      </x:c>
    </x:row>
    <x:row r="614" ht="24" customHeight="1">
      <x:c r="A614" s="10" t="str">
        <x:v>S06-05</x:v>
      </x:c>
      <x:c r="B614" s="10" t="str">
        <x:v>A</x:v>
      </x:c>
      <x:c r="C614" s="10" t="str">
        <x:v>semantic</x:v>
      </x:c>
      <x:c r="D614" s="10" t="str">
        <x:v>setup</x:v>
      </x:c>
      <x:c r="E614" s="13" t="n">
        <x:v>600</x:v>
      </x:c>
      <x:c r="F614" s="13" t="n">
        <x:v>16</x:v>
      </x:c>
      <x:c r="G614" s="10" t="n">
        <x:v>0</x:v>
      </x:c>
      <x:c r="H614" s="10" t="n">
        <x:v>0</x:v>
      </x:c>
      <x:c r="I614" s="11" t="n">
        <x:f>E614*Rates!$B$4+F614*Rates!$B$5+G614*Rates!$B$6+H614*Rates!$B$7</x:f>
        <x:v>0.000664</x:v>
      </x:c>
    </x:row>
    <x:row r="615" ht="24" customHeight="1">
      <x:c r="A615" s="10" t="str">
        <x:v>S06-05</x:v>
      </x:c>
      <x:c r="B615" s="10" t="str">
        <x:v>A</x:v>
      </x:c>
      <x:c r="C615" s="10" t="str">
        <x:v>speech_input</x:v>
      </x:c>
      <x:c r="D615" s="10" t="str">
        <x:v>setup</x:v>
      </x:c>
      <x:c r="E615" s="13" t="n">
        <x:v>0</x:v>
      </x:c>
      <x:c r="F615" s="13" t="n">
        <x:v>0</x:v>
      </x:c>
      <x:c r="G615" s="10" t="n">
        <x:v>2</x:v>
      </x:c>
      <x:c r="H615" s="10" t="n">
        <x:v>0</x:v>
      </x:c>
      <x:c r="I615" s="11" t="n">
        <x:f>E615*Rates!$B$4+F615*Rates!$B$5+G615*Rates!$B$6+H615*Rates!$B$7</x:f>
        <x:v>0.002</x:v>
      </x:c>
    </x:row>
    <x:row r="616" ht="24" customHeight="1">
      <x:c r="A616" s="10" t="str">
        <x:v>S06-05</x:v>
      </x:c>
      <x:c r="B616" s="10" t="str">
        <x:v>A</x:v>
      </x:c>
      <x:c r="C616" s="10" t="str">
        <x:v>semantic</x:v>
      </x:c>
      <x:c r="D616" s="10" t="str">
        <x:v>evaluation</x:v>
      </x:c>
      <x:c r="E616" s="13" t="n">
        <x:v>700</x:v>
      </x:c>
      <x:c r="F616" s="13" t="n">
        <x:v>20</x:v>
      </x:c>
      <x:c r="G616" s="10" t="n">
        <x:v>0</x:v>
      </x:c>
      <x:c r="H616" s="10" t="n">
        <x:v>0</x:v>
      </x:c>
      <x:c r="I616" s="11" t="n">
        <x:f>E616*Rates!$B$4+F616*Rates!$B$5+G616*Rates!$B$6+H616*Rates!$B$7</x:f>
        <x:v>0.00078</x:v>
      </x:c>
    </x:row>
    <x:row r="617" ht="24" customHeight="1">
      <x:c r="A617" s="10" t="str">
        <x:v>S06-05</x:v>
      </x:c>
      <x:c r="B617" s="10" t="str">
        <x:v>A</x:v>
      </x:c>
      <x:c r="C617" s="10" t="str">
        <x:v>speech_input</x:v>
      </x:c>
      <x:c r="D617" s="10" t="str">
        <x:v>evaluation</x:v>
      </x:c>
      <x:c r="E617" s="13" t="n">
        <x:v>0</x:v>
      </x:c>
      <x:c r="F617" s="13" t="n">
        <x:v>0</x:v>
      </x:c>
      <x:c r="G617" s="10" t="n">
        <x:v>2</x:v>
      </x:c>
      <x:c r="H617" s="10" t="n">
        <x:v>0</x:v>
      </x:c>
      <x:c r="I617" s="11" t="n">
        <x:f>E617*Rates!$B$4+F617*Rates!$B$5+G617*Rates!$B$6+H617*Rates!$B$7</x:f>
        <x:v>0.002</x:v>
      </x:c>
    </x:row>
    <x:row r="618" ht="24" customHeight="1">
      <x:c r="A618" s="10" t="str">
        <x:v>S06-05</x:v>
      </x:c>
      <x:c r="B618" s="10" t="str">
        <x:v>A</x:v>
      </x:c>
      <x:c r="C618" s="10" t="str">
        <x:v>speech_output</x:v>
      </x:c>
      <x:c r="D618" s="10" t="str">
        <x:v>retained</x:v>
      </x:c>
      <x:c r="E618" s="13" t="n">
        <x:v>154</x:v>
      </x:c>
      <x:c r="F618" s="13" t="n">
        <x:v>0</x:v>
      </x:c>
      <x:c r="G618" s="10" t="n">
        <x:v>0</x:v>
      </x:c>
      <x:c r="H618" s="10" t="n">
        <x:v>7.993999999</x:v>
      </x:c>
      <x:c r="I618" s="11" t="n">
        <x:f>E618*Rates!$B$4+F618*Rates!$B$5+G618*Rates!$B$6+H618*Rates!$B$7</x:f>
        <x:v>0.016141999998000003</x:v>
      </x:c>
    </x:row>
    <x:row r="619" ht="24" customHeight="1">
      <x:c r="A619" s="10" t="str">
        <x:v>S06-05</x:v>
      </x:c>
      <x:c r="B619" s="10" t="str">
        <x:v>B</x:v>
      </x:c>
      <x:c r="C619" s="10" t="str">
        <x:v>semantic</x:v>
      </x:c>
      <x:c r="D619" s="10" t="str">
        <x:v>setup</x:v>
      </x:c>
      <x:c r="E619" s="13" t="n">
        <x:v>600</x:v>
      </x:c>
      <x:c r="F619" s="13" t="n">
        <x:v>16</x:v>
      </x:c>
      <x:c r="G619" s="10" t="n">
        <x:v>0</x:v>
      </x:c>
      <x:c r="H619" s="10" t="n">
        <x:v>0</x:v>
      </x:c>
      <x:c r="I619" s="11" t="n">
        <x:f>E619*Rates!$B$4+F619*Rates!$B$5+G619*Rates!$B$6+H619*Rates!$B$7</x:f>
        <x:v>0.000664</x:v>
      </x:c>
    </x:row>
    <x:row r="620" ht="24" customHeight="1">
      <x:c r="A620" s="10" t="str">
        <x:v>S06-05</x:v>
      </x:c>
      <x:c r="B620" s="10" t="str">
        <x:v>B</x:v>
      </x:c>
      <x:c r="C620" s="10" t="str">
        <x:v>speech_input</x:v>
      </x:c>
      <x:c r="D620" s="10" t="str">
        <x:v>setup</x:v>
      </x:c>
      <x:c r="E620" s="13" t="n">
        <x:v>0</x:v>
      </x:c>
      <x:c r="F620" s="13" t="n">
        <x:v>0</x:v>
      </x:c>
      <x:c r="G620" s="10" t="n">
        <x:v>2</x:v>
      </x:c>
      <x:c r="H620" s="10" t="n">
        <x:v>0</x:v>
      </x:c>
      <x:c r="I620" s="11" t="n">
        <x:f>E620*Rates!$B$4+F620*Rates!$B$5+G620*Rates!$B$6+H620*Rates!$B$7</x:f>
        <x:v>0.002</x:v>
      </x:c>
    </x:row>
    <x:row r="621" ht="24" customHeight="1">
      <x:c r="A621" s="10" t="str">
        <x:v>S06-05</x:v>
      </x:c>
      <x:c r="B621" s="10" t="str">
        <x:v>B</x:v>
      </x:c>
      <x:c r="C621" s="10" t="str">
        <x:v>semantic</x:v>
      </x:c>
      <x:c r="D621" s="10" t="str">
        <x:v>evaluation</x:v>
      </x:c>
      <x:c r="E621" s="13" t="n">
        <x:v>700</x:v>
      </x:c>
      <x:c r="F621" s="13" t="n">
        <x:v>20</x:v>
      </x:c>
      <x:c r="G621" s="10" t="n">
        <x:v>0</x:v>
      </x:c>
      <x:c r="H621" s="10" t="n">
        <x:v>0</x:v>
      </x:c>
      <x:c r="I621" s="11" t="n">
        <x:f>E621*Rates!$B$4+F621*Rates!$B$5+G621*Rates!$B$6+H621*Rates!$B$7</x:f>
        <x:v>0.00078</x:v>
      </x:c>
    </x:row>
    <x:row r="622" ht="24" customHeight="1">
      <x:c r="A622" s="10" t="str">
        <x:v>S06-05</x:v>
      </x:c>
      <x:c r="B622" s="10" t="str">
        <x:v>B</x:v>
      </x:c>
      <x:c r="C622" s="10" t="str">
        <x:v>speech_input</x:v>
      </x:c>
      <x:c r="D622" s="10" t="str">
        <x:v>evaluation</x:v>
      </x:c>
      <x:c r="E622" s="13" t="n">
        <x:v>0</x:v>
      </x:c>
      <x:c r="F622" s="13" t="n">
        <x:v>0</x:v>
      </x:c>
      <x:c r="G622" s="10" t="n">
        <x:v>2</x:v>
      </x:c>
      <x:c r="H622" s="10" t="n">
        <x:v>0</x:v>
      </x:c>
      <x:c r="I622" s="11" t="n">
        <x:f>E622*Rates!$B$4+F622*Rates!$B$5+G622*Rates!$B$6+H622*Rates!$B$7</x:f>
        <x:v>0.002</x:v>
      </x:c>
    </x:row>
    <x:row r="623" ht="24" customHeight="1">
      <x:c r="A623" s="10" t="str">
        <x:v>S06-05</x:v>
      </x:c>
      <x:c r="B623" s="10" t="str">
        <x:v>B</x:v>
      </x:c>
      <x:c r="C623" s="10" t="str">
        <x:v>speech_output</x:v>
      </x:c>
      <x:c r="D623" s="10" t="str">
        <x:v>retained</x:v>
      </x:c>
      <x:c r="E623" s="13" t="n">
        <x:v>154</x:v>
      </x:c>
      <x:c r="F623" s="13" t="n">
        <x:v>0</x:v>
      </x:c>
      <x:c r="G623" s="10" t="n">
        <x:v>0</x:v>
      </x:c>
      <x:c r="H623" s="10" t="n">
        <x:v>7.993999999</x:v>
      </x:c>
      <x:c r="I623" s="11" t="n">
        <x:f>E623*Rates!$B$4+F623*Rates!$B$5+G623*Rates!$B$6+H623*Rates!$B$7</x:f>
        <x:v>0.016141999998000003</x:v>
      </x:c>
    </x:row>
    <x:row r="624" ht="24" customHeight="1">
      <x:c r="A624" s="10" t="str">
        <x:v>S06-06</x:v>
      </x:c>
      <x:c r="B624" s="10" t="str">
        <x:v>A</x:v>
      </x:c>
      <x:c r="C624" s="10" t="str">
        <x:v>semantic</x:v>
      </x:c>
      <x:c r="D624" s="10" t="str">
        <x:v>setup</x:v>
      </x:c>
      <x:c r="E624" s="13" t="n">
        <x:v>600</x:v>
      </x:c>
      <x:c r="F624" s="13" t="n">
        <x:v>16</x:v>
      </x:c>
      <x:c r="G624" s="10" t="n">
        <x:v>0</x:v>
      </x:c>
      <x:c r="H624" s="10" t="n">
        <x:v>0</x:v>
      </x:c>
      <x:c r="I624" s="11" t="n">
        <x:f>E624*Rates!$B$4+F624*Rates!$B$5+G624*Rates!$B$6+H624*Rates!$B$7</x:f>
        <x:v>0.000664</x:v>
      </x:c>
    </x:row>
    <x:row r="625" ht="24" customHeight="1">
      <x:c r="A625" s="10" t="str">
        <x:v>S06-06</x:v>
      </x:c>
      <x:c r="B625" s="10" t="str">
        <x:v>A</x:v>
      </x:c>
      <x:c r="C625" s="10" t="str">
        <x:v>speech_input</x:v>
      </x:c>
      <x:c r="D625" s="10" t="str">
        <x:v>setup</x:v>
      </x:c>
      <x:c r="E625" s="13" t="n">
        <x:v>0</x:v>
      </x:c>
      <x:c r="F625" s="13" t="n">
        <x:v>0</x:v>
      </x:c>
      <x:c r="G625" s="10" t="n">
        <x:v>2</x:v>
      </x:c>
      <x:c r="H625" s="10" t="n">
        <x:v>0</x:v>
      </x:c>
      <x:c r="I625" s="11" t="n">
        <x:f>E625*Rates!$B$4+F625*Rates!$B$5+G625*Rates!$B$6+H625*Rates!$B$7</x:f>
        <x:v>0.002</x:v>
      </x:c>
    </x:row>
    <x:row r="626" ht="24" customHeight="1">
      <x:c r="A626" s="10" t="str">
        <x:v>S06-06</x:v>
      </x:c>
      <x:c r="B626" s="10" t="str">
        <x:v>A</x:v>
      </x:c>
      <x:c r="C626" s="10" t="str">
        <x:v>semantic</x:v>
      </x:c>
      <x:c r="D626" s="10" t="str">
        <x:v>evaluation</x:v>
      </x:c>
      <x:c r="E626" s="13" t="n">
        <x:v>720</x:v>
      </x:c>
      <x:c r="F626" s="13" t="n">
        <x:v>16</x:v>
      </x:c>
      <x:c r="G626" s="10" t="n">
        <x:v>0</x:v>
      </x:c>
      <x:c r="H626" s="10" t="n">
        <x:v>0</x:v>
      </x:c>
      <x:c r="I626" s="11" t="n">
        <x:f>E626*Rates!$B$4+F626*Rates!$B$5+G626*Rates!$B$6+H626*Rates!$B$7</x:f>
        <x:v>0.000784</x:v>
      </x:c>
    </x:row>
    <x:row r="627" ht="24" customHeight="1">
      <x:c r="A627" s="10" t="str">
        <x:v>S06-06</x:v>
      </x:c>
      <x:c r="B627" s="10" t="str">
        <x:v>A</x:v>
      </x:c>
      <x:c r="C627" s="10" t="str">
        <x:v>speech_input</x:v>
      </x:c>
      <x:c r="D627" s="10" t="str">
        <x:v>evaluation</x:v>
      </x:c>
      <x:c r="E627" s="13" t="n">
        <x:v>0</x:v>
      </x:c>
      <x:c r="F627" s="13" t="n">
        <x:v>0</x:v>
      </x:c>
      <x:c r="G627" s="10" t="n">
        <x:v>2</x:v>
      </x:c>
      <x:c r="H627" s="10" t="n">
        <x:v>0</x:v>
      </x:c>
      <x:c r="I627" s="11" t="n">
        <x:f>E627*Rates!$B$4+F627*Rates!$B$5+G627*Rates!$B$6+H627*Rates!$B$7</x:f>
        <x:v>0.002</x:v>
      </x:c>
    </x:row>
    <x:row r="628" ht="24" customHeight="1">
      <x:c r="A628" s="10" t="str">
        <x:v>S06-06</x:v>
      </x:c>
      <x:c r="B628" s="10" t="str">
        <x:v>A</x:v>
      </x:c>
      <x:c r="C628" s="10" t="str">
        <x:v>speech_output</x:v>
      </x:c>
      <x:c r="D628" s="10" t="str">
        <x:v>retained</x:v>
      </x:c>
      <x:c r="E628" s="13" t="n">
        <x:v>154</x:v>
      </x:c>
      <x:c r="F628" s="13" t="n">
        <x:v>0</x:v>
      </x:c>
      <x:c r="G628" s="10" t="n">
        <x:v>0</x:v>
      </x:c>
      <x:c r="H628" s="10" t="n">
        <x:v>8.005999999</x:v>
      </x:c>
      <x:c r="I628" s="11" t="n">
        <x:f>E628*Rates!$B$4+F628*Rates!$B$5+G628*Rates!$B$6+H628*Rates!$B$7</x:f>
        <x:v>0.016165999998000002</x:v>
      </x:c>
    </x:row>
    <x:row r="629" ht="24" customHeight="1">
      <x:c r="A629" s="10" t="str">
        <x:v>S06-06</x:v>
      </x:c>
      <x:c r="B629" s="10" t="str">
        <x:v>B</x:v>
      </x:c>
      <x:c r="C629" s="10" t="str">
        <x:v>semantic</x:v>
      </x:c>
      <x:c r="D629" s="10" t="str">
        <x:v>setup</x:v>
      </x:c>
      <x:c r="E629" s="13" t="n">
        <x:v>600</x:v>
      </x:c>
      <x:c r="F629" s="13" t="n">
        <x:v>16</x:v>
      </x:c>
      <x:c r="G629" s="10" t="n">
        <x:v>0</x:v>
      </x:c>
      <x:c r="H629" s="10" t="n">
        <x:v>0</x:v>
      </x:c>
      <x:c r="I629" s="11" t="n">
        <x:f>E629*Rates!$B$4+F629*Rates!$B$5+G629*Rates!$B$6+H629*Rates!$B$7</x:f>
        <x:v>0.000664</x:v>
      </x:c>
    </x:row>
    <x:row r="630" ht="24" customHeight="1">
      <x:c r="A630" s="10" t="str">
        <x:v>S06-06</x:v>
      </x:c>
      <x:c r="B630" s="10" t="str">
        <x:v>B</x:v>
      </x:c>
      <x:c r="C630" s="10" t="str">
        <x:v>speech_input</x:v>
      </x:c>
      <x:c r="D630" s="10" t="str">
        <x:v>setup</x:v>
      </x:c>
      <x:c r="E630" s="13" t="n">
        <x:v>0</x:v>
      </x:c>
      <x:c r="F630" s="13" t="n">
        <x:v>0</x:v>
      </x:c>
      <x:c r="G630" s="10" t="n">
        <x:v>2</x:v>
      </x:c>
      <x:c r="H630" s="10" t="n">
        <x:v>0</x:v>
      </x:c>
      <x:c r="I630" s="11" t="n">
        <x:f>E630*Rates!$B$4+F630*Rates!$B$5+G630*Rates!$B$6+H630*Rates!$B$7</x:f>
        <x:v>0.002</x:v>
      </x:c>
    </x:row>
    <x:row r="631" ht="24" customHeight="1">
      <x:c r="A631" s="10" t="str">
        <x:v>S06-06</x:v>
      </x:c>
      <x:c r="B631" s="10" t="str">
        <x:v>B</x:v>
      </x:c>
      <x:c r="C631" s="10" t="str">
        <x:v>semantic</x:v>
      </x:c>
      <x:c r="D631" s="10" t="str">
        <x:v>evaluation</x:v>
      </x:c>
      <x:c r="E631" s="13" t="n">
        <x:v>720</x:v>
      </x:c>
      <x:c r="F631" s="13" t="n">
        <x:v>16</x:v>
      </x:c>
      <x:c r="G631" s="10" t="n">
        <x:v>0</x:v>
      </x:c>
      <x:c r="H631" s="10" t="n">
        <x:v>0</x:v>
      </x:c>
      <x:c r="I631" s="11" t="n">
        <x:f>E631*Rates!$B$4+F631*Rates!$B$5+G631*Rates!$B$6+H631*Rates!$B$7</x:f>
        <x:v>0.000784</x:v>
      </x:c>
    </x:row>
    <x:row r="632" ht="24" customHeight="1">
      <x:c r="A632" s="10" t="str">
        <x:v>S06-06</x:v>
      </x:c>
      <x:c r="B632" s="10" t="str">
        <x:v>B</x:v>
      </x:c>
      <x:c r="C632" s="10" t="str">
        <x:v>speech_input</x:v>
      </x:c>
      <x:c r="D632" s="10" t="str">
        <x:v>evaluation</x:v>
      </x:c>
      <x:c r="E632" s="13" t="n">
        <x:v>0</x:v>
      </x:c>
      <x:c r="F632" s="13" t="n">
        <x:v>0</x:v>
      </x:c>
      <x:c r="G632" s="10" t="n">
        <x:v>2</x:v>
      </x:c>
      <x:c r="H632" s="10" t="n">
        <x:v>0</x:v>
      </x:c>
      <x:c r="I632" s="11" t="n">
        <x:f>E632*Rates!$B$4+F632*Rates!$B$5+G632*Rates!$B$6+H632*Rates!$B$7</x:f>
        <x:v>0.002</x:v>
      </x:c>
    </x:row>
    <x:row r="633" ht="24" customHeight="1">
      <x:c r="A633" s="10" t="str">
        <x:v>S06-06</x:v>
      </x:c>
      <x:c r="B633" s="10" t="str">
        <x:v>B</x:v>
      </x:c>
      <x:c r="C633" s="10" t="str">
        <x:v>speech_output</x:v>
      </x:c>
      <x:c r="D633" s="10" t="str">
        <x:v>retained</x:v>
      </x:c>
      <x:c r="E633" s="13" t="n">
        <x:v>154</x:v>
      </x:c>
      <x:c r="F633" s="13" t="n">
        <x:v>0</x:v>
      </x:c>
      <x:c r="G633" s="10" t="n">
        <x:v>0</x:v>
      </x:c>
      <x:c r="H633" s="10" t="n">
        <x:v>8.005999999</x:v>
      </x:c>
      <x:c r="I633" s="11" t="n">
        <x:f>E633*Rates!$B$4+F633*Rates!$B$5+G633*Rates!$B$6+H633*Rates!$B$7</x:f>
        <x:v>0.016165999998000002</x:v>
      </x:c>
    </x:row>
    <x:row r="634" ht="24" customHeight="1">
      <x:c r="A634" s="10" t="str">
        <x:v>S06-07</x:v>
      </x:c>
      <x:c r="B634" s="10" t="str">
        <x:v>A</x:v>
      </x:c>
      <x:c r="C634" s="10" t="str">
        <x:v>semantic</x:v>
      </x:c>
      <x:c r="D634" s="10" t="str">
        <x:v>setup</x:v>
      </x:c>
      <x:c r="E634" s="13" t="n">
        <x:v>600</x:v>
      </x:c>
      <x:c r="F634" s="13" t="n">
        <x:v>16</x:v>
      </x:c>
      <x:c r="G634" s="10" t="n">
        <x:v>0</x:v>
      </x:c>
      <x:c r="H634" s="10" t="n">
        <x:v>0</x:v>
      </x:c>
      <x:c r="I634" s="11" t="n">
        <x:f>E634*Rates!$B$4+F634*Rates!$B$5+G634*Rates!$B$6+H634*Rates!$B$7</x:f>
        <x:v>0.000664</x:v>
      </x:c>
    </x:row>
    <x:row r="635" ht="24" customHeight="1">
      <x:c r="A635" s="10" t="str">
        <x:v>S06-07</x:v>
      </x:c>
      <x:c r="B635" s="10" t="str">
        <x:v>A</x:v>
      </x:c>
      <x:c r="C635" s="10" t="str">
        <x:v>speech_input</x:v>
      </x:c>
      <x:c r="D635" s="10" t="str">
        <x:v>setup</x:v>
      </x:c>
      <x:c r="E635" s="13" t="n">
        <x:v>0</x:v>
      </x:c>
      <x:c r="F635" s="13" t="n">
        <x:v>0</x:v>
      </x:c>
      <x:c r="G635" s="10" t="n">
        <x:v>2</x:v>
      </x:c>
      <x:c r="H635" s="10" t="n">
        <x:v>0</x:v>
      </x:c>
      <x:c r="I635" s="11" t="n">
        <x:f>E635*Rates!$B$4+F635*Rates!$B$5+G635*Rates!$B$6+H635*Rates!$B$7</x:f>
        <x:v>0.002</x:v>
      </x:c>
    </x:row>
    <x:row r="636" ht="24" customHeight="1">
      <x:c r="A636" s="10" t="str">
        <x:v>S06-07</x:v>
      </x:c>
      <x:c r="B636" s="10" t="str">
        <x:v>A</x:v>
      </x:c>
      <x:c r="C636" s="10" t="str">
        <x:v>semantic</x:v>
      </x:c>
      <x:c r="D636" s="10" t="str">
        <x:v>evaluation</x:v>
      </x:c>
      <x:c r="E636" s="13" t="n">
        <x:v>740</x:v>
      </x:c>
      <x:c r="F636" s="13" t="n">
        <x:v>18</x:v>
      </x:c>
      <x:c r="G636" s="10" t="n">
        <x:v>0</x:v>
      </x:c>
      <x:c r="H636" s="10" t="n">
        <x:v>0</x:v>
      </x:c>
      <x:c r="I636" s="11" t="n">
        <x:f>E636*Rates!$B$4+F636*Rates!$B$5+G636*Rates!$B$6+H636*Rates!$B$7</x:f>
        <x:v>0.000812</x:v>
      </x:c>
    </x:row>
    <x:row r="637" ht="24" customHeight="1">
      <x:c r="A637" s="10" t="str">
        <x:v>S06-07</x:v>
      </x:c>
      <x:c r="B637" s="10" t="str">
        <x:v>A</x:v>
      </x:c>
      <x:c r="C637" s="10" t="str">
        <x:v>speech_input</x:v>
      </x:c>
      <x:c r="D637" s="10" t="str">
        <x:v>evaluation</x:v>
      </x:c>
      <x:c r="E637" s="13" t="n">
        <x:v>0</x:v>
      </x:c>
      <x:c r="F637" s="13" t="n">
        <x:v>0</x:v>
      </x:c>
      <x:c r="G637" s="10" t="n">
        <x:v>2</x:v>
      </x:c>
      <x:c r="H637" s="10" t="n">
        <x:v>0</x:v>
      </x:c>
      <x:c r="I637" s="11" t="n">
        <x:f>E637*Rates!$B$4+F637*Rates!$B$5+G637*Rates!$B$6+H637*Rates!$B$7</x:f>
        <x:v>0.002</x:v>
      </x:c>
    </x:row>
    <x:row r="638" ht="24" customHeight="1">
      <x:c r="A638" s="10" t="str">
        <x:v>S06-07</x:v>
      </x:c>
      <x:c r="B638" s="10" t="str">
        <x:v>A</x:v>
      </x:c>
      <x:c r="C638" s="10" t="str">
        <x:v>speech_output</x:v>
      </x:c>
      <x:c r="D638" s="10" t="str">
        <x:v>retained</x:v>
      </x:c>
      <x:c r="E638" s="13" t="n">
        <x:v>154</x:v>
      </x:c>
      <x:c r="F638" s="13" t="n">
        <x:v>0</x:v>
      </x:c>
      <x:c r="G638" s="10" t="n">
        <x:v>0</x:v>
      </x:c>
      <x:c r="H638" s="10" t="n">
        <x:v>8.017999999</x:v>
      </x:c>
      <x:c r="I638" s="11" t="n">
        <x:f>E638*Rates!$B$4+F638*Rates!$B$5+G638*Rates!$B$6+H638*Rates!$B$7</x:f>
        <x:v>0.016189999998000002</x:v>
      </x:c>
    </x:row>
    <x:row r="639" ht="24" customHeight="1">
      <x:c r="A639" s="10" t="str">
        <x:v>S06-07</x:v>
      </x:c>
      <x:c r="B639" s="10" t="str">
        <x:v>B</x:v>
      </x:c>
      <x:c r="C639" s="10" t="str">
        <x:v>semantic</x:v>
      </x:c>
      <x:c r="D639" s="10" t="str">
        <x:v>setup</x:v>
      </x:c>
      <x:c r="E639" s="13" t="n">
        <x:v>600</x:v>
      </x:c>
      <x:c r="F639" s="13" t="n">
        <x:v>16</x:v>
      </x:c>
      <x:c r="G639" s="10" t="n">
        <x:v>0</x:v>
      </x:c>
      <x:c r="H639" s="10" t="n">
        <x:v>0</x:v>
      </x:c>
      <x:c r="I639" s="11" t="n">
        <x:f>E639*Rates!$B$4+F639*Rates!$B$5+G639*Rates!$B$6+H639*Rates!$B$7</x:f>
        <x:v>0.000664</x:v>
      </x:c>
    </x:row>
    <x:row r="640" ht="24" customHeight="1">
      <x:c r="A640" s="10" t="str">
        <x:v>S06-07</x:v>
      </x:c>
      <x:c r="B640" s="10" t="str">
        <x:v>B</x:v>
      </x:c>
      <x:c r="C640" s="10" t="str">
        <x:v>speech_input</x:v>
      </x:c>
      <x:c r="D640" s="10" t="str">
        <x:v>setup</x:v>
      </x:c>
      <x:c r="E640" s="13" t="n">
        <x:v>0</x:v>
      </x:c>
      <x:c r="F640" s="13" t="n">
        <x:v>0</x:v>
      </x:c>
      <x:c r="G640" s="10" t="n">
        <x:v>2</x:v>
      </x:c>
      <x:c r="H640" s="10" t="n">
        <x:v>0</x:v>
      </x:c>
      <x:c r="I640" s="11" t="n">
        <x:f>E640*Rates!$B$4+F640*Rates!$B$5+G640*Rates!$B$6+H640*Rates!$B$7</x:f>
        <x:v>0.002</x:v>
      </x:c>
    </x:row>
    <x:row r="641" ht="24" customHeight="1">
      <x:c r="A641" s="10" t="str">
        <x:v>S06-07</x:v>
      </x:c>
      <x:c r="B641" s="10" t="str">
        <x:v>B</x:v>
      </x:c>
      <x:c r="C641" s="10" t="str">
        <x:v>semantic</x:v>
      </x:c>
      <x:c r="D641" s="10" t="str">
        <x:v>evaluation</x:v>
      </x:c>
      <x:c r="E641" s="13" t="n">
        <x:v>740</x:v>
      </x:c>
      <x:c r="F641" s="13" t="n">
        <x:v>18</x:v>
      </x:c>
      <x:c r="G641" s="10" t="n">
        <x:v>0</x:v>
      </x:c>
      <x:c r="H641" s="10" t="n">
        <x:v>0</x:v>
      </x:c>
      <x:c r="I641" s="11" t="n">
        <x:f>E641*Rates!$B$4+F641*Rates!$B$5+G641*Rates!$B$6+H641*Rates!$B$7</x:f>
        <x:v>0.000812</x:v>
      </x:c>
    </x:row>
    <x:row r="642" ht="24" customHeight="1">
      <x:c r="A642" s="10" t="str">
        <x:v>S06-07</x:v>
      </x:c>
      <x:c r="B642" s="10" t="str">
        <x:v>B</x:v>
      </x:c>
      <x:c r="C642" s="10" t="str">
        <x:v>speech_input</x:v>
      </x:c>
      <x:c r="D642" s="10" t="str">
        <x:v>evaluation</x:v>
      </x:c>
      <x:c r="E642" s="13" t="n">
        <x:v>0</x:v>
      </x:c>
      <x:c r="F642" s="13" t="n">
        <x:v>0</x:v>
      </x:c>
      <x:c r="G642" s="10" t="n">
        <x:v>2</x:v>
      </x:c>
      <x:c r="H642" s="10" t="n">
        <x:v>0</x:v>
      </x:c>
      <x:c r="I642" s="11" t="n">
        <x:f>E642*Rates!$B$4+F642*Rates!$B$5+G642*Rates!$B$6+H642*Rates!$B$7</x:f>
        <x:v>0.002</x:v>
      </x:c>
    </x:row>
    <x:row r="643" ht="24" customHeight="1">
      <x:c r="A643" s="10" t="str">
        <x:v>S06-07</x:v>
      </x:c>
      <x:c r="B643" s="10" t="str">
        <x:v>B</x:v>
      </x:c>
      <x:c r="C643" s="10" t="str">
        <x:v>speech_output</x:v>
      </x:c>
      <x:c r="D643" s="10" t="str">
        <x:v>retained</x:v>
      </x:c>
      <x:c r="E643" s="13" t="n">
        <x:v>154</x:v>
      </x:c>
      <x:c r="F643" s="13" t="n">
        <x:v>0</x:v>
      </x:c>
      <x:c r="G643" s="10" t="n">
        <x:v>0</x:v>
      </x:c>
      <x:c r="H643" s="10" t="n">
        <x:v>8.017999999</x:v>
      </x:c>
      <x:c r="I643" s="11" t="n">
        <x:f>E643*Rates!$B$4+F643*Rates!$B$5+G643*Rates!$B$6+H643*Rates!$B$7</x:f>
        <x:v>0.016189999998000002</x:v>
      </x:c>
    </x:row>
    <x:row r="644" ht="24" customHeight="1">
      <x:c r="A644" s="10" t="str">
        <x:v>S06-08</x:v>
      </x:c>
      <x:c r="B644" s="10" t="str">
        <x:v>A</x:v>
      </x:c>
      <x:c r="C644" s="10" t="str">
        <x:v>semantic</x:v>
      </x:c>
      <x:c r="D644" s="10" t="str">
        <x:v>setup</x:v>
      </x:c>
      <x:c r="E644" s="13" t="n">
        <x:v>600</x:v>
      </x:c>
      <x:c r="F644" s="13" t="n">
        <x:v>16</x:v>
      </x:c>
      <x:c r="G644" s="10" t="n">
        <x:v>0</x:v>
      </x:c>
      <x:c r="H644" s="10" t="n">
        <x:v>0</x:v>
      </x:c>
      <x:c r="I644" s="11" t="n">
        <x:f>E644*Rates!$B$4+F644*Rates!$B$5+G644*Rates!$B$6+H644*Rates!$B$7</x:f>
        <x:v>0.000664</x:v>
      </x:c>
    </x:row>
    <x:row r="645" ht="24" customHeight="1">
      <x:c r="A645" s="10" t="str">
        <x:v>S06-08</x:v>
      </x:c>
      <x:c r="B645" s="10" t="str">
        <x:v>A</x:v>
      </x:c>
      <x:c r="C645" s="10" t="str">
        <x:v>speech_input</x:v>
      </x:c>
      <x:c r="D645" s="10" t="str">
        <x:v>setup</x:v>
      </x:c>
      <x:c r="E645" s="13" t="n">
        <x:v>0</x:v>
      </x:c>
      <x:c r="F645" s="13" t="n">
        <x:v>0</x:v>
      </x:c>
      <x:c r="G645" s="10" t="n">
        <x:v>2</x:v>
      </x:c>
      <x:c r="H645" s="10" t="n">
        <x:v>0</x:v>
      </x:c>
      <x:c r="I645" s="11" t="n">
        <x:f>E645*Rates!$B$4+F645*Rates!$B$5+G645*Rates!$B$6+H645*Rates!$B$7</x:f>
        <x:v>0.002</x:v>
      </x:c>
    </x:row>
    <x:row r="646" ht="24" customHeight="1">
      <x:c r="A646" s="10" t="str">
        <x:v>S06-08</x:v>
      </x:c>
      <x:c r="B646" s="10" t="str">
        <x:v>A</x:v>
      </x:c>
      <x:c r="C646" s="10" t="str">
        <x:v>semantic</x:v>
      </x:c>
      <x:c r="D646" s="10" t="str">
        <x:v>evaluation</x:v>
      </x:c>
      <x:c r="E646" s="13" t="n">
        <x:v>760</x:v>
      </x:c>
      <x:c r="F646" s="13" t="n">
        <x:v>20</x:v>
      </x:c>
      <x:c r="G646" s="10" t="n">
        <x:v>0</x:v>
      </x:c>
      <x:c r="H646" s="10" t="n">
        <x:v>0</x:v>
      </x:c>
      <x:c r="I646" s="11" t="n">
        <x:f>E646*Rates!$B$4+F646*Rates!$B$5+G646*Rates!$B$6+H646*Rates!$B$7</x:f>
        <x:v>0.0008399999999999999</x:v>
      </x:c>
    </x:row>
    <x:row r="647" ht="24" customHeight="1">
      <x:c r="A647" s="10" t="str">
        <x:v>S06-08</x:v>
      </x:c>
      <x:c r="B647" s="10" t="str">
        <x:v>A</x:v>
      </x:c>
      <x:c r="C647" s="10" t="str">
        <x:v>speech_input</x:v>
      </x:c>
      <x:c r="D647" s="10" t="str">
        <x:v>evaluation</x:v>
      </x:c>
      <x:c r="E647" s="13" t="n">
        <x:v>0</x:v>
      </x:c>
      <x:c r="F647" s="13" t="n">
        <x:v>0</x:v>
      </x:c>
      <x:c r="G647" s="10" t="n">
        <x:v>2</x:v>
      </x:c>
      <x:c r="H647" s="10" t="n">
        <x:v>0</x:v>
      </x:c>
      <x:c r="I647" s="11" t="n">
        <x:f>E647*Rates!$B$4+F647*Rates!$B$5+G647*Rates!$B$6+H647*Rates!$B$7</x:f>
        <x:v>0.002</x:v>
      </x:c>
    </x:row>
    <x:row r="648" ht="24" customHeight="1">
      <x:c r="A648" s="10" t="str">
        <x:v>S06-08</x:v>
      </x:c>
      <x:c r="B648" s="10" t="str">
        <x:v>A</x:v>
      </x:c>
      <x:c r="C648" s="10" t="str">
        <x:v>speech_output</x:v>
      </x:c>
      <x:c r="D648" s="10" t="str">
        <x:v>retained</x:v>
      </x:c>
      <x:c r="E648" s="13" t="n">
        <x:v>154</x:v>
      </x:c>
      <x:c r="F648" s="13" t="n">
        <x:v>0</x:v>
      </x:c>
      <x:c r="G648" s="10" t="n">
        <x:v>0</x:v>
      </x:c>
      <x:c r="H648" s="10" t="n">
        <x:v>8.029999999</x:v>
      </x:c>
      <x:c r="I648" s="11" t="n">
        <x:f>E648*Rates!$B$4+F648*Rates!$B$5+G648*Rates!$B$6+H648*Rates!$B$7</x:f>
        <x:v>0.016213999998000002</x:v>
      </x:c>
    </x:row>
    <x:row r="649" ht="24" customHeight="1">
      <x:c r="A649" s="10" t="str">
        <x:v>S06-08</x:v>
      </x:c>
      <x:c r="B649" s="10" t="str">
        <x:v>B</x:v>
      </x:c>
      <x:c r="C649" s="10" t="str">
        <x:v>semantic</x:v>
      </x:c>
      <x:c r="D649" s="10" t="str">
        <x:v>setup</x:v>
      </x:c>
      <x:c r="E649" s="13" t="n">
        <x:v>600</x:v>
      </x:c>
      <x:c r="F649" s="13" t="n">
        <x:v>16</x:v>
      </x:c>
      <x:c r="G649" s="10" t="n">
        <x:v>0</x:v>
      </x:c>
      <x:c r="H649" s="10" t="n">
        <x:v>0</x:v>
      </x:c>
      <x:c r="I649" s="11" t="n">
        <x:f>E649*Rates!$B$4+F649*Rates!$B$5+G649*Rates!$B$6+H649*Rates!$B$7</x:f>
        <x:v>0.000664</x:v>
      </x:c>
    </x:row>
    <x:row r="650" ht="24" customHeight="1">
      <x:c r="A650" s="10" t="str">
        <x:v>S06-08</x:v>
      </x:c>
      <x:c r="B650" s="10" t="str">
        <x:v>B</x:v>
      </x:c>
      <x:c r="C650" s="10" t="str">
        <x:v>speech_input</x:v>
      </x:c>
      <x:c r="D650" s="10" t="str">
        <x:v>setup</x:v>
      </x:c>
      <x:c r="E650" s="13" t="n">
        <x:v>0</x:v>
      </x:c>
      <x:c r="F650" s="13" t="n">
        <x:v>0</x:v>
      </x:c>
      <x:c r="G650" s="10" t="n">
        <x:v>2</x:v>
      </x:c>
      <x:c r="H650" s="10" t="n">
        <x:v>0</x:v>
      </x:c>
      <x:c r="I650" s="11" t="n">
        <x:f>E650*Rates!$B$4+F650*Rates!$B$5+G650*Rates!$B$6+H650*Rates!$B$7</x:f>
        <x:v>0.002</x:v>
      </x:c>
    </x:row>
    <x:row r="651" ht="24" customHeight="1">
      <x:c r="A651" s="10" t="str">
        <x:v>S06-08</x:v>
      </x:c>
      <x:c r="B651" s="10" t="str">
        <x:v>B</x:v>
      </x:c>
      <x:c r="C651" s="10" t="str">
        <x:v>semantic</x:v>
      </x:c>
      <x:c r="D651" s="10" t="str">
        <x:v>evaluation</x:v>
      </x:c>
      <x:c r="E651" s="13" t="n">
        <x:v>760</x:v>
      </x:c>
      <x:c r="F651" s="13" t="n">
        <x:v>20</x:v>
      </x:c>
      <x:c r="G651" s="10" t="n">
        <x:v>0</x:v>
      </x:c>
      <x:c r="H651" s="10" t="n">
        <x:v>0</x:v>
      </x:c>
      <x:c r="I651" s="11" t="n">
        <x:f>E651*Rates!$B$4+F651*Rates!$B$5+G651*Rates!$B$6+H651*Rates!$B$7</x:f>
        <x:v>0.0008399999999999999</x:v>
      </x:c>
    </x:row>
    <x:row r="652" ht="24" customHeight="1">
      <x:c r="A652" s="10" t="str">
        <x:v>S06-08</x:v>
      </x:c>
      <x:c r="B652" s="10" t="str">
        <x:v>B</x:v>
      </x:c>
      <x:c r="C652" s="10" t="str">
        <x:v>speech_input</x:v>
      </x:c>
      <x:c r="D652" s="10" t="str">
        <x:v>evaluation</x:v>
      </x:c>
      <x:c r="E652" s="13" t="n">
        <x:v>0</x:v>
      </x:c>
      <x:c r="F652" s="13" t="n">
        <x:v>0</x:v>
      </x:c>
      <x:c r="G652" s="10" t="n">
        <x:v>2</x:v>
      </x:c>
      <x:c r="H652" s="10" t="n">
        <x:v>0</x:v>
      </x:c>
      <x:c r="I652" s="11" t="n">
        <x:f>E652*Rates!$B$4+F652*Rates!$B$5+G652*Rates!$B$6+H652*Rates!$B$7</x:f>
        <x:v>0.002</x:v>
      </x:c>
    </x:row>
    <x:row r="653" ht="24" customHeight="1">
      <x:c r="A653" s="10" t="str">
        <x:v>S06-08</x:v>
      </x:c>
      <x:c r="B653" s="10" t="str">
        <x:v>B</x:v>
      </x:c>
      <x:c r="C653" s="10" t="str">
        <x:v>speech_output</x:v>
      </x:c>
      <x:c r="D653" s="10" t="str">
        <x:v>retained</x:v>
      </x:c>
      <x:c r="E653" s="13" t="n">
        <x:v>154</x:v>
      </x:c>
      <x:c r="F653" s="13" t="n">
        <x:v>0</x:v>
      </x:c>
      <x:c r="G653" s="10" t="n">
        <x:v>0</x:v>
      </x:c>
      <x:c r="H653" s="10" t="n">
        <x:v>8.029999999</x:v>
      </x:c>
      <x:c r="I653" s="11" t="n">
        <x:f>E653*Rates!$B$4+F653*Rates!$B$5+G653*Rates!$B$6+H653*Rates!$B$7</x:f>
        <x:v>0.016213999998000002</x:v>
      </x:c>
    </x:row>
    <x:row r="654" ht="24" customHeight="1">
      <x:c r="A654" s="10" t="str">
        <x:v>S06-09</x:v>
      </x:c>
      <x:c r="B654" s="10" t="str">
        <x:v>A</x:v>
      </x:c>
      <x:c r="C654" s="10" t="str">
        <x:v>semantic</x:v>
      </x:c>
      <x:c r="D654" s="10" t="str">
        <x:v>setup</x:v>
      </x:c>
      <x:c r="E654" s="13" t="n">
        <x:v>600</x:v>
      </x:c>
      <x:c r="F654" s="13" t="n">
        <x:v>16</x:v>
      </x:c>
      <x:c r="G654" s="10" t="n">
        <x:v>0</x:v>
      </x:c>
      <x:c r="H654" s="10" t="n">
        <x:v>0</x:v>
      </x:c>
      <x:c r="I654" s="11" t="n">
        <x:f>E654*Rates!$B$4+F654*Rates!$B$5+G654*Rates!$B$6+H654*Rates!$B$7</x:f>
        <x:v>0.000664</x:v>
      </x:c>
    </x:row>
    <x:row r="655" ht="24" customHeight="1">
      <x:c r="A655" s="10" t="str">
        <x:v>S06-09</x:v>
      </x:c>
      <x:c r="B655" s="10" t="str">
        <x:v>A</x:v>
      </x:c>
      <x:c r="C655" s="10" t="str">
        <x:v>speech_input</x:v>
      </x:c>
      <x:c r="D655" s="10" t="str">
        <x:v>setup</x:v>
      </x:c>
      <x:c r="E655" s="13" t="n">
        <x:v>0</x:v>
      </x:c>
      <x:c r="F655" s="13" t="n">
        <x:v>0</x:v>
      </x:c>
      <x:c r="G655" s="10" t="n">
        <x:v>2</x:v>
      </x:c>
      <x:c r="H655" s="10" t="n">
        <x:v>0</x:v>
      </x:c>
      <x:c r="I655" s="11" t="n">
        <x:f>E655*Rates!$B$4+F655*Rates!$B$5+G655*Rates!$B$6+H655*Rates!$B$7</x:f>
        <x:v>0.002</x:v>
      </x:c>
    </x:row>
    <x:row r="656" ht="24" customHeight="1">
      <x:c r="A656" s="10" t="str">
        <x:v>S06-09</x:v>
      </x:c>
      <x:c r="B656" s="10" t="str">
        <x:v>A</x:v>
      </x:c>
      <x:c r="C656" s="10" t="str">
        <x:v>semantic</x:v>
      </x:c>
      <x:c r="D656" s="10" t="str">
        <x:v>evaluation</x:v>
      </x:c>
      <x:c r="E656" s="13" t="n">
        <x:v>780</x:v>
      </x:c>
      <x:c r="F656" s="13" t="n">
        <x:v>16</x:v>
      </x:c>
      <x:c r="G656" s="10" t="n">
        <x:v>0</x:v>
      </x:c>
      <x:c r="H656" s="10" t="n">
        <x:v>0</x:v>
      </x:c>
      <x:c r="I656" s="11" t="n">
        <x:f>E656*Rates!$B$4+F656*Rates!$B$5+G656*Rates!$B$6+H656*Rates!$B$7</x:f>
        <x:v>0.000844</x:v>
      </x:c>
    </x:row>
    <x:row r="657" ht="24" customHeight="1">
      <x:c r="A657" s="10" t="str">
        <x:v>S06-09</x:v>
      </x:c>
      <x:c r="B657" s="10" t="str">
        <x:v>A</x:v>
      </x:c>
      <x:c r="C657" s="10" t="str">
        <x:v>speech_input</x:v>
      </x:c>
      <x:c r="D657" s="10" t="str">
        <x:v>evaluation</x:v>
      </x:c>
      <x:c r="E657" s="13" t="n">
        <x:v>0</x:v>
      </x:c>
      <x:c r="F657" s="13" t="n">
        <x:v>0</x:v>
      </x:c>
      <x:c r="G657" s="10" t="n">
        <x:v>2</x:v>
      </x:c>
      <x:c r="H657" s="10" t="n">
        <x:v>0</x:v>
      </x:c>
      <x:c r="I657" s="11" t="n">
        <x:f>E657*Rates!$B$4+F657*Rates!$B$5+G657*Rates!$B$6+H657*Rates!$B$7</x:f>
        <x:v>0.002</x:v>
      </x:c>
    </x:row>
    <x:row r="658" ht="24" customHeight="1">
      <x:c r="A658" s="10" t="str">
        <x:v>S06-09</x:v>
      </x:c>
      <x:c r="B658" s="10" t="str">
        <x:v>A</x:v>
      </x:c>
      <x:c r="C658" s="10" t="str">
        <x:v>speech_output</x:v>
      </x:c>
      <x:c r="D658" s="10" t="str">
        <x:v>retained</x:v>
      </x:c>
      <x:c r="E658" s="13" t="n">
        <x:v>154</x:v>
      </x:c>
      <x:c r="F658" s="13" t="n">
        <x:v>0</x:v>
      </x:c>
      <x:c r="G658" s="10" t="n">
        <x:v>0</x:v>
      </x:c>
      <x:c r="H658" s="10" t="n">
        <x:v>8.041999999</x:v>
      </x:c>
      <x:c r="I658" s="11" t="n">
        <x:f>E658*Rates!$B$4+F658*Rates!$B$5+G658*Rates!$B$6+H658*Rates!$B$7</x:f>
        <x:v>0.016237999998</x:v>
      </x:c>
    </x:row>
    <x:row r="659" ht="24" customHeight="1">
      <x:c r="A659" s="10" t="str">
        <x:v>S06-09</x:v>
      </x:c>
      <x:c r="B659" s="10" t="str">
        <x:v>B</x:v>
      </x:c>
      <x:c r="C659" s="10" t="str">
        <x:v>semantic</x:v>
      </x:c>
      <x:c r="D659" s="10" t="str">
        <x:v>setup</x:v>
      </x:c>
      <x:c r="E659" s="13" t="n">
        <x:v>600</x:v>
      </x:c>
      <x:c r="F659" s="13" t="n">
        <x:v>16</x:v>
      </x:c>
      <x:c r="G659" s="10" t="n">
        <x:v>0</x:v>
      </x:c>
      <x:c r="H659" s="10" t="n">
        <x:v>0</x:v>
      </x:c>
      <x:c r="I659" s="11" t="n">
        <x:f>E659*Rates!$B$4+F659*Rates!$B$5+G659*Rates!$B$6+H659*Rates!$B$7</x:f>
        <x:v>0.000664</x:v>
      </x:c>
    </x:row>
    <x:row r="660" ht="24" customHeight="1">
      <x:c r="A660" s="10" t="str">
        <x:v>S06-09</x:v>
      </x:c>
      <x:c r="B660" s="10" t="str">
        <x:v>B</x:v>
      </x:c>
      <x:c r="C660" s="10" t="str">
        <x:v>speech_input</x:v>
      </x:c>
      <x:c r="D660" s="10" t="str">
        <x:v>setup</x:v>
      </x:c>
      <x:c r="E660" s="13" t="n">
        <x:v>0</x:v>
      </x:c>
      <x:c r="F660" s="13" t="n">
        <x:v>0</x:v>
      </x:c>
      <x:c r="G660" s="10" t="n">
        <x:v>2</x:v>
      </x:c>
      <x:c r="H660" s="10" t="n">
        <x:v>0</x:v>
      </x:c>
      <x:c r="I660" s="11" t="n">
        <x:f>E660*Rates!$B$4+F660*Rates!$B$5+G660*Rates!$B$6+H660*Rates!$B$7</x:f>
        <x:v>0.002</x:v>
      </x:c>
    </x:row>
    <x:row r="661" ht="24" customHeight="1">
      <x:c r="A661" s="10" t="str">
        <x:v>S06-09</x:v>
      </x:c>
      <x:c r="B661" s="10" t="str">
        <x:v>B</x:v>
      </x:c>
      <x:c r="C661" s="10" t="str">
        <x:v>semantic</x:v>
      </x:c>
      <x:c r="D661" s="10" t="str">
        <x:v>evaluation</x:v>
      </x:c>
      <x:c r="E661" s="13" t="n">
        <x:v>780</x:v>
      </x:c>
      <x:c r="F661" s="13" t="n">
        <x:v>16</x:v>
      </x:c>
      <x:c r="G661" s="10" t="n">
        <x:v>0</x:v>
      </x:c>
      <x:c r="H661" s="10" t="n">
        <x:v>0</x:v>
      </x:c>
      <x:c r="I661" s="11" t="n">
        <x:f>E661*Rates!$B$4+F661*Rates!$B$5+G661*Rates!$B$6+H661*Rates!$B$7</x:f>
        <x:v>0.000844</x:v>
      </x:c>
    </x:row>
    <x:row r="662" ht="24" customHeight="1">
      <x:c r="A662" s="10" t="str">
        <x:v>S06-09</x:v>
      </x:c>
      <x:c r="B662" s="10" t="str">
        <x:v>B</x:v>
      </x:c>
      <x:c r="C662" s="10" t="str">
        <x:v>speech_input</x:v>
      </x:c>
      <x:c r="D662" s="10" t="str">
        <x:v>evaluation</x:v>
      </x:c>
      <x:c r="E662" s="13" t="n">
        <x:v>0</x:v>
      </x:c>
      <x:c r="F662" s="13" t="n">
        <x:v>0</x:v>
      </x:c>
      <x:c r="G662" s="10" t="n">
        <x:v>2</x:v>
      </x:c>
      <x:c r="H662" s="10" t="n">
        <x:v>0</x:v>
      </x:c>
      <x:c r="I662" s="11" t="n">
        <x:f>E662*Rates!$B$4+F662*Rates!$B$5+G662*Rates!$B$6+H662*Rates!$B$7</x:f>
        <x:v>0.002</x:v>
      </x:c>
    </x:row>
    <x:row r="663" ht="24" customHeight="1">
      <x:c r="A663" s="10" t="str">
        <x:v>S06-09</x:v>
      </x:c>
      <x:c r="B663" s="10" t="str">
        <x:v>B</x:v>
      </x:c>
      <x:c r="C663" s="10" t="str">
        <x:v>speech_output</x:v>
      </x:c>
      <x:c r="D663" s="10" t="str">
        <x:v>retained</x:v>
      </x:c>
      <x:c r="E663" s="13" t="n">
        <x:v>154</x:v>
      </x:c>
      <x:c r="F663" s="13" t="n">
        <x:v>0</x:v>
      </x:c>
      <x:c r="G663" s="10" t="n">
        <x:v>0</x:v>
      </x:c>
      <x:c r="H663" s="10" t="n">
        <x:v>8.041999999</x:v>
      </x:c>
      <x:c r="I663" s="11" t="n">
        <x:f>E663*Rates!$B$4+F663*Rates!$B$5+G663*Rates!$B$6+H663*Rates!$B$7</x:f>
        <x:v>0.016237999998</x:v>
      </x:c>
    </x:row>
    <x:row r="664" ht="24" customHeight="1">
      <x:c r="A664" s="10" t="str">
        <x:v>S06-10</x:v>
      </x:c>
      <x:c r="B664" s="10" t="str">
        <x:v>A</x:v>
      </x:c>
      <x:c r="C664" s="10" t="str">
        <x:v>semantic</x:v>
      </x:c>
      <x:c r="D664" s="10" t="str">
        <x:v>setup</x:v>
      </x:c>
      <x:c r="E664" s="13" t="n">
        <x:v>600</x:v>
      </x:c>
      <x:c r="F664" s="13" t="n">
        <x:v>16</x:v>
      </x:c>
      <x:c r="G664" s="10" t="n">
        <x:v>0</x:v>
      </x:c>
      <x:c r="H664" s="10" t="n">
        <x:v>0</x:v>
      </x:c>
      <x:c r="I664" s="11" t="n">
        <x:f>E664*Rates!$B$4+F664*Rates!$B$5+G664*Rates!$B$6+H664*Rates!$B$7</x:f>
        <x:v>0.000664</x:v>
      </x:c>
    </x:row>
    <x:row r="665" ht="24" customHeight="1">
      <x:c r="A665" s="10" t="str">
        <x:v>S06-10</x:v>
      </x:c>
      <x:c r="B665" s="10" t="str">
        <x:v>A</x:v>
      </x:c>
      <x:c r="C665" s="10" t="str">
        <x:v>speech_input</x:v>
      </x:c>
      <x:c r="D665" s="10" t="str">
        <x:v>setup</x:v>
      </x:c>
      <x:c r="E665" s="13" t="n">
        <x:v>0</x:v>
      </x:c>
      <x:c r="F665" s="13" t="n">
        <x:v>0</x:v>
      </x:c>
      <x:c r="G665" s="10" t="n">
        <x:v>2</x:v>
      </x:c>
      <x:c r="H665" s="10" t="n">
        <x:v>0</x:v>
      </x:c>
      <x:c r="I665" s="11" t="n">
        <x:f>E665*Rates!$B$4+F665*Rates!$B$5+G665*Rates!$B$6+H665*Rates!$B$7</x:f>
        <x:v>0.002</x:v>
      </x:c>
    </x:row>
    <x:row r="666" ht="24" customHeight="1">
      <x:c r="A666" s="10" t="str">
        <x:v>S06-10</x:v>
      </x:c>
      <x:c r="B666" s="10" t="str">
        <x:v>A</x:v>
      </x:c>
      <x:c r="C666" s="10" t="str">
        <x:v>semantic</x:v>
      </x:c>
      <x:c r="D666" s="10" t="str">
        <x:v>evaluation</x:v>
      </x:c>
      <x:c r="E666" s="13" t="n">
        <x:v>800</x:v>
      </x:c>
      <x:c r="F666" s="13" t="n">
        <x:v>18</x:v>
      </x:c>
      <x:c r="G666" s="10" t="n">
        <x:v>0</x:v>
      </x:c>
      <x:c r="H666" s="10" t="n">
        <x:v>0</x:v>
      </x:c>
      <x:c r="I666" s="11" t="n">
        <x:f>E666*Rates!$B$4+F666*Rates!$B$5+G666*Rates!$B$6+H666*Rates!$B$7</x:f>
        <x:v>0.0008719999999999999</x:v>
      </x:c>
    </x:row>
    <x:row r="667" ht="24" customHeight="1">
      <x:c r="A667" s="10" t="str">
        <x:v>S06-10</x:v>
      </x:c>
      <x:c r="B667" s="10" t="str">
        <x:v>A</x:v>
      </x:c>
      <x:c r="C667" s="10" t="str">
        <x:v>speech_input</x:v>
      </x:c>
      <x:c r="D667" s="10" t="str">
        <x:v>evaluation</x:v>
      </x:c>
      <x:c r="E667" s="13" t="n">
        <x:v>0</x:v>
      </x:c>
      <x:c r="F667" s="13" t="n">
        <x:v>0</x:v>
      </x:c>
      <x:c r="G667" s="10" t="n">
        <x:v>2</x:v>
      </x:c>
      <x:c r="H667" s="10" t="n">
        <x:v>0</x:v>
      </x:c>
      <x:c r="I667" s="11" t="n">
        <x:f>E667*Rates!$B$4+F667*Rates!$B$5+G667*Rates!$B$6+H667*Rates!$B$7</x:f>
        <x:v>0.002</x:v>
      </x:c>
    </x:row>
    <x:row r="668" ht="24" customHeight="1">
      <x:c r="A668" s="10" t="str">
        <x:v>S06-10</x:v>
      </x:c>
      <x:c r="B668" s="10" t="str">
        <x:v>A</x:v>
      </x:c>
      <x:c r="C668" s="10" t="str">
        <x:v>speech_output</x:v>
      </x:c>
      <x:c r="D668" s="10" t="str">
        <x:v>retained</x:v>
      </x:c>
      <x:c r="E668" s="13" t="n">
        <x:v>154</x:v>
      </x:c>
      <x:c r="F668" s="13" t="n">
        <x:v>0</x:v>
      </x:c>
      <x:c r="G668" s="10" t="n">
        <x:v>0</x:v>
      </x:c>
      <x:c r="H668" s="10" t="n">
        <x:v>8.053999999</x:v>
      </x:c>
      <x:c r="I668" s="11" t="n">
        <x:f>E668*Rates!$B$4+F668*Rates!$B$5+G668*Rates!$B$6+H668*Rates!$B$7</x:f>
        <x:v>0.016261999998</x:v>
      </x:c>
    </x:row>
    <x:row r="669" ht="24" customHeight="1">
      <x:c r="A669" s="10" t="str">
        <x:v>S06-10</x:v>
      </x:c>
      <x:c r="B669" s="10" t="str">
        <x:v>B</x:v>
      </x:c>
      <x:c r="C669" s="10" t="str">
        <x:v>semantic</x:v>
      </x:c>
      <x:c r="D669" s="10" t="str">
        <x:v>setup</x:v>
      </x:c>
      <x:c r="E669" s="13" t="n">
        <x:v>600</x:v>
      </x:c>
      <x:c r="F669" s="13" t="n">
        <x:v>16</x:v>
      </x:c>
      <x:c r="G669" s="10" t="n">
        <x:v>0</x:v>
      </x:c>
      <x:c r="H669" s="10" t="n">
        <x:v>0</x:v>
      </x:c>
      <x:c r="I669" s="11" t="n">
        <x:f>E669*Rates!$B$4+F669*Rates!$B$5+G669*Rates!$B$6+H669*Rates!$B$7</x:f>
        <x:v>0.000664</x:v>
      </x:c>
    </x:row>
    <x:row r="670" ht="24" customHeight="1">
      <x:c r="A670" s="10" t="str">
        <x:v>S06-10</x:v>
      </x:c>
      <x:c r="B670" s="10" t="str">
        <x:v>B</x:v>
      </x:c>
      <x:c r="C670" s="10" t="str">
        <x:v>speech_input</x:v>
      </x:c>
      <x:c r="D670" s="10" t="str">
        <x:v>setup</x:v>
      </x:c>
      <x:c r="E670" s="13" t="n">
        <x:v>0</x:v>
      </x:c>
      <x:c r="F670" s="13" t="n">
        <x:v>0</x:v>
      </x:c>
      <x:c r="G670" s="10" t="n">
        <x:v>2</x:v>
      </x:c>
      <x:c r="H670" s="10" t="n">
        <x:v>0</x:v>
      </x:c>
      <x:c r="I670" s="11" t="n">
        <x:f>E670*Rates!$B$4+F670*Rates!$B$5+G670*Rates!$B$6+H670*Rates!$B$7</x:f>
        <x:v>0.002</x:v>
      </x:c>
    </x:row>
    <x:row r="671" ht="24" customHeight="1">
      <x:c r="A671" s="10" t="str">
        <x:v>S06-10</x:v>
      </x:c>
      <x:c r="B671" s="10" t="str">
        <x:v>B</x:v>
      </x:c>
      <x:c r="C671" s="10" t="str">
        <x:v>semantic</x:v>
      </x:c>
      <x:c r="D671" s="10" t="str">
        <x:v>evaluation</x:v>
      </x:c>
      <x:c r="E671" s="13" t="n">
        <x:v>800</x:v>
      </x:c>
      <x:c r="F671" s="13" t="n">
        <x:v>18</x:v>
      </x:c>
      <x:c r="G671" s="10" t="n">
        <x:v>0</x:v>
      </x:c>
      <x:c r="H671" s="10" t="n">
        <x:v>0</x:v>
      </x:c>
      <x:c r="I671" s="11" t="n">
        <x:f>E671*Rates!$B$4+F671*Rates!$B$5+G671*Rates!$B$6+H671*Rates!$B$7</x:f>
        <x:v>0.0008719999999999999</x:v>
      </x:c>
    </x:row>
    <x:row r="672" ht="24" customHeight="1">
      <x:c r="A672" s="10" t="str">
        <x:v>S06-10</x:v>
      </x:c>
      <x:c r="B672" s="10" t="str">
        <x:v>B</x:v>
      </x:c>
      <x:c r="C672" s="10" t="str">
        <x:v>speech_input</x:v>
      </x:c>
      <x:c r="D672" s="10" t="str">
        <x:v>evaluation</x:v>
      </x:c>
      <x:c r="E672" s="13" t="n">
        <x:v>0</x:v>
      </x:c>
      <x:c r="F672" s="13" t="n">
        <x:v>0</x:v>
      </x:c>
      <x:c r="G672" s="10" t="n">
        <x:v>2</x:v>
      </x:c>
      <x:c r="H672" s="10" t="n">
        <x:v>0</x:v>
      </x:c>
      <x:c r="I672" s="11" t="n">
        <x:f>E672*Rates!$B$4+F672*Rates!$B$5+G672*Rates!$B$6+H672*Rates!$B$7</x:f>
        <x:v>0.002</x:v>
      </x:c>
    </x:row>
    <x:row r="673" ht="24" customHeight="1">
      <x:c r="A673" s="10" t="str">
        <x:v>S06-10</x:v>
      </x:c>
      <x:c r="B673" s="10" t="str">
        <x:v>B</x:v>
      </x:c>
      <x:c r="C673" s="10" t="str">
        <x:v>speech_output</x:v>
      </x:c>
      <x:c r="D673" s="10" t="str">
        <x:v>retained</x:v>
      </x:c>
      <x:c r="E673" s="13" t="n">
        <x:v>154</x:v>
      </x:c>
      <x:c r="F673" s="13" t="n">
        <x:v>0</x:v>
      </x:c>
      <x:c r="G673" s="10" t="n">
        <x:v>0</x:v>
      </x:c>
      <x:c r="H673" s="10" t="n">
        <x:v>8.053999999</x:v>
      </x:c>
      <x:c r="I673" s="11" t="n">
        <x:f>E673*Rates!$B$4+F673*Rates!$B$5+G673*Rates!$B$6+H673*Rates!$B$7</x:f>
        <x:v>0.016261999998</x:v>
      </x:c>
    </x:row>
    <x:row r="674" ht="24" customHeight="1">
      <x:c r="A674" s="10" t="str">
        <x:v>S07-01</x:v>
      </x:c>
      <x:c r="B674" s="10" t="str">
        <x:v>A</x:v>
      </x:c>
      <x:c r="C674" s="10" t="str">
        <x:v>semantic</x:v>
      </x:c>
      <x:c r="D674" s="10" t="str">
        <x:v>setup</x:v>
      </x:c>
      <x:c r="E674" s="13" t="n">
        <x:v>600</x:v>
      </x:c>
      <x:c r="F674" s="13" t="n">
        <x:v>16</x:v>
      </x:c>
      <x:c r="G674" s="10" t="n">
        <x:v>0</x:v>
      </x:c>
      <x:c r="H674" s="10" t="n">
        <x:v>0</x:v>
      </x:c>
      <x:c r="I674" s="11" t="n">
        <x:f>E674*Rates!$B$4+F674*Rates!$B$5+G674*Rates!$B$6+H674*Rates!$B$7</x:f>
        <x:v>0.000664</x:v>
      </x:c>
    </x:row>
    <x:row r="675" ht="24" customHeight="1">
      <x:c r="A675" s="10" t="str">
        <x:v>S07-01</x:v>
      </x:c>
      <x:c r="B675" s="10" t="str">
        <x:v>A</x:v>
      </x:c>
      <x:c r="C675" s="10" t="str">
        <x:v>speech_input</x:v>
      </x:c>
      <x:c r="D675" s="10" t="str">
        <x:v>setup</x:v>
      </x:c>
      <x:c r="E675" s="13" t="n">
        <x:v>0</x:v>
      </x:c>
      <x:c r="F675" s="13" t="n">
        <x:v>0</x:v>
      </x:c>
      <x:c r="G675" s="10" t="n">
        <x:v>2</x:v>
      </x:c>
      <x:c r="H675" s="10" t="n">
        <x:v>0</x:v>
      </x:c>
      <x:c r="I675" s="11" t="n">
        <x:f>E675*Rates!$B$4+F675*Rates!$B$5+G675*Rates!$B$6+H675*Rates!$B$7</x:f>
        <x:v>0.002</x:v>
      </x:c>
    </x:row>
    <x:row r="676" ht="24" customHeight="1">
      <x:c r="A676" s="10" t="str">
        <x:v>S07-01</x:v>
      </x:c>
      <x:c r="B676" s="10" t="str">
        <x:v>A</x:v>
      </x:c>
      <x:c r="C676" s="10" t="str">
        <x:v>semantic</x:v>
      </x:c>
      <x:c r="D676" s="10" t="str">
        <x:v>evaluation</x:v>
      </x:c>
      <x:c r="E676" s="13" t="n">
        <x:v>620</x:v>
      </x:c>
      <x:c r="F676" s="13" t="n">
        <x:v>18</x:v>
      </x:c>
      <x:c r="G676" s="10" t="n">
        <x:v>0</x:v>
      </x:c>
      <x:c r="H676" s="10" t="n">
        <x:v>0</x:v>
      </x:c>
      <x:c r="I676" s="11" t="n">
        <x:f>E676*Rates!$B$4+F676*Rates!$B$5+G676*Rates!$B$6+H676*Rates!$B$7</x:f>
        <x:v>0.000692</x:v>
      </x:c>
    </x:row>
    <x:row r="677" ht="24" customHeight="1">
      <x:c r="A677" s="10" t="str">
        <x:v>S07-01</x:v>
      </x:c>
      <x:c r="B677" s="10" t="str">
        <x:v>A</x:v>
      </x:c>
      <x:c r="C677" s="10" t="str">
        <x:v>speech_input</x:v>
      </x:c>
      <x:c r="D677" s="10" t="str">
        <x:v>evaluation</x:v>
      </x:c>
      <x:c r="E677" s="13" t="n">
        <x:v>0</x:v>
      </x:c>
      <x:c r="F677" s="13" t="n">
        <x:v>0</x:v>
      </x:c>
      <x:c r="G677" s="10" t="n">
        <x:v>2.6</x:v>
      </x:c>
      <x:c r="H677" s="10" t="n">
        <x:v>0</x:v>
      </x:c>
      <x:c r="I677" s="11" t="n">
        <x:f>E677*Rates!$B$4+F677*Rates!$B$5+G677*Rates!$B$6+H677*Rates!$B$7</x:f>
        <x:v>0.0026000000000000003</x:v>
      </x:c>
    </x:row>
    <x:row r="678" ht="24" customHeight="1">
      <x:c r="A678" s="10" t="str">
        <x:v>S07-01</x:v>
      </x:c>
      <x:c r="B678" s="10" t="str">
        <x:v>A</x:v>
      </x:c>
      <x:c r="C678" s="10" t="str">
        <x:v>speech_output</x:v>
      </x:c>
      <x:c r="D678" s="10" t="str">
        <x:v>retained</x:v>
      </x:c>
      <x:c r="E678" s="13" t="n">
        <x:v>134</x:v>
      </x:c>
      <x:c r="F678" s="13" t="n">
        <x:v>0</x:v>
      </x:c>
      <x:c r="G678" s="10" t="n">
        <x:v>0</x:v>
      </x:c>
      <x:c r="H678" s="10" t="n">
        <x:v>2.946</x:v>
      </x:c>
      <x:c r="I678" s="11" t="n">
        <x:f>E678*Rates!$B$4+F678*Rates!$B$5+G678*Rates!$B$6+H678*Rates!$B$7</x:f>
        <x:v>0.006026</x:v>
      </x:c>
    </x:row>
    <x:row r="679" ht="24" customHeight="1">
      <x:c r="A679" s="10" t="str">
        <x:v>S07-01</x:v>
      </x:c>
      <x:c r="B679" s="10" t="str">
        <x:v>A</x:v>
      </x:c>
      <x:c r="C679" s="10" t="str">
        <x:v>speech_output</x:v>
      </x:c>
      <x:c r="D679" s="10" t="str">
        <x:v>retained</x:v>
      </x:c>
      <x:c r="E679" s="13" t="n">
        <x:v>156</x:v>
      </x:c>
      <x:c r="F679" s="13" t="n">
        <x:v>0</x:v>
      </x:c>
      <x:c r="G679" s="10" t="n">
        <x:v>0</x:v>
      </x:c>
      <x:c r="H679" s="10" t="n">
        <x:v>3.946</x:v>
      </x:c>
      <x:c r="I679" s="11" t="n">
        <x:f>E679*Rates!$B$4+F679*Rates!$B$5+G679*Rates!$B$6+H679*Rates!$B$7</x:f>
        <x:v>0.008048</x:v>
      </x:c>
    </x:row>
    <x:row r="680" ht="24" customHeight="1">
      <x:c r="A680" s="10" t="str">
        <x:v>S07-01</x:v>
      </x:c>
      <x:c r="B680" s="10" t="str">
        <x:v>A</x:v>
      </x:c>
      <x:c r="C680" s="10" t="str">
        <x:v>speech_output</x:v>
      </x:c>
      <x:c r="D680" s="10" t="str">
        <x:v>retained</x:v>
      </x:c>
      <x:c r="E680" s="13" t="n">
        <x:v>180</x:v>
      </x:c>
      <x:c r="F680" s="13" t="n">
        <x:v>0</x:v>
      </x:c>
      <x:c r="G680" s="10" t="n">
        <x:v>0</x:v>
      </x:c>
      <x:c r="H680" s="10" t="n">
        <x:v>6.946</x:v>
      </x:c>
      <x:c r="I680" s="11" t="n">
        <x:f>E680*Rates!$B$4+F680*Rates!$B$5+G680*Rates!$B$6+H680*Rates!$B$7</x:f>
        <x:v>0.014072</x:v>
      </x:c>
    </x:row>
    <x:row r="681" ht="24" customHeight="1">
      <x:c r="A681" s="10" t="str">
        <x:v>S07-01</x:v>
      </x:c>
      <x:c r="B681" s="10" t="str">
        <x:v>B</x:v>
      </x:c>
      <x:c r="C681" s="10" t="str">
        <x:v>semantic</x:v>
      </x:c>
      <x:c r="D681" s="10" t="str">
        <x:v>setup</x:v>
      </x:c>
      <x:c r="E681" s="13" t="n">
        <x:v>600</x:v>
      </x:c>
      <x:c r="F681" s="13" t="n">
        <x:v>16</x:v>
      </x:c>
      <x:c r="G681" s="10" t="n">
        <x:v>0</x:v>
      </x:c>
      <x:c r="H681" s="10" t="n">
        <x:v>0</x:v>
      </x:c>
      <x:c r="I681" s="11" t="n">
        <x:f>E681*Rates!$B$4+F681*Rates!$B$5+G681*Rates!$B$6+H681*Rates!$B$7</x:f>
        <x:v>0.000664</x:v>
      </x:c>
    </x:row>
    <x:row r="682" ht="24" customHeight="1">
      <x:c r="A682" s="10" t="str">
        <x:v>S07-01</x:v>
      </x:c>
      <x:c r="B682" s="10" t="str">
        <x:v>B</x:v>
      </x:c>
      <x:c r="C682" s="10" t="str">
        <x:v>speech_input</x:v>
      </x:c>
      <x:c r="D682" s="10" t="str">
        <x:v>setup</x:v>
      </x:c>
      <x:c r="E682" s="13" t="n">
        <x:v>0</x:v>
      </x:c>
      <x:c r="F682" s="13" t="n">
        <x:v>0</x:v>
      </x:c>
      <x:c r="G682" s="10" t="n">
        <x:v>2</x:v>
      </x:c>
      <x:c r="H682" s="10" t="n">
        <x:v>0</x:v>
      </x:c>
      <x:c r="I682" s="11" t="n">
        <x:f>E682*Rates!$B$4+F682*Rates!$B$5+G682*Rates!$B$6+H682*Rates!$B$7</x:f>
        <x:v>0.002</x:v>
      </x:c>
    </x:row>
    <x:row r="683" ht="24" customHeight="1">
      <x:c r="A683" s="10" t="str">
        <x:v>S07-01</x:v>
      </x:c>
      <x:c r="B683" s="10" t="str">
        <x:v>B</x:v>
      </x:c>
      <x:c r="C683" s="10" t="str">
        <x:v>semantic</x:v>
      </x:c>
      <x:c r="D683" s="10" t="str">
        <x:v>evaluation</x:v>
      </x:c>
      <x:c r="E683" s="13" t="n">
        <x:v>620</x:v>
      </x:c>
      <x:c r="F683" s="13" t="n">
        <x:v>18</x:v>
      </x:c>
      <x:c r="G683" s="10" t="n">
        <x:v>0</x:v>
      </x:c>
      <x:c r="H683" s="10" t="n">
        <x:v>0</x:v>
      </x:c>
      <x:c r="I683" s="11" t="n">
        <x:f>E683*Rates!$B$4+F683*Rates!$B$5+G683*Rates!$B$6+H683*Rates!$B$7</x:f>
        <x:v>0.000692</x:v>
      </x:c>
    </x:row>
    <x:row r="684" ht="24" customHeight="1">
      <x:c r="A684" s="10" t="str">
        <x:v>S07-01</x:v>
      </x:c>
      <x:c r="B684" s="10" t="str">
        <x:v>B</x:v>
      </x:c>
      <x:c r="C684" s="10" t="str">
        <x:v>speech_input</x:v>
      </x:c>
      <x:c r="D684" s="10" t="str">
        <x:v>evaluation</x:v>
      </x:c>
      <x:c r="E684" s="13" t="n">
        <x:v>0</x:v>
      </x:c>
      <x:c r="F684" s="13" t="n">
        <x:v>0</x:v>
      </x:c>
      <x:c r="G684" s="10" t="n">
        <x:v>2.6</x:v>
      </x:c>
      <x:c r="H684" s="10" t="n">
        <x:v>0</x:v>
      </x:c>
      <x:c r="I684" s="11" t="n">
        <x:f>E684*Rates!$B$4+F684*Rates!$B$5+G684*Rates!$B$6+H684*Rates!$B$7</x:f>
        <x:v>0.0026000000000000003</x:v>
      </x:c>
    </x:row>
    <x:row r="685" ht="24" customHeight="1">
      <x:c r="A685" s="10" t="str">
        <x:v>S07-01</x:v>
      </x:c>
      <x:c r="B685" s="10" t="str">
        <x:v>B</x:v>
      </x:c>
      <x:c r="C685" s="10" t="str">
        <x:v>speech_output</x:v>
      </x:c>
      <x:c r="D685" s="10" t="str">
        <x:v>retained</x:v>
      </x:c>
      <x:c r="E685" s="13" t="n">
        <x:v>134</x:v>
      </x:c>
      <x:c r="F685" s="13" t="n">
        <x:v>0</x:v>
      </x:c>
      <x:c r="G685" s="10" t="n">
        <x:v>0</x:v>
      </x:c>
      <x:c r="H685" s="10" t="n">
        <x:v>2.946</x:v>
      </x:c>
      <x:c r="I685" s="11" t="n">
        <x:f>E685*Rates!$B$4+F685*Rates!$B$5+G685*Rates!$B$6+H685*Rates!$B$7</x:f>
        <x:v>0.006026</x:v>
      </x:c>
    </x:row>
    <x:row r="686" ht="24" customHeight="1">
      <x:c r="A686" s="10" t="str">
        <x:v>S07-01</x:v>
      </x:c>
      <x:c r="B686" s="10" t="str">
        <x:v>B</x:v>
      </x:c>
      <x:c r="C686" s="10" t="str">
        <x:v>speech_output</x:v>
      </x:c>
      <x:c r="D686" s="10" t="str">
        <x:v>retained</x:v>
      </x:c>
      <x:c r="E686" s="13" t="n">
        <x:v>156</x:v>
      </x:c>
      <x:c r="F686" s="13" t="n">
        <x:v>0</x:v>
      </x:c>
      <x:c r="G686" s="10" t="n">
        <x:v>0</x:v>
      </x:c>
      <x:c r="H686" s="10" t="n">
        <x:v>3.946</x:v>
      </x:c>
      <x:c r="I686" s="11" t="n">
        <x:f>E686*Rates!$B$4+F686*Rates!$B$5+G686*Rates!$B$6+H686*Rates!$B$7</x:f>
        <x:v>0.008048</x:v>
      </x:c>
    </x:row>
    <x:row r="687" ht="24" customHeight="1">
      <x:c r="A687" s="10" t="str">
        <x:v>S07-01</x:v>
      </x:c>
      <x:c r="B687" s="10" t="str">
        <x:v>B</x:v>
      </x:c>
      <x:c r="C687" s="10" t="str">
        <x:v>speech_output</x:v>
      </x:c>
      <x:c r="D687" s="10" t="str">
        <x:v>retained</x:v>
      </x:c>
      <x:c r="E687" s="13" t="n">
        <x:v>180</x:v>
      </x:c>
      <x:c r="F687" s="13" t="n">
        <x:v>0</x:v>
      </x:c>
      <x:c r="G687" s="10" t="n">
        <x:v>0</x:v>
      </x:c>
      <x:c r="H687" s="10" t="n">
        <x:v>6.946</x:v>
      </x:c>
      <x:c r="I687" s="11" t="n">
        <x:f>E687*Rates!$B$4+F687*Rates!$B$5+G687*Rates!$B$6+H687*Rates!$B$7</x:f>
        <x:v>0.014072</x:v>
      </x:c>
    </x:row>
    <x:row r="688" ht="24" customHeight="1">
      <x:c r="A688" s="10" t="str">
        <x:v>S07-02</x:v>
      </x:c>
      <x:c r="B688" s="10" t="str">
        <x:v>A</x:v>
      </x:c>
      <x:c r="C688" s="10" t="str">
        <x:v>semantic</x:v>
      </x:c>
      <x:c r="D688" s="10" t="str">
        <x:v>setup</x:v>
      </x:c>
      <x:c r="E688" s="13" t="n">
        <x:v>600</x:v>
      </x:c>
      <x:c r="F688" s="13" t="n">
        <x:v>16</x:v>
      </x:c>
      <x:c r="G688" s="10" t="n">
        <x:v>0</x:v>
      </x:c>
      <x:c r="H688" s="10" t="n">
        <x:v>0</x:v>
      </x:c>
      <x:c r="I688" s="11" t="n">
        <x:f>E688*Rates!$B$4+F688*Rates!$B$5+G688*Rates!$B$6+H688*Rates!$B$7</x:f>
        <x:v>0.000664</x:v>
      </x:c>
    </x:row>
    <x:row r="689" ht="24" customHeight="1">
      <x:c r="A689" s="10" t="str">
        <x:v>S07-02</x:v>
      </x:c>
      <x:c r="B689" s="10" t="str">
        <x:v>A</x:v>
      </x:c>
      <x:c r="C689" s="10" t="str">
        <x:v>speech_input</x:v>
      </x:c>
      <x:c r="D689" s="10" t="str">
        <x:v>setup</x:v>
      </x:c>
      <x:c r="E689" s="13" t="n">
        <x:v>0</x:v>
      </x:c>
      <x:c r="F689" s="13" t="n">
        <x:v>0</x:v>
      </x:c>
      <x:c r="G689" s="10" t="n">
        <x:v>2</x:v>
      </x:c>
      <x:c r="H689" s="10" t="n">
        <x:v>0</x:v>
      </x:c>
      <x:c r="I689" s="11" t="n">
        <x:f>E689*Rates!$B$4+F689*Rates!$B$5+G689*Rates!$B$6+H689*Rates!$B$7</x:f>
        <x:v>0.002</x:v>
      </x:c>
    </x:row>
    <x:row r="690" ht="24" customHeight="1">
      <x:c r="A690" s="10" t="str">
        <x:v>S07-02</x:v>
      </x:c>
      <x:c r="B690" s="10" t="str">
        <x:v>A</x:v>
      </x:c>
      <x:c r="C690" s="10" t="str">
        <x:v>semantic</x:v>
      </x:c>
      <x:c r="D690" s="10" t="str">
        <x:v>evaluation</x:v>
      </x:c>
      <x:c r="E690" s="13" t="n">
        <x:v>640</x:v>
      </x:c>
      <x:c r="F690" s="13" t="n">
        <x:v>20</x:v>
      </x:c>
      <x:c r="G690" s="10" t="n">
        <x:v>0</x:v>
      </x:c>
      <x:c r="H690" s="10" t="n">
        <x:v>0</x:v>
      </x:c>
      <x:c r="I690" s="11" t="n">
        <x:f>E690*Rates!$B$4+F690*Rates!$B$5+G690*Rates!$B$6+H690*Rates!$B$7</x:f>
        <x:v>0.0007199999999999999</x:v>
      </x:c>
    </x:row>
    <x:row r="691" ht="24" customHeight="1">
      <x:c r="A691" s="10" t="str">
        <x:v>S07-02</x:v>
      </x:c>
      <x:c r="B691" s="10" t="str">
        <x:v>A</x:v>
      </x:c>
      <x:c r="C691" s="10" t="str">
        <x:v>speech_input</x:v>
      </x:c>
      <x:c r="D691" s="10" t="str">
        <x:v>evaluation</x:v>
      </x:c>
      <x:c r="E691" s="13" t="n">
        <x:v>0</x:v>
      </x:c>
      <x:c r="F691" s="13" t="n">
        <x:v>0</x:v>
      </x:c>
      <x:c r="G691" s="10" t="n">
        <x:v>2.6</x:v>
      </x:c>
      <x:c r="H691" s="10" t="n">
        <x:v>0</x:v>
      </x:c>
      <x:c r="I691" s="11" t="n">
        <x:f>E691*Rates!$B$4+F691*Rates!$B$5+G691*Rates!$B$6+H691*Rates!$B$7</x:f>
        <x:v>0.0026000000000000003</x:v>
      </x:c>
    </x:row>
    <x:row r="692" ht="24" customHeight="1">
      <x:c r="A692" s="10" t="str">
        <x:v>S07-02</x:v>
      </x:c>
      <x:c r="B692" s="10" t="str">
        <x:v>A</x:v>
      </x:c>
      <x:c r="C692" s="10" t="str">
        <x:v>speech_output</x:v>
      </x:c>
      <x:c r="D692" s="10" t="str">
        <x:v>retained</x:v>
      </x:c>
      <x:c r="E692" s="13" t="n">
        <x:v>134</x:v>
      </x:c>
      <x:c r="F692" s="13" t="n">
        <x:v>0</x:v>
      </x:c>
      <x:c r="G692" s="10" t="n">
        <x:v>0</x:v>
      </x:c>
      <x:c r="H692" s="10" t="n">
        <x:v>2.958</x:v>
      </x:c>
      <x:c r="I692" s="11" t="n">
        <x:f>E692*Rates!$B$4+F692*Rates!$B$5+G692*Rates!$B$6+H692*Rates!$B$7</x:f>
        <x:v>0.00605</x:v>
      </x:c>
    </x:row>
    <x:row r="693" ht="24" customHeight="1">
      <x:c r="A693" s="10" t="str">
        <x:v>S07-02</x:v>
      </x:c>
      <x:c r="B693" s="10" t="str">
        <x:v>A</x:v>
      </x:c>
      <x:c r="C693" s="10" t="str">
        <x:v>speech_output</x:v>
      </x:c>
      <x:c r="D693" s="10" t="str">
        <x:v>retained</x:v>
      </x:c>
      <x:c r="E693" s="13" t="n">
        <x:v>156</x:v>
      </x:c>
      <x:c r="F693" s="13" t="n">
        <x:v>0</x:v>
      </x:c>
      <x:c r="G693" s="10" t="n">
        <x:v>0</x:v>
      </x:c>
      <x:c r="H693" s="10" t="n">
        <x:v>3.958</x:v>
      </x:c>
      <x:c r="I693" s="11" t="n">
        <x:f>E693*Rates!$B$4+F693*Rates!$B$5+G693*Rates!$B$6+H693*Rates!$B$7</x:f>
        <x:v>0.008072000000000001</x:v>
      </x:c>
    </x:row>
    <x:row r="694" ht="24" customHeight="1">
      <x:c r="A694" s="10" t="str">
        <x:v>S07-02</x:v>
      </x:c>
      <x:c r="B694" s="10" t="str">
        <x:v>A</x:v>
      </x:c>
      <x:c r="C694" s="10" t="str">
        <x:v>speech_output</x:v>
      </x:c>
      <x:c r="D694" s="10" t="str">
        <x:v>retained</x:v>
      </x:c>
      <x:c r="E694" s="13" t="n">
        <x:v>180</x:v>
      </x:c>
      <x:c r="F694" s="13" t="n">
        <x:v>0</x:v>
      </x:c>
      <x:c r="G694" s="10" t="n">
        <x:v>0</x:v>
      </x:c>
      <x:c r="H694" s="10" t="n">
        <x:v>6.958</x:v>
      </x:c>
      <x:c r="I694" s="11" t="n">
        <x:f>E694*Rates!$B$4+F694*Rates!$B$5+G694*Rates!$B$6+H694*Rates!$B$7</x:f>
        <x:v>0.014096000000000001</x:v>
      </x:c>
    </x:row>
    <x:row r="695" ht="24" customHeight="1">
      <x:c r="A695" s="10" t="str">
        <x:v>S07-02</x:v>
      </x:c>
      <x:c r="B695" s="10" t="str">
        <x:v>B</x:v>
      </x:c>
      <x:c r="C695" s="10" t="str">
        <x:v>semantic</x:v>
      </x:c>
      <x:c r="D695" s="10" t="str">
        <x:v>setup</x:v>
      </x:c>
      <x:c r="E695" s="13" t="n">
        <x:v>600</x:v>
      </x:c>
      <x:c r="F695" s="13" t="n">
        <x:v>16</x:v>
      </x:c>
      <x:c r="G695" s="10" t="n">
        <x:v>0</x:v>
      </x:c>
      <x:c r="H695" s="10" t="n">
        <x:v>0</x:v>
      </x:c>
      <x:c r="I695" s="11" t="n">
        <x:f>E695*Rates!$B$4+F695*Rates!$B$5+G695*Rates!$B$6+H695*Rates!$B$7</x:f>
        <x:v>0.000664</x:v>
      </x:c>
    </x:row>
    <x:row r="696" ht="24" customHeight="1">
      <x:c r="A696" s="10" t="str">
        <x:v>S07-02</x:v>
      </x:c>
      <x:c r="B696" s="10" t="str">
        <x:v>B</x:v>
      </x:c>
      <x:c r="C696" s="10" t="str">
        <x:v>speech_input</x:v>
      </x:c>
      <x:c r="D696" s="10" t="str">
        <x:v>setup</x:v>
      </x:c>
      <x:c r="E696" s="13" t="n">
        <x:v>0</x:v>
      </x:c>
      <x:c r="F696" s="13" t="n">
        <x:v>0</x:v>
      </x:c>
      <x:c r="G696" s="10" t="n">
        <x:v>2</x:v>
      </x:c>
      <x:c r="H696" s="10" t="n">
        <x:v>0</x:v>
      </x:c>
      <x:c r="I696" s="11" t="n">
        <x:f>E696*Rates!$B$4+F696*Rates!$B$5+G696*Rates!$B$6+H696*Rates!$B$7</x:f>
        <x:v>0.002</x:v>
      </x:c>
    </x:row>
    <x:row r="697" ht="24" customHeight="1">
      <x:c r="A697" s="10" t="str">
        <x:v>S07-02</x:v>
      </x:c>
      <x:c r="B697" s="10" t="str">
        <x:v>B</x:v>
      </x:c>
      <x:c r="C697" s="10" t="str">
        <x:v>semantic</x:v>
      </x:c>
      <x:c r="D697" s="10" t="str">
        <x:v>evaluation</x:v>
      </x:c>
      <x:c r="E697" s="13" t="n">
        <x:v>640</x:v>
      </x:c>
      <x:c r="F697" s="13" t="n">
        <x:v>20</x:v>
      </x:c>
      <x:c r="G697" s="10" t="n">
        <x:v>0</x:v>
      </x:c>
      <x:c r="H697" s="10" t="n">
        <x:v>0</x:v>
      </x:c>
      <x:c r="I697" s="11" t="n">
        <x:f>E697*Rates!$B$4+F697*Rates!$B$5+G697*Rates!$B$6+H697*Rates!$B$7</x:f>
        <x:v>0.0007199999999999999</x:v>
      </x:c>
    </x:row>
    <x:row r="698" ht="24" customHeight="1">
      <x:c r="A698" s="10" t="str">
        <x:v>S07-02</x:v>
      </x:c>
      <x:c r="B698" s="10" t="str">
        <x:v>B</x:v>
      </x:c>
      <x:c r="C698" s="10" t="str">
        <x:v>speech_input</x:v>
      </x:c>
      <x:c r="D698" s="10" t="str">
        <x:v>evaluation</x:v>
      </x:c>
      <x:c r="E698" s="13" t="n">
        <x:v>0</x:v>
      </x:c>
      <x:c r="F698" s="13" t="n">
        <x:v>0</x:v>
      </x:c>
      <x:c r="G698" s="10" t="n">
        <x:v>2.6</x:v>
      </x:c>
      <x:c r="H698" s="10" t="n">
        <x:v>0</x:v>
      </x:c>
      <x:c r="I698" s="11" t="n">
        <x:f>E698*Rates!$B$4+F698*Rates!$B$5+G698*Rates!$B$6+H698*Rates!$B$7</x:f>
        <x:v>0.0026000000000000003</x:v>
      </x:c>
    </x:row>
    <x:row r="699" ht="24" customHeight="1">
      <x:c r="A699" s="10" t="str">
        <x:v>S07-02</x:v>
      </x:c>
      <x:c r="B699" s="10" t="str">
        <x:v>B</x:v>
      </x:c>
      <x:c r="C699" s="10" t="str">
        <x:v>speech_output</x:v>
      </x:c>
      <x:c r="D699" s="10" t="str">
        <x:v>retained</x:v>
      </x:c>
      <x:c r="E699" s="13" t="n">
        <x:v>134</x:v>
      </x:c>
      <x:c r="F699" s="13" t="n">
        <x:v>0</x:v>
      </x:c>
      <x:c r="G699" s="10" t="n">
        <x:v>0</x:v>
      </x:c>
      <x:c r="H699" s="10" t="n">
        <x:v>2.958</x:v>
      </x:c>
      <x:c r="I699" s="11" t="n">
        <x:f>E699*Rates!$B$4+F699*Rates!$B$5+G699*Rates!$B$6+H699*Rates!$B$7</x:f>
        <x:v>0.00605</x:v>
      </x:c>
    </x:row>
    <x:row r="700" ht="24" customHeight="1">
      <x:c r="A700" s="10" t="str">
        <x:v>S07-02</x:v>
      </x:c>
      <x:c r="B700" s="10" t="str">
        <x:v>B</x:v>
      </x:c>
      <x:c r="C700" s="10" t="str">
        <x:v>speech_output</x:v>
      </x:c>
      <x:c r="D700" s="10" t="str">
        <x:v>retained</x:v>
      </x:c>
      <x:c r="E700" s="13" t="n">
        <x:v>156</x:v>
      </x:c>
      <x:c r="F700" s="13" t="n">
        <x:v>0</x:v>
      </x:c>
      <x:c r="G700" s="10" t="n">
        <x:v>0</x:v>
      </x:c>
      <x:c r="H700" s="10" t="n">
        <x:v>3.958</x:v>
      </x:c>
      <x:c r="I700" s="11" t="n">
        <x:f>E700*Rates!$B$4+F700*Rates!$B$5+G700*Rates!$B$6+H700*Rates!$B$7</x:f>
        <x:v>0.008072000000000001</x:v>
      </x:c>
    </x:row>
    <x:row r="701" ht="24" customHeight="1">
      <x:c r="A701" s="10" t="str">
        <x:v>S07-02</x:v>
      </x:c>
      <x:c r="B701" s="10" t="str">
        <x:v>B</x:v>
      </x:c>
      <x:c r="C701" s="10" t="str">
        <x:v>speech_output</x:v>
      </x:c>
      <x:c r="D701" s="10" t="str">
        <x:v>retained</x:v>
      </x:c>
      <x:c r="E701" s="13" t="n">
        <x:v>180</x:v>
      </x:c>
      <x:c r="F701" s="13" t="n">
        <x:v>0</x:v>
      </x:c>
      <x:c r="G701" s="10" t="n">
        <x:v>0</x:v>
      </x:c>
      <x:c r="H701" s="10" t="n">
        <x:v>6.958</x:v>
      </x:c>
      <x:c r="I701" s="11" t="n">
        <x:f>E701*Rates!$B$4+F701*Rates!$B$5+G701*Rates!$B$6+H701*Rates!$B$7</x:f>
        <x:v>0.014096000000000001</x:v>
      </x:c>
    </x:row>
    <x:row r="702" ht="24" customHeight="1">
      <x:c r="A702" s="10" t="str">
        <x:v>S07-03</x:v>
      </x:c>
      <x:c r="B702" s="10" t="str">
        <x:v>A</x:v>
      </x:c>
      <x:c r="C702" s="10" t="str">
        <x:v>semantic</x:v>
      </x:c>
      <x:c r="D702" s="10" t="str">
        <x:v>setup</x:v>
      </x:c>
      <x:c r="E702" s="13" t="n">
        <x:v>600</x:v>
      </x:c>
      <x:c r="F702" s="13" t="n">
        <x:v>16</x:v>
      </x:c>
      <x:c r="G702" s="10" t="n">
        <x:v>0</x:v>
      </x:c>
      <x:c r="H702" s="10" t="n">
        <x:v>0</x:v>
      </x:c>
      <x:c r="I702" s="11" t="n">
        <x:f>E702*Rates!$B$4+F702*Rates!$B$5+G702*Rates!$B$6+H702*Rates!$B$7</x:f>
        <x:v>0.000664</x:v>
      </x:c>
    </x:row>
    <x:row r="703" ht="24" customHeight="1">
      <x:c r="A703" s="10" t="str">
        <x:v>S07-03</x:v>
      </x:c>
      <x:c r="B703" s="10" t="str">
        <x:v>A</x:v>
      </x:c>
      <x:c r="C703" s="10" t="str">
        <x:v>speech_input</x:v>
      </x:c>
      <x:c r="D703" s="10" t="str">
        <x:v>setup</x:v>
      </x:c>
      <x:c r="E703" s="13" t="n">
        <x:v>0</x:v>
      </x:c>
      <x:c r="F703" s="13" t="n">
        <x:v>0</x:v>
      </x:c>
      <x:c r="G703" s="10" t="n">
        <x:v>2</x:v>
      </x:c>
      <x:c r="H703" s="10" t="n">
        <x:v>0</x:v>
      </x:c>
      <x:c r="I703" s="11" t="n">
        <x:f>E703*Rates!$B$4+F703*Rates!$B$5+G703*Rates!$B$6+H703*Rates!$B$7</x:f>
        <x:v>0.002</x:v>
      </x:c>
    </x:row>
    <x:row r="704" ht="24" customHeight="1">
      <x:c r="A704" s="10" t="str">
        <x:v>S07-03</x:v>
      </x:c>
      <x:c r="B704" s="10" t="str">
        <x:v>A</x:v>
      </x:c>
      <x:c r="C704" s="10" t="str">
        <x:v>semantic</x:v>
      </x:c>
      <x:c r="D704" s="10" t="str">
        <x:v>evaluation</x:v>
      </x:c>
      <x:c r="E704" s="13" t="n">
        <x:v>660</x:v>
      </x:c>
      <x:c r="F704" s="13" t="n">
        <x:v>16</x:v>
      </x:c>
      <x:c r="G704" s="10" t="n">
        <x:v>0</x:v>
      </x:c>
      <x:c r="H704" s="10" t="n">
        <x:v>0</x:v>
      </x:c>
      <x:c r="I704" s="11" t="n">
        <x:f>E704*Rates!$B$4+F704*Rates!$B$5+G704*Rates!$B$6+H704*Rates!$B$7</x:f>
        <x:v>0.000724</x:v>
      </x:c>
    </x:row>
    <x:row r="705" ht="24" customHeight="1">
      <x:c r="A705" s="10" t="str">
        <x:v>S07-03</x:v>
      </x:c>
      <x:c r="B705" s="10" t="str">
        <x:v>A</x:v>
      </x:c>
      <x:c r="C705" s="10" t="str">
        <x:v>speech_input</x:v>
      </x:c>
      <x:c r="D705" s="10" t="str">
        <x:v>evaluation</x:v>
      </x:c>
      <x:c r="E705" s="13" t="n">
        <x:v>0</x:v>
      </x:c>
      <x:c r="F705" s="13" t="n">
        <x:v>0</x:v>
      </x:c>
      <x:c r="G705" s="10" t="n">
        <x:v>2.6</x:v>
      </x:c>
      <x:c r="H705" s="10" t="n">
        <x:v>0</x:v>
      </x:c>
      <x:c r="I705" s="11" t="n">
        <x:f>E705*Rates!$B$4+F705*Rates!$B$5+G705*Rates!$B$6+H705*Rates!$B$7</x:f>
        <x:v>0.0026000000000000003</x:v>
      </x:c>
    </x:row>
    <x:row r="706" ht="24" customHeight="1">
      <x:c r="A706" s="10" t="str">
        <x:v>S07-03</x:v>
      </x:c>
      <x:c r="B706" s="10" t="str">
        <x:v>A</x:v>
      </x:c>
      <x:c r="C706" s="10" t="str">
        <x:v>speech_output</x:v>
      </x:c>
      <x:c r="D706" s="10" t="str">
        <x:v>retained</x:v>
      </x:c>
      <x:c r="E706" s="13" t="n">
        <x:v>134</x:v>
      </x:c>
      <x:c r="F706" s="13" t="n">
        <x:v>0</x:v>
      </x:c>
      <x:c r="G706" s="10" t="n">
        <x:v>0</x:v>
      </x:c>
      <x:c r="H706" s="10" t="n">
        <x:v>2.97</x:v>
      </x:c>
      <x:c r="I706" s="11" t="n">
        <x:f>E706*Rates!$B$4+F706*Rates!$B$5+G706*Rates!$B$6+H706*Rates!$B$7</x:f>
        <x:v>0.006074000000000001</x:v>
      </x:c>
    </x:row>
    <x:row r="707" ht="24" customHeight="1">
      <x:c r="A707" s="10" t="str">
        <x:v>S07-03</x:v>
      </x:c>
      <x:c r="B707" s="10" t="str">
        <x:v>A</x:v>
      </x:c>
      <x:c r="C707" s="10" t="str">
        <x:v>speech_output</x:v>
      </x:c>
      <x:c r="D707" s="10" t="str">
        <x:v>retained</x:v>
      </x:c>
      <x:c r="E707" s="13" t="n">
        <x:v>156</x:v>
      </x:c>
      <x:c r="F707" s="13" t="n">
        <x:v>0</x:v>
      </x:c>
      <x:c r="G707" s="10" t="n">
        <x:v>0</x:v>
      </x:c>
      <x:c r="H707" s="10" t="n">
        <x:v>3.97</x:v>
      </x:c>
      <x:c r="I707" s="11" t="n">
        <x:f>E707*Rates!$B$4+F707*Rates!$B$5+G707*Rates!$B$6+H707*Rates!$B$7</x:f>
        <x:v>0.008096</x:v>
      </x:c>
    </x:row>
    <x:row r="708" ht="24" customHeight="1">
      <x:c r="A708" s="10" t="str">
        <x:v>S07-03</x:v>
      </x:c>
      <x:c r="B708" s="10" t="str">
        <x:v>A</x:v>
      </x:c>
      <x:c r="C708" s="10" t="str">
        <x:v>speech_output</x:v>
      </x:c>
      <x:c r="D708" s="10" t="str">
        <x:v>retained</x:v>
      </x:c>
      <x:c r="E708" s="13" t="n">
        <x:v>180</x:v>
      </x:c>
      <x:c r="F708" s="13" t="n">
        <x:v>0</x:v>
      </x:c>
      <x:c r="G708" s="10" t="n">
        <x:v>0</x:v>
      </x:c>
      <x:c r="H708" s="10" t="n">
        <x:v>6.97</x:v>
      </x:c>
      <x:c r="I708" s="11" t="n">
        <x:f>E708*Rates!$B$4+F708*Rates!$B$5+G708*Rates!$B$6+H708*Rates!$B$7</x:f>
        <x:v>0.014119999999999999</x:v>
      </x:c>
    </x:row>
    <x:row r="709" ht="24" customHeight="1">
      <x:c r="A709" s="10" t="str">
        <x:v>S07-03</x:v>
      </x:c>
      <x:c r="B709" s="10" t="str">
        <x:v>B</x:v>
      </x:c>
      <x:c r="C709" s="10" t="str">
        <x:v>semantic</x:v>
      </x:c>
      <x:c r="D709" s="10" t="str">
        <x:v>setup</x:v>
      </x:c>
      <x:c r="E709" s="13" t="n">
        <x:v>600</x:v>
      </x:c>
      <x:c r="F709" s="13" t="n">
        <x:v>16</x:v>
      </x:c>
      <x:c r="G709" s="10" t="n">
        <x:v>0</x:v>
      </x:c>
      <x:c r="H709" s="10" t="n">
        <x:v>0</x:v>
      </x:c>
      <x:c r="I709" s="11" t="n">
        <x:f>E709*Rates!$B$4+F709*Rates!$B$5+G709*Rates!$B$6+H709*Rates!$B$7</x:f>
        <x:v>0.000664</x:v>
      </x:c>
    </x:row>
    <x:row r="710" ht="24" customHeight="1">
      <x:c r="A710" s="10" t="str">
        <x:v>S07-03</x:v>
      </x:c>
      <x:c r="B710" s="10" t="str">
        <x:v>B</x:v>
      </x:c>
      <x:c r="C710" s="10" t="str">
        <x:v>speech_input</x:v>
      </x:c>
      <x:c r="D710" s="10" t="str">
        <x:v>setup</x:v>
      </x:c>
      <x:c r="E710" s="13" t="n">
        <x:v>0</x:v>
      </x:c>
      <x:c r="F710" s="13" t="n">
        <x:v>0</x:v>
      </x:c>
      <x:c r="G710" s="10" t="n">
        <x:v>2</x:v>
      </x:c>
      <x:c r="H710" s="10" t="n">
        <x:v>0</x:v>
      </x:c>
      <x:c r="I710" s="11" t="n">
        <x:f>E710*Rates!$B$4+F710*Rates!$B$5+G710*Rates!$B$6+H710*Rates!$B$7</x:f>
        <x:v>0.002</x:v>
      </x:c>
    </x:row>
    <x:row r="711" ht="24" customHeight="1">
      <x:c r="A711" s="10" t="str">
        <x:v>S07-03</x:v>
      </x:c>
      <x:c r="B711" s="10" t="str">
        <x:v>B</x:v>
      </x:c>
      <x:c r="C711" s="10" t="str">
        <x:v>semantic</x:v>
      </x:c>
      <x:c r="D711" s="10" t="str">
        <x:v>evaluation</x:v>
      </x:c>
      <x:c r="E711" s="13" t="n">
        <x:v>660</x:v>
      </x:c>
      <x:c r="F711" s="13" t="n">
        <x:v>16</x:v>
      </x:c>
      <x:c r="G711" s="10" t="n">
        <x:v>0</x:v>
      </x:c>
      <x:c r="H711" s="10" t="n">
        <x:v>0</x:v>
      </x:c>
      <x:c r="I711" s="11" t="n">
        <x:f>E711*Rates!$B$4+F711*Rates!$B$5+G711*Rates!$B$6+H711*Rates!$B$7</x:f>
        <x:v>0.000724</x:v>
      </x:c>
    </x:row>
    <x:row r="712" ht="24" customHeight="1">
      <x:c r="A712" s="10" t="str">
        <x:v>S07-03</x:v>
      </x:c>
      <x:c r="B712" s="10" t="str">
        <x:v>B</x:v>
      </x:c>
      <x:c r="C712" s="10" t="str">
        <x:v>speech_input</x:v>
      </x:c>
      <x:c r="D712" s="10" t="str">
        <x:v>evaluation</x:v>
      </x:c>
      <x:c r="E712" s="13" t="n">
        <x:v>0</x:v>
      </x:c>
      <x:c r="F712" s="13" t="n">
        <x:v>0</x:v>
      </x:c>
      <x:c r="G712" s="10" t="n">
        <x:v>2.6</x:v>
      </x:c>
      <x:c r="H712" s="10" t="n">
        <x:v>0</x:v>
      </x:c>
      <x:c r="I712" s="11" t="n">
        <x:f>E712*Rates!$B$4+F712*Rates!$B$5+G712*Rates!$B$6+H712*Rates!$B$7</x:f>
        <x:v>0.0026000000000000003</x:v>
      </x:c>
    </x:row>
    <x:row r="713" ht="24" customHeight="1">
      <x:c r="A713" s="10" t="str">
        <x:v>S07-03</x:v>
      </x:c>
      <x:c r="B713" s="10" t="str">
        <x:v>B</x:v>
      </x:c>
      <x:c r="C713" s="10" t="str">
        <x:v>speech_output</x:v>
      </x:c>
      <x:c r="D713" s="10" t="str">
        <x:v>retained</x:v>
      </x:c>
      <x:c r="E713" s="13" t="n">
        <x:v>134</x:v>
      </x:c>
      <x:c r="F713" s="13" t="n">
        <x:v>0</x:v>
      </x:c>
      <x:c r="G713" s="10" t="n">
        <x:v>0</x:v>
      </x:c>
      <x:c r="H713" s="10" t="n">
        <x:v>2.97</x:v>
      </x:c>
      <x:c r="I713" s="11" t="n">
        <x:f>E713*Rates!$B$4+F713*Rates!$B$5+G713*Rates!$B$6+H713*Rates!$B$7</x:f>
        <x:v>0.006074000000000001</x:v>
      </x:c>
    </x:row>
    <x:row r="714" ht="24" customHeight="1">
      <x:c r="A714" s="10" t="str">
        <x:v>S07-03</x:v>
      </x:c>
      <x:c r="B714" s="10" t="str">
        <x:v>B</x:v>
      </x:c>
      <x:c r="C714" s="10" t="str">
        <x:v>speech_output</x:v>
      </x:c>
      <x:c r="D714" s="10" t="str">
        <x:v>retained</x:v>
      </x:c>
      <x:c r="E714" s="13" t="n">
        <x:v>156</x:v>
      </x:c>
      <x:c r="F714" s="13" t="n">
        <x:v>0</x:v>
      </x:c>
      <x:c r="G714" s="10" t="n">
        <x:v>0</x:v>
      </x:c>
      <x:c r="H714" s="10" t="n">
        <x:v>3.97</x:v>
      </x:c>
      <x:c r="I714" s="11" t="n">
        <x:f>E714*Rates!$B$4+F714*Rates!$B$5+G714*Rates!$B$6+H714*Rates!$B$7</x:f>
        <x:v>0.008096</x:v>
      </x:c>
    </x:row>
    <x:row r="715" ht="24" customHeight="1">
      <x:c r="A715" s="10" t="str">
        <x:v>S07-03</x:v>
      </x:c>
      <x:c r="B715" s="10" t="str">
        <x:v>B</x:v>
      </x:c>
      <x:c r="C715" s="10" t="str">
        <x:v>speech_output</x:v>
      </x:c>
      <x:c r="D715" s="10" t="str">
        <x:v>retained</x:v>
      </x:c>
      <x:c r="E715" s="13" t="n">
        <x:v>180</x:v>
      </x:c>
      <x:c r="F715" s="13" t="n">
        <x:v>0</x:v>
      </x:c>
      <x:c r="G715" s="10" t="n">
        <x:v>0</x:v>
      </x:c>
      <x:c r="H715" s="10" t="n">
        <x:v>6.97</x:v>
      </x:c>
      <x:c r="I715" s="11" t="n">
        <x:f>E715*Rates!$B$4+F715*Rates!$B$5+G715*Rates!$B$6+H715*Rates!$B$7</x:f>
        <x:v>0.014119999999999999</x:v>
      </x:c>
    </x:row>
    <x:row r="716" ht="24" customHeight="1">
      <x:c r="A716" s="10" t="str">
        <x:v>S07-04</x:v>
      </x:c>
      <x:c r="B716" s="10" t="str">
        <x:v>A</x:v>
      </x:c>
      <x:c r="C716" s="10" t="str">
        <x:v>semantic</x:v>
      </x:c>
      <x:c r="D716" s="10" t="str">
        <x:v>setup</x:v>
      </x:c>
      <x:c r="E716" s="13" t="n">
        <x:v>600</x:v>
      </x:c>
      <x:c r="F716" s="13" t="n">
        <x:v>16</x:v>
      </x:c>
      <x:c r="G716" s="10" t="n">
        <x:v>0</x:v>
      </x:c>
      <x:c r="H716" s="10" t="n">
        <x:v>0</x:v>
      </x:c>
      <x:c r="I716" s="11" t="n">
        <x:f>E716*Rates!$B$4+F716*Rates!$B$5+G716*Rates!$B$6+H716*Rates!$B$7</x:f>
        <x:v>0.000664</x:v>
      </x:c>
    </x:row>
    <x:row r="717" ht="24" customHeight="1">
      <x:c r="A717" s="10" t="str">
        <x:v>S07-04</x:v>
      </x:c>
      <x:c r="B717" s="10" t="str">
        <x:v>A</x:v>
      </x:c>
      <x:c r="C717" s="10" t="str">
        <x:v>speech_input</x:v>
      </x:c>
      <x:c r="D717" s="10" t="str">
        <x:v>setup</x:v>
      </x:c>
      <x:c r="E717" s="13" t="n">
        <x:v>0</x:v>
      </x:c>
      <x:c r="F717" s="13" t="n">
        <x:v>0</x:v>
      </x:c>
      <x:c r="G717" s="10" t="n">
        <x:v>2</x:v>
      </x:c>
      <x:c r="H717" s="10" t="n">
        <x:v>0</x:v>
      </x:c>
      <x:c r="I717" s="11" t="n">
        <x:f>E717*Rates!$B$4+F717*Rates!$B$5+G717*Rates!$B$6+H717*Rates!$B$7</x:f>
        <x:v>0.002</x:v>
      </x:c>
    </x:row>
    <x:row r="718" ht="24" customHeight="1">
      <x:c r="A718" s="10" t="str">
        <x:v>S07-04</x:v>
      </x:c>
      <x:c r="B718" s="10" t="str">
        <x:v>A</x:v>
      </x:c>
      <x:c r="C718" s="10" t="str">
        <x:v>semantic</x:v>
      </x:c>
      <x:c r="D718" s="10" t="str">
        <x:v>evaluation</x:v>
      </x:c>
      <x:c r="E718" s="13" t="n">
        <x:v>680</x:v>
      </x:c>
      <x:c r="F718" s="13" t="n">
        <x:v>18</x:v>
      </x:c>
      <x:c r="G718" s="10" t="n">
        <x:v>0</x:v>
      </x:c>
      <x:c r="H718" s="10" t="n">
        <x:v>0</x:v>
      </x:c>
      <x:c r="I718" s="11" t="n">
        <x:f>E718*Rates!$B$4+F718*Rates!$B$5+G718*Rates!$B$6+H718*Rates!$B$7</x:f>
        <x:v>0.000752</x:v>
      </x:c>
    </x:row>
    <x:row r="719" ht="24" customHeight="1">
      <x:c r="A719" s="10" t="str">
        <x:v>S07-04</x:v>
      </x:c>
      <x:c r="B719" s="10" t="str">
        <x:v>A</x:v>
      </x:c>
      <x:c r="C719" s="10" t="str">
        <x:v>speech_input</x:v>
      </x:c>
      <x:c r="D719" s="10" t="str">
        <x:v>evaluation</x:v>
      </x:c>
      <x:c r="E719" s="13" t="n">
        <x:v>0</x:v>
      </x:c>
      <x:c r="F719" s="13" t="n">
        <x:v>0</x:v>
      </x:c>
      <x:c r="G719" s="10" t="n">
        <x:v>2.6</x:v>
      </x:c>
      <x:c r="H719" s="10" t="n">
        <x:v>0</x:v>
      </x:c>
      <x:c r="I719" s="11" t="n">
        <x:f>E719*Rates!$B$4+F719*Rates!$B$5+G719*Rates!$B$6+H719*Rates!$B$7</x:f>
        <x:v>0.0026000000000000003</x:v>
      </x:c>
    </x:row>
    <x:row r="720" ht="24" customHeight="1">
      <x:c r="A720" s="10" t="str">
        <x:v>S07-04</x:v>
      </x:c>
      <x:c r="B720" s="10" t="str">
        <x:v>A</x:v>
      </x:c>
      <x:c r="C720" s="10" t="str">
        <x:v>speech_output</x:v>
      </x:c>
      <x:c r="D720" s="10" t="str">
        <x:v>retained</x:v>
      </x:c>
      <x:c r="E720" s="13" t="n">
        <x:v>134</x:v>
      </x:c>
      <x:c r="F720" s="13" t="n">
        <x:v>0</x:v>
      </x:c>
      <x:c r="G720" s="10" t="n">
        <x:v>0</x:v>
      </x:c>
      <x:c r="H720" s="10" t="n">
        <x:v>2.982</x:v>
      </x:c>
      <x:c r="I720" s="11" t="n">
        <x:f>E720*Rates!$B$4+F720*Rates!$B$5+G720*Rates!$B$6+H720*Rates!$B$7</x:f>
        <x:v>0.006098000000000001</x:v>
      </x:c>
    </x:row>
    <x:row r="721" ht="24" customHeight="1">
      <x:c r="A721" s="10" t="str">
        <x:v>S07-04</x:v>
      </x:c>
      <x:c r="B721" s="10" t="str">
        <x:v>A</x:v>
      </x:c>
      <x:c r="C721" s="10" t="str">
        <x:v>speech_output</x:v>
      </x:c>
      <x:c r="D721" s="10" t="str">
        <x:v>retained</x:v>
      </x:c>
      <x:c r="E721" s="13" t="n">
        <x:v>156</x:v>
      </x:c>
      <x:c r="F721" s="13" t="n">
        <x:v>0</x:v>
      </x:c>
      <x:c r="G721" s="10" t="n">
        <x:v>0</x:v>
      </x:c>
      <x:c r="H721" s="10" t="n">
        <x:v>3.982</x:v>
      </x:c>
      <x:c r="I721" s="11" t="n">
        <x:f>E721*Rates!$B$4+F721*Rates!$B$5+G721*Rates!$B$6+H721*Rates!$B$7</x:f>
        <x:v>0.00812</x:v>
      </x:c>
    </x:row>
    <x:row r="722" ht="24" customHeight="1">
      <x:c r="A722" s="10" t="str">
        <x:v>S07-04</x:v>
      </x:c>
      <x:c r="B722" s="10" t="str">
        <x:v>A</x:v>
      </x:c>
      <x:c r="C722" s="10" t="str">
        <x:v>speech_output</x:v>
      </x:c>
      <x:c r="D722" s="10" t="str">
        <x:v>retained</x:v>
      </x:c>
      <x:c r="E722" s="13" t="n">
        <x:v>180</x:v>
      </x:c>
      <x:c r="F722" s="13" t="n">
        <x:v>0</x:v>
      </x:c>
      <x:c r="G722" s="10" t="n">
        <x:v>0</x:v>
      </x:c>
      <x:c r="H722" s="10" t="n">
        <x:v>6.982</x:v>
      </x:c>
      <x:c r="I722" s="11" t="n">
        <x:f>E722*Rates!$B$4+F722*Rates!$B$5+G722*Rates!$B$6+H722*Rates!$B$7</x:f>
        <x:v>0.014144</x:v>
      </x:c>
    </x:row>
    <x:row r="723" ht="24" customHeight="1">
      <x:c r="A723" s="10" t="str">
        <x:v>S07-04</x:v>
      </x:c>
      <x:c r="B723" s="10" t="str">
        <x:v>B</x:v>
      </x:c>
      <x:c r="C723" s="10" t="str">
        <x:v>semantic</x:v>
      </x:c>
      <x:c r="D723" s="10" t="str">
        <x:v>setup</x:v>
      </x:c>
      <x:c r="E723" s="13" t="n">
        <x:v>600</x:v>
      </x:c>
      <x:c r="F723" s="13" t="n">
        <x:v>16</x:v>
      </x:c>
      <x:c r="G723" s="10" t="n">
        <x:v>0</x:v>
      </x:c>
      <x:c r="H723" s="10" t="n">
        <x:v>0</x:v>
      </x:c>
      <x:c r="I723" s="11" t="n">
        <x:f>E723*Rates!$B$4+F723*Rates!$B$5+G723*Rates!$B$6+H723*Rates!$B$7</x:f>
        <x:v>0.000664</x:v>
      </x:c>
    </x:row>
    <x:row r="724" ht="24" customHeight="1">
      <x:c r="A724" s="10" t="str">
        <x:v>S07-04</x:v>
      </x:c>
      <x:c r="B724" s="10" t="str">
        <x:v>B</x:v>
      </x:c>
      <x:c r="C724" s="10" t="str">
        <x:v>speech_input</x:v>
      </x:c>
      <x:c r="D724" s="10" t="str">
        <x:v>setup</x:v>
      </x:c>
      <x:c r="E724" s="13" t="n">
        <x:v>0</x:v>
      </x:c>
      <x:c r="F724" s="13" t="n">
        <x:v>0</x:v>
      </x:c>
      <x:c r="G724" s="10" t="n">
        <x:v>2</x:v>
      </x:c>
      <x:c r="H724" s="10" t="n">
        <x:v>0</x:v>
      </x:c>
      <x:c r="I724" s="11" t="n">
        <x:f>E724*Rates!$B$4+F724*Rates!$B$5+G724*Rates!$B$6+H724*Rates!$B$7</x:f>
        <x:v>0.002</x:v>
      </x:c>
    </x:row>
    <x:row r="725" ht="24" customHeight="1">
      <x:c r="A725" s="10" t="str">
        <x:v>S07-04</x:v>
      </x:c>
      <x:c r="B725" s="10" t="str">
        <x:v>B</x:v>
      </x:c>
      <x:c r="C725" s="10" t="str">
        <x:v>semantic</x:v>
      </x:c>
      <x:c r="D725" s="10" t="str">
        <x:v>evaluation</x:v>
      </x:c>
      <x:c r="E725" s="13" t="n">
        <x:v>680</x:v>
      </x:c>
      <x:c r="F725" s="13" t="n">
        <x:v>18</x:v>
      </x:c>
      <x:c r="G725" s="10" t="n">
        <x:v>0</x:v>
      </x:c>
      <x:c r="H725" s="10" t="n">
        <x:v>0</x:v>
      </x:c>
      <x:c r="I725" s="11" t="n">
        <x:f>E725*Rates!$B$4+F725*Rates!$B$5+G725*Rates!$B$6+H725*Rates!$B$7</x:f>
        <x:v>0.000752</x:v>
      </x:c>
    </x:row>
    <x:row r="726" ht="24" customHeight="1">
      <x:c r="A726" s="10" t="str">
        <x:v>S07-04</x:v>
      </x:c>
      <x:c r="B726" s="10" t="str">
        <x:v>B</x:v>
      </x:c>
      <x:c r="C726" s="10" t="str">
        <x:v>speech_input</x:v>
      </x:c>
      <x:c r="D726" s="10" t="str">
        <x:v>evaluation</x:v>
      </x:c>
      <x:c r="E726" s="13" t="n">
        <x:v>0</x:v>
      </x:c>
      <x:c r="F726" s="13" t="n">
        <x:v>0</x:v>
      </x:c>
      <x:c r="G726" s="10" t="n">
        <x:v>2.6</x:v>
      </x:c>
      <x:c r="H726" s="10" t="n">
        <x:v>0</x:v>
      </x:c>
      <x:c r="I726" s="11" t="n">
        <x:f>E726*Rates!$B$4+F726*Rates!$B$5+G726*Rates!$B$6+H726*Rates!$B$7</x:f>
        <x:v>0.0026000000000000003</x:v>
      </x:c>
    </x:row>
    <x:row r="727" ht="24" customHeight="1">
      <x:c r="A727" s="10" t="str">
        <x:v>S07-04</x:v>
      </x:c>
      <x:c r="B727" s="10" t="str">
        <x:v>B</x:v>
      </x:c>
      <x:c r="C727" s="10" t="str">
        <x:v>speech_output</x:v>
      </x:c>
      <x:c r="D727" s="10" t="str">
        <x:v>retained</x:v>
      </x:c>
      <x:c r="E727" s="13" t="n">
        <x:v>134</x:v>
      </x:c>
      <x:c r="F727" s="13" t="n">
        <x:v>0</x:v>
      </x:c>
      <x:c r="G727" s="10" t="n">
        <x:v>0</x:v>
      </x:c>
      <x:c r="H727" s="10" t="n">
        <x:v>2.982</x:v>
      </x:c>
      <x:c r="I727" s="11" t="n">
        <x:f>E727*Rates!$B$4+F727*Rates!$B$5+G727*Rates!$B$6+H727*Rates!$B$7</x:f>
        <x:v>0.006098000000000001</x:v>
      </x:c>
    </x:row>
    <x:row r="728" ht="24" customHeight="1">
      <x:c r="A728" s="10" t="str">
        <x:v>S07-04</x:v>
      </x:c>
      <x:c r="B728" s="10" t="str">
        <x:v>B</x:v>
      </x:c>
      <x:c r="C728" s="10" t="str">
        <x:v>speech_output</x:v>
      </x:c>
      <x:c r="D728" s="10" t="str">
        <x:v>retained</x:v>
      </x:c>
      <x:c r="E728" s="13" t="n">
        <x:v>156</x:v>
      </x:c>
      <x:c r="F728" s="13" t="n">
        <x:v>0</x:v>
      </x:c>
      <x:c r="G728" s="10" t="n">
        <x:v>0</x:v>
      </x:c>
      <x:c r="H728" s="10" t="n">
        <x:v>3.982</x:v>
      </x:c>
      <x:c r="I728" s="11" t="n">
        <x:f>E728*Rates!$B$4+F728*Rates!$B$5+G728*Rates!$B$6+H728*Rates!$B$7</x:f>
        <x:v>0.00812</x:v>
      </x:c>
    </x:row>
    <x:row r="729" ht="24" customHeight="1">
      <x:c r="A729" s="10" t="str">
        <x:v>S07-04</x:v>
      </x:c>
      <x:c r="B729" s="10" t="str">
        <x:v>B</x:v>
      </x:c>
      <x:c r="C729" s="10" t="str">
        <x:v>speech_output</x:v>
      </x:c>
      <x:c r="D729" s="10" t="str">
        <x:v>retained</x:v>
      </x:c>
      <x:c r="E729" s="13" t="n">
        <x:v>180</x:v>
      </x:c>
      <x:c r="F729" s="13" t="n">
        <x:v>0</x:v>
      </x:c>
      <x:c r="G729" s="10" t="n">
        <x:v>0</x:v>
      </x:c>
      <x:c r="H729" s="10" t="n">
        <x:v>6.982</x:v>
      </x:c>
      <x:c r="I729" s="11" t="n">
        <x:f>E729*Rates!$B$4+F729*Rates!$B$5+G729*Rates!$B$6+H729*Rates!$B$7</x:f>
        <x:v>0.014144</x:v>
      </x:c>
    </x:row>
    <x:row r="730" ht="24" customHeight="1">
      <x:c r="A730" s="10" t="str">
        <x:v>S07-05</x:v>
      </x:c>
      <x:c r="B730" s="10" t="str">
        <x:v>A</x:v>
      </x:c>
      <x:c r="C730" s="10" t="str">
        <x:v>semantic</x:v>
      </x:c>
      <x:c r="D730" s="10" t="str">
        <x:v>setup</x:v>
      </x:c>
      <x:c r="E730" s="13" t="n">
        <x:v>600</x:v>
      </x:c>
      <x:c r="F730" s="13" t="n">
        <x:v>16</x:v>
      </x:c>
      <x:c r="G730" s="10" t="n">
        <x:v>0</x:v>
      </x:c>
      <x:c r="H730" s="10" t="n">
        <x:v>0</x:v>
      </x:c>
      <x:c r="I730" s="11" t="n">
        <x:f>E730*Rates!$B$4+F730*Rates!$B$5+G730*Rates!$B$6+H730*Rates!$B$7</x:f>
        <x:v>0.000664</x:v>
      </x:c>
    </x:row>
    <x:row r="731" ht="24" customHeight="1">
      <x:c r="A731" s="10" t="str">
        <x:v>S07-05</x:v>
      </x:c>
      <x:c r="B731" s="10" t="str">
        <x:v>A</x:v>
      </x:c>
      <x:c r="C731" s="10" t="str">
        <x:v>speech_input</x:v>
      </x:c>
      <x:c r="D731" s="10" t="str">
        <x:v>setup</x:v>
      </x:c>
      <x:c r="E731" s="13" t="n">
        <x:v>0</x:v>
      </x:c>
      <x:c r="F731" s="13" t="n">
        <x:v>0</x:v>
      </x:c>
      <x:c r="G731" s="10" t="n">
        <x:v>2</x:v>
      </x:c>
      <x:c r="H731" s="10" t="n">
        <x:v>0</x:v>
      </x:c>
      <x:c r="I731" s="11" t="n">
        <x:f>E731*Rates!$B$4+F731*Rates!$B$5+G731*Rates!$B$6+H731*Rates!$B$7</x:f>
        <x:v>0.002</x:v>
      </x:c>
    </x:row>
    <x:row r="732" ht="24" customHeight="1">
      <x:c r="A732" s="10" t="str">
        <x:v>S07-05</x:v>
      </x:c>
      <x:c r="B732" s="10" t="str">
        <x:v>A</x:v>
      </x:c>
      <x:c r="C732" s="10" t="str">
        <x:v>semantic</x:v>
      </x:c>
      <x:c r="D732" s="10" t="str">
        <x:v>evaluation</x:v>
      </x:c>
      <x:c r="E732" s="13" t="n">
        <x:v>700</x:v>
      </x:c>
      <x:c r="F732" s="13" t="n">
        <x:v>20</x:v>
      </x:c>
      <x:c r="G732" s="10" t="n">
        <x:v>0</x:v>
      </x:c>
      <x:c r="H732" s="10" t="n">
        <x:v>0</x:v>
      </x:c>
      <x:c r="I732" s="11" t="n">
        <x:f>E732*Rates!$B$4+F732*Rates!$B$5+G732*Rates!$B$6+H732*Rates!$B$7</x:f>
        <x:v>0.00078</x:v>
      </x:c>
    </x:row>
    <x:row r="733" ht="24" customHeight="1">
      <x:c r="A733" s="10" t="str">
        <x:v>S07-05</x:v>
      </x:c>
      <x:c r="B733" s="10" t="str">
        <x:v>A</x:v>
      </x:c>
      <x:c r="C733" s="10" t="str">
        <x:v>speech_input</x:v>
      </x:c>
      <x:c r="D733" s="10" t="str">
        <x:v>evaluation</x:v>
      </x:c>
      <x:c r="E733" s="13" t="n">
        <x:v>0</x:v>
      </x:c>
      <x:c r="F733" s="13" t="n">
        <x:v>0</x:v>
      </x:c>
      <x:c r="G733" s="10" t="n">
        <x:v>2.6</x:v>
      </x:c>
      <x:c r="H733" s="10" t="n">
        <x:v>0</x:v>
      </x:c>
      <x:c r="I733" s="11" t="n">
        <x:f>E733*Rates!$B$4+F733*Rates!$B$5+G733*Rates!$B$6+H733*Rates!$B$7</x:f>
        <x:v>0.0026000000000000003</x:v>
      </x:c>
    </x:row>
    <x:row r="734" ht="24" customHeight="1">
      <x:c r="A734" s="10" t="str">
        <x:v>S07-05</x:v>
      </x:c>
      <x:c r="B734" s="10" t="str">
        <x:v>A</x:v>
      </x:c>
      <x:c r="C734" s="10" t="str">
        <x:v>speech_output</x:v>
      </x:c>
      <x:c r="D734" s="10" t="str">
        <x:v>retained</x:v>
      </x:c>
      <x:c r="E734" s="13" t="n">
        <x:v>134</x:v>
      </x:c>
      <x:c r="F734" s="13" t="n">
        <x:v>0</x:v>
      </x:c>
      <x:c r="G734" s="10" t="n">
        <x:v>0</x:v>
      </x:c>
      <x:c r="H734" s="10" t="n">
        <x:v>2.994</x:v>
      </x:c>
      <x:c r="I734" s="11" t="n">
        <x:f>E734*Rates!$B$4+F734*Rates!$B$5+G734*Rates!$B$6+H734*Rates!$B$7</x:f>
        <x:v>0.006122000000000001</x:v>
      </x:c>
    </x:row>
    <x:row r="735" ht="24" customHeight="1">
      <x:c r="A735" s="10" t="str">
        <x:v>S07-05</x:v>
      </x:c>
      <x:c r="B735" s="10" t="str">
        <x:v>A</x:v>
      </x:c>
      <x:c r="C735" s="10" t="str">
        <x:v>speech_output</x:v>
      </x:c>
      <x:c r="D735" s="10" t="str">
        <x:v>retained</x:v>
      </x:c>
      <x:c r="E735" s="13" t="n">
        <x:v>156</x:v>
      </x:c>
      <x:c r="F735" s="13" t="n">
        <x:v>0</x:v>
      </x:c>
      <x:c r="G735" s="10" t="n">
        <x:v>0</x:v>
      </x:c>
      <x:c r="H735" s="10" t="n">
        <x:v>3.994</x:v>
      </x:c>
      <x:c r="I735" s="11" t="n">
        <x:f>E735*Rates!$B$4+F735*Rates!$B$5+G735*Rates!$B$6+H735*Rates!$B$7</x:f>
        <x:v>0.008144</x:v>
      </x:c>
    </x:row>
    <x:row r="736" ht="24" customHeight="1">
      <x:c r="A736" s="10" t="str">
        <x:v>S07-05</x:v>
      </x:c>
      <x:c r="B736" s="10" t="str">
        <x:v>A</x:v>
      </x:c>
      <x:c r="C736" s="10" t="str">
        <x:v>speech_output</x:v>
      </x:c>
      <x:c r="D736" s="10" t="str">
        <x:v>retained</x:v>
      </x:c>
      <x:c r="E736" s="13" t="n">
        <x:v>180</x:v>
      </x:c>
      <x:c r="F736" s="13" t="n">
        <x:v>0</x:v>
      </x:c>
      <x:c r="G736" s="10" t="n">
        <x:v>0</x:v>
      </x:c>
      <x:c r="H736" s="10" t="n">
        <x:v>6.994</x:v>
      </x:c>
      <x:c r="I736" s="11" t="n">
        <x:f>E736*Rates!$B$4+F736*Rates!$B$5+G736*Rates!$B$6+H736*Rates!$B$7</x:f>
        <x:v>0.014168</x:v>
      </x:c>
    </x:row>
    <x:row r="737" ht="24" customHeight="1">
      <x:c r="A737" s="10" t="str">
        <x:v>S07-05</x:v>
      </x:c>
      <x:c r="B737" s="10" t="str">
        <x:v>B</x:v>
      </x:c>
      <x:c r="C737" s="10" t="str">
        <x:v>semantic</x:v>
      </x:c>
      <x:c r="D737" s="10" t="str">
        <x:v>setup</x:v>
      </x:c>
      <x:c r="E737" s="13" t="n">
        <x:v>600</x:v>
      </x:c>
      <x:c r="F737" s="13" t="n">
        <x:v>16</x:v>
      </x:c>
      <x:c r="G737" s="10" t="n">
        <x:v>0</x:v>
      </x:c>
      <x:c r="H737" s="10" t="n">
        <x:v>0</x:v>
      </x:c>
      <x:c r="I737" s="11" t="n">
        <x:f>E737*Rates!$B$4+F737*Rates!$B$5+G737*Rates!$B$6+H737*Rates!$B$7</x:f>
        <x:v>0.000664</x:v>
      </x:c>
    </x:row>
    <x:row r="738" ht="24" customHeight="1">
      <x:c r="A738" s="10" t="str">
        <x:v>S07-05</x:v>
      </x:c>
      <x:c r="B738" s="10" t="str">
        <x:v>B</x:v>
      </x:c>
      <x:c r="C738" s="10" t="str">
        <x:v>speech_input</x:v>
      </x:c>
      <x:c r="D738" s="10" t="str">
        <x:v>setup</x:v>
      </x:c>
      <x:c r="E738" s="13" t="n">
        <x:v>0</x:v>
      </x:c>
      <x:c r="F738" s="13" t="n">
        <x:v>0</x:v>
      </x:c>
      <x:c r="G738" s="10" t="n">
        <x:v>2</x:v>
      </x:c>
      <x:c r="H738" s="10" t="n">
        <x:v>0</x:v>
      </x:c>
      <x:c r="I738" s="11" t="n">
        <x:f>E738*Rates!$B$4+F738*Rates!$B$5+G738*Rates!$B$6+H738*Rates!$B$7</x:f>
        <x:v>0.002</x:v>
      </x:c>
    </x:row>
    <x:row r="739" ht="24" customHeight="1">
      <x:c r="A739" s="10" t="str">
        <x:v>S07-05</x:v>
      </x:c>
      <x:c r="B739" s="10" t="str">
        <x:v>B</x:v>
      </x:c>
      <x:c r="C739" s="10" t="str">
        <x:v>semantic</x:v>
      </x:c>
      <x:c r="D739" s="10" t="str">
        <x:v>evaluation</x:v>
      </x:c>
      <x:c r="E739" s="13" t="n">
        <x:v>700</x:v>
      </x:c>
      <x:c r="F739" s="13" t="n">
        <x:v>20</x:v>
      </x:c>
      <x:c r="G739" s="10" t="n">
        <x:v>0</x:v>
      </x:c>
      <x:c r="H739" s="10" t="n">
        <x:v>0</x:v>
      </x:c>
      <x:c r="I739" s="11" t="n">
        <x:f>E739*Rates!$B$4+F739*Rates!$B$5+G739*Rates!$B$6+H739*Rates!$B$7</x:f>
        <x:v>0.00078</x:v>
      </x:c>
    </x:row>
    <x:row r="740" ht="24" customHeight="1">
      <x:c r="A740" s="10" t="str">
        <x:v>S07-05</x:v>
      </x:c>
      <x:c r="B740" s="10" t="str">
        <x:v>B</x:v>
      </x:c>
      <x:c r="C740" s="10" t="str">
        <x:v>speech_input</x:v>
      </x:c>
      <x:c r="D740" s="10" t="str">
        <x:v>evaluation</x:v>
      </x:c>
      <x:c r="E740" s="13" t="n">
        <x:v>0</x:v>
      </x:c>
      <x:c r="F740" s="13" t="n">
        <x:v>0</x:v>
      </x:c>
      <x:c r="G740" s="10" t="n">
        <x:v>2.6</x:v>
      </x:c>
      <x:c r="H740" s="10" t="n">
        <x:v>0</x:v>
      </x:c>
      <x:c r="I740" s="11" t="n">
        <x:f>E740*Rates!$B$4+F740*Rates!$B$5+G740*Rates!$B$6+H740*Rates!$B$7</x:f>
        <x:v>0.0026000000000000003</x:v>
      </x:c>
    </x:row>
    <x:row r="741" ht="24" customHeight="1">
      <x:c r="A741" s="10" t="str">
        <x:v>S07-05</x:v>
      </x:c>
      <x:c r="B741" s="10" t="str">
        <x:v>B</x:v>
      </x:c>
      <x:c r="C741" s="10" t="str">
        <x:v>speech_output</x:v>
      </x:c>
      <x:c r="D741" s="10" t="str">
        <x:v>retained</x:v>
      </x:c>
      <x:c r="E741" s="13" t="n">
        <x:v>134</x:v>
      </x:c>
      <x:c r="F741" s="13" t="n">
        <x:v>0</x:v>
      </x:c>
      <x:c r="G741" s="10" t="n">
        <x:v>0</x:v>
      </x:c>
      <x:c r="H741" s="10" t="n">
        <x:v>2.994</x:v>
      </x:c>
      <x:c r="I741" s="11" t="n">
        <x:f>E741*Rates!$B$4+F741*Rates!$B$5+G741*Rates!$B$6+H741*Rates!$B$7</x:f>
        <x:v>0.006122000000000001</x:v>
      </x:c>
    </x:row>
    <x:row r="742" ht="24" customHeight="1">
      <x:c r="A742" s="10" t="str">
        <x:v>S07-05</x:v>
      </x:c>
      <x:c r="B742" s="10" t="str">
        <x:v>B</x:v>
      </x:c>
      <x:c r="C742" s="10" t="str">
        <x:v>speech_output</x:v>
      </x:c>
      <x:c r="D742" s="10" t="str">
        <x:v>retained</x:v>
      </x:c>
      <x:c r="E742" s="13" t="n">
        <x:v>156</x:v>
      </x:c>
      <x:c r="F742" s="13" t="n">
        <x:v>0</x:v>
      </x:c>
      <x:c r="G742" s="10" t="n">
        <x:v>0</x:v>
      </x:c>
      <x:c r="H742" s="10" t="n">
        <x:v>3.994</x:v>
      </x:c>
      <x:c r="I742" s="11" t="n">
        <x:f>E742*Rates!$B$4+F742*Rates!$B$5+G742*Rates!$B$6+H742*Rates!$B$7</x:f>
        <x:v>0.008144</x:v>
      </x:c>
    </x:row>
    <x:row r="743" ht="24" customHeight="1">
      <x:c r="A743" s="10" t="str">
        <x:v>S07-05</x:v>
      </x:c>
      <x:c r="B743" s="10" t="str">
        <x:v>B</x:v>
      </x:c>
      <x:c r="C743" s="10" t="str">
        <x:v>speech_output</x:v>
      </x:c>
      <x:c r="D743" s="10" t="str">
        <x:v>retained</x:v>
      </x:c>
      <x:c r="E743" s="13" t="n">
        <x:v>180</x:v>
      </x:c>
      <x:c r="F743" s="13" t="n">
        <x:v>0</x:v>
      </x:c>
      <x:c r="G743" s="10" t="n">
        <x:v>0</x:v>
      </x:c>
      <x:c r="H743" s="10" t="n">
        <x:v>6.994</x:v>
      </x:c>
      <x:c r="I743" s="11" t="n">
        <x:f>E743*Rates!$B$4+F743*Rates!$B$5+G743*Rates!$B$6+H743*Rates!$B$7</x:f>
        <x:v>0.014168</x:v>
      </x:c>
    </x:row>
    <x:row r="744" ht="24" customHeight="1">
      <x:c r="A744" s="10" t="str">
        <x:v>S07-06</x:v>
      </x:c>
      <x:c r="B744" s="10" t="str">
        <x:v>A</x:v>
      </x:c>
      <x:c r="C744" s="10" t="str">
        <x:v>semantic</x:v>
      </x:c>
      <x:c r="D744" s="10" t="str">
        <x:v>setup</x:v>
      </x:c>
      <x:c r="E744" s="13" t="n">
        <x:v>600</x:v>
      </x:c>
      <x:c r="F744" s="13" t="n">
        <x:v>16</x:v>
      </x:c>
      <x:c r="G744" s="10" t="n">
        <x:v>0</x:v>
      </x:c>
      <x:c r="H744" s="10" t="n">
        <x:v>0</x:v>
      </x:c>
      <x:c r="I744" s="11" t="n">
        <x:f>E744*Rates!$B$4+F744*Rates!$B$5+G744*Rates!$B$6+H744*Rates!$B$7</x:f>
        <x:v>0.000664</x:v>
      </x:c>
    </x:row>
    <x:row r="745" ht="24" customHeight="1">
      <x:c r="A745" s="10" t="str">
        <x:v>S07-06</x:v>
      </x:c>
      <x:c r="B745" s="10" t="str">
        <x:v>A</x:v>
      </x:c>
      <x:c r="C745" s="10" t="str">
        <x:v>speech_input</x:v>
      </x:c>
      <x:c r="D745" s="10" t="str">
        <x:v>setup</x:v>
      </x:c>
      <x:c r="E745" s="13" t="n">
        <x:v>0</x:v>
      </x:c>
      <x:c r="F745" s="13" t="n">
        <x:v>0</x:v>
      </x:c>
      <x:c r="G745" s="10" t="n">
        <x:v>2</x:v>
      </x:c>
      <x:c r="H745" s="10" t="n">
        <x:v>0</x:v>
      </x:c>
      <x:c r="I745" s="11" t="n">
        <x:f>E745*Rates!$B$4+F745*Rates!$B$5+G745*Rates!$B$6+H745*Rates!$B$7</x:f>
        <x:v>0.002</x:v>
      </x:c>
    </x:row>
    <x:row r="746" ht="24" customHeight="1">
      <x:c r="A746" s="10" t="str">
        <x:v>S07-06</x:v>
      </x:c>
      <x:c r="B746" s="10" t="str">
        <x:v>A</x:v>
      </x:c>
      <x:c r="C746" s="10" t="str">
        <x:v>semantic</x:v>
      </x:c>
      <x:c r="D746" s="10" t="str">
        <x:v>evaluation</x:v>
      </x:c>
      <x:c r="E746" s="13" t="n">
        <x:v>720</x:v>
      </x:c>
      <x:c r="F746" s="13" t="n">
        <x:v>16</x:v>
      </x:c>
      <x:c r="G746" s="10" t="n">
        <x:v>0</x:v>
      </x:c>
      <x:c r="H746" s="10" t="n">
        <x:v>0</x:v>
      </x:c>
      <x:c r="I746" s="11" t="n">
        <x:f>E746*Rates!$B$4+F746*Rates!$B$5+G746*Rates!$B$6+H746*Rates!$B$7</x:f>
        <x:v>0.000784</x:v>
      </x:c>
    </x:row>
    <x:row r="747" ht="24" customHeight="1">
      <x:c r="A747" s="10" t="str">
        <x:v>S07-06</x:v>
      </x:c>
      <x:c r="B747" s="10" t="str">
        <x:v>A</x:v>
      </x:c>
      <x:c r="C747" s="10" t="str">
        <x:v>speech_input</x:v>
      </x:c>
      <x:c r="D747" s="10" t="str">
        <x:v>evaluation</x:v>
      </x:c>
      <x:c r="E747" s="13" t="n">
        <x:v>0</x:v>
      </x:c>
      <x:c r="F747" s="13" t="n">
        <x:v>0</x:v>
      </x:c>
      <x:c r="G747" s="10" t="n">
        <x:v>2.6</x:v>
      </x:c>
      <x:c r="H747" s="10" t="n">
        <x:v>0</x:v>
      </x:c>
      <x:c r="I747" s="11" t="n">
        <x:f>E747*Rates!$B$4+F747*Rates!$B$5+G747*Rates!$B$6+H747*Rates!$B$7</x:f>
        <x:v>0.0026000000000000003</x:v>
      </x:c>
    </x:row>
    <x:row r="748" ht="24" customHeight="1">
      <x:c r="A748" s="10" t="str">
        <x:v>S07-06</x:v>
      </x:c>
      <x:c r="B748" s="10" t="str">
        <x:v>A</x:v>
      </x:c>
      <x:c r="C748" s="10" t="str">
        <x:v>speech_output</x:v>
      </x:c>
      <x:c r="D748" s="10" t="str">
        <x:v>retained</x:v>
      </x:c>
      <x:c r="E748" s="13" t="n">
        <x:v>134</x:v>
      </x:c>
      <x:c r="F748" s="13" t="n">
        <x:v>0</x:v>
      </x:c>
      <x:c r="G748" s="10" t="n">
        <x:v>0</x:v>
      </x:c>
      <x:c r="H748" s="10" t="n">
        <x:v>3.006</x:v>
      </x:c>
      <x:c r="I748" s="11" t="n">
        <x:f>E748*Rates!$B$4+F748*Rates!$B$5+G748*Rates!$B$6+H748*Rates!$B$7</x:f>
        <x:v>0.006146</x:v>
      </x:c>
    </x:row>
    <x:row r="749" ht="24" customHeight="1">
      <x:c r="A749" s="10" t="str">
        <x:v>S07-06</x:v>
      </x:c>
      <x:c r="B749" s="10" t="str">
        <x:v>A</x:v>
      </x:c>
      <x:c r="C749" s="10" t="str">
        <x:v>speech_output</x:v>
      </x:c>
      <x:c r="D749" s="10" t="str">
        <x:v>retained</x:v>
      </x:c>
      <x:c r="E749" s="13" t="n">
        <x:v>156</x:v>
      </x:c>
      <x:c r="F749" s="13" t="n">
        <x:v>0</x:v>
      </x:c>
      <x:c r="G749" s="10" t="n">
        <x:v>0</x:v>
      </x:c>
      <x:c r="H749" s="10" t="n">
        <x:v>4.006</x:v>
      </x:c>
      <x:c r="I749" s="11" t="n">
        <x:f>E749*Rates!$B$4+F749*Rates!$B$5+G749*Rates!$B$6+H749*Rates!$B$7</x:f>
        <x:v>0.008168</x:v>
      </x:c>
    </x:row>
    <x:row r="750" ht="24" customHeight="1">
      <x:c r="A750" s="10" t="str">
        <x:v>S07-06</x:v>
      </x:c>
      <x:c r="B750" s="10" t="str">
        <x:v>A</x:v>
      </x:c>
      <x:c r="C750" s="10" t="str">
        <x:v>speech_output</x:v>
      </x:c>
      <x:c r="D750" s="10" t="str">
        <x:v>retained</x:v>
      </x:c>
      <x:c r="E750" s="13" t="n">
        <x:v>180</x:v>
      </x:c>
      <x:c r="F750" s="13" t="n">
        <x:v>0</x:v>
      </x:c>
      <x:c r="G750" s="10" t="n">
        <x:v>0</x:v>
      </x:c>
      <x:c r="H750" s="10" t="n">
        <x:v>7.006</x:v>
      </x:c>
      <x:c r="I750" s="11" t="n">
        <x:f>E750*Rates!$B$4+F750*Rates!$B$5+G750*Rates!$B$6+H750*Rates!$B$7</x:f>
        <x:v>0.014192</x:v>
      </x:c>
    </x:row>
    <x:row r="751" ht="24" customHeight="1">
      <x:c r="A751" s="10" t="str">
        <x:v>S07-06</x:v>
      </x:c>
      <x:c r="B751" s="10" t="str">
        <x:v>B</x:v>
      </x:c>
      <x:c r="C751" s="10" t="str">
        <x:v>semantic</x:v>
      </x:c>
      <x:c r="D751" s="10" t="str">
        <x:v>setup</x:v>
      </x:c>
      <x:c r="E751" s="13" t="n">
        <x:v>600</x:v>
      </x:c>
      <x:c r="F751" s="13" t="n">
        <x:v>16</x:v>
      </x:c>
      <x:c r="G751" s="10" t="n">
        <x:v>0</x:v>
      </x:c>
      <x:c r="H751" s="10" t="n">
        <x:v>0</x:v>
      </x:c>
      <x:c r="I751" s="11" t="n">
        <x:f>E751*Rates!$B$4+F751*Rates!$B$5+G751*Rates!$B$6+H751*Rates!$B$7</x:f>
        <x:v>0.000664</x:v>
      </x:c>
    </x:row>
    <x:row r="752" ht="24" customHeight="1">
      <x:c r="A752" s="10" t="str">
        <x:v>S07-06</x:v>
      </x:c>
      <x:c r="B752" s="10" t="str">
        <x:v>B</x:v>
      </x:c>
      <x:c r="C752" s="10" t="str">
        <x:v>speech_input</x:v>
      </x:c>
      <x:c r="D752" s="10" t="str">
        <x:v>setup</x:v>
      </x:c>
      <x:c r="E752" s="13" t="n">
        <x:v>0</x:v>
      </x:c>
      <x:c r="F752" s="13" t="n">
        <x:v>0</x:v>
      </x:c>
      <x:c r="G752" s="10" t="n">
        <x:v>2</x:v>
      </x:c>
      <x:c r="H752" s="10" t="n">
        <x:v>0</x:v>
      </x:c>
      <x:c r="I752" s="11" t="n">
        <x:f>E752*Rates!$B$4+F752*Rates!$B$5+G752*Rates!$B$6+H752*Rates!$B$7</x:f>
        <x:v>0.002</x:v>
      </x:c>
    </x:row>
    <x:row r="753" ht="24" customHeight="1">
      <x:c r="A753" s="10" t="str">
        <x:v>S07-06</x:v>
      </x:c>
      <x:c r="B753" s="10" t="str">
        <x:v>B</x:v>
      </x:c>
      <x:c r="C753" s="10" t="str">
        <x:v>semantic</x:v>
      </x:c>
      <x:c r="D753" s="10" t="str">
        <x:v>evaluation</x:v>
      </x:c>
      <x:c r="E753" s="13" t="n">
        <x:v>720</x:v>
      </x:c>
      <x:c r="F753" s="13" t="n">
        <x:v>16</x:v>
      </x:c>
      <x:c r="G753" s="10" t="n">
        <x:v>0</x:v>
      </x:c>
      <x:c r="H753" s="10" t="n">
        <x:v>0</x:v>
      </x:c>
      <x:c r="I753" s="11" t="n">
        <x:f>E753*Rates!$B$4+F753*Rates!$B$5+G753*Rates!$B$6+H753*Rates!$B$7</x:f>
        <x:v>0.000784</x:v>
      </x:c>
    </x:row>
    <x:row r="754" ht="24" customHeight="1">
      <x:c r="A754" s="10" t="str">
        <x:v>S07-06</x:v>
      </x:c>
      <x:c r="B754" s="10" t="str">
        <x:v>B</x:v>
      </x:c>
      <x:c r="C754" s="10" t="str">
        <x:v>speech_input</x:v>
      </x:c>
      <x:c r="D754" s="10" t="str">
        <x:v>evaluation</x:v>
      </x:c>
      <x:c r="E754" s="13" t="n">
        <x:v>0</x:v>
      </x:c>
      <x:c r="F754" s="13" t="n">
        <x:v>0</x:v>
      </x:c>
      <x:c r="G754" s="10" t="n">
        <x:v>2.6</x:v>
      </x:c>
      <x:c r="H754" s="10" t="n">
        <x:v>0</x:v>
      </x:c>
      <x:c r="I754" s="11" t="n">
        <x:f>E754*Rates!$B$4+F754*Rates!$B$5+G754*Rates!$B$6+H754*Rates!$B$7</x:f>
        <x:v>0.0026000000000000003</x:v>
      </x:c>
    </x:row>
    <x:row r="755" ht="24" customHeight="1">
      <x:c r="A755" s="10" t="str">
        <x:v>S07-06</x:v>
      </x:c>
      <x:c r="B755" s="10" t="str">
        <x:v>B</x:v>
      </x:c>
      <x:c r="C755" s="10" t="str">
        <x:v>speech_output</x:v>
      </x:c>
      <x:c r="D755" s="10" t="str">
        <x:v>retained</x:v>
      </x:c>
      <x:c r="E755" s="13" t="n">
        <x:v>134</x:v>
      </x:c>
      <x:c r="F755" s="13" t="n">
        <x:v>0</x:v>
      </x:c>
      <x:c r="G755" s="10" t="n">
        <x:v>0</x:v>
      </x:c>
      <x:c r="H755" s="10" t="n">
        <x:v>3.006</x:v>
      </x:c>
      <x:c r="I755" s="11" t="n">
        <x:f>E755*Rates!$B$4+F755*Rates!$B$5+G755*Rates!$B$6+H755*Rates!$B$7</x:f>
        <x:v>0.006146</x:v>
      </x:c>
    </x:row>
    <x:row r="756" ht="24" customHeight="1">
      <x:c r="A756" s="10" t="str">
        <x:v>S07-06</x:v>
      </x:c>
      <x:c r="B756" s="10" t="str">
        <x:v>B</x:v>
      </x:c>
      <x:c r="C756" s="10" t="str">
        <x:v>speech_output</x:v>
      </x:c>
      <x:c r="D756" s="10" t="str">
        <x:v>retained</x:v>
      </x:c>
      <x:c r="E756" s="13" t="n">
        <x:v>156</x:v>
      </x:c>
      <x:c r="F756" s="13" t="n">
        <x:v>0</x:v>
      </x:c>
      <x:c r="G756" s="10" t="n">
        <x:v>0</x:v>
      </x:c>
      <x:c r="H756" s="10" t="n">
        <x:v>4.006</x:v>
      </x:c>
      <x:c r="I756" s="11" t="n">
        <x:f>E756*Rates!$B$4+F756*Rates!$B$5+G756*Rates!$B$6+H756*Rates!$B$7</x:f>
        <x:v>0.008168</x:v>
      </x:c>
    </x:row>
    <x:row r="757" ht="24" customHeight="1">
      <x:c r="A757" s="10" t="str">
        <x:v>S07-06</x:v>
      </x:c>
      <x:c r="B757" s="10" t="str">
        <x:v>B</x:v>
      </x:c>
      <x:c r="C757" s="10" t="str">
        <x:v>speech_output</x:v>
      </x:c>
      <x:c r="D757" s="10" t="str">
        <x:v>retained</x:v>
      </x:c>
      <x:c r="E757" s="13" t="n">
        <x:v>180</x:v>
      </x:c>
      <x:c r="F757" s="13" t="n">
        <x:v>0</x:v>
      </x:c>
      <x:c r="G757" s="10" t="n">
        <x:v>0</x:v>
      </x:c>
      <x:c r="H757" s="10" t="n">
        <x:v>7.006</x:v>
      </x:c>
      <x:c r="I757" s="11" t="n">
        <x:f>E757*Rates!$B$4+F757*Rates!$B$5+G757*Rates!$B$6+H757*Rates!$B$7</x:f>
        <x:v>0.014192</x:v>
      </x:c>
    </x:row>
    <x:row r="758" ht="24" customHeight="1">
      <x:c r="A758" s="10" t="str">
        <x:v>S07-07</x:v>
      </x:c>
      <x:c r="B758" s="10" t="str">
        <x:v>A</x:v>
      </x:c>
      <x:c r="C758" s="10" t="str">
        <x:v>semantic</x:v>
      </x:c>
      <x:c r="D758" s="10" t="str">
        <x:v>setup</x:v>
      </x:c>
      <x:c r="E758" s="13" t="n">
        <x:v>600</x:v>
      </x:c>
      <x:c r="F758" s="13" t="n">
        <x:v>16</x:v>
      </x:c>
      <x:c r="G758" s="10" t="n">
        <x:v>0</x:v>
      </x:c>
      <x:c r="H758" s="10" t="n">
        <x:v>0</x:v>
      </x:c>
      <x:c r="I758" s="11" t="n">
        <x:f>E758*Rates!$B$4+F758*Rates!$B$5+G758*Rates!$B$6+H758*Rates!$B$7</x:f>
        <x:v>0.000664</x:v>
      </x:c>
    </x:row>
    <x:row r="759" ht="24" customHeight="1">
      <x:c r="A759" s="10" t="str">
        <x:v>S07-07</x:v>
      </x:c>
      <x:c r="B759" s="10" t="str">
        <x:v>A</x:v>
      </x:c>
      <x:c r="C759" s="10" t="str">
        <x:v>speech_input</x:v>
      </x:c>
      <x:c r="D759" s="10" t="str">
        <x:v>setup</x:v>
      </x:c>
      <x:c r="E759" s="13" t="n">
        <x:v>0</x:v>
      </x:c>
      <x:c r="F759" s="13" t="n">
        <x:v>0</x:v>
      </x:c>
      <x:c r="G759" s="10" t="n">
        <x:v>2</x:v>
      </x:c>
      <x:c r="H759" s="10" t="n">
        <x:v>0</x:v>
      </x:c>
      <x:c r="I759" s="11" t="n">
        <x:f>E759*Rates!$B$4+F759*Rates!$B$5+G759*Rates!$B$6+H759*Rates!$B$7</x:f>
        <x:v>0.002</x:v>
      </x:c>
    </x:row>
    <x:row r="760" ht="24" customHeight="1">
      <x:c r="A760" s="10" t="str">
        <x:v>S07-07</x:v>
      </x:c>
      <x:c r="B760" s="10" t="str">
        <x:v>A</x:v>
      </x:c>
      <x:c r="C760" s="10" t="str">
        <x:v>semantic</x:v>
      </x:c>
      <x:c r="D760" s="10" t="str">
        <x:v>evaluation</x:v>
      </x:c>
      <x:c r="E760" s="13" t="n">
        <x:v>740</x:v>
      </x:c>
      <x:c r="F760" s="13" t="n">
        <x:v>18</x:v>
      </x:c>
      <x:c r="G760" s="10" t="n">
        <x:v>0</x:v>
      </x:c>
      <x:c r="H760" s="10" t="n">
        <x:v>0</x:v>
      </x:c>
      <x:c r="I760" s="11" t="n">
        <x:f>E760*Rates!$B$4+F760*Rates!$B$5+G760*Rates!$B$6+H760*Rates!$B$7</x:f>
        <x:v>0.000812</x:v>
      </x:c>
    </x:row>
    <x:row r="761" ht="24" customHeight="1">
      <x:c r="A761" s="10" t="str">
        <x:v>S07-07</x:v>
      </x:c>
      <x:c r="B761" s="10" t="str">
        <x:v>A</x:v>
      </x:c>
      <x:c r="C761" s="10" t="str">
        <x:v>speech_input</x:v>
      </x:c>
      <x:c r="D761" s="10" t="str">
        <x:v>evaluation</x:v>
      </x:c>
      <x:c r="E761" s="13" t="n">
        <x:v>0</x:v>
      </x:c>
      <x:c r="F761" s="13" t="n">
        <x:v>0</x:v>
      </x:c>
      <x:c r="G761" s="10" t="n">
        <x:v>2.6</x:v>
      </x:c>
      <x:c r="H761" s="10" t="n">
        <x:v>0</x:v>
      </x:c>
      <x:c r="I761" s="11" t="n">
        <x:f>E761*Rates!$B$4+F761*Rates!$B$5+G761*Rates!$B$6+H761*Rates!$B$7</x:f>
        <x:v>0.0026000000000000003</x:v>
      </x:c>
    </x:row>
    <x:row r="762" ht="24" customHeight="1">
      <x:c r="A762" s="10" t="str">
        <x:v>S07-07</x:v>
      </x:c>
      <x:c r="B762" s="10" t="str">
        <x:v>A</x:v>
      </x:c>
      <x:c r="C762" s="10" t="str">
        <x:v>speech_output</x:v>
      </x:c>
      <x:c r="D762" s="10" t="str">
        <x:v>retained</x:v>
      </x:c>
      <x:c r="E762" s="13" t="n">
        <x:v>134</x:v>
      </x:c>
      <x:c r="F762" s="13" t="n">
        <x:v>0</x:v>
      </x:c>
      <x:c r="G762" s="10" t="n">
        <x:v>0</x:v>
      </x:c>
      <x:c r="H762" s="10" t="n">
        <x:v>3.018</x:v>
      </x:c>
      <x:c r="I762" s="11" t="n">
        <x:f>E762*Rates!$B$4+F762*Rates!$B$5+G762*Rates!$B$6+H762*Rates!$B$7</x:f>
        <x:v>0.00617</x:v>
      </x:c>
    </x:row>
    <x:row r="763" ht="24" customHeight="1">
      <x:c r="A763" s="10" t="str">
        <x:v>S07-07</x:v>
      </x:c>
      <x:c r="B763" s="10" t="str">
        <x:v>A</x:v>
      </x:c>
      <x:c r="C763" s="10" t="str">
        <x:v>speech_output</x:v>
      </x:c>
      <x:c r="D763" s="10" t="str">
        <x:v>retained</x:v>
      </x:c>
      <x:c r="E763" s="13" t="n">
        <x:v>156</x:v>
      </x:c>
      <x:c r="F763" s="13" t="n">
        <x:v>0</x:v>
      </x:c>
      <x:c r="G763" s="10" t="n">
        <x:v>0</x:v>
      </x:c>
      <x:c r="H763" s="10" t="n">
        <x:v>4.018</x:v>
      </x:c>
      <x:c r="I763" s="11" t="n">
        <x:f>E763*Rates!$B$4+F763*Rates!$B$5+G763*Rates!$B$6+H763*Rates!$B$7</x:f>
        <x:v>0.008192</x:v>
      </x:c>
    </x:row>
    <x:row r="764" ht="24" customHeight="1">
      <x:c r="A764" s="10" t="str">
        <x:v>S07-07</x:v>
      </x:c>
      <x:c r="B764" s="10" t="str">
        <x:v>A</x:v>
      </x:c>
      <x:c r="C764" s="10" t="str">
        <x:v>speech_output</x:v>
      </x:c>
      <x:c r="D764" s="10" t="str">
        <x:v>retained</x:v>
      </x:c>
      <x:c r="E764" s="13" t="n">
        <x:v>180</x:v>
      </x:c>
      <x:c r="F764" s="13" t="n">
        <x:v>0</x:v>
      </x:c>
      <x:c r="G764" s="10" t="n">
        <x:v>0</x:v>
      </x:c>
      <x:c r="H764" s="10" t="n">
        <x:v>7.018</x:v>
      </x:c>
      <x:c r="I764" s="11" t="n">
        <x:f>E764*Rates!$B$4+F764*Rates!$B$5+G764*Rates!$B$6+H764*Rates!$B$7</x:f>
        <x:v>0.014216</x:v>
      </x:c>
    </x:row>
    <x:row r="765" ht="24" customHeight="1">
      <x:c r="A765" s="10" t="str">
        <x:v>S07-07</x:v>
      </x:c>
      <x:c r="B765" s="10" t="str">
        <x:v>B</x:v>
      </x:c>
      <x:c r="C765" s="10" t="str">
        <x:v>semantic</x:v>
      </x:c>
      <x:c r="D765" s="10" t="str">
        <x:v>setup</x:v>
      </x:c>
      <x:c r="E765" s="13" t="n">
        <x:v>600</x:v>
      </x:c>
      <x:c r="F765" s="13" t="n">
        <x:v>16</x:v>
      </x:c>
      <x:c r="G765" s="10" t="n">
        <x:v>0</x:v>
      </x:c>
      <x:c r="H765" s="10" t="n">
        <x:v>0</x:v>
      </x:c>
      <x:c r="I765" s="11" t="n">
        <x:f>E765*Rates!$B$4+F765*Rates!$B$5+G765*Rates!$B$6+H765*Rates!$B$7</x:f>
        <x:v>0.000664</x:v>
      </x:c>
    </x:row>
    <x:row r="766" ht="24" customHeight="1">
      <x:c r="A766" s="10" t="str">
        <x:v>S07-07</x:v>
      </x:c>
      <x:c r="B766" s="10" t="str">
        <x:v>B</x:v>
      </x:c>
      <x:c r="C766" s="10" t="str">
        <x:v>speech_input</x:v>
      </x:c>
      <x:c r="D766" s="10" t="str">
        <x:v>setup</x:v>
      </x:c>
      <x:c r="E766" s="13" t="n">
        <x:v>0</x:v>
      </x:c>
      <x:c r="F766" s="13" t="n">
        <x:v>0</x:v>
      </x:c>
      <x:c r="G766" s="10" t="n">
        <x:v>2</x:v>
      </x:c>
      <x:c r="H766" s="10" t="n">
        <x:v>0</x:v>
      </x:c>
      <x:c r="I766" s="11" t="n">
        <x:f>E766*Rates!$B$4+F766*Rates!$B$5+G766*Rates!$B$6+H766*Rates!$B$7</x:f>
        <x:v>0.002</x:v>
      </x:c>
    </x:row>
    <x:row r="767" ht="24" customHeight="1">
      <x:c r="A767" s="10" t="str">
        <x:v>S07-07</x:v>
      </x:c>
      <x:c r="B767" s="10" t="str">
        <x:v>B</x:v>
      </x:c>
      <x:c r="C767" s="10" t="str">
        <x:v>semantic</x:v>
      </x:c>
      <x:c r="D767" s="10" t="str">
        <x:v>evaluation</x:v>
      </x:c>
      <x:c r="E767" s="13" t="n">
        <x:v>740</x:v>
      </x:c>
      <x:c r="F767" s="13" t="n">
        <x:v>18</x:v>
      </x:c>
      <x:c r="G767" s="10" t="n">
        <x:v>0</x:v>
      </x:c>
      <x:c r="H767" s="10" t="n">
        <x:v>0</x:v>
      </x:c>
      <x:c r="I767" s="11" t="n">
        <x:f>E767*Rates!$B$4+F767*Rates!$B$5+G767*Rates!$B$6+H767*Rates!$B$7</x:f>
        <x:v>0.000812</x:v>
      </x:c>
    </x:row>
    <x:row r="768" ht="24" customHeight="1">
      <x:c r="A768" s="10" t="str">
        <x:v>S07-07</x:v>
      </x:c>
      <x:c r="B768" s="10" t="str">
        <x:v>B</x:v>
      </x:c>
      <x:c r="C768" s="10" t="str">
        <x:v>speech_input</x:v>
      </x:c>
      <x:c r="D768" s="10" t="str">
        <x:v>evaluation</x:v>
      </x:c>
      <x:c r="E768" s="13" t="n">
        <x:v>0</x:v>
      </x:c>
      <x:c r="F768" s="13" t="n">
        <x:v>0</x:v>
      </x:c>
      <x:c r="G768" s="10" t="n">
        <x:v>2.6</x:v>
      </x:c>
      <x:c r="H768" s="10" t="n">
        <x:v>0</x:v>
      </x:c>
      <x:c r="I768" s="11" t="n">
        <x:f>E768*Rates!$B$4+F768*Rates!$B$5+G768*Rates!$B$6+H768*Rates!$B$7</x:f>
        <x:v>0.0026000000000000003</x:v>
      </x:c>
    </x:row>
    <x:row r="769" ht="24" customHeight="1">
      <x:c r="A769" s="10" t="str">
        <x:v>S07-07</x:v>
      </x:c>
      <x:c r="B769" s="10" t="str">
        <x:v>B</x:v>
      </x:c>
      <x:c r="C769" s="10" t="str">
        <x:v>speech_output</x:v>
      </x:c>
      <x:c r="D769" s="10" t="str">
        <x:v>retained</x:v>
      </x:c>
      <x:c r="E769" s="13" t="n">
        <x:v>134</x:v>
      </x:c>
      <x:c r="F769" s="13" t="n">
        <x:v>0</x:v>
      </x:c>
      <x:c r="G769" s="10" t="n">
        <x:v>0</x:v>
      </x:c>
      <x:c r="H769" s="10" t="n">
        <x:v>3.018</x:v>
      </x:c>
      <x:c r="I769" s="11" t="n">
        <x:f>E769*Rates!$B$4+F769*Rates!$B$5+G769*Rates!$B$6+H769*Rates!$B$7</x:f>
        <x:v>0.00617</x:v>
      </x:c>
    </x:row>
    <x:row r="770" ht="24" customHeight="1">
      <x:c r="A770" s="10" t="str">
        <x:v>S07-07</x:v>
      </x:c>
      <x:c r="B770" s="10" t="str">
        <x:v>B</x:v>
      </x:c>
      <x:c r="C770" s="10" t="str">
        <x:v>speech_output</x:v>
      </x:c>
      <x:c r="D770" s="10" t="str">
        <x:v>retained</x:v>
      </x:c>
      <x:c r="E770" s="13" t="n">
        <x:v>156</x:v>
      </x:c>
      <x:c r="F770" s="13" t="n">
        <x:v>0</x:v>
      </x:c>
      <x:c r="G770" s="10" t="n">
        <x:v>0</x:v>
      </x:c>
      <x:c r="H770" s="10" t="n">
        <x:v>4.018</x:v>
      </x:c>
      <x:c r="I770" s="11" t="n">
        <x:f>E770*Rates!$B$4+F770*Rates!$B$5+G770*Rates!$B$6+H770*Rates!$B$7</x:f>
        <x:v>0.008192</x:v>
      </x:c>
    </x:row>
    <x:row r="771" ht="24" customHeight="1">
      <x:c r="A771" s="10" t="str">
        <x:v>S07-07</x:v>
      </x:c>
      <x:c r="B771" s="10" t="str">
        <x:v>B</x:v>
      </x:c>
      <x:c r="C771" s="10" t="str">
        <x:v>speech_output</x:v>
      </x:c>
      <x:c r="D771" s="10" t="str">
        <x:v>retained</x:v>
      </x:c>
      <x:c r="E771" s="13" t="n">
        <x:v>180</x:v>
      </x:c>
      <x:c r="F771" s="13" t="n">
        <x:v>0</x:v>
      </x:c>
      <x:c r="G771" s="10" t="n">
        <x:v>0</x:v>
      </x:c>
      <x:c r="H771" s="10" t="n">
        <x:v>7.018</x:v>
      </x:c>
      <x:c r="I771" s="11" t="n">
        <x:f>E771*Rates!$B$4+F771*Rates!$B$5+G771*Rates!$B$6+H771*Rates!$B$7</x:f>
        <x:v>0.014216</x:v>
      </x:c>
    </x:row>
    <x:row r="772" ht="24" customHeight="1">
      <x:c r="A772" s="10" t="str">
        <x:v>S07-08</x:v>
      </x:c>
      <x:c r="B772" s="10" t="str">
        <x:v>A</x:v>
      </x:c>
      <x:c r="C772" s="10" t="str">
        <x:v>semantic</x:v>
      </x:c>
      <x:c r="D772" s="10" t="str">
        <x:v>setup</x:v>
      </x:c>
      <x:c r="E772" s="13" t="n">
        <x:v>600</x:v>
      </x:c>
      <x:c r="F772" s="13" t="n">
        <x:v>16</x:v>
      </x:c>
      <x:c r="G772" s="10" t="n">
        <x:v>0</x:v>
      </x:c>
      <x:c r="H772" s="10" t="n">
        <x:v>0</x:v>
      </x:c>
      <x:c r="I772" s="11" t="n">
        <x:f>E772*Rates!$B$4+F772*Rates!$B$5+G772*Rates!$B$6+H772*Rates!$B$7</x:f>
        <x:v>0.000664</x:v>
      </x:c>
    </x:row>
    <x:row r="773" ht="24" customHeight="1">
      <x:c r="A773" s="10" t="str">
        <x:v>S07-08</x:v>
      </x:c>
      <x:c r="B773" s="10" t="str">
        <x:v>A</x:v>
      </x:c>
      <x:c r="C773" s="10" t="str">
        <x:v>speech_input</x:v>
      </x:c>
      <x:c r="D773" s="10" t="str">
        <x:v>setup</x:v>
      </x:c>
      <x:c r="E773" s="13" t="n">
        <x:v>0</x:v>
      </x:c>
      <x:c r="F773" s="13" t="n">
        <x:v>0</x:v>
      </x:c>
      <x:c r="G773" s="10" t="n">
        <x:v>2</x:v>
      </x:c>
      <x:c r="H773" s="10" t="n">
        <x:v>0</x:v>
      </x:c>
      <x:c r="I773" s="11" t="n">
        <x:f>E773*Rates!$B$4+F773*Rates!$B$5+G773*Rates!$B$6+H773*Rates!$B$7</x:f>
        <x:v>0.002</x:v>
      </x:c>
    </x:row>
    <x:row r="774" ht="24" customHeight="1">
      <x:c r="A774" s="10" t="str">
        <x:v>S07-08</x:v>
      </x:c>
      <x:c r="B774" s="10" t="str">
        <x:v>A</x:v>
      </x:c>
      <x:c r="C774" s="10" t="str">
        <x:v>semantic</x:v>
      </x:c>
      <x:c r="D774" s="10" t="str">
        <x:v>evaluation</x:v>
      </x:c>
      <x:c r="E774" s="13" t="n">
        <x:v>760</x:v>
      </x:c>
      <x:c r="F774" s="13" t="n">
        <x:v>20</x:v>
      </x:c>
      <x:c r="G774" s="10" t="n">
        <x:v>0</x:v>
      </x:c>
      <x:c r="H774" s="10" t="n">
        <x:v>0</x:v>
      </x:c>
      <x:c r="I774" s="11" t="n">
        <x:f>E774*Rates!$B$4+F774*Rates!$B$5+G774*Rates!$B$6+H774*Rates!$B$7</x:f>
        <x:v>0.0008399999999999999</x:v>
      </x:c>
    </x:row>
    <x:row r="775" ht="24" customHeight="1">
      <x:c r="A775" s="10" t="str">
        <x:v>S07-08</x:v>
      </x:c>
      <x:c r="B775" s="10" t="str">
        <x:v>A</x:v>
      </x:c>
      <x:c r="C775" s="10" t="str">
        <x:v>speech_input</x:v>
      </x:c>
      <x:c r="D775" s="10" t="str">
        <x:v>evaluation</x:v>
      </x:c>
      <x:c r="E775" s="13" t="n">
        <x:v>0</x:v>
      </x:c>
      <x:c r="F775" s="13" t="n">
        <x:v>0</x:v>
      </x:c>
      <x:c r="G775" s="10" t="n">
        <x:v>2.6</x:v>
      </x:c>
      <x:c r="H775" s="10" t="n">
        <x:v>0</x:v>
      </x:c>
      <x:c r="I775" s="11" t="n">
        <x:f>E775*Rates!$B$4+F775*Rates!$B$5+G775*Rates!$B$6+H775*Rates!$B$7</x:f>
        <x:v>0.0026000000000000003</x:v>
      </x:c>
    </x:row>
    <x:row r="776" ht="24" customHeight="1">
      <x:c r="A776" s="10" t="str">
        <x:v>S07-08</x:v>
      </x:c>
      <x:c r="B776" s="10" t="str">
        <x:v>A</x:v>
      </x:c>
      <x:c r="C776" s="10" t="str">
        <x:v>speech_output</x:v>
      </x:c>
      <x:c r="D776" s="10" t="str">
        <x:v>retained</x:v>
      </x:c>
      <x:c r="E776" s="13" t="n">
        <x:v>134</x:v>
      </x:c>
      <x:c r="F776" s="13" t="n">
        <x:v>0</x:v>
      </x:c>
      <x:c r="G776" s="10" t="n">
        <x:v>0</x:v>
      </x:c>
      <x:c r="H776" s="10" t="n">
        <x:v>3.03</x:v>
      </x:c>
      <x:c r="I776" s="11" t="n">
        <x:f>E776*Rates!$B$4+F776*Rates!$B$5+G776*Rates!$B$6+H776*Rates!$B$7</x:f>
        <x:v>0.006194</x:v>
      </x:c>
    </x:row>
    <x:row r="777" ht="24" customHeight="1">
      <x:c r="A777" s="10" t="str">
        <x:v>S07-08</x:v>
      </x:c>
      <x:c r="B777" s="10" t="str">
        <x:v>A</x:v>
      </x:c>
      <x:c r="C777" s="10" t="str">
        <x:v>speech_output</x:v>
      </x:c>
      <x:c r="D777" s="10" t="str">
        <x:v>retained</x:v>
      </x:c>
      <x:c r="E777" s="13" t="n">
        <x:v>156</x:v>
      </x:c>
      <x:c r="F777" s="13" t="n">
        <x:v>0</x:v>
      </x:c>
      <x:c r="G777" s="10" t="n">
        <x:v>0</x:v>
      </x:c>
      <x:c r="H777" s="10" t="n">
        <x:v>4.03</x:v>
      </x:c>
      <x:c r="I777" s="11" t="n">
        <x:f>E777*Rates!$B$4+F777*Rates!$B$5+G777*Rates!$B$6+H777*Rates!$B$7</x:f>
        <x:v>0.008216000000000001</x:v>
      </x:c>
    </x:row>
    <x:row r="778" ht="24" customHeight="1">
      <x:c r="A778" s="10" t="str">
        <x:v>S07-08</x:v>
      </x:c>
      <x:c r="B778" s="10" t="str">
        <x:v>A</x:v>
      </x:c>
      <x:c r="C778" s="10" t="str">
        <x:v>speech_output</x:v>
      </x:c>
      <x:c r="D778" s="10" t="str">
        <x:v>retained</x:v>
      </x:c>
      <x:c r="E778" s="13" t="n">
        <x:v>180</x:v>
      </x:c>
      <x:c r="F778" s="13" t="n">
        <x:v>0</x:v>
      </x:c>
      <x:c r="G778" s="10" t="n">
        <x:v>0</x:v>
      </x:c>
      <x:c r="H778" s="10" t="n">
        <x:v>7.03</x:v>
      </x:c>
      <x:c r="I778" s="11" t="n">
        <x:f>E778*Rates!$B$4+F778*Rates!$B$5+G778*Rates!$B$6+H778*Rates!$B$7</x:f>
        <x:v>0.014240000000000001</x:v>
      </x:c>
    </x:row>
    <x:row r="779" ht="24" customHeight="1">
      <x:c r="A779" s="10" t="str">
        <x:v>S07-08</x:v>
      </x:c>
      <x:c r="B779" s="10" t="str">
        <x:v>B</x:v>
      </x:c>
      <x:c r="C779" s="10" t="str">
        <x:v>semantic</x:v>
      </x:c>
      <x:c r="D779" s="10" t="str">
        <x:v>setup</x:v>
      </x:c>
      <x:c r="E779" s="13" t="n">
        <x:v>600</x:v>
      </x:c>
      <x:c r="F779" s="13" t="n">
        <x:v>16</x:v>
      </x:c>
      <x:c r="G779" s="10" t="n">
        <x:v>0</x:v>
      </x:c>
      <x:c r="H779" s="10" t="n">
        <x:v>0</x:v>
      </x:c>
      <x:c r="I779" s="11" t="n">
        <x:f>E779*Rates!$B$4+F779*Rates!$B$5+G779*Rates!$B$6+H779*Rates!$B$7</x:f>
        <x:v>0.000664</x:v>
      </x:c>
    </x:row>
    <x:row r="780" ht="24" customHeight="1">
      <x:c r="A780" s="10" t="str">
        <x:v>S07-08</x:v>
      </x:c>
      <x:c r="B780" s="10" t="str">
        <x:v>B</x:v>
      </x:c>
      <x:c r="C780" s="10" t="str">
        <x:v>speech_input</x:v>
      </x:c>
      <x:c r="D780" s="10" t="str">
        <x:v>setup</x:v>
      </x:c>
      <x:c r="E780" s="13" t="n">
        <x:v>0</x:v>
      </x:c>
      <x:c r="F780" s="13" t="n">
        <x:v>0</x:v>
      </x:c>
      <x:c r="G780" s="10" t="n">
        <x:v>2</x:v>
      </x:c>
      <x:c r="H780" s="10" t="n">
        <x:v>0</x:v>
      </x:c>
      <x:c r="I780" s="11" t="n">
        <x:f>E780*Rates!$B$4+F780*Rates!$B$5+G780*Rates!$B$6+H780*Rates!$B$7</x:f>
        <x:v>0.002</x:v>
      </x:c>
    </x:row>
    <x:row r="781" ht="24" customHeight="1">
      <x:c r="A781" s="10" t="str">
        <x:v>S07-08</x:v>
      </x:c>
      <x:c r="B781" s="10" t="str">
        <x:v>B</x:v>
      </x:c>
      <x:c r="C781" s="10" t="str">
        <x:v>semantic</x:v>
      </x:c>
      <x:c r="D781" s="10" t="str">
        <x:v>evaluation</x:v>
      </x:c>
      <x:c r="E781" s="13" t="n">
        <x:v>760</x:v>
      </x:c>
      <x:c r="F781" s="13" t="n">
        <x:v>20</x:v>
      </x:c>
      <x:c r="G781" s="10" t="n">
        <x:v>0</x:v>
      </x:c>
      <x:c r="H781" s="10" t="n">
        <x:v>0</x:v>
      </x:c>
      <x:c r="I781" s="11" t="n">
        <x:f>E781*Rates!$B$4+F781*Rates!$B$5+G781*Rates!$B$6+H781*Rates!$B$7</x:f>
        <x:v>0.0008399999999999999</x:v>
      </x:c>
    </x:row>
    <x:row r="782" ht="24" customHeight="1">
      <x:c r="A782" s="10" t="str">
        <x:v>S07-08</x:v>
      </x:c>
      <x:c r="B782" s="10" t="str">
        <x:v>B</x:v>
      </x:c>
      <x:c r="C782" s="10" t="str">
        <x:v>speech_input</x:v>
      </x:c>
      <x:c r="D782" s="10" t="str">
        <x:v>evaluation</x:v>
      </x:c>
      <x:c r="E782" s="13" t="n">
        <x:v>0</x:v>
      </x:c>
      <x:c r="F782" s="13" t="n">
        <x:v>0</x:v>
      </x:c>
      <x:c r="G782" s="10" t="n">
        <x:v>2.6</x:v>
      </x:c>
      <x:c r="H782" s="10" t="n">
        <x:v>0</x:v>
      </x:c>
      <x:c r="I782" s="11" t="n">
        <x:f>E782*Rates!$B$4+F782*Rates!$B$5+G782*Rates!$B$6+H782*Rates!$B$7</x:f>
        <x:v>0.0026000000000000003</x:v>
      </x:c>
    </x:row>
    <x:row r="783" ht="24" customHeight="1">
      <x:c r="A783" s="10" t="str">
        <x:v>S07-08</x:v>
      </x:c>
      <x:c r="B783" s="10" t="str">
        <x:v>B</x:v>
      </x:c>
      <x:c r="C783" s="10" t="str">
        <x:v>speech_output</x:v>
      </x:c>
      <x:c r="D783" s="10" t="str">
        <x:v>retained</x:v>
      </x:c>
      <x:c r="E783" s="13" t="n">
        <x:v>134</x:v>
      </x:c>
      <x:c r="F783" s="13" t="n">
        <x:v>0</x:v>
      </x:c>
      <x:c r="G783" s="10" t="n">
        <x:v>0</x:v>
      </x:c>
      <x:c r="H783" s="10" t="n">
        <x:v>3.03</x:v>
      </x:c>
      <x:c r="I783" s="11" t="n">
        <x:f>E783*Rates!$B$4+F783*Rates!$B$5+G783*Rates!$B$6+H783*Rates!$B$7</x:f>
        <x:v>0.006194</x:v>
      </x:c>
    </x:row>
    <x:row r="784" ht="24" customHeight="1">
      <x:c r="A784" s="10" t="str">
        <x:v>S07-08</x:v>
      </x:c>
      <x:c r="B784" s="10" t="str">
        <x:v>B</x:v>
      </x:c>
      <x:c r="C784" s="10" t="str">
        <x:v>speech_output</x:v>
      </x:c>
      <x:c r="D784" s="10" t="str">
        <x:v>retained</x:v>
      </x:c>
      <x:c r="E784" s="13" t="n">
        <x:v>156</x:v>
      </x:c>
      <x:c r="F784" s="13" t="n">
        <x:v>0</x:v>
      </x:c>
      <x:c r="G784" s="10" t="n">
        <x:v>0</x:v>
      </x:c>
      <x:c r="H784" s="10" t="n">
        <x:v>4.03</x:v>
      </x:c>
      <x:c r="I784" s="11" t="n">
        <x:f>E784*Rates!$B$4+F784*Rates!$B$5+G784*Rates!$B$6+H784*Rates!$B$7</x:f>
        <x:v>0.008216000000000001</x:v>
      </x:c>
    </x:row>
    <x:row r="785" ht="24" customHeight="1">
      <x:c r="A785" s="10" t="str">
        <x:v>S07-08</x:v>
      </x:c>
      <x:c r="B785" s="10" t="str">
        <x:v>B</x:v>
      </x:c>
      <x:c r="C785" s="10" t="str">
        <x:v>speech_output</x:v>
      </x:c>
      <x:c r="D785" s="10" t="str">
        <x:v>retained</x:v>
      </x:c>
      <x:c r="E785" s="13" t="n">
        <x:v>180</x:v>
      </x:c>
      <x:c r="F785" s="13" t="n">
        <x:v>0</x:v>
      </x:c>
      <x:c r="G785" s="10" t="n">
        <x:v>0</x:v>
      </x:c>
      <x:c r="H785" s="10" t="n">
        <x:v>7.03</x:v>
      </x:c>
      <x:c r="I785" s="11" t="n">
        <x:f>E785*Rates!$B$4+F785*Rates!$B$5+G785*Rates!$B$6+H785*Rates!$B$7</x:f>
        <x:v>0.014240000000000001</x:v>
      </x:c>
    </x:row>
    <x:row r="786" ht="24" customHeight="1">
      <x:c r="A786" s="10" t="str">
        <x:v>S07-09</x:v>
      </x:c>
      <x:c r="B786" s="10" t="str">
        <x:v>A</x:v>
      </x:c>
      <x:c r="C786" s="10" t="str">
        <x:v>semantic</x:v>
      </x:c>
      <x:c r="D786" s="10" t="str">
        <x:v>setup</x:v>
      </x:c>
      <x:c r="E786" s="13" t="n">
        <x:v>600</x:v>
      </x:c>
      <x:c r="F786" s="13" t="n">
        <x:v>16</x:v>
      </x:c>
      <x:c r="G786" s="10" t="n">
        <x:v>0</x:v>
      </x:c>
      <x:c r="H786" s="10" t="n">
        <x:v>0</x:v>
      </x:c>
      <x:c r="I786" s="11" t="n">
        <x:f>E786*Rates!$B$4+F786*Rates!$B$5+G786*Rates!$B$6+H786*Rates!$B$7</x:f>
        <x:v>0.000664</x:v>
      </x:c>
    </x:row>
    <x:row r="787" ht="24" customHeight="1">
      <x:c r="A787" s="10" t="str">
        <x:v>S07-09</x:v>
      </x:c>
      <x:c r="B787" s="10" t="str">
        <x:v>A</x:v>
      </x:c>
      <x:c r="C787" s="10" t="str">
        <x:v>speech_input</x:v>
      </x:c>
      <x:c r="D787" s="10" t="str">
        <x:v>setup</x:v>
      </x:c>
      <x:c r="E787" s="13" t="n">
        <x:v>0</x:v>
      </x:c>
      <x:c r="F787" s="13" t="n">
        <x:v>0</x:v>
      </x:c>
      <x:c r="G787" s="10" t="n">
        <x:v>2</x:v>
      </x:c>
      <x:c r="H787" s="10" t="n">
        <x:v>0</x:v>
      </x:c>
      <x:c r="I787" s="11" t="n">
        <x:f>E787*Rates!$B$4+F787*Rates!$B$5+G787*Rates!$B$6+H787*Rates!$B$7</x:f>
        <x:v>0.002</x:v>
      </x:c>
    </x:row>
    <x:row r="788" ht="24" customHeight="1">
      <x:c r="A788" s="10" t="str">
        <x:v>S07-09</x:v>
      </x:c>
      <x:c r="B788" s="10" t="str">
        <x:v>A</x:v>
      </x:c>
      <x:c r="C788" s="10" t="str">
        <x:v>semantic</x:v>
      </x:c>
      <x:c r="D788" s="10" t="str">
        <x:v>evaluation</x:v>
      </x:c>
      <x:c r="E788" s="13" t="n">
        <x:v>780</x:v>
      </x:c>
      <x:c r="F788" s="13" t="n">
        <x:v>16</x:v>
      </x:c>
      <x:c r="G788" s="10" t="n">
        <x:v>0</x:v>
      </x:c>
      <x:c r="H788" s="10" t="n">
        <x:v>0</x:v>
      </x:c>
      <x:c r="I788" s="11" t="n">
        <x:f>E788*Rates!$B$4+F788*Rates!$B$5+G788*Rates!$B$6+H788*Rates!$B$7</x:f>
        <x:v>0.000844</x:v>
      </x:c>
    </x:row>
    <x:row r="789" ht="24" customHeight="1">
      <x:c r="A789" s="10" t="str">
        <x:v>S07-09</x:v>
      </x:c>
      <x:c r="B789" s="10" t="str">
        <x:v>A</x:v>
      </x:c>
      <x:c r="C789" s="10" t="str">
        <x:v>speech_input</x:v>
      </x:c>
      <x:c r="D789" s="10" t="str">
        <x:v>evaluation</x:v>
      </x:c>
      <x:c r="E789" s="13" t="n">
        <x:v>0</x:v>
      </x:c>
      <x:c r="F789" s="13" t="n">
        <x:v>0</x:v>
      </x:c>
      <x:c r="G789" s="10" t="n">
        <x:v>2.6</x:v>
      </x:c>
      <x:c r="H789" s="10" t="n">
        <x:v>0</x:v>
      </x:c>
      <x:c r="I789" s="11" t="n">
        <x:f>E789*Rates!$B$4+F789*Rates!$B$5+G789*Rates!$B$6+H789*Rates!$B$7</x:f>
        <x:v>0.0026000000000000003</x:v>
      </x:c>
    </x:row>
    <x:row r="790" ht="24" customHeight="1">
      <x:c r="A790" s="10" t="str">
        <x:v>S07-09</x:v>
      </x:c>
      <x:c r="B790" s="10" t="str">
        <x:v>A</x:v>
      </x:c>
      <x:c r="C790" s="10" t="str">
        <x:v>speech_output</x:v>
      </x:c>
      <x:c r="D790" s="10" t="str">
        <x:v>retained</x:v>
      </x:c>
      <x:c r="E790" s="13" t="n">
        <x:v>134</x:v>
      </x:c>
      <x:c r="F790" s="13" t="n">
        <x:v>0</x:v>
      </x:c>
      <x:c r="G790" s="10" t="n">
        <x:v>0</x:v>
      </x:c>
      <x:c r="H790" s="10" t="n">
        <x:v>3.042</x:v>
      </x:c>
      <x:c r="I790" s="11" t="n">
        <x:f>E790*Rates!$B$4+F790*Rates!$B$5+G790*Rates!$B$6+H790*Rates!$B$7</x:f>
        <x:v>0.006218</x:v>
      </x:c>
    </x:row>
    <x:row r="791" ht="24" customHeight="1">
      <x:c r="A791" s="10" t="str">
        <x:v>S07-09</x:v>
      </x:c>
      <x:c r="B791" s="10" t="str">
        <x:v>A</x:v>
      </x:c>
      <x:c r="C791" s="10" t="str">
        <x:v>speech_output</x:v>
      </x:c>
      <x:c r="D791" s="10" t="str">
        <x:v>retained</x:v>
      </x:c>
      <x:c r="E791" s="13" t="n">
        <x:v>156</x:v>
      </x:c>
      <x:c r="F791" s="13" t="n">
        <x:v>0</x:v>
      </x:c>
      <x:c r="G791" s="10" t="n">
        <x:v>0</x:v>
      </x:c>
      <x:c r="H791" s="10" t="n">
        <x:v>4.042</x:v>
      </x:c>
      <x:c r="I791" s="11" t="n">
        <x:f>E791*Rates!$B$4+F791*Rates!$B$5+G791*Rates!$B$6+H791*Rates!$B$7</x:f>
        <x:v>0.008239999999999999</x:v>
      </x:c>
    </x:row>
    <x:row r="792" ht="24" customHeight="1">
      <x:c r="A792" s="10" t="str">
        <x:v>S07-09</x:v>
      </x:c>
      <x:c r="B792" s="10" t="str">
        <x:v>A</x:v>
      </x:c>
      <x:c r="C792" s="10" t="str">
        <x:v>speech_output</x:v>
      </x:c>
      <x:c r="D792" s="10" t="str">
        <x:v>retained</x:v>
      </x:c>
      <x:c r="E792" s="13" t="n">
        <x:v>180</x:v>
      </x:c>
      <x:c r="F792" s="13" t="n">
        <x:v>0</x:v>
      </x:c>
      <x:c r="G792" s="10" t="n">
        <x:v>0</x:v>
      </x:c>
      <x:c r="H792" s="10" t="n">
        <x:v>7.042</x:v>
      </x:c>
      <x:c r="I792" s="11" t="n">
        <x:f>E792*Rates!$B$4+F792*Rates!$B$5+G792*Rates!$B$6+H792*Rates!$B$7</x:f>
        <x:v>0.014263999999999999</x:v>
      </x:c>
    </x:row>
    <x:row r="793" ht="24" customHeight="1">
      <x:c r="A793" s="10" t="str">
        <x:v>S07-09</x:v>
      </x:c>
      <x:c r="B793" s="10" t="str">
        <x:v>B</x:v>
      </x:c>
      <x:c r="C793" s="10" t="str">
        <x:v>semantic</x:v>
      </x:c>
      <x:c r="D793" s="10" t="str">
        <x:v>setup</x:v>
      </x:c>
      <x:c r="E793" s="13" t="n">
        <x:v>600</x:v>
      </x:c>
      <x:c r="F793" s="13" t="n">
        <x:v>16</x:v>
      </x:c>
      <x:c r="G793" s="10" t="n">
        <x:v>0</x:v>
      </x:c>
      <x:c r="H793" s="10" t="n">
        <x:v>0</x:v>
      </x:c>
      <x:c r="I793" s="11" t="n">
        <x:f>E793*Rates!$B$4+F793*Rates!$B$5+G793*Rates!$B$6+H793*Rates!$B$7</x:f>
        <x:v>0.000664</x:v>
      </x:c>
    </x:row>
    <x:row r="794" ht="24" customHeight="1">
      <x:c r="A794" s="10" t="str">
        <x:v>S07-09</x:v>
      </x:c>
      <x:c r="B794" s="10" t="str">
        <x:v>B</x:v>
      </x:c>
      <x:c r="C794" s="10" t="str">
        <x:v>speech_input</x:v>
      </x:c>
      <x:c r="D794" s="10" t="str">
        <x:v>setup</x:v>
      </x:c>
      <x:c r="E794" s="13" t="n">
        <x:v>0</x:v>
      </x:c>
      <x:c r="F794" s="13" t="n">
        <x:v>0</x:v>
      </x:c>
      <x:c r="G794" s="10" t="n">
        <x:v>2</x:v>
      </x:c>
      <x:c r="H794" s="10" t="n">
        <x:v>0</x:v>
      </x:c>
      <x:c r="I794" s="11" t="n">
        <x:f>E794*Rates!$B$4+F794*Rates!$B$5+G794*Rates!$B$6+H794*Rates!$B$7</x:f>
        <x:v>0.002</x:v>
      </x:c>
    </x:row>
    <x:row r="795" ht="24" customHeight="1">
      <x:c r="A795" s="10" t="str">
        <x:v>S07-09</x:v>
      </x:c>
      <x:c r="B795" s="10" t="str">
        <x:v>B</x:v>
      </x:c>
      <x:c r="C795" s="10" t="str">
        <x:v>semantic</x:v>
      </x:c>
      <x:c r="D795" s="10" t="str">
        <x:v>evaluation</x:v>
      </x:c>
      <x:c r="E795" s="13" t="n">
        <x:v>780</x:v>
      </x:c>
      <x:c r="F795" s="13" t="n">
        <x:v>16</x:v>
      </x:c>
      <x:c r="G795" s="10" t="n">
        <x:v>0</x:v>
      </x:c>
      <x:c r="H795" s="10" t="n">
        <x:v>0</x:v>
      </x:c>
      <x:c r="I795" s="11" t="n">
        <x:f>E795*Rates!$B$4+F795*Rates!$B$5+G795*Rates!$B$6+H795*Rates!$B$7</x:f>
        <x:v>0.000844</x:v>
      </x:c>
    </x:row>
    <x:row r="796" ht="24" customHeight="1">
      <x:c r="A796" s="10" t="str">
        <x:v>S07-09</x:v>
      </x:c>
      <x:c r="B796" s="10" t="str">
        <x:v>B</x:v>
      </x:c>
      <x:c r="C796" s="10" t="str">
        <x:v>speech_input</x:v>
      </x:c>
      <x:c r="D796" s="10" t="str">
        <x:v>evaluation</x:v>
      </x:c>
      <x:c r="E796" s="13" t="n">
        <x:v>0</x:v>
      </x:c>
      <x:c r="F796" s="13" t="n">
        <x:v>0</x:v>
      </x:c>
      <x:c r="G796" s="10" t="n">
        <x:v>2.6</x:v>
      </x:c>
      <x:c r="H796" s="10" t="n">
        <x:v>0</x:v>
      </x:c>
      <x:c r="I796" s="11" t="n">
        <x:f>E796*Rates!$B$4+F796*Rates!$B$5+G796*Rates!$B$6+H796*Rates!$B$7</x:f>
        <x:v>0.0026000000000000003</x:v>
      </x:c>
    </x:row>
    <x:row r="797" ht="24" customHeight="1">
      <x:c r="A797" s="10" t="str">
        <x:v>S07-09</x:v>
      </x:c>
      <x:c r="B797" s="10" t="str">
        <x:v>B</x:v>
      </x:c>
      <x:c r="C797" s="10" t="str">
        <x:v>speech_output</x:v>
      </x:c>
      <x:c r="D797" s="10" t="str">
        <x:v>retained</x:v>
      </x:c>
      <x:c r="E797" s="13" t="n">
        <x:v>134</x:v>
      </x:c>
      <x:c r="F797" s="13" t="n">
        <x:v>0</x:v>
      </x:c>
      <x:c r="G797" s="10" t="n">
        <x:v>0</x:v>
      </x:c>
      <x:c r="H797" s="10" t="n">
        <x:v>3.042</x:v>
      </x:c>
      <x:c r="I797" s="11" t="n">
        <x:f>E797*Rates!$B$4+F797*Rates!$B$5+G797*Rates!$B$6+H797*Rates!$B$7</x:f>
        <x:v>0.006218</x:v>
      </x:c>
    </x:row>
    <x:row r="798" ht="24" customHeight="1">
      <x:c r="A798" s="10" t="str">
        <x:v>S07-09</x:v>
      </x:c>
      <x:c r="B798" s="10" t="str">
        <x:v>B</x:v>
      </x:c>
      <x:c r="C798" s="10" t="str">
        <x:v>speech_output</x:v>
      </x:c>
      <x:c r="D798" s="10" t="str">
        <x:v>retained</x:v>
      </x:c>
      <x:c r="E798" s="13" t="n">
        <x:v>156</x:v>
      </x:c>
      <x:c r="F798" s="13" t="n">
        <x:v>0</x:v>
      </x:c>
      <x:c r="G798" s="10" t="n">
        <x:v>0</x:v>
      </x:c>
      <x:c r="H798" s="10" t="n">
        <x:v>4.042</x:v>
      </x:c>
      <x:c r="I798" s="11" t="n">
        <x:f>E798*Rates!$B$4+F798*Rates!$B$5+G798*Rates!$B$6+H798*Rates!$B$7</x:f>
        <x:v>0.008239999999999999</x:v>
      </x:c>
    </x:row>
    <x:row r="799" ht="24" customHeight="1">
      <x:c r="A799" s="10" t="str">
        <x:v>S07-09</x:v>
      </x:c>
      <x:c r="B799" s="10" t="str">
        <x:v>B</x:v>
      </x:c>
      <x:c r="C799" s="10" t="str">
        <x:v>speech_output</x:v>
      </x:c>
      <x:c r="D799" s="10" t="str">
        <x:v>retained</x:v>
      </x:c>
      <x:c r="E799" s="13" t="n">
        <x:v>180</x:v>
      </x:c>
      <x:c r="F799" s="13" t="n">
        <x:v>0</x:v>
      </x:c>
      <x:c r="G799" s="10" t="n">
        <x:v>0</x:v>
      </x:c>
      <x:c r="H799" s="10" t="n">
        <x:v>7.042</x:v>
      </x:c>
      <x:c r="I799" s="11" t="n">
        <x:f>E799*Rates!$B$4+F799*Rates!$B$5+G799*Rates!$B$6+H799*Rates!$B$7</x:f>
        <x:v>0.014263999999999999</x:v>
      </x:c>
    </x:row>
    <x:row r="800" ht="24" customHeight="1">
      <x:c r="A800" s="10" t="str">
        <x:v>S07-10</x:v>
      </x:c>
      <x:c r="B800" s="10" t="str">
        <x:v>A</x:v>
      </x:c>
      <x:c r="C800" s="10" t="str">
        <x:v>semantic</x:v>
      </x:c>
      <x:c r="D800" s="10" t="str">
        <x:v>setup</x:v>
      </x:c>
      <x:c r="E800" s="13" t="n">
        <x:v>600</x:v>
      </x:c>
      <x:c r="F800" s="13" t="n">
        <x:v>16</x:v>
      </x:c>
      <x:c r="G800" s="10" t="n">
        <x:v>0</x:v>
      </x:c>
      <x:c r="H800" s="10" t="n">
        <x:v>0</x:v>
      </x:c>
      <x:c r="I800" s="11" t="n">
        <x:f>E800*Rates!$B$4+F800*Rates!$B$5+G800*Rates!$B$6+H800*Rates!$B$7</x:f>
        <x:v>0.000664</x:v>
      </x:c>
    </x:row>
    <x:row r="801" ht="24" customHeight="1">
      <x:c r="A801" s="10" t="str">
        <x:v>S07-10</x:v>
      </x:c>
      <x:c r="B801" s="10" t="str">
        <x:v>A</x:v>
      </x:c>
      <x:c r="C801" s="10" t="str">
        <x:v>speech_input</x:v>
      </x:c>
      <x:c r="D801" s="10" t="str">
        <x:v>setup</x:v>
      </x:c>
      <x:c r="E801" s="13" t="n">
        <x:v>0</x:v>
      </x:c>
      <x:c r="F801" s="13" t="n">
        <x:v>0</x:v>
      </x:c>
      <x:c r="G801" s="10" t="n">
        <x:v>2</x:v>
      </x:c>
      <x:c r="H801" s="10" t="n">
        <x:v>0</x:v>
      </x:c>
      <x:c r="I801" s="11" t="n">
        <x:f>E801*Rates!$B$4+F801*Rates!$B$5+G801*Rates!$B$6+H801*Rates!$B$7</x:f>
        <x:v>0.002</x:v>
      </x:c>
    </x:row>
    <x:row r="802" ht="24" customHeight="1">
      <x:c r="A802" s="10" t="str">
        <x:v>S07-10</x:v>
      </x:c>
      <x:c r="B802" s="10" t="str">
        <x:v>A</x:v>
      </x:c>
      <x:c r="C802" s="10" t="str">
        <x:v>semantic</x:v>
      </x:c>
      <x:c r="D802" s="10" t="str">
        <x:v>evaluation</x:v>
      </x:c>
      <x:c r="E802" s="13" t="n">
        <x:v>800</x:v>
      </x:c>
      <x:c r="F802" s="13" t="n">
        <x:v>18</x:v>
      </x:c>
      <x:c r="G802" s="10" t="n">
        <x:v>0</x:v>
      </x:c>
      <x:c r="H802" s="10" t="n">
        <x:v>0</x:v>
      </x:c>
      <x:c r="I802" s="11" t="n">
        <x:f>E802*Rates!$B$4+F802*Rates!$B$5+G802*Rates!$B$6+H802*Rates!$B$7</x:f>
        <x:v>0.0008719999999999999</x:v>
      </x:c>
    </x:row>
    <x:row r="803" ht="24" customHeight="1">
      <x:c r="A803" s="10" t="str">
        <x:v>S07-10</x:v>
      </x:c>
      <x:c r="B803" s="10" t="str">
        <x:v>A</x:v>
      </x:c>
      <x:c r="C803" s="10" t="str">
        <x:v>speech_input</x:v>
      </x:c>
      <x:c r="D803" s="10" t="str">
        <x:v>evaluation</x:v>
      </x:c>
      <x:c r="E803" s="13" t="n">
        <x:v>0</x:v>
      </x:c>
      <x:c r="F803" s="13" t="n">
        <x:v>0</x:v>
      </x:c>
      <x:c r="G803" s="10" t="n">
        <x:v>2.6</x:v>
      </x:c>
      <x:c r="H803" s="10" t="n">
        <x:v>0</x:v>
      </x:c>
      <x:c r="I803" s="11" t="n">
        <x:f>E803*Rates!$B$4+F803*Rates!$B$5+G803*Rates!$B$6+H803*Rates!$B$7</x:f>
        <x:v>0.0026000000000000003</x:v>
      </x:c>
    </x:row>
    <x:row r="804" ht="24" customHeight="1">
      <x:c r="A804" s="10" t="str">
        <x:v>S07-10</x:v>
      </x:c>
      <x:c r="B804" s="10" t="str">
        <x:v>A</x:v>
      </x:c>
      <x:c r="C804" s="10" t="str">
        <x:v>speech_output</x:v>
      </x:c>
      <x:c r="D804" s="10" t="str">
        <x:v>retained</x:v>
      </x:c>
      <x:c r="E804" s="13" t="n">
        <x:v>134</x:v>
      </x:c>
      <x:c r="F804" s="13" t="n">
        <x:v>0</x:v>
      </x:c>
      <x:c r="G804" s="10" t="n">
        <x:v>0</x:v>
      </x:c>
      <x:c r="H804" s="10" t="n">
        <x:v>3.054</x:v>
      </x:c>
      <x:c r="I804" s="11" t="n">
        <x:f>E804*Rates!$B$4+F804*Rates!$B$5+G804*Rates!$B$6+H804*Rates!$B$7</x:f>
        <x:v>0.006241999999999999</x:v>
      </x:c>
    </x:row>
    <x:row r="805" ht="24" customHeight="1">
      <x:c r="A805" s="10" t="str">
        <x:v>S07-10</x:v>
      </x:c>
      <x:c r="B805" s="10" t="str">
        <x:v>A</x:v>
      </x:c>
      <x:c r="C805" s="10" t="str">
        <x:v>speech_output</x:v>
      </x:c>
      <x:c r="D805" s="10" t="str">
        <x:v>retained</x:v>
      </x:c>
      <x:c r="E805" s="13" t="n">
        <x:v>156</x:v>
      </x:c>
      <x:c r="F805" s="13" t="n">
        <x:v>0</x:v>
      </x:c>
      <x:c r="G805" s="10" t="n">
        <x:v>0</x:v>
      </x:c>
      <x:c r="H805" s="10" t="n">
        <x:v>4.054</x:v>
      </x:c>
      <x:c r="I805" s="11" t="n">
        <x:f>E805*Rates!$B$4+F805*Rates!$B$5+G805*Rates!$B$6+H805*Rates!$B$7</x:f>
        <x:v>0.008264</x:v>
      </x:c>
    </x:row>
    <x:row r="806" ht="24" customHeight="1">
      <x:c r="A806" s="10" t="str">
        <x:v>S07-10</x:v>
      </x:c>
      <x:c r="B806" s="10" t="str">
        <x:v>A</x:v>
      </x:c>
      <x:c r="C806" s="10" t="str">
        <x:v>speech_output</x:v>
      </x:c>
      <x:c r="D806" s="10" t="str">
        <x:v>retained</x:v>
      </x:c>
      <x:c r="E806" s="13" t="n">
        <x:v>180</x:v>
      </x:c>
      <x:c r="F806" s="13" t="n">
        <x:v>0</x:v>
      </x:c>
      <x:c r="G806" s="10" t="n">
        <x:v>0</x:v>
      </x:c>
      <x:c r="H806" s="10" t="n">
        <x:v>7.054</x:v>
      </x:c>
      <x:c r="I806" s="11" t="n">
        <x:f>E806*Rates!$B$4+F806*Rates!$B$5+G806*Rates!$B$6+H806*Rates!$B$7</x:f>
        <x:v>0.014288</x:v>
      </x:c>
    </x:row>
    <x:row r="807" ht="24" customHeight="1">
      <x:c r="A807" s="10" t="str">
        <x:v>S07-10</x:v>
      </x:c>
      <x:c r="B807" s="10" t="str">
        <x:v>B</x:v>
      </x:c>
      <x:c r="C807" s="10" t="str">
        <x:v>semantic</x:v>
      </x:c>
      <x:c r="D807" s="10" t="str">
        <x:v>setup</x:v>
      </x:c>
      <x:c r="E807" s="13" t="n">
        <x:v>600</x:v>
      </x:c>
      <x:c r="F807" s="13" t="n">
        <x:v>16</x:v>
      </x:c>
      <x:c r="G807" s="10" t="n">
        <x:v>0</x:v>
      </x:c>
      <x:c r="H807" s="10" t="n">
        <x:v>0</x:v>
      </x:c>
      <x:c r="I807" s="11" t="n">
        <x:f>E807*Rates!$B$4+F807*Rates!$B$5+G807*Rates!$B$6+H807*Rates!$B$7</x:f>
        <x:v>0.000664</x:v>
      </x:c>
    </x:row>
    <x:row r="808" ht="24" customHeight="1">
      <x:c r="A808" s="10" t="str">
        <x:v>S07-10</x:v>
      </x:c>
      <x:c r="B808" s="10" t="str">
        <x:v>B</x:v>
      </x:c>
      <x:c r="C808" s="10" t="str">
        <x:v>speech_input</x:v>
      </x:c>
      <x:c r="D808" s="10" t="str">
        <x:v>setup</x:v>
      </x:c>
      <x:c r="E808" s="13" t="n">
        <x:v>0</x:v>
      </x:c>
      <x:c r="F808" s="13" t="n">
        <x:v>0</x:v>
      </x:c>
      <x:c r="G808" s="10" t="n">
        <x:v>2</x:v>
      </x:c>
      <x:c r="H808" s="10" t="n">
        <x:v>0</x:v>
      </x:c>
      <x:c r="I808" s="11" t="n">
        <x:f>E808*Rates!$B$4+F808*Rates!$B$5+G808*Rates!$B$6+H808*Rates!$B$7</x:f>
        <x:v>0.002</x:v>
      </x:c>
    </x:row>
    <x:row r="809" ht="24" customHeight="1">
      <x:c r="A809" s="10" t="str">
        <x:v>S07-10</x:v>
      </x:c>
      <x:c r="B809" s="10" t="str">
        <x:v>B</x:v>
      </x:c>
      <x:c r="C809" s="10" t="str">
        <x:v>semantic</x:v>
      </x:c>
      <x:c r="D809" s="10" t="str">
        <x:v>evaluation</x:v>
      </x:c>
      <x:c r="E809" s="13" t="n">
        <x:v>800</x:v>
      </x:c>
      <x:c r="F809" s="13" t="n">
        <x:v>18</x:v>
      </x:c>
      <x:c r="G809" s="10" t="n">
        <x:v>0</x:v>
      </x:c>
      <x:c r="H809" s="10" t="n">
        <x:v>0</x:v>
      </x:c>
      <x:c r="I809" s="11" t="n">
        <x:f>E809*Rates!$B$4+F809*Rates!$B$5+G809*Rates!$B$6+H809*Rates!$B$7</x:f>
        <x:v>0.0008719999999999999</x:v>
      </x:c>
    </x:row>
    <x:row r="810" ht="24" customHeight="1">
      <x:c r="A810" s="10" t="str">
        <x:v>S07-10</x:v>
      </x:c>
      <x:c r="B810" s="10" t="str">
        <x:v>B</x:v>
      </x:c>
      <x:c r="C810" s="10" t="str">
        <x:v>speech_input</x:v>
      </x:c>
      <x:c r="D810" s="10" t="str">
        <x:v>evaluation</x:v>
      </x:c>
      <x:c r="E810" s="13" t="n">
        <x:v>0</x:v>
      </x:c>
      <x:c r="F810" s="13" t="n">
        <x:v>0</x:v>
      </x:c>
      <x:c r="G810" s="10" t="n">
        <x:v>2.6</x:v>
      </x:c>
      <x:c r="H810" s="10" t="n">
        <x:v>0</x:v>
      </x:c>
      <x:c r="I810" s="11" t="n">
        <x:f>E810*Rates!$B$4+F810*Rates!$B$5+G810*Rates!$B$6+H810*Rates!$B$7</x:f>
        <x:v>0.0026000000000000003</x:v>
      </x:c>
    </x:row>
    <x:row r="811" ht="24" customHeight="1">
      <x:c r="A811" s="10" t="str">
        <x:v>S07-10</x:v>
      </x:c>
      <x:c r="B811" s="10" t="str">
        <x:v>B</x:v>
      </x:c>
      <x:c r="C811" s="10" t="str">
        <x:v>speech_output</x:v>
      </x:c>
      <x:c r="D811" s="10" t="str">
        <x:v>retained</x:v>
      </x:c>
      <x:c r="E811" s="13" t="n">
        <x:v>134</x:v>
      </x:c>
      <x:c r="F811" s="13" t="n">
        <x:v>0</x:v>
      </x:c>
      <x:c r="G811" s="10" t="n">
        <x:v>0</x:v>
      </x:c>
      <x:c r="H811" s="10" t="n">
        <x:v>3.054</x:v>
      </x:c>
      <x:c r="I811" s="11" t="n">
        <x:f>E811*Rates!$B$4+F811*Rates!$B$5+G811*Rates!$B$6+H811*Rates!$B$7</x:f>
        <x:v>0.006241999999999999</x:v>
      </x:c>
    </x:row>
    <x:row r="812" ht="24" customHeight="1">
      <x:c r="A812" s="10" t="str">
        <x:v>S07-10</x:v>
      </x:c>
      <x:c r="B812" s="10" t="str">
        <x:v>B</x:v>
      </x:c>
      <x:c r="C812" s="10" t="str">
        <x:v>speech_output</x:v>
      </x:c>
      <x:c r="D812" s="10" t="str">
        <x:v>retained</x:v>
      </x:c>
      <x:c r="E812" s="13" t="n">
        <x:v>156</x:v>
      </x:c>
      <x:c r="F812" s="13" t="n">
        <x:v>0</x:v>
      </x:c>
      <x:c r="G812" s="10" t="n">
        <x:v>0</x:v>
      </x:c>
      <x:c r="H812" s="10" t="n">
        <x:v>4.054</x:v>
      </x:c>
      <x:c r="I812" s="11" t="n">
        <x:f>E812*Rates!$B$4+F812*Rates!$B$5+G812*Rates!$B$6+H812*Rates!$B$7</x:f>
        <x:v>0.008264</x:v>
      </x:c>
    </x:row>
    <x:row r="813" ht="24" customHeight="1">
      <x:c r="A813" s="10" t="str">
        <x:v>S07-10</x:v>
      </x:c>
      <x:c r="B813" s="10" t="str">
        <x:v>B</x:v>
      </x:c>
      <x:c r="C813" s="10" t="str">
        <x:v>speech_output</x:v>
      </x:c>
      <x:c r="D813" s="10" t="str">
        <x:v>retained</x:v>
      </x:c>
      <x:c r="E813" s="13" t="n">
        <x:v>180</x:v>
      </x:c>
      <x:c r="F813" s="13" t="n">
        <x:v>0</x:v>
      </x:c>
      <x:c r="G813" s="10" t="n">
        <x:v>0</x:v>
      </x:c>
      <x:c r="H813" s="10" t="n">
        <x:v>7.054</x:v>
      </x:c>
      <x:c r="I813" s="11" t="n">
        <x:f>E813*Rates!$B$4+F813*Rates!$B$5+G813*Rates!$B$6+H813*Rates!$B$7</x:f>
        <x:v>0.014288</x:v>
      </x:c>
    </x:row>
    <x:row r="814" ht="24" customHeight="1">
      <x:c r="A814" s="10" t="str">
        <x:v>S08-01</x:v>
      </x:c>
      <x:c r="B814" s="10" t="str">
        <x:v>A</x:v>
      </x:c>
      <x:c r="C814" s="10" t="str">
        <x:v>semantic</x:v>
      </x:c>
      <x:c r="D814" s="10" t="str">
        <x:v>setup</x:v>
      </x:c>
      <x:c r="E814" s="13" t="n">
        <x:v>600</x:v>
      </x:c>
      <x:c r="F814" s="13" t="n">
        <x:v>16</x:v>
      </x:c>
      <x:c r="G814" s="10" t="n">
        <x:v>0</x:v>
      </x:c>
      <x:c r="H814" s="10" t="n">
        <x:v>0</x:v>
      </x:c>
      <x:c r="I814" s="11" t="n">
        <x:f>E814*Rates!$B$4+F814*Rates!$B$5+G814*Rates!$B$6+H814*Rates!$B$7</x:f>
        <x:v>0.000664</x:v>
      </x:c>
    </x:row>
    <x:row r="815" ht="24" customHeight="1">
      <x:c r="A815" s="10" t="str">
        <x:v>S08-01</x:v>
      </x:c>
      <x:c r="B815" s="10" t="str">
        <x:v>A</x:v>
      </x:c>
      <x:c r="C815" s="10" t="str">
        <x:v>speech_input</x:v>
      </x:c>
      <x:c r="D815" s="10" t="str">
        <x:v>setup</x:v>
      </x:c>
      <x:c r="E815" s="13" t="n">
        <x:v>0</x:v>
      </x:c>
      <x:c r="F815" s="13" t="n">
        <x:v>0</x:v>
      </x:c>
      <x:c r="G815" s="10" t="n">
        <x:v>2</x:v>
      </x:c>
      <x:c r="H815" s="10" t="n">
        <x:v>0</x:v>
      </x:c>
      <x:c r="I815" s="11" t="n">
        <x:f>E815*Rates!$B$4+F815*Rates!$B$5+G815*Rates!$B$6+H815*Rates!$B$7</x:f>
        <x:v>0.002</x:v>
      </x:c>
    </x:row>
    <x:row r="816" ht="24" customHeight="1">
      <x:c r="A816" s="10" t="str">
        <x:v>S08-01</x:v>
      </x:c>
      <x:c r="B816" s="10" t="str">
        <x:v>A</x:v>
      </x:c>
      <x:c r="C816" s="10" t="str">
        <x:v>semantic</x:v>
      </x:c>
      <x:c r="D816" s="10" t="str">
        <x:v>evaluation</x:v>
      </x:c>
      <x:c r="E816" s="13" t="n">
        <x:v>620</x:v>
      </x:c>
      <x:c r="F816" s="13" t="n">
        <x:v>18</x:v>
      </x:c>
      <x:c r="G816" s="10" t="n">
        <x:v>0</x:v>
      </x:c>
      <x:c r="H816" s="10" t="n">
        <x:v>0</x:v>
      </x:c>
      <x:c r="I816" s="11" t="n">
        <x:f>E816*Rates!$B$4+F816*Rates!$B$5+G816*Rates!$B$6+H816*Rates!$B$7</x:f>
        <x:v>0.000692</x:v>
      </x:c>
    </x:row>
    <x:row r="817" ht="24" customHeight="1">
      <x:c r="A817" s="10" t="str">
        <x:v>S08-01</x:v>
      </x:c>
      <x:c r="B817" s="10" t="str">
        <x:v>A</x:v>
      </x:c>
      <x:c r="C817" s="10" t="str">
        <x:v>speech_input</x:v>
      </x:c>
      <x:c r="D817" s="10" t="str">
        <x:v>evaluation</x:v>
      </x:c>
      <x:c r="E817" s="13" t="n">
        <x:v>0</x:v>
      </x:c>
      <x:c r="F817" s="13" t="n">
        <x:v>0</x:v>
      </x:c>
      <x:c r="G817" s="10" t="n">
        <x:v>2</x:v>
      </x:c>
      <x:c r="H817" s="10" t="n">
        <x:v>0</x:v>
      </x:c>
      <x:c r="I817" s="11" t="n">
        <x:f>E817*Rates!$B$4+F817*Rates!$B$5+G817*Rates!$B$6+H817*Rates!$B$7</x:f>
        <x:v>0.002</x:v>
      </x:c>
    </x:row>
    <x:row r="818" ht="24" customHeight="1">
      <x:c r="A818" s="10" t="str">
        <x:v>S08-01</x:v>
      </x:c>
      <x:c r="B818" s="10" t="str">
        <x:v>A</x:v>
      </x:c>
      <x:c r="C818" s="10" t="str">
        <x:v>speech_output</x:v>
      </x:c>
      <x:c r="D818" s="10" t="str">
        <x:v>retained</x:v>
      </x:c>
      <x:c r="E818" s="13" t="n">
        <x:v>126</x:v>
      </x:c>
      <x:c r="F818" s="13" t="n">
        <x:v>0</x:v>
      </x:c>
      <x:c r="G818" s="10" t="n">
        <x:v>0</x:v>
      </x:c>
      <x:c r="H818" s="10" t="n">
        <x:v>2.746</x:v>
      </x:c>
      <x:c r="I818" s="11" t="n">
        <x:f>E818*Rates!$B$4+F818*Rates!$B$5+G818*Rates!$B$6+H818*Rates!$B$7</x:f>
        <x:v>0.005618000000000001</x:v>
      </x:c>
    </x:row>
    <x:row r="819" ht="24" customHeight="1">
      <x:c r="A819" s="10" t="str">
        <x:v>S08-01</x:v>
      </x:c>
      <x:c r="B819" s="10" t="str">
        <x:v>B</x:v>
      </x:c>
      <x:c r="C819" s="10" t="str">
        <x:v>semantic</x:v>
      </x:c>
      <x:c r="D819" s="10" t="str">
        <x:v>setup</x:v>
      </x:c>
      <x:c r="E819" s="13" t="n">
        <x:v>600</x:v>
      </x:c>
      <x:c r="F819" s="13" t="n">
        <x:v>16</x:v>
      </x:c>
      <x:c r="G819" s="10" t="n">
        <x:v>0</x:v>
      </x:c>
      <x:c r="H819" s="10" t="n">
        <x:v>0</x:v>
      </x:c>
      <x:c r="I819" s="11" t="n">
        <x:f>E819*Rates!$B$4+F819*Rates!$B$5+G819*Rates!$B$6+H819*Rates!$B$7</x:f>
        <x:v>0.000664</x:v>
      </x:c>
    </x:row>
    <x:row r="820" ht="24" customHeight="1">
      <x:c r="A820" s="10" t="str">
        <x:v>S08-01</x:v>
      </x:c>
      <x:c r="B820" s="10" t="str">
        <x:v>B</x:v>
      </x:c>
      <x:c r="C820" s="10" t="str">
        <x:v>speech_input</x:v>
      </x:c>
      <x:c r="D820" s="10" t="str">
        <x:v>setup</x:v>
      </x:c>
      <x:c r="E820" s="13" t="n">
        <x:v>0</x:v>
      </x:c>
      <x:c r="F820" s="13" t="n">
        <x:v>0</x:v>
      </x:c>
      <x:c r="G820" s="10" t="n">
        <x:v>2</x:v>
      </x:c>
      <x:c r="H820" s="10" t="n">
        <x:v>0</x:v>
      </x:c>
      <x:c r="I820" s="11" t="n">
        <x:f>E820*Rates!$B$4+F820*Rates!$B$5+G820*Rates!$B$6+H820*Rates!$B$7</x:f>
        <x:v>0.002</x:v>
      </x:c>
    </x:row>
    <x:row r="821" ht="24" customHeight="1">
      <x:c r="A821" s="10" t="str">
        <x:v>S08-01</x:v>
      </x:c>
      <x:c r="B821" s="10" t="str">
        <x:v>B</x:v>
      </x:c>
      <x:c r="C821" s="10" t="str">
        <x:v>semantic</x:v>
      </x:c>
      <x:c r="D821" s="10" t="str">
        <x:v>evaluation</x:v>
      </x:c>
      <x:c r="E821" s="13" t="n">
        <x:v>620</x:v>
      </x:c>
      <x:c r="F821" s="13" t="n">
        <x:v>18</x:v>
      </x:c>
      <x:c r="G821" s="10" t="n">
        <x:v>0</x:v>
      </x:c>
      <x:c r="H821" s="10" t="n">
        <x:v>0</x:v>
      </x:c>
      <x:c r="I821" s="11" t="n">
        <x:f>E821*Rates!$B$4+F821*Rates!$B$5+G821*Rates!$B$6+H821*Rates!$B$7</x:f>
        <x:v>0.000692</x:v>
      </x:c>
    </x:row>
    <x:row r="822" ht="24" customHeight="1">
      <x:c r="A822" s="10" t="str">
        <x:v>S08-01</x:v>
      </x:c>
      <x:c r="B822" s="10" t="str">
        <x:v>B</x:v>
      </x:c>
      <x:c r="C822" s="10" t="str">
        <x:v>speech_input</x:v>
      </x:c>
      <x:c r="D822" s="10" t="str">
        <x:v>evaluation</x:v>
      </x:c>
      <x:c r="E822" s="13" t="n">
        <x:v>0</x:v>
      </x:c>
      <x:c r="F822" s="13" t="n">
        <x:v>0</x:v>
      </x:c>
      <x:c r="G822" s="10" t="n">
        <x:v>2</x:v>
      </x:c>
      <x:c r="H822" s="10" t="n">
        <x:v>0</x:v>
      </x:c>
      <x:c r="I822" s="11" t="n">
        <x:f>E822*Rates!$B$4+F822*Rates!$B$5+G822*Rates!$B$6+H822*Rates!$B$7</x:f>
        <x:v>0.002</x:v>
      </x:c>
    </x:row>
    <x:row r="823" ht="24" customHeight="1">
      <x:c r="A823" s="10" t="str">
        <x:v>S08-01</x:v>
      </x:c>
      <x:c r="B823" s="10" t="str">
        <x:v>B</x:v>
      </x:c>
      <x:c r="C823" s="10" t="str">
        <x:v>speech_output</x:v>
      </x:c>
      <x:c r="D823" s="10" t="str">
        <x:v>retained</x:v>
      </x:c>
      <x:c r="E823" s="13" t="n">
        <x:v>126</x:v>
      </x:c>
      <x:c r="F823" s="13" t="n">
        <x:v>0</x:v>
      </x:c>
      <x:c r="G823" s="10" t="n">
        <x:v>0</x:v>
      </x:c>
      <x:c r="H823" s="10" t="n">
        <x:v>2.746</x:v>
      </x:c>
      <x:c r="I823" s="11" t="n">
        <x:f>E823*Rates!$B$4+F823*Rates!$B$5+G823*Rates!$B$6+H823*Rates!$B$7</x:f>
        <x:v>0.005618000000000001</x:v>
      </x:c>
    </x:row>
    <x:row r="824" ht="24" customHeight="1">
      <x:c r="A824" s="10" t="str">
        <x:v>S08-02</x:v>
      </x:c>
      <x:c r="B824" s="10" t="str">
        <x:v>A</x:v>
      </x:c>
      <x:c r="C824" s="10" t="str">
        <x:v>semantic</x:v>
      </x:c>
      <x:c r="D824" s="10" t="str">
        <x:v>setup</x:v>
      </x:c>
      <x:c r="E824" s="13" t="n">
        <x:v>600</x:v>
      </x:c>
      <x:c r="F824" s="13" t="n">
        <x:v>16</x:v>
      </x:c>
      <x:c r="G824" s="10" t="n">
        <x:v>0</x:v>
      </x:c>
      <x:c r="H824" s="10" t="n">
        <x:v>0</x:v>
      </x:c>
      <x:c r="I824" s="11" t="n">
        <x:f>E824*Rates!$B$4+F824*Rates!$B$5+G824*Rates!$B$6+H824*Rates!$B$7</x:f>
        <x:v>0.000664</x:v>
      </x:c>
    </x:row>
    <x:row r="825" ht="24" customHeight="1">
      <x:c r="A825" s="10" t="str">
        <x:v>S08-02</x:v>
      </x:c>
      <x:c r="B825" s="10" t="str">
        <x:v>A</x:v>
      </x:c>
      <x:c r="C825" s="10" t="str">
        <x:v>speech_input</x:v>
      </x:c>
      <x:c r="D825" s="10" t="str">
        <x:v>setup</x:v>
      </x:c>
      <x:c r="E825" s="13" t="n">
        <x:v>0</x:v>
      </x:c>
      <x:c r="F825" s="13" t="n">
        <x:v>0</x:v>
      </x:c>
      <x:c r="G825" s="10" t="n">
        <x:v>2</x:v>
      </x:c>
      <x:c r="H825" s="10" t="n">
        <x:v>0</x:v>
      </x:c>
      <x:c r="I825" s="11" t="n">
        <x:f>E825*Rates!$B$4+F825*Rates!$B$5+G825*Rates!$B$6+H825*Rates!$B$7</x:f>
        <x:v>0.002</x:v>
      </x:c>
    </x:row>
    <x:row r="826" ht="24" customHeight="1">
      <x:c r="A826" s="10" t="str">
        <x:v>S08-02</x:v>
      </x:c>
      <x:c r="B826" s="10" t="str">
        <x:v>A</x:v>
      </x:c>
      <x:c r="C826" s="10" t="str">
        <x:v>semantic</x:v>
      </x:c>
      <x:c r="D826" s="10" t="str">
        <x:v>evaluation</x:v>
      </x:c>
      <x:c r="E826" s="13" t="n">
        <x:v>640</x:v>
      </x:c>
      <x:c r="F826" s="13" t="n">
        <x:v>20</x:v>
      </x:c>
      <x:c r="G826" s="10" t="n">
        <x:v>0</x:v>
      </x:c>
      <x:c r="H826" s="10" t="n">
        <x:v>0</x:v>
      </x:c>
      <x:c r="I826" s="11" t="n">
        <x:f>E826*Rates!$B$4+F826*Rates!$B$5+G826*Rates!$B$6+H826*Rates!$B$7</x:f>
        <x:v>0.0007199999999999999</x:v>
      </x:c>
    </x:row>
    <x:row r="827" ht="24" customHeight="1">
      <x:c r="A827" s="10" t="str">
        <x:v>S08-02</x:v>
      </x:c>
      <x:c r="B827" s="10" t="str">
        <x:v>A</x:v>
      </x:c>
      <x:c r="C827" s="10" t="str">
        <x:v>speech_input</x:v>
      </x:c>
      <x:c r="D827" s="10" t="str">
        <x:v>evaluation</x:v>
      </x:c>
      <x:c r="E827" s="13" t="n">
        <x:v>0</x:v>
      </x:c>
      <x:c r="F827" s="13" t="n">
        <x:v>0</x:v>
      </x:c>
      <x:c r="G827" s="10" t="n">
        <x:v>2</x:v>
      </x:c>
      <x:c r="H827" s="10" t="n">
        <x:v>0</x:v>
      </x:c>
      <x:c r="I827" s="11" t="n">
        <x:f>E827*Rates!$B$4+F827*Rates!$B$5+G827*Rates!$B$6+H827*Rates!$B$7</x:f>
        <x:v>0.002</x:v>
      </x:c>
    </x:row>
    <x:row r="828" ht="24" customHeight="1">
      <x:c r="A828" s="10" t="str">
        <x:v>S08-02</x:v>
      </x:c>
      <x:c r="B828" s="10" t="str">
        <x:v>A</x:v>
      </x:c>
      <x:c r="C828" s="10" t="str">
        <x:v>speech_output</x:v>
      </x:c>
      <x:c r="D828" s="10" t="str">
        <x:v>retained</x:v>
      </x:c>
      <x:c r="E828" s="13" t="n">
        <x:v>126</x:v>
      </x:c>
      <x:c r="F828" s="13" t="n">
        <x:v>0</x:v>
      </x:c>
      <x:c r="G828" s="10" t="n">
        <x:v>0</x:v>
      </x:c>
      <x:c r="H828" s="10" t="n">
        <x:v>2.758</x:v>
      </x:c>
      <x:c r="I828" s="11" t="n">
        <x:f>E828*Rates!$B$4+F828*Rates!$B$5+G828*Rates!$B$6+H828*Rates!$B$7</x:f>
        <x:v>0.005642</x:v>
      </x:c>
    </x:row>
    <x:row r="829" ht="24" customHeight="1">
      <x:c r="A829" s="10" t="str">
        <x:v>S08-02</x:v>
      </x:c>
      <x:c r="B829" s="10" t="str">
        <x:v>B</x:v>
      </x:c>
      <x:c r="C829" s="10" t="str">
        <x:v>semantic</x:v>
      </x:c>
      <x:c r="D829" s="10" t="str">
        <x:v>setup</x:v>
      </x:c>
      <x:c r="E829" s="13" t="n">
        <x:v>600</x:v>
      </x:c>
      <x:c r="F829" s="13" t="n">
        <x:v>16</x:v>
      </x:c>
      <x:c r="G829" s="10" t="n">
        <x:v>0</x:v>
      </x:c>
      <x:c r="H829" s="10" t="n">
        <x:v>0</x:v>
      </x:c>
      <x:c r="I829" s="11" t="n">
        <x:f>E829*Rates!$B$4+F829*Rates!$B$5+G829*Rates!$B$6+H829*Rates!$B$7</x:f>
        <x:v>0.000664</x:v>
      </x:c>
    </x:row>
    <x:row r="830" ht="24" customHeight="1">
      <x:c r="A830" s="10" t="str">
        <x:v>S08-02</x:v>
      </x:c>
      <x:c r="B830" s="10" t="str">
        <x:v>B</x:v>
      </x:c>
      <x:c r="C830" s="10" t="str">
        <x:v>speech_input</x:v>
      </x:c>
      <x:c r="D830" s="10" t="str">
        <x:v>setup</x:v>
      </x:c>
      <x:c r="E830" s="13" t="n">
        <x:v>0</x:v>
      </x:c>
      <x:c r="F830" s="13" t="n">
        <x:v>0</x:v>
      </x:c>
      <x:c r="G830" s="10" t="n">
        <x:v>2</x:v>
      </x:c>
      <x:c r="H830" s="10" t="n">
        <x:v>0</x:v>
      </x:c>
      <x:c r="I830" s="11" t="n">
        <x:f>E830*Rates!$B$4+F830*Rates!$B$5+G830*Rates!$B$6+H830*Rates!$B$7</x:f>
        <x:v>0.002</x:v>
      </x:c>
    </x:row>
    <x:row r="831" ht="24" customHeight="1">
      <x:c r="A831" s="10" t="str">
        <x:v>S08-02</x:v>
      </x:c>
      <x:c r="B831" s="10" t="str">
        <x:v>B</x:v>
      </x:c>
      <x:c r="C831" s="10" t="str">
        <x:v>semantic</x:v>
      </x:c>
      <x:c r="D831" s="10" t="str">
        <x:v>evaluation</x:v>
      </x:c>
      <x:c r="E831" s="13" t="n">
        <x:v>640</x:v>
      </x:c>
      <x:c r="F831" s="13" t="n">
        <x:v>20</x:v>
      </x:c>
      <x:c r="G831" s="10" t="n">
        <x:v>0</x:v>
      </x:c>
      <x:c r="H831" s="10" t="n">
        <x:v>0</x:v>
      </x:c>
      <x:c r="I831" s="11" t="n">
        <x:f>E831*Rates!$B$4+F831*Rates!$B$5+G831*Rates!$B$6+H831*Rates!$B$7</x:f>
        <x:v>0.0007199999999999999</x:v>
      </x:c>
    </x:row>
    <x:row r="832" ht="24" customHeight="1">
      <x:c r="A832" s="10" t="str">
        <x:v>S08-02</x:v>
      </x:c>
      <x:c r="B832" s="10" t="str">
        <x:v>B</x:v>
      </x:c>
      <x:c r="C832" s="10" t="str">
        <x:v>speech_input</x:v>
      </x:c>
      <x:c r="D832" s="10" t="str">
        <x:v>evaluation</x:v>
      </x:c>
      <x:c r="E832" s="13" t="n">
        <x:v>0</x:v>
      </x:c>
      <x:c r="F832" s="13" t="n">
        <x:v>0</x:v>
      </x:c>
      <x:c r="G832" s="10" t="n">
        <x:v>2</x:v>
      </x:c>
      <x:c r="H832" s="10" t="n">
        <x:v>0</x:v>
      </x:c>
      <x:c r="I832" s="11" t="n">
        <x:f>E832*Rates!$B$4+F832*Rates!$B$5+G832*Rates!$B$6+H832*Rates!$B$7</x:f>
        <x:v>0.002</x:v>
      </x:c>
    </x:row>
    <x:row r="833" ht="24" customHeight="1">
      <x:c r="A833" s="10" t="str">
        <x:v>S08-02</x:v>
      </x:c>
      <x:c r="B833" s="10" t="str">
        <x:v>B</x:v>
      </x:c>
      <x:c r="C833" s="10" t="str">
        <x:v>speech_output</x:v>
      </x:c>
      <x:c r="D833" s="10" t="str">
        <x:v>retained</x:v>
      </x:c>
      <x:c r="E833" s="13" t="n">
        <x:v>126</x:v>
      </x:c>
      <x:c r="F833" s="13" t="n">
        <x:v>0</x:v>
      </x:c>
      <x:c r="G833" s="10" t="n">
        <x:v>0</x:v>
      </x:c>
      <x:c r="H833" s="10" t="n">
        <x:v>2.758</x:v>
      </x:c>
      <x:c r="I833" s="11" t="n">
        <x:f>E833*Rates!$B$4+F833*Rates!$B$5+G833*Rates!$B$6+H833*Rates!$B$7</x:f>
        <x:v>0.005642</x:v>
      </x:c>
    </x:row>
    <x:row r="834" ht="24" customHeight="1">
      <x:c r="A834" s="10" t="str">
        <x:v>S08-03</x:v>
      </x:c>
      <x:c r="B834" s="10" t="str">
        <x:v>A</x:v>
      </x:c>
      <x:c r="C834" s="10" t="str">
        <x:v>semantic</x:v>
      </x:c>
      <x:c r="D834" s="10" t="str">
        <x:v>setup</x:v>
      </x:c>
      <x:c r="E834" s="13" t="n">
        <x:v>600</x:v>
      </x:c>
      <x:c r="F834" s="13" t="n">
        <x:v>16</x:v>
      </x:c>
      <x:c r="G834" s="10" t="n">
        <x:v>0</x:v>
      </x:c>
      <x:c r="H834" s="10" t="n">
        <x:v>0</x:v>
      </x:c>
      <x:c r="I834" s="11" t="n">
        <x:f>E834*Rates!$B$4+F834*Rates!$B$5+G834*Rates!$B$6+H834*Rates!$B$7</x:f>
        <x:v>0.000664</x:v>
      </x:c>
    </x:row>
    <x:row r="835" ht="24" customHeight="1">
      <x:c r="A835" s="10" t="str">
        <x:v>S08-03</x:v>
      </x:c>
      <x:c r="B835" s="10" t="str">
        <x:v>A</x:v>
      </x:c>
      <x:c r="C835" s="10" t="str">
        <x:v>speech_input</x:v>
      </x:c>
      <x:c r="D835" s="10" t="str">
        <x:v>setup</x:v>
      </x:c>
      <x:c r="E835" s="13" t="n">
        <x:v>0</x:v>
      </x:c>
      <x:c r="F835" s="13" t="n">
        <x:v>0</x:v>
      </x:c>
      <x:c r="G835" s="10" t="n">
        <x:v>2</x:v>
      </x:c>
      <x:c r="H835" s="10" t="n">
        <x:v>0</x:v>
      </x:c>
      <x:c r="I835" s="11" t="n">
        <x:f>E835*Rates!$B$4+F835*Rates!$B$5+G835*Rates!$B$6+H835*Rates!$B$7</x:f>
        <x:v>0.002</x:v>
      </x:c>
    </x:row>
    <x:row r="836" ht="24" customHeight="1">
      <x:c r="A836" s="10" t="str">
        <x:v>S08-03</x:v>
      </x:c>
      <x:c r="B836" s="10" t="str">
        <x:v>A</x:v>
      </x:c>
      <x:c r="C836" s="10" t="str">
        <x:v>semantic</x:v>
      </x:c>
      <x:c r="D836" s="10" t="str">
        <x:v>evaluation</x:v>
      </x:c>
      <x:c r="E836" s="13" t="n">
        <x:v>660</x:v>
      </x:c>
      <x:c r="F836" s="13" t="n">
        <x:v>16</x:v>
      </x:c>
      <x:c r="G836" s="10" t="n">
        <x:v>0</x:v>
      </x:c>
      <x:c r="H836" s="10" t="n">
        <x:v>0</x:v>
      </x:c>
      <x:c r="I836" s="11" t="n">
        <x:f>E836*Rates!$B$4+F836*Rates!$B$5+G836*Rates!$B$6+H836*Rates!$B$7</x:f>
        <x:v>0.000724</x:v>
      </x:c>
    </x:row>
    <x:row r="837" ht="24" customHeight="1">
      <x:c r="A837" s="10" t="str">
        <x:v>S08-03</x:v>
      </x:c>
      <x:c r="B837" s="10" t="str">
        <x:v>A</x:v>
      </x:c>
      <x:c r="C837" s="10" t="str">
        <x:v>speech_input</x:v>
      </x:c>
      <x:c r="D837" s="10" t="str">
        <x:v>evaluation</x:v>
      </x:c>
      <x:c r="E837" s="13" t="n">
        <x:v>0</x:v>
      </x:c>
      <x:c r="F837" s="13" t="n">
        <x:v>0</x:v>
      </x:c>
      <x:c r="G837" s="10" t="n">
        <x:v>2</x:v>
      </x:c>
      <x:c r="H837" s="10" t="n">
        <x:v>0</x:v>
      </x:c>
      <x:c r="I837" s="11" t="n">
        <x:f>E837*Rates!$B$4+F837*Rates!$B$5+G837*Rates!$B$6+H837*Rates!$B$7</x:f>
        <x:v>0.002</x:v>
      </x:c>
    </x:row>
    <x:row r="838" ht="24" customHeight="1">
      <x:c r="A838" s="10" t="str">
        <x:v>S08-03</x:v>
      </x:c>
      <x:c r="B838" s="10" t="str">
        <x:v>A</x:v>
      </x:c>
      <x:c r="C838" s="10" t="str">
        <x:v>speech_output</x:v>
      </x:c>
      <x:c r="D838" s="10" t="str">
        <x:v>retained</x:v>
      </x:c>
      <x:c r="E838" s="13" t="n">
        <x:v>126</x:v>
      </x:c>
      <x:c r="F838" s="13" t="n">
        <x:v>0</x:v>
      </x:c>
      <x:c r="G838" s="10" t="n">
        <x:v>0</x:v>
      </x:c>
      <x:c r="H838" s="10" t="n">
        <x:v>2.77</x:v>
      </x:c>
      <x:c r="I838" s="11" t="n">
        <x:f>E838*Rates!$B$4+F838*Rates!$B$5+G838*Rates!$B$6+H838*Rates!$B$7</x:f>
        <x:v>0.005666</x:v>
      </x:c>
    </x:row>
    <x:row r="839" ht="24" customHeight="1">
      <x:c r="A839" s="10" t="str">
        <x:v>S08-03</x:v>
      </x:c>
      <x:c r="B839" s="10" t="str">
        <x:v>B</x:v>
      </x:c>
      <x:c r="C839" s="10" t="str">
        <x:v>semantic</x:v>
      </x:c>
      <x:c r="D839" s="10" t="str">
        <x:v>setup</x:v>
      </x:c>
      <x:c r="E839" s="13" t="n">
        <x:v>600</x:v>
      </x:c>
      <x:c r="F839" s="13" t="n">
        <x:v>16</x:v>
      </x:c>
      <x:c r="G839" s="10" t="n">
        <x:v>0</x:v>
      </x:c>
      <x:c r="H839" s="10" t="n">
        <x:v>0</x:v>
      </x:c>
      <x:c r="I839" s="11" t="n">
        <x:f>E839*Rates!$B$4+F839*Rates!$B$5+G839*Rates!$B$6+H839*Rates!$B$7</x:f>
        <x:v>0.000664</x:v>
      </x:c>
    </x:row>
    <x:row r="840" ht="24" customHeight="1">
      <x:c r="A840" s="10" t="str">
        <x:v>S08-03</x:v>
      </x:c>
      <x:c r="B840" s="10" t="str">
        <x:v>B</x:v>
      </x:c>
      <x:c r="C840" s="10" t="str">
        <x:v>speech_input</x:v>
      </x:c>
      <x:c r="D840" s="10" t="str">
        <x:v>setup</x:v>
      </x:c>
      <x:c r="E840" s="13" t="n">
        <x:v>0</x:v>
      </x:c>
      <x:c r="F840" s="13" t="n">
        <x:v>0</x:v>
      </x:c>
      <x:c r="G840" s="10" t="n">
        <x:v>2</x:v>
      </x:c>
      <x:c r="H840" s="10" t="n">
        <x:v>0</x:v>
      </x:c>
      <x:c r="I840" s="11" t="n">
        <x:f>E840*Rates!$B$4+F840*Rates!$B$5+G840*Rates!$B$6+H840*Rates!$B$7</x:f>
        <x:v>0.002</x:v>
      </x:c>
    </x:row>
    <x:row r="841" ht="24" customHeight="1">
      <x:c r="A841" s="10" t="str">
        <x:v>S08-03</x:v>
      </x:c>
      <x:c r="B841" s="10" t="str">
        <x:v>B</x:v>
      </x:c>
      <x:c r="C841" s="10" t="str">
        <x:v>semantic</x:v>
      </x:c>
      <x:c r="D841" s="10" t="str">
        <x:v>evaluation</x:v>
      </x:c>
      <x:c r="E841" s="13" t="n">
        <x:v>660</x:v>
      </x:c>
      <x:c r="F841" s="13" t="n">
        <x:v>16</x:v>
      </x:c>
      <x:c r="G841" s="10" t="n">
        <x:v>0</x:v>
      </x:c>
      <x:c r="H841" s="10" t="n">
        <x:v>0</x:v>
      </x:c>
      <x:c r="I841" s="11" t="n">
        <x:f>E841*Rates!$B$4+F841*Rates!$B$5+G841*Rates!$B$6+H841*Rates!$B$7</x:f>
        <x:v>0.000724</x:v>
      </x:c>
    </x:row>
    <x:row r="842" ht="24" customHeight="1">
      <x:c r="A842" s="10" t="str">
        <x:v>S08-03</x:v>
      </x:c>
      <x:c r="B842" s="10" t="str">
        <x:v>B</x:v>
      </x:c>
      <x:c r="C842" s="10" t="str">
        <x:v>speech_input</x:v>
      </x:c>
      <x:c r="D842" s="10" t="str">
        <x:v>evaluation</x:v>
      </x:c>
      <x:c r="E842" s="13" t="n">
        <x:v>0</x:v>
      </x:c>
      <x:c r="F842" s="13" t="n">
        <x:v>0</x:v>
      </x:c>
      <x:c r="G842" s="10" t="n">
        <x:v>2</x:v>
      </x:c>
      <x:c r="H842" s="10" t="n">
        <x:v>0</x:v>
      </x:c>
      <x:c r="I842" s="11" t="n">
        <x:f>E842*Rates!$B$4+F842*Rates!$B$5+G842*Rates!$B$6+H842*Rates!$B$7</x:f>
        <x:v>0.002</x:v>
      </x:c>
    </x:row>
    <x:row r="843" ht="24" customHeight="1">
      <x:c r="A843" s="10" t="str">
        <x:v>S08-03</x:v>
      </x:c>
      <x:c r="B843" s="10" t="str">
        <x:v>B</x:v>
      </x:c>
      <x:c r="C843" s="10" t="str">
        <x:v>speech_output</x:v>
      </x:c>
      <x:c r="D843" s="10" t="str">
        <x:v>retained</x:v>
      </x:c>
      <x:c r="E843" s="13" t="n">
        <x:v>126</x:v>
      </x:c>
      <x:c r="F843" s="13" t="n">
        <x:v>0</x:v>
      </x:c>
      <x:c r="G843" s="10" t="n">
        <x:v>0</x:v>
      </x:c>
      <x:c r="H843" s="10" t="n">
        <x:v>2.77</x:v>
      </x:c>
      <x:c r="I843" s="11" t="n">
        <x:f>E843*Rates!$B$4+F843*Rates!$B$5+G843*Rates!$B$6+H843*Rates!$B$7</x:f>
        <x:v>0.005666</x:v>
      </x:c>
    </x:row>
    <x:row r="844" ht="24" customHeight="1">
      <x:c r="A844" s="10" t="str">
        <x:v>S08-04</x:v>
      </x:c>
      <x:c r="B844" s="10" t="str">
        <x:v>A</x:v>
      </x:c>
      <x:c r="C844" s="10" t="str">
        <x:v>semantic</x:v>
      </x:c>
      <x:c r="D844" s="10" t="str">
        <x:v>setup</x:v>
      </x:c>
      <x:c r="E844" s="13" t="n">
        <x:v>600</x:v>
      </x:c>
      <x:c r="F844" s="13" t="n">
        <x:v>16</x:v>
      </x:c>
      <x:c r="G844" s="10" t="n">
        <x:v>0</x:v>
      </x:c>
      <x:c r="H844" s="10" t="n">
        <x:v>0</x:v>
      </x:c>
      <x:c r="I844" s="11" t="n">
        <x:f>E844*Rates!$B$4+F844*Rates!$B$5+G844*Rates!$B$6+H844*Rates!$B$7</x:f>
        <x:v>0.000664</x:v>
      </x:c>
    </x:row>
    <x:row r="845" ht="24" customHeight="1">
      <x:c r="A845" s="10" t="str">
        <x:v>S08-04</x:v>
      </x:c>
      <x:c r="B845" s="10" t="str">
        <x:v>A</x:v>
      </x:c>
      <x:c r="C845" s="10" t="str">
        <x:v>speech_input</x:v>
      </x:c>
      <x:c r="D845" s="10" t="str">
        <x:v>setup</x:v>
      </x:c>
      <x:c r="E845" s="13" t="n">
        <x:v>0</x:v>
      </x:c>
      <x:c r="F845" s="13" t="n">
        <x:v>0</x:v>
      </x:c>
      <x:c r="G845" s="10" t="n">
        <x:v>2</x:v>
      </x:c>
      <x:c r="H845" s="10" t="n">
        <x:v>0</x:v>
      </x:c>
      <x:c r="I845" s="11" t="n">
        <x:f>E845*Rates!$B$4+F845*Rates!$B$5+G845*Rates!$B$6+H845*Rates!$B$7</x:f>
        <x:v>0.002</x:v>
      </x:c>
    </x:row>
    <x:row r="846" ht="24" customHeight="1">
      <x:c r="A846" s="10" t="str">
        <x:v>S08-04</x:v>
      </x:c>
      <x:c r="B846" s="10" t="str">
        <x:v>A</x:v>
      </x:c>
      <x:c r="C846" s="10" t="str">
        <x:v>semantic</x:v>
      </x:c>
      <x:c r="D846" s="10" t="str">
        <x:v>evaluation</x:v>
      </x:c>
      <x:c r="E846" s="13" t="n">
        <x:v>680</x:v>
      </x:c>
      <x:c r="F846" s="13" t="n">
        <x:v>18</x:v>
      </x:c>
      <x:c r="G846" s="10" t="n">
        <x:v>0</x:v>
      </x:c>
      <x:c r="H846" s="10" t="n">
        <x:v>0</x:v>
      </x:c>
      <x:c r="I846" s="11" t="n">
        <x:f>E846*Rates!$B$4+F846*Rates!$B$5+G846*Rates!$B$6+H846*Rates!$B$7</x:f>
        <x:v>0.000752</x:v>
      </x:c>
    </x:row>
    <x:row r="847" ht="24" customHeight="1">
      <x:c r="A847" s="10" t="str">
        <x:v>S08-04</x:v>
      </x:c>
      <x:c r="B847" s="10" t="str">
        <x:v>A</x:v>
      </x:c>
      <x:c r="C847" s="10" t="str">
        <x:v>speech_input</x:v>
      </x:c>
      <x:c r="D847" s="10" t="str">
        <x:v>evaluation</x:v>
      </x:c>
      <x:c r="E847" s="13" t="n">
        <x:v>0</x:v>
      </x:c>
      <x:c r="F847" s="13" t="n">
        <x:v>0</x:v>
      </x:c>
      <x:c r="G847" s="10" t="n">
        <x:v>2</x:v>
      </x:c>
      <x:c r="H847" s="10" t="n">
        <x:v>0</x:v>
      </x:c>
      <x:c r="I847" s="11" t="n">
        <x:f>E847*Rates!$B$4+F847*Rates!$B$5+G847*Rates!$B$6+H847*Rates!$B$7</x:f>
        <x:v>0.002</x:v>
      </x:c>
    </x:row>
    <x:row r="848" ht="24" customHeight="1">
      <x:c r="A848" s="10" t="str">
        <x:v>S08-04</x:v>
      </x:c>
      <x:c r="B848" s="10" t="str">
        <x:v>A</x:v>
      </x:c>
      <x:c r="C848" s="10" t="str">
        <x:v>speech_output</x:v>
      </x:c>
      <x:c r="D848" s="10" t="str">
        <x:v>retained</x:v>
      </x:c>
      <x:c r="E848" s="13" t="n">
        <x:v>126</x:v>
      </x:c>
      <x:c r="F848" s="13" t="n">
        <x:v>0</x:v>
      </x:c>
      <x:c r="G848" s="10" t="n">
        <x:v>0</x:v>
      </x:c>
      <x:c r="H848" s="10" t="n">
        <x:v>2.782</x:v>
      </x:c>
      <x:c r="I848" s="11" t="n">
        <x:f>E848*Rates!$B$4+F848*Rates!$B$5+G848*Rates!$B$6+H848*Rates!$B$7</x:f>
        <x:v>0.005690000000000001</x:v>
      </x:c>
    </x:row>
    <x:row r="849" ht="24" customHeight="1">
      <x:c r="A849" s="10" t="str">
        <x:v>S08-04</x:v>
      </x:c>
      <x:c r="B849" s="10" t="str">
        <x:v>B</x:v>
      </x:c>
      <x:c r="C849" s="10" t="str">
        <x:v>semantic</x:v>
      </x:c>
      <x:c r="D849" s="10" t="str">
        <x:v>setup</x:v>
      </x:c>
      <x:c r="E849" s="13" t="n">
        <x:v>600</x:v>
      </x:c>
      <x:c r="F849" s="13" t="n">
        <x:v>16</x:v>
      </x:c>
      <x:c r="G849" s="10" t="n">
        <x:v>0</x:v>
      </x:c>
      <x:c r="H849" s="10" t="n">
        <x:v>0</x:v>
      </x:c>
      <x:c r="I849" s="11" t="n">
        <x:f>E849*Rates!$B$4+F849*Rates!$B$5+G849*Rates!$B$6+H849*Rates!$B$7</x:f>
        <x:v>0.000664</x:v>
      </x:c>
    </x:row>
    <x:row r="850" ht="24" customHeight="1">
      <x:c r="A850" s="10" t="str">
        <x:v>S08-04</x:v>
      </x:c>
      <x:c r="B850" s="10" t="str">
        <x:v>B</x:v>
      </x:c>
      <x:c r="C850" s="10" t="str">
        <x:v>speech_input</x:v>
      </x:c>
      <x:c r="D850" s="10" t="str">
        <x:v>setup</x:v>
      </x:c>
      <x:c r="E850" s="13" t="n">
        <x:v>0</x:v>
      </x:c>
      <x:c r="F850" s="13" t="n">
        <x:v>0</x:v>
      </x:c>
      <x:c r="G850" s="10" t="n">
        <x:v>2</x:v>
      </x:c>
      <x:c r="H850" s="10" t="n">
        <x:v>0</x:v>
      </x:c>
      <x:c r="I850" s="11" t="n">
        <x:f>E850*Rates!$B$4+F850*Rates!$B$5+G850*Rates!$B$6+H850*Rates!$B$7</x:f>
        <x:v>0.002</x:v>
      </x:c>
    </x:row>
    <x:row r="851" ht="24" customHeight="1">
      <x:c r="A851" s="10" t="str">
        <x:v>S08-04</x:v>
      </x:c>
      <x:c r="B851" s="10" t="str">
        <x:v>B</x:v>
      </x:c>
      <x:c r="C851" s="10" t="str">
        <x:v>semantic</x:v>
      </x:c>
      <x:c r="D851" s="10" t="str">
        <x:v>evaluation</x:v>
      </x:c>
      <x:c r="E851" s="13" t="n">
        <x:v>680</x:v>
      </x:c>
      <x:c r="F851" s="13" t="n">
        <x:v>18</x:v>
      </x:c>
      <x:c r="G851" s="10" t="n">
        <x:v>0</x:v>
      </x:c>
      <x:c r="H851" s="10" t="n">
        <x:v>0</x:v>
      </x:c>
      <x:c r="I851" s="11" t="n">
        <x:f>E851*Rates!$B$4+F851*Rates!$B$5+G851*Rates!$B$6+H851*Rates!$B$7</x:f>
        <x:v>0.000752</x:v>
      </x:c>
    </x:row>
    <x:row r="852" ht="24" customHeight="1">
      <x:c r="A852" s="10" t="str">
        <x:v>S08-04</x:v>
      </x:c>
      <x:c r="B852" s="10" t="str">
        <x:v>B</x:v>
      </x:c>
      <x:c r="C852" s="10" t="str">
        <x:v>speech_input</x:v>
      </x:c>
      <x:c r="D852" s="10" t="str">
        <x:v>evaluation</x:v>
      </x:c>
      <x:c r="E852" s="13" t="n">
        <x:v>0</x:v>
      </x:c>
      <x:c r="F852" s="13" t="n">
        <x:v>0</x:v>
      </x:c>
      <x:c r="G852" s="10" t="n">
        <x:v>2</x:v>
      </x:c>
      <x:c r="H852" s="10" t="n">
        <x:v>0</x:v>
      </x:c>
      <x:c r="I852" s="11" t="n">
        <x:f>E852*Rates!$B$4+F852*Rates!$B$5+G852*Rates!$B$6+H852*Rates!$B$7</x:f>
        <x:v>0.002</x:v>
      </x:c>
    </x:row>
    <x:row r="853" ht="24" customHeight="1">
      <x:c r="A853" s="10" t="str">
        <x:v>S08-04</x:v>
      </x:c>
      <x:c r="B853" s="10" t="str">
        <x:v>B</x:v>
      </x:c>
      <x:c r="C853" s="10" t="str">
        <x:v>speech_output</x:v>
      </x:c>
      <x:c r="D853" s="10" t="str">
        <x:v>retained</x:v>
      </x:c>
      <x:c r="E853" s="13" t="n">
        <x:v>126</x:v>
      </x:c>
      <x:c r="F853" s="13" t="n">
        <x:v>0</x:v>
      </x:c>
      <x:c r="G853" s="10" t="n">
        <x:v>0</x:v>
      </x:c>
      <x:c r="H853" s="10" t="n">
        <x:v>2.782</x:v>
      </x:c>
      <x:c r="I853" s="11" t="n">
        <x:f>E853*Rates!$B$4+F853*Rates!$B$5+G853*Rates!$B$6+H853*Rates!$B$7</x:f>
        <x:v>0.005690000000000001</x:v>
      </x:c>
    </x:row>
    <x:row r="854" ht="24" customHeight="1">
      <x:c r="A854" s="10" t="str">
        <x:v>S08-05</x:v>
      </x:c>
      <x:c r="B854" s="10" t="str">
        <x:v>A</x:v>
      </x:c>
      <x:c r="C854" s="10" t="str">
        <x:v>semantic</x:v>
      </x:c>
      <x:c r="D854" s="10" t="str">
        <x:v>setup</x:v>
      </x:c>
      <x:c r="E854" s="13" t="n">
        <x:v>600</x:v>
      </x:c>
      <x:c r="F854" s="13" t="n">
        <x:v>16</x:v>
      </x:c>
      <x:c r="G854" s="10" t="n">
        <x:v>0</x:v>
      </x:c>
      <x:c r="H854" s="10" t="n">
        <x:v>0</x:v>
      </x:c>
      <x:c r="I854" s="11" t="n">
        <x:f>E854*Rates!$B$4+F854*Rates!$B$5+G854*Rates!$B$6+H854*Rates!$B$7</x:f>
        <x:v>0.000664</x:v>
      </x:c>
    </x:row>
    <x:row r="855" ht="24" customHeight="1">
      <x:c r="A855" s="10" t="str">
        <x:v>S08-05</x:v>
      </x:c>
      <x:c r="B855" s="10" t="str">
        <x:v>A</x:v>
      </x:c>
      <x:c r="C855" s="10" t="str">
        <x:v>speech_input</x:v>
      </x:c>
      <x:c r="D855" s="10" t="str">
        <x:v>setup</x:v>
      </x:c>
      <x:c r="E855" s="13" t="n">
        <x:v>0</x:v>
      </x:c>
      <x:c r="F855" s="13" t="n">
        <x:v>0</x:v>
      </x:c>
      <x:c r="G855" s="10" t="n">
        <x:v>2</x:v>
      </x:c>
      <x:c r="H855" s="10" t="n">
        <x:v>0</x:v>
      </x:c>
      <x:c r="I855" s="11" t="n">
        <x:f>E855*Rates!$B$4+F855*Rates!$B$5+G855*Rates!$B$6+H855*Rates!$B$7</x:f>
        <x:v>0.002</x:v>
      </x:c>
    </x:row>
    <x:row r="856" ht="24" customHeight="1">
      <x:c r="A856" s="10" t="str">
        <x:v>S08-05</x:v>
      </x:c>
      <x:c r="B856" s="10" t="str">
        <x:v>A</x:v>
      </x:c>
      <x:c r="C856" s="10" t="str">
        <x:v>semantic</x:v>
      </x:c>
      <x:c r="D856" s="10" t="str">
        <x:v>evaluation</x:v>
      </x:c>
      <x:c r="E856" s="13" t="n">
        <x:v>700</x:v>
      </x:c>
      <x:c r="F856" s="13" t="n">
        <x:v>20</x:v>
      </x:c>
      <x:c r="G856" s="10" t="n">
        <x:v>0</x:v>
      </x:c>
      <x:c r="H856" s="10" t="n">
        <x:v>0</x:v>
      </x:c>
      <x:c r="I856" s="11" t="n">
        <x:f>E856*Rates!$B$4+F856*Rates!$B$5+G856*Rates!$B$6+H856*Rates!$B$7</x:f>
        <x:v>0.00078</x:v>
      </x:c>
    </x:row>
    <x:row r="857" ht="24" customHeight="1">
      <x:c r="A857" s="10" t="str">
        <x:v>S08-05</x:v>
      </x:c>
      <x:c r="B857" s="10" t="str">
        <x:v>A</x:v>
      </x:c>
      <x:c r="C857" s="10" t="str">
        <x:v>speech_input</x:v>
      </x:c>
      <x:c r="D857" s="10" t="str">
        <x:v>evaluation</x:v>
      </x:c>
      <x:c r="E857" s="13" t="n">
        <x:v>0</x:v>
      </x:c>
      <x:c r="F857" s="13" t="n">
        <x:v>0</x:v>
      </x:c>
      <x:c r="G857" s="10" t="n">
        <x:v>2</x:v>
      </x:c>
      <x:c r="H857" s="10" t="n">
        <x:v>0</x:v>
      </x:c>
      <x:c r="I857" s="11" t="n">
        <x:f>E857*Rates!$B$4+F857*Rates!$B$5+G857*Rates!$B$6+H857*Rates!$B$7</x:f>
        <x:v>0.002</x:v>
      </x:c>
    </x:row>
    <x:row r="858" ht="24" customHeight="1">
      <x:c r="A858" s="10" t="str">
        <x:v>S08-05</x:v>
      </x:c>
      <x:c r="B858" s="10" t="str">
        <x:v>A</x:v>
      </x:c>
      <x:c r="C858" s="10" t="str">
        <x:v>speech_output</x:v>
      </x:c>
      <x:c r="D858" s="10" t="str">
        <x:v>retained</x:v>
      </x:c>
      <x:c r="E858" s="13" t="n">
        <x:v>126</x:v>
      </x:c>
      <x:c r="F858" s="13" t="n">
        <x:v>0</x:v>
      </x:c>
      <x:c r="G858" s="10" t="n">
        <x:v>0</x:v>
      </x:c>
      <x:c r="H858" s="10" t="n">
        <x:v>2.794</x:v>
      </x:c>
      <x:c r="I858" s="11" t="n">
        <x:f>E858*Rates!$B$4+F858*Rates!$B$5+G858*Rates!$B$6+H858*Rates!$B$7</x:f>
        <x:v>0.005714</x:v>
      </x:c>
    </x:row>
    <x:row r="859" ht="24" customHeight="1">
      <x:c r="A859" s="10" t="str">
        <x:v>S08-05</x:v>
      </x:c>
      <x:c r="B859" s="10" t="str">
        <x:v>B</x:v>
      </x:c>
      <x:c r="C859" s="10" t="str">
        <x:v>semantic</x:v>
      </x:c>
      <x:c r="D859" s="10" t="str">
        <x:v>setup</x:v>
      </x:c>
      <x:c r="E859" s="13" t="n">
        <x:v>600</x:v>
      </x:c>
      <x:c r="F859" s="13" t="n">
        <x:v>16</x:v>
      </x:c>
      <x:c r="G859" s="10" t="n">
        <x:v>0</x:v>
      </x:c>
      <x:c r="H859" s="10" t="n">
        <x:v>0</x:v>
      </x:c>
      <x:c r="I859" s="11" t="n">
        <x:f>E859*Rates!$B$4+F859*Rates!$B$5+G859*Rates!$B$6+H859*Rates!$B$7</x:f>
        <x:v>0.000664</x:v>
      </x:c>
    </x:row>
    <x:row r="860" ht="24" customHeight="1">
      <x:c r="A860" s="10" t="str">
        <x:v>S08-05</x:v>
      </x:c>
      <x:c r="B860" s="10" t="str">
        <x:v>B</x:v>
      </x:c>
      <x:c r="C860" s="10" t="str">
        <x:v>speech_input</x:v>
      </x:c>
      <x:c r="D860" s="10" t="str">
        <x:v>setup</x:v>
      </x:c>
      <x:c r="E860" s="13" t="n">
        <x:v>0</x:v>
      </x:c>
      <x:c r="F860" s="13" t="n">
        <x:v>0</x:v>
      </x:c>
      <x:c r="G860" s="10" t="n">
        <x:v>2</x:v>
      </x:c>
      <x:c r="H860" s="10" t="n">
        <x:v>0</x:v>
      </x:c>
      <x:c r="I860" s="11" t="n">
        <x:f>E860*Rates!$B$4+F860*Rates!$B$5+G860*Rates!$B$6+H860*Rates!$B$7</x:f>
        <x:v>0.002</x:v>
      </x:c>
    </x:row>
    <x:row r="861" ht="24" customHeight="1">
      <x:c r="A861" s="10" t="str">
        <x:v>S08-05</x:v>
      </x:c>
      <x:c r="B861" s="10" t="str">
        <x:v>B</x:v>
      </x:c>
      <x:c r="C861" s="10" t="str">
        <x:v>semantic</x:v>
      </x:c>
      <x:c r="D861" s="10" t="str">
        <x:v>evaluation</x:v>
      </x:c>
      <x:c r="E861" s="13" t="n">
        <x:v>700</x:v>
      </x:c>
      <x:c r="F861" s="13" t="n">
        <x:v>20</x:v>
      </x:c>
      <x:c r="G861" s="10" t="n">
        <x:v>0</x:v>
      </x:c>
      <x:c r="H861" s="10" t="n">
        <x:v>0</x:v>
      </x:c>
      <x:c r="I861" s="11" t="n">
        <x:f>E861*Rates!$B$4+F861*Rates!$B$5+G861*Rates!$B$6+H861*Rates!$B$7</x:f>
        <x:v>0.00078</x:v>
      </x:c>
    </x:row>
    <x:row r="862" ht="24" customHeight="1">
      <x:c r="A862" s="10" t="str">
        <x:v>S08-05</x:v>
      </x:c>
      <x:c r="B862" s="10" t="str">
        <x:v>B</x:v>
      </x:c>
      <x:c r="C862" s="10" t="str">
        <x:v>speech_input</x:v>
      </x:c>
      <x:c r="D862" s="10" t="str">
        <x:v>evaluation</x:v>
      </x:c>
      <x:c r="E862" s="13" t="n">
        <x:v>0</x:v>
      </x:c>
      <x:c r="F862" s="13" t="n">
        <x:v>0</x:v>
      </x:c>
      <x:c r="G862" s="10" t="n">
        <x:v>2</x:v>
      </x:c>
      <x:c r="H862" s="10" t="n">
        <x:v>0</x:v>
      </x:c>
      <x:c r="I862" s="11" t="n">
        <x:f>E862*Rates!$B$4+F862*Rates!$B$5+G862*Rates!$B$6+H862*Rates!$B$7</x:f>
        <x:v>0.002</x:v>
      </x:c>
    </x:row>
    <x:row r="863" ht="24" customHeight="1">
      <x:c r="A863" s="10" t="str">
        <x:v>S08-05</x:v>
      </x:c>
      <x:c r="B863" s="10" t="str">
        <x:v>B</x:v>
      </x:c>
      <x:c r="C863" s="10" t="str">
        <x:v>speech_output</x:v>
      </x:c>
      <x:c r="D863" s="10" t="str">
        <x:v>retained</x:v>
      </x:c>
      <x:c r="E863" s="13" t="n">
        <x:v>126</x:v>
      </x:c>
      <x:c r="F863" s="13" t="n">
        <x:v>0</x:v>
      </x:c>
      <x:c r="G863" s="10" t="n">
        <x:v>0</x:v>
      </x:c>
      <x:c r="H863" s="10" t="n">
        <x:v>2.794</x:v>
      </x:c>
      <x:c r="I863" s="11" t="n">
        <x:f>E863*Rates!$B$4+F863*Rates!$B$5+G863*Rates!$B$6+H863*Rates!$B$7</x:f>
        <x:v>0.005714</x:v>
      </x:c>
    </x:row>
    <x:row r="864" ht="24" customHeight="1">
      <x:c r="A864" s="10" t="str">
        <x:v>S08-06</x:v>
      </x:c>
      <x:c r="B864" s="10" t="str">
        <x:v>A</x:v>
      </x:c>
      <x:c r="C864" s="10" t="str">
        <x:v>semantic</x:v>
      </x:c>
      <x:c r="D864" s="10" t="str">
        <x:v>setup</x:v>
      </x:c>
      <x:c r="E864" s="13" t="n">
        <x:v>600</x:v>
      </x:c>
      <x:c r="F864" s="13" t="n">
        <x:v>16</x:v>
      </x:c>
      <x:c r="G864" s="10" t="n">
        <x:v>0</x:v>
      </x:c>
      <x:c r="H864" s="10" t="n">
        <x:v>0</x:v>
      </x:c>
      <x:c r="I864" s="11" t="n">
        <x:f>E864*Rates!$B$4+F864*Rates!$B$5+G864*Rates!$B$6+H864*Rates!$B$7</x:f>
        <x:v>0.000664</x:v>
      </x:c>
    </x:row>
    <x:row r="865" ht="24" customHeight="1">
      <x:c r="A865" s="10" t="str">
        <x:v>S08-06</x:v>
      </x:c>
      <x:c r="B865" s="10" t="str">
        <x:v>A</x:v>
      </x:c>
      <x:c r="C865" s="10" t="str">
        <x:v>speech_input</x:v>
      </x:c>
      <x:c r="D865" s="10" t="str">
        <x:v>setup</x:v>
      </x:c>
      <x:c r="E865" s="13" t="n">
        <x:v>0</x:v>
      </x:c>
      <x:c r="F865" s="13" t="n">
        <x:v>0</x:v>
      </x:c>
      <x:c r="G865" s="10" t="n">
        <x:v>2</x:v>
      </x:c>
      <x:c r="H865" s="10" t="n">
        <x:v>0</x:v>
      </x:c>
      <x:c r="I865" s="11" t="n">
        <x:f>E865*Rates!$B$4+F865*Rates!$B$5+G865*Rates!$B$6+H865*Rates!$B$7</x:f>
        <x:v>0.002</x:v>
      </x:c>
    </x:row>
    <x:row r="866" ht="24" customHeight="1">
      <x:c r="A866" s="10" t="str">
        <x:v>S08-06</x:v>
      </x:c>
      <x:c r="B866" s="10" t="str">
        <x:v>A</x:v>
      </x:c>
      <x:c r="C866" s="10" t="str">
        <x:v>semantic</x:v>
      </x:c>
      <x:c r="D866" s="10" t="str">
        <x:v>evaluation</x:v>
      </x:c>
      <x:c r="E866" s="13" t="n">
        <x:v>720</x:v>
      </x:c>
      <x:c r="F866" s="13" t="n">
        <x:v>16</x:v>
      </x:c>
      <x:c r="G866" s="10" t="n">
        <x:v>0</x:v>
      </x:c>
      <x:c r="H866" s="10" t="n">
        <x:v>0</x:v>
      </x:c>
      <x:c r="I866" s="11" t="n">
        <x:f>E866*Rates!$B$4+F866*Rates!$B$5+G866*Rates!$B$6+H866*Rates!$B$7</x:f>
        <x:v>0.000784</x:v>
      </x:c>
    </x:row>
    <x:row r="867" ht="24" customHeight="1">
      <x:c r="A867" s="10" t="str">
        <x:v>S08-06</x:v>
      </x:c>
      <x:c r="B867" s="10" t="str">
        <x:v>A</x:v>
      </x:c>
      <x:c r="C867" s="10" t="str">
        <x:v>speech_input</x:v>
      </x:c>
      <x:c r="D867" s="10" t="str">
        <x:v>evaluation</x:v>
      </x:c>
      <x:c r="E867" s="13" t="n">
        <x:v>0</x:v>
      </x:c>
      <x:c r="F867" s="13" t="n">
        <x:v>0</x:v>
      </x:c>
      <x:c r="G867" s="10" t="n">
        <x:v>2</x:v>
      </x:c>
      <x:c r="H867" s="10" t="n">
        <x:v>0</x:v>
      </x:c>
      <x:c r="I867" s="11" t="n">
        <x:f>E867*Rates!$B$4+F867*Rates!$B$5+G867*Rates!$B$6+H867*Rates!$B$7</x:f>
        <x:v>0.002</x:v>
      </x:c>
    </x:row>
    <x:row r="868" ht="24" customHeight="1">
      <x:c r="A868" s="10" t="str">
        <x:v>S08-06</x:v>
      </x:c>
      <x:c r="B868" s="10" t="str">
        <x:v>A</x:v>
      </x:c>
      <x:c r="C868" s="10" t="str">
        <x:v>speech_output</x:v>
      </x:c>
      <x:c r="D868" s="10" t="str">
        <x:v>retained</x:v>
      </x:c>
      <x:c r="E868" s="13" t="n">
        <x:v>126</x:v>
      </x:c>
      <x:c r="F868" s="13" t="n">
        <x:v>0</x:v>
      </x:c>
      <x:c r="G868" s="10" t="n">
        <x:v>0</x:v>
      </x:c>
      <x:c r="H868" s="10" t="n">
        <x:v>2.806</x:v>
      </x:c>
      <x:c r="I868" s="11" t="n">
        <x:f>E868*Rates!$B$4+F868*Rates!$B$5+G868*Rates!$B$6+H868*Rates!$B$7</x:f>
        <x:v>0.005738</x:v>
      </x:c>
    </x:row>
    <x:row r="869" ht="24" customHeight="1">
      <x:c r="A869" s="10" t="str">
        <x:v>S08-06</x:v>
      </x:c>
      <x:c r="B869" s="10" t="str">
        <x:v>B</x:v>
      </x:c>
      <x:c r="C869" s="10" t="str">
        <x:v>semantic</x:v>
      </x:c>
      <x:c r="D869" s="10" t="str">
        <x:v>setup</x:v>
      </x:c>
      <x:c r="E869" s="13" t="n">
        <x:v>600</x:v>
      </x:c>
      <x:c r="F869" s="13" t="n">
        <x:v>16</x:v>
      </x:c>
      <x:c r="G869" s="10" t="n">
        <x:v>0</x:v>
      </x:c>
      <x:c r="H869" s="10" t="n">
        <x:v>0</x:v>
      </x:c>
      <x:c r="I869" s="11" t="n">
        <x:f>E869*Rates!$B$4+F869*Rates!$B$5+G869*Rates!$B$6+H869*Rates!$B$7</x:f>
        <x:v>0.000664</x:v>
      </x:c>
    </x:row>
    <x:row r="870" ht="24" customHeight="1">
      <x:c r="A870" s="10" t="str">
        <x:v>S08-06</x:v>
      </x:c>
      <x:c r="B870" s="10" t="str">
        <x:v>B</x:v>
      </x:c>
      <x:c r="C870" s="10" t="str">
        <x:v>speech_input</x:v>
      </x:c>
      <x:c r="D870" s="10" t="str">
        <x:v>setup</x:v>
      </x:c>
      <x:c r="E870" s="13" t="n">
        <x:v>0</x:v>
      </x:c>
      <x:c r="F870" s="13" t="n">
        <x:v>0</x:v>
      </x:c>
      <x:c r="G870" s="10" t="n">
        <x:v>2</x:v>
      </x:c>
      <x:c r="H870" s="10" t="n">
        <x:v>0</x:v>
      </x:c>
      <x:c r="I870" s="11" t="n">
        <x:f>E870*Rates!$B$4+F870*Rates!$B$5+G870*Rates!$B$6+H870*Rates!$B$7</x:f>
        <x:v>0.002</x:v>
      </x:c>
    </x:row>
    <x:row r="871" ht="24" customHeight="1">
      <x:c r="A871" s="10" t="str">
        <x:v>S08-06</x:v>
      </x:c>
      <x:c r="B871" s="10" t="str">
        <x:v>B</x:v>
      </x:c>
      <x:c r="C871" s="10" t="str">
        <x:v>semantic</x:v>
      </x:c>
      <x:c r="D871" s="10" t="str">
        <x:v>evaluation</x:v>
      </x:c>
      <x:c r="E871" s="13" t="n">
        <x:v>720</x:v>
      </x:c>
      <x:c r="F871" s="13" t="n">
        <x:v>16</x:v>
      </x:c>
      <x:c r="G871" s="10" t="n">
        <x:v>0</x:v>
      </x:c>
      <x:c r="H871" s="10" t="n">
        <x:v>0</x:v>
      </x:c>
      <x:c r="I871" s="11" t="n">
        <x:f>E871*Rates!$B$4+F871*Rates!$B$5+G871*Rates!$B$6+H871*Rates!$B$7</x:f>
        <x:v>0.000784</x:v>
      </x:c>
    </x:row>
    <x:row r="872" ht="24" customHeight="1">
      <x:c r="A872" s="10" t="str">
        <x:v>S08-06</x:v>
      </x:c>
      <x:c r="B872" s="10" t="str">
        <x:v>B</x:v>
      </x:c>
      <x:c r="C872" s="10" t="str">
        <x:v>speech_input</x:v>
      </x:c>
      <x:c r="D872" s="10" t="str">
        <x:v>evaluation</x:v>
      </x:c>
      <x:c r="E872" s="13" t="n">
        <x:v>0</x:v>
      </x:c>
      <x:c r="F872" s="13" t="n">
        <x:v>0</x:v>
      </x:c>
      <x:c r="G872" s="10" t="n">
        <x:v>2</x:v>
      </x:c>
      <x:c r="H872" s="10" t="n">
        <x:v>0</x:v>
      </x:c>
      <x:c r="I872" s="11" t="n">
        <x:f>E872*Rates!$B$4+F872*Rates!$B$5+G872*Rates!$B$6+H872*Rates!$B$7</x:f>
        <x:v>0.002</x:v>
      </x:c>
    </x:row>
    <x:row r="873" ht="24" customHeight="1">
      <x:c r="A873" s="10" t="str">
        <x:v>S08-06</x:v>
      </x:c>
      <x:c r="B873" s="10" t="str">
        <x:v>B</x:v>
      </x:c>
      <x:c r="C873" s="10" t="str">
        <x:v>speech_output</x:v>
      </x:c>
      <x:c r="D873" s="10" t="str">
        <x:v>retained</x:v>
      </x:c>
      <x:c r="E873" s="13" t="n">
        <x:v>126</x:v>
      </x:c>
      <x:c r="F873" s="13" t="n">
        <x:v>0</x:v>
      </x:c>
      <x:c r="G873" s="10" t="n">
        <x:v>0</x:v>
      </x:c>
      <x:c r="H873" s="10" t="n">
        <x:v>2.806</x:v>
      </x:c>
      <x:c r="I873" s="11" t="n">
        <x:f>E873*Rates!$B$4+F873*Rates!$B$5+G873*Rates!$B$6+H873*Rates!$B$7</x:f>
        <x:v>0.005738</x:v>
      </x:c>
    </x:row>
    <x:row r="874" ht="24" customHeight="1">
      <x:c r="A874" s="10" t="str">
        <x:v>S08-07</x:v>
      </x:c>
      <x:c r="B874" s="10" t="str">
        <x:v>A</x:v>
      </x:c>
      <x:c r="C874" s="10" t="str">
        <x:v>semantic</x:v>
      </x:c>
      <x:c r="D874" s="10" t="str">
        <x:v>setup</x:v>
      </x:c>
      <x:c r="E874" s="13" t="n">
        <x:v>600</x:v>
      </x:c>
      <x:c r="F874" s="13" t="n">
        <x:v>16</x:v>
      </x:c>
      <x:c r="G874" s="10" t="n">
        <x:v>0</x:v>
      </x:c>
      <x:c r="H874" s="10" t="n">
        <x:v>0</x:v>
      </x:c>
      <x:c r="I874" s="11" t="n">
        <x:f>E874*Rates!$B$4+F874*Rates!$B$5+G874*Rates!$B$6+H874*Rates!$B$7</x:f>
        <x:v>0.000664</x:v>
      </x:c>
    </x:row>
    <x:row r="875" ht="24" customHeight="1">
      <x:c r="A875" s="10" t="str">
        <x:v>S08-07</x:v>
      </x:c>
      <x:c r="B875" s="10" t="str">
        <x:v>A</x:v>
      </x:c>
      <x:c r="C875" s="10" t="str">
        <x:v>speech_input</x:v>
      </x:c>
      <x:c r="D875" s="10" t="str">
        <x:v>setup</x:v>
      </x:c>
      <x:c r="E875" s="13" t="n">
        <x:v>0</x:v>
      </x:c>
      <x:c r="F875" s="13" t="n">
        <x:v>0</x:v>
      </x:c>
      <x:c r="G875" s="10" t="n">
        <x:v>2</x:v>
      </x:c>
      <x:c r="H875" s="10" t="n">
        <x:v>0</x:v>
      </x:c>
      <x:c r="I875" s="11" t="n">
        <x:f>E875*Rates!$B$4+F875*Rates!$B$5+G875*Rates!$B$6+H875*Rates!$B$7</x:f>
        <x:v>0.002</x:v>
      </x:c>
    </x:row>
    <x:row r="876" ht="24" customHeight="1">
      <x:c r="A876" s="10" t="str">
        <x:v>S08-07</x:v>
      </x:c>
      <x:c r="B876" s="10" t="str">
        <x:v>A</x:v>
      </x:c>
      <x:c r="C876" s="10" t="str">
        <x:v>semantic</x:v>
      </x:c>
      <x:c r="D876" s="10" t="str">
        <x:v>evaluation</x:v>
      </x:c>
      <x:c r="E876" s="13" t="n">
        <x:v>740</x:v>
      </x:c>
      <x:c r="F876" s="13" t="n">
        <x:v>18</x:v>
      </x:c>
      <x:c r="G876" s="10" t="n">
        <x:v>0</x:v>
      </x:c>
      <x:c r="H876" s="10" t="n">
        <x:v>0</x:v>
      </x:c>
      <x:c r="I876" s="11" t="n">
        <x:f>E876*Rates!$B$4+F876*Rates!$B$5+G876*Rates!$B$6+H876*Rates!$B$7</x:f>
        <x:v>0.000812</x:v>
      </x:c>
    </x:row>
    <x:row r="877" ht="24" customHeight="1">
      <x:c r="A877" s="10" t="str">
        <x:v>S08-07</x:v>
      </x:c>
      <x:c r="B877" s="10" t="str">
        <x:v>A</x:v>
      </x:c>
      <x:c r="C877" s="10" t="str">
        <x:v>speech_input</x:v>
      </x:c>
      <x:c r="D877" s="10" t="str">
        <x:v>evaluation</x:v>
      </x:c>
      <x:c r="E877" s="13" t="n">
        <x:v>0</x:v>
      </x:c>
      <x:c r="F877" s="13" t="n">
        <x:v>0</x:v>
      </x:c>
      <x:c r="G877" s="10" t="n">
        <x:v>2</x:v>
      </x:c>
      <x:c r="H877" s="10" t="n">
        <x:v>0</x:v>
      </x:c>
      <x:c r="I877" s="11" t="n">
        <x:f>E877*Rates!$B$4+F877*Rates!$B$5+G877*Rates!$B$6+H877*Rates!$B$7</x:f>
        <x:v>0.002</x:v>
      </x:c>
    </x:row>
    <x:row r="878" ht="24" customHeight="1">
      <x:c r="A878" s="10" t="str">
        <x:v>S08-07</x:v>
      </x:c>
      <x:c r="B878" s="10" t="str">
        <x:v>A</x:v>
      </x:c>
      <x:c r="C878" s="10" t="str">
        <x:v>speech_output</x:v>
      </x:c>
      <x:c r="D878" s="10" t="str">
        <x:v>retained</x:v>
      </x:c>
      <x:c r="E878" s="13" t="n">
        <x:v>126</x:v>
      </x:c>
      <x:c r="F878" s="13" t="n">
        <x:v>0</x:v>
      </x:c>
      <x:c r="G878" s="10" t="n">
        <x:v>0</x:v>
      </x:c>
      <x:c r="H878" s="10" t="n">
        <x:v>2.818</x:v>
      </x:c>
      <x:c r="I878" s="11" t="n">
        <x:f>E878*Rates!$B$4+F878*Rates!$B$5+G878*Rates!$B$6+H878*Rates!$B$7</x:f>
        <x:v>0.005762000000000001</x:v>
      </x:c>
    </x:row>
    <x:row r="879" ht="24" customHeight="1">
      <x:c r="A879" s="10" t="str">
        <x:v>S08-07</x:v>
      </x:c>
      <x:c r="B879" s="10" t="str">
        <x:v>B</x:v>
      </x:c>
      <x:c r="C879" s="10" t="str">
        <x:v>semantic</x:v>
      </x:c>
      <x:c r="D879" s="10" t="str">
        <x:v>setup</x:v>
      </x:c>
      <x:c r="E879" s="13" t="n">
        <x:v>600</x:v>
      </x:c>
      <x:c r="F879" s="13" t="n">
        <x:v>16</x:v>
      </x:c>
      <x:c r="G879" s="10" t="n">
        <x:v>0</x:v>
      </x:c>
      <x:c r="H879" s="10" t="n">
        <x:v>0</x:v>
      </x:c>
      <x:c r="I879" s="11" t="n">
        <x:f>E879*Rates!$B$4+F879*Rates!$B$5+G879*Rates!$B$6+H879*Rates!$B$7</x:f>
        <x:v>0.000664</x:v>
      </x:c>
    </x:row>
    <x:row r="880" ht="24" customHeight="1">
      <x:c r="A880" s="10" t="str">
        <x:v>S08-07</x:v>
      </x:c>
      <x:c r="B880" s="10" t="str">
        <x:v>B</x:v>
      </x:c>
      <x:c r="C880" s="10" t="str">
        <x:v>speech_input</x:v>
      </x:c>
      <x:c r="D880" s="10" t="str">
        <x:v>setup</x:v>
      </x:c>
      <x:c r="E880" s="13" t="n">
        <x:v>0</x:v>
      </x:c>
      <x:c r="F880" s="13" t="n">
        <x:v>0</x:v>
      </x:c>
      <x:c r="G880" s="10" t="n">
        <x:v>2</x:v>
      </x:c>
      <x:c r="H880" s="10" t="n">
        <x:v>0</x:v>
      </x:c>
      <x:c r="I880" s="11" t="n">
        <x:f>E880*Rates!$B$4+F880*Rates!$B$5+G880*Rates!$B$6+H880*Rates!$B$7</x:f>
        <x:v>0.002</x:v>
      </x:c>
    </x:row>
    <x:row r="881" ht="24" customHeight="1">
      <x:c r="A881" s="10" t="str">
        <x:v>S08-07</x:v>
      </x:c>
      <x:c r="B881" s="10" t="str">
        <x:v>B</x:v>
      </x:c>
      <x:c r="C881" s="10" t="str">
        <x:v>semantic</x:v>
      </x:c>
      <x:c r="D881" s="10" t="str">
        <x:v>evaluation</x:v>
      </x:c>
      <x:c r="E881" s="13" t="n">
        <x:v>740</x:v>
      </x:c>
      <x:c r="F881" s="13" t="n">
        <x:v>18</x:v>
      </x:c>
      <x:c r="G881" s="10" t="n">
        <x:v>0</x:v>
      </x:c>
      <x:c r="H881" s="10" t="n">
        <x:v>0</x:v>
      </x:c>
      <x:c r="I881" s="11" t="n">
        <x:f>E881*Rates!$B$4+F881*Rates!$B$5+G881*Rates!$B$6+H881*Rates!$B$7</x:f>
        <x:v>0.000812</x:v>
      </x:c>
    </x:row>
    <x:row r="882" ht="24" customHeight="1">
      <x:c r="A882" s="10" t="str">
        <x:v>S08-07</x:v>
      </x:c>
      <x:c r="B882" s="10" t="str">
        <x:v>B</x:v>
      </x:c>
      <x:c r="C882" s="10" t="str">
        <x:v>speech_input</x:v>
      </x:c>
      <x:c r="D882" s="10" t="str">
        <x:v>evaluation</x:v>
      </x:c>
      <x:c r="E882" s="13" t="n">
        <x:v>0</x:v>
      </x:c>
      <x:c r="F882" s="13" t="n">
        <x:v>0</x:v>
      </x:c>
      <x:c r="G882" s="10" t="n">
        <x:v>2</x:v>
      </x:c>
      <x:c r="H882" s="10" t="n">
        <x:v>0</x:v>
      </x:c>
      <x:c r="I882" s="11" t="n">
        <x:f>E882*Rates!$B$4+F882*Rates!$B$5+G882*Rates!$B$6+H882*Rates!$B$7</x:f>
        <x:v>0.002</x:v>
      </x:c>
    </x:row>
    <x:row r="883" ht="24" customHeight="1">
      <x:c r="A883" s="10" t="str">
        <x:v>S08-07</x:v>
      </x:c>
      <x:c r="B883" s="10" t="str">
        <x:v>B</x:v>
      </x:c>
      <x:c r="C883" s="10" t="str">
        <x:v>speech_output</x:v>
      </x:c>
      <x:c r="D883" s="10" t="str">
        <x:v>retained</x:v>
      </x:c>
      <x:c r="E883" s="13" t="n">
        <x:v>126</x:v>
      </x:c>
      <x:c r="F883" s="13" t="n">
        <x:v>0</x:v>
      </x:c>
      <x:c r="G883" s="10" t="n">
        <x:v>0</x:v>
      </x:c>
      <x:c r="H883" s="10" t="n">
        <x:v>2.818</x:v>
      </x:c>
      <x:c r="I883" s="11" t="n">
        <x:f>E883*Rates!$B$4+F883*Rates!$B$5+G883*Rates!$B$6+H883*Rates!$B$7</x:f>
        <x:v>0.005762000000000001</x:v>
      </x:c>
    </x:row>
    <x:row r="884" ht="24" customHeight="1">
      <x:c r="A884" s="10" t="str">
        <x:v>S08-08</x:v>
      </x:c>
      <x:c r="B884" s="10" t="str">
        <x:v>A</x:v>
      </x:c>
      <x:c r="C884" s="10" t="str">
        <x:v>semantic</x:v>
      </x:c>
      <x:c r="D884" s="10" t="str">
        <x:v>setup</x:v>
      </x:c>
      <x:c r="E884" s="13" t="n">
        <x:v>600</x:v>
      </x:c>
      <x:c r="F884" s="13" t="n">
        <x:v>16</x:v>
      </x:c>
      <x:c r="G884" s="10" t="n">
        <x:v>0</x:v>
      </x:c>
      <x:c r="H884" s="10" t="n">
        <x:v>0</x:v>
      </x:c>
      <x:c r="I884" s="11" t="n">
        <x:f>E884*Rates!$B$4+F884*Rates!$B$5+G884*Rates!$B$6+H884*Rates!$B$7</x:f>
        <x:v>0.000664</x:v>
      </x:c>
    </x:row>
    <x:row r="885" ht="24" customHeight="1">
      <x:c r="A885" s="10" t="str">
        <x:v>S08-08</x:v>
      </x:c>
      <x:c r="B885" s="10" t="str">
        <x:v>A</x:v>
      </x:c>
      <x:c r="C885" s="10" t="str">
        <x:v>speech_input</x:v>
      </x:c>
      <x:c r="D885" s="10" t="str">
        <x:v>setup</x:v>
      </x:c>
      <x:c r="E885" s="13" t="n">
        <x:v>0</x:v>
      </x:c>
      <x:c r="F885" s="13" t="n">
        <x:v>0</x:v>
      </x:c>
      <x:c r="G885" s="10" t="n">
        <x:v>2</x:v>
      </x:c>
      <x:c r="H885" s="10" t="n">
        <x:v>0</x:v>
      </x:c>
      <x:c r="I885" s="11" t="n">
        <x:f>E885*Rates!$B$4+F885*Rates!$B$5+G885*Rates!$B$6+H885*Rates!$B$7</x:f>
        <x:v>0.002</x:v>
      </x:c>
    </x:row>
    <x:row r="886" ht="24" customHeight="1">
      <x:c r="A886" s="10" t="str">
        <x:v>S08-08</x:v>
      </x:c>
      <x:c r="B886" s="10" t="str">
        <x:v>A</x:v>
      </x:c>
      <x:c r="C886" s="10" t="str">
        <x:v>semantic</x:v>
      </x:c>
      <x:c r="D886" s="10" t="str">
        <x:v>evaluation</x:v>
      </x:c>
      <x:c r="E886" s="13" t="n">
        <x:v>760</x:v>
      </x:c>
      <x:c r="F886" s="13" t="n">
        <x:v>20</x:v>
      </x:c>
      <x:c r="G886" s="10" t="n">
        <x:v>0</x:v>
      </x:c>
      <x:c r="H886" s="10" t="n">
        <x:v>0</x:v>
      </x:c>
      <x:c r="I886" s="11" t="n">
        <x:f>E886*Rates!$B$4+F886*Rates!$B$5+G886*Rates!$B$6+H886*Rates!$B$7</x:f>
        <x:v>0.0008399999999999999</x:v>
      </x:c>
    </x:row>
    <x:row r="887" ht="24" customHeight="1">
      <x:c r="A887" s="10" t="str">
        <x:v>S08-08</x:v>
      </x:c>
      <x:c r="B887" s="10" t="str">
        <x:v>A</x:v>
      </x:c>
      <x:c r="C887" s="10" t="str">
        <x:v>speech_input</x:v>
      </x:c>
      <x:c r="D887" s="10" t="str">
        <x:v>evaluation</x:v>
      </x:c>
      <x:c r="E887" s="13" t="n">
        <x:v>0</x:v>
      </x:c>
      <x:c r="F887" s="13" t="n">
        <x:v>0</x:v>
      </x:c>
      <x:c r="G887" s="10" t="n">
        <x:v>2</x:v>
      </x:c>
      <x:c r="H887" s="10" t="n">
        <x:v>0</x:v>
      </x:c>
      <x:c r="I887" s="11" t="n">
        <x:f>E887*Rates!$B$4+F887*Rates!$B$5+G887*Rates!$B$6+H887*Rates!$B$7</x:f>
        <x:v>0.002</x:v>
      </x:c>
    </x:row>
    <x:row r="888" ht="24" customHeight="1">
      <x:c r="A888" s="10" t="str">
        <x:v>S08-08</x:v>
      </x:c>
      <x:c r="B888" s="10" t="str">
        <x:v>A</x:v>
      </x:c>
      <x:c r="C888" s="10" t="str">
        <x:v>speech_output</x:v>
      </x:c>
      <x:c r="D888" s="10" t="str">
        <x:v>retained</x:v>
      </x:c>
      <x:c r="E888" s="13" t="n">
        <x:v>126</x:v>
      </x:c>
      <x:c r="F888" s="13" t="n">
        <x:v>0</x:v>
      </x:c>
      <x:c r="G888" s="10" t="n">
        <x:v>0</x:v>
      </x:c>
      <x:c r="H888" s="10" t="n">
        <x:v>2.83</x:v>
      </x:c>
      <x:c r="I888" s="11" t="n">
        <x:f>E888*Rates!$B$4+F888*Rates!$B$5+G888*Rates!$B$6+H888*Rates!$B$7</x:f>
        <x:v>0.005786</x:v>
      </x:c>
    </x:row>
    <x:row r="889" ht="24" customHeight="1">
      <x:c r="A889" s="10" t="str">
        <x:v>S08-08</x:v>
      </x:c>
      <x:c r="B889" s="10" t="str">
        <x:v>B</x:v>
      </x:c>
      <x:c r="C889" s="10" t="str">
        <x:v>semantic</x:v>
      </x:c>
      <x:c r="D889" s="10" t="str">
        <x:v>setup</x:v>
      </x:c>
      <x:c r="E889" s="13" t="n">
        <x:v>600</x:v>
      </x:c>
      <x:c r="F889" s="13" t="n">
        <x:v>16</x:v>
      </x:c>
      <x:c r="G889" s="10" t="n">
        <x:v>0</x:v>
      </x:c>
      <x:c r="H889" s="10" t="n">
        <x:v>0</x:v>
      </x:c>
      <x:c r="I889" s="11" t="n">
        <x:f>E889*Rates!$B$4+F889*Rates!$B$5+G889*Rates!$B$6+H889*Rates!$B$7</x:f>
        <x:v>0.000664</x:v>
      </x:c>
    </x:row>
    <x:row r="890" ht="24" customHeight="1">
      <x:c r="A890" s="10" t="str">
        <x:v>S08-08</x:v>
      </x:c>
      <x:c r="B890" s="10" t="str">
        <x:v>B</x:v>
      </x:c>
      <x:c r="C890" s="10" t="str">
        <x:v>speech_input</x:v>
      </x:c>
      <x:c r="D890" s="10" t="str">
        <x:v>setup</x:v>
      </x:c>
      <x:c r="E890" s="13" t="n">
        <x:v>0</x:v>
      </x:c>
      <x:c r="F890" s="13" t="n">
        <x:v>0</x:v>
      </x:c>
      <x:c r="G890" s="10" t="n">
        <x:v>2</x:v>
      </x:c>
      <x:c r="H890" s="10" t="n">
        <x:v>0</x:v>
      </x:c>
      <x:c r="I890" s="11" t="n">
        <x:f>E890*Rates!$B$4+F890*Rates!$B$5+G890*Rates!$B$6+H890*Rates!$B$7</x:f>
        <x:v>0.002</x:v>
      </x:c>
    </x:row>
    <x:row r="891" ht="24" customHeight="1">
      <x:c r="A891" s="10" t="str">
        <x:v>S08-08</x:v>
      </x:c>
      <x:c r="B891" s="10" t="str">
        <x:v>B</x:v>
      </x:c>
      <x:c r="C891" s="10" t="str">
        <x:v>semantic</x:v>
      </x:c>
      <x:c r="D891" s="10" t="str">
        <x:v>evaluation</x:v>
      </x:c>
      <x:c r="E891" s="13" t="n">
        <x:v>760</x:v>
      </x:c>
      <x:c r="F891" s="13" t="n">
        <x:v>20</x:v>
      </x:c>
      <x:c r="G891" s="10" t="n">
        <x:v>0</x:v>
      </x:c>
      <x:c r="H891" s="10" t="n">
        <x:v>0</x:v>
      </x:c>
      <x:c r="I891" s="11" t="n">
        <x:f>E891*Rates!$B$4+F891*Rates!$B$5+G891*Rates!$B$6+H891*Rates!$B$7</x:f>
        <x:v>0.0008399999999999999</x:v>
      </x:c>
    </x:row>
    <x:row r="892" ht="24" customHeight="1">
      <x:c r="A892" s="10" t="str">
        <x:v>S08-08</x:v>
      </x:c>
      <x:c r="B892" s="10" t="str">
        <x:v>B</x:v>
      </x:c>
      <x:c r="C892" s="10" t="str">
        <x:v>speech_input</x:v>
      </x:c>
      <x:c r="D892" s="10" t="str">
        <x:v>evaluation</x:v>
      </x:c>
      <x:c r="E892" s="13" t="n">
        <x:v>0</x:v>
      </x:c>
      <x:c r="F892" s="13" t="n">
        <x:v>0</x:v>
      </x:c>
      <x:c r="G892" s="10" t="n">
        <x:v>2</x:v>
      </x:c>
      <x:c r="H892" s="10" t="n">
        <x:v>0</x:v>
      </x:c>
      <x:c r="I892" s="11" t="n">
        <x:f>E892*Rates!$B$4+F892*Rates!$B$5+G892*Rates!$B$6+H892*Rates!$B$7</x:f>
        <x:v>0.002</x:v>
      </x:c>
    </x:row>
    <x:row r="893" ht="24" customHeight="1">
      <x:c r="A893" s="10" t="str">
        <x:v>S08-08</x:v>
      </x:c>
      <x:c r="B893" s="10" t="str">
        <x:v>B</x:v>
      </x:c>
      <x:c r="C893" s="10" t="str">
        <x:v>speech_output</x:v>
      </x:c>
      <x:c r="D893" s="10" t="str">
        <x:v>retained</x:v>
      </x:c>
      <x:c r="E893" s="13" t="n">
        <x:v>126</x:v>
      </x:c>
      <x:c r="F893" s="13" t="n">
        <x:v>0</x:v>
      </x:c>
      <x:c r="G893" s="10" t="n">
        <x:v>0</x:v>
      </x:c>
      <x:c r="H893" s="10" t="n">
        <x:v>2.83</x:v>
      </x:c>
      <x:c r="I893" s="11" t="n">
        <x:f>E893*Rates!$B$4+F893*Rates!$B$5+G893*Rates!$B$6+H893*Rates!$B$7</x:f>
        <x:v>0.005786</x:v>
      </x:c>
    </x:row>
    <x:row r="894" ht="24" customHeight="1">
      <x:c r="A894" s="10" t="str">
        <x:v>S08-09</x:v>
      </x:c>
      <x:c r="B894" s="10" t="str">
        <x:v>A</x:v>
      </x:c>
      <x:c r="C894" s="10" t="str">
        <x:v>semantic</x:v>
      </x:c>
      <x:c r="D894" s="10" t="str">
        <x:v>setup</x:v>
      </x:c>
      <x:c r="E894" s="13" t="n">
        <x:v>600</x:v>
      </x:c>
      <x:c r="F894" s="13" t="n">
        <x:v>16</x:v>
      </x:c>
      <x:c r="G894" s="10" t="n">
        <x:v>0</x:v>
      </x:c>
      <x:c r="H894" s="10" t="n">
        <x:v>0</x:v>
      </x:c>
      <x:c r="I894" s="11" t="n">
        <x:f>E894*Rates!$B$4+F894*Rates!$B$5+G894*Rates!$B$6+H894*Rates!$B$7</x:f>
        <x:v>0.000664</x:v>
      </x:c>
    </x:row>
    <x:row r="895" ht="24" customHeight="1">
      <x:c r="A895" s="10" t="str">
        <x:v>S08-09</x:v>
      </x:c>
      <x:c r="B895" s="10" t="str">
        <x:v>A</x:v>
      </x:c>
      <x:c r="C895" s="10" t="str">
        <x:v>speech_input</x:v>
      </x:c>
      <x:c r="D895" s="10" t="str">
        <x:v>setup</x:v>
      </x:c>
      <x:c r="E895" s="13" t="n">
        <x:v>0</x:v>
      </x:c>
      <x:c r="F895" s="13" t="n">
        <x:v>0</x:v>
      </x:c>
      <x:c r="G895" s="10" t="n">
        <x:v>2</x:v>
      </x:c>
      <x:c r="H895" s="10" t="n">
        <x:v>0</x:v>
      </x:c>
      <x:c r="I895" s="11" t="n">
        <x:f>E895*Rates!$B$4+F895*Rates!$B$5+G895*Rates!$B$6+H895*Rates!$B$7</x:f>
        <x:v>0.002</x:v>
      </x:c>
    </x:row>
    <x:row r="896" ht="24" customHeight="1">
      <x:c r="A896" s="10" t="str">
        <x:v>S08-09</x:v>
      </x:c>
      <x:c r="B896" s="10" t="str">
        <x:v>A</x:v>
      </x:c>
      <x:c r="C896" s="10" t="str">
        <x:v>semantic</x:v>
      </x:c>
      <x:c r="D896" s="10" t="str">
        <x:v>evaluation</x:v>
      </x:c>
      <x:c r="E896" s="13" t="n">
        <x:v>780</x:v>
      </x:c>
      <x:c r="F896" s="13" t="n">
        <x:v>16</x:v>
      </x:c>
      <x:c r="G896" s="10" t="n">
        <x:v>0</x:v>
      </x:c>
      <x:c r="H896" s="10" t="n">
        <x:v>0</x:v>
      </x:c>
      <x:c r="I896" s="11" t="n">
        <x:f>E896*Rates!$B$4+F896*Rates!$B$5+G896*Rates!$B$6+H896*Rates!$B$7</x:f>
        <x:v>0.000844</x:v>
      </x:c>
    </x:row>
    <x:row r="897" ht="24" customHeight="1">
      <x:c r="A897" s="10" t="str">
        <x:v>S08-09</x:v>
      </x:c>
      <x:c r="B897" s="10" t="str">
        <x:v>A</x:v>
      </x:c>
      <x:c r="C897" s="10" t="str">
        <x:v>speech_input</x:v>
      </x:c>
      <x:c r="D897" s="10" t="str">
        <x:v>evaluation</x:v>
      </x:c>
      <x:c r="E897" s="13" t="n">
        <x:v>0</x:v>
      </x:c>
      <x:c r="F897" s="13" t="n">
        <x:v>0</x:v>
      </x:c>
      <x:c r="G897" s="10" t="n">
        <x:v>2</x:v>
      </x:c>
      <x:c r="H897" s="10" t="n">
        <x:v>0</x:v>
      </x:c>
      <x:c r="I897" s="11" t="n">
        <x:f>E897*Rates!$B$4+F897*Rates!$B$5+G897*Rates!$B$6+H897*Rates!$B$7</x:f>
        <x:v>0.002</x:v>
      </x:c>
    </x:row>
    <x:row r="898" ht="24" customHeight="1">
      <x:c r="A898" s="10" t="str">
        <x:v>S08-09</x:v>
      </x:c>
      <x:c r="B898" s="10" t="str">
        <x:v>A</x:v>
      </x:c>
      <x:c r="C898" s="10" t="str">
        <x:v>speech_output</x:v>
      </x:c>
      <x:c r="D898" s="10" t="str">
        <x:v>retained</x:v>
      </x:c>
      <x:c r="E898" s="13" t="n">
        <x:v>126</x:v>
      </x:c>
      <x:c r="F898" s="13" t="n">
        <x:v>0</x:v>
      </x:c>
      <x:c r="G898" s="10" t="n">
        <x:v>0</x:v>
      </x:c>
      <x:c r="H898" s="10" t="n">
        <x:v>2.842</x:v>
      </x:c>
      <x:c r="I898" s="11" t="n">
        <x:f>E898*Rates!$B$4+F898*Rates!$B$5+G898*Rates!$B$6+H898*Rates!$B$7</x:f>
        <x:v>0.005810000000000001</x:v>
      </x:c>
    </x:row>
    <x:row r="899" ht="24" customHeight="1">
      <x:c r="A899" s="10" t="str">
        <x:v>S08-09</x:v>
      </x:c>
      <x:c r="B899" s="10" t="str">
        <x:v>B</x:v>
      </x:c>
      <x:c r="C899" s="10" t="str">
        <x:v>semantic</x:v>
      </x:c>
      <x:c r="D899" s="10" t="str">
        <x:v>setup</x:v>
      </x:c>
      <x:c r="E899" s="13" t="n">
        <x:v>600</x:v>
      </x:c>
      <x:c r="F899" s="13" t="n">
        <x:v>16</x:v>
      </x:c>
      <x:c r="G899" s="10" t="n">
        <x:v>0</x:v>
      </x:c>
      <x:c r="H899" s="10" t="n">
        <x:v>0</x:v>
      </x:c>
      <x:c r="I899" s="11" t="n">
        <x:f>E899*Rates!$B$4+F899*Rates!$B$5+G899*Rates!$B$6+H899*Rates!$B$7</x:f>
        <x:v>0.000664</x:v>
      </x:c>
    </x:row>
    <x:row r="900" ht="24" customHeight="1">
      <x:c r="A900" s="10" t="str">
        <x:v>S08-09</x:v>
      </x:c>
      <x:c r="B900" s="10" t="str">
        <x:v>B</x:v>
      </x:c>
      <x:c r="C900" s="10" t="str">
        <x:v>speech_input</x:v>
      </x:c>
      <x:c r="D900" s="10" t="str">
        <x:v>setup</x:v>
      </x:c>
      <x:c r="E900" s="13" t="n">
        <x:v>0</x:v>
      </x:c>
      <x:c r="F900" s="13" t="n">
        <x:v>0</x:v>
      </x:c>
      <x:c r="G900" s="10" t="n">
        <x:v>2</x:v>
      </x:c>
      <x:c r="H900" s="10" t="n">
        <x:v>0</x:v>
      </x:c>
      <x:c r="I900" s="11" t="n">
        <x:f>E900*Rates!$B$4+F900*Rates!$B$5+G900*Rates!$B$6+H900*Rates!$B$7</x:f>
        <x:v>0.002</x:v>
      </x:c>
    </x:row>
    <x:row r="901" ht="24" customHeight="1">
      <x:c r="A901" s="10" t="str">
        <x:v>S08-09</x:v>
      </x:c>
      <x:c r="B901" s="10" t="str">
        <x:v>B</x:v>
      </x:c>
      <x:c r="C901" s="10" t="str">
        <x:v>semantic</x:v>
      </x:c>
      <x:c r="D901" s="10" t="str">
        <x:v>evaluation</x:v>
      </x:c>
      <x:c r="E901" s="13" t="n">
        <x:v>780</x:v>
      </x:c>
      <x:c r="F901" s="13" t="n">
        <x:v>16</x:v>
      </x:c>
      <x:c r="G901" s="10" t="n">
        <x:v>0</x:v>
      </x:c>
      <x:c r="H901" s="10" t="n">
        <x:v>0</x:v>
      </x:c>
      <x:c r="I901" s="11" t="n">
        <x:f>E901*Rates!$B$4+F901*Rates!$B$5+G901*Rates!$B$6+H901*Rates!$B$7</x:f>
        <x:v>0.000844</x:v>
      </x:c>
    </x:row>
    <x:row r="902" ht="24" customHeight="1">
      <x:c r="A902" s="10" t="str">
        <x:v>S08-09</x:v>
      </x:c>
      <x:c r="B902" s="10" t="str">
        <x:v>B</x:v>
      </x:c>
      <x:c r="C902" s="10" t="str">
        <x:v>speech_input</x:v>
      </x:c>
      <x:c r="D902" s="10" t="str">
        <x:v>evaluation</x:v>
      </x:c>
      <x:c r="E902" s="13" t="n">
        <x:v>0</x:v>
      </x:c>
      <x:c r="F902" s="13" t="n">
        <x:v>0</x:v>
      </x:c>
      <x:c r="G902" s="10" t="n">
        <x:v>2</x:v>
      </x:c>
      <x:c r="H902" s="10" t="n">
        <x:v>0</x:v>
      </x:c>
      <x:c r="I902" s="11" t="n">
        <x:f>E902*Rates!$B$4+F902*Rates!$B$5+G902*Rates!$B$6+H902*Rates!$B$7</x:f>
        <x:v>0.002</x:v>
      </x:c>
    </x:row>
    <x:row r="903" ht="24" customHeight="1">
      <x:c r="A903" s="10" t="str">
        <x:v>S08-09</x:v>
      </x:c>
      <x:c r="B903" s="10" t="str">
        <x:v>B</x:v>
      </x:c>
      <x:c r="C903" s="10" t="str">
        <x:v>speech_output</x:v>
      </x:c>
      <x:c r="D903" s="10" t="str">
        <x:v>retained</x:v>
      </x:c>
      <x:c r="E903" s="13" t="n">
        <x:v>126</x:v>
      </x:c>
      <x:c r="F903" s="13" t="n">
        <x:v>0</x:v>
      </x:c>
      <x:c r="G903" s="10" t="n">
        <x:v>0</x:v>
      </x:c>
      <x:c r="H903" s="10" t="n">
        <x:v>2.842</x:v>
      </x:c>
      <x:c r="I903" s="11" t="n">
        <x:f>E903*Rates!$B$4+F903*Rates!$B$5+G903*Rates!$B$6+H903*Rates!$B$7</x:f>
        <x:v>0.005810000000000001</x:v>
      </x:c>
    </x:row>
    <x:row r="904" ht="24" customHeight="1">
      <x:c r="A904" s="10" t="str">
        <x:v>S08-10</x:v>
      </x:c>
      <x:c r="B904" s="10" t="str">
        <x:v>A</x:v>
      </x:c>
      <x:c r="C904" s="10" t="str">
        <x:v>semantic</x:v>
      </x:c>
      <x:c r="D904" s="10" t="str">
        <x:v>setup</x:v>
      </x:c>
      <x:c r="E904" s="13" t="n">
        <x:v>600</x:v>
      </x:c>
      <x:c r="F904" s="13" t="n">
        <x:v>16</x:v>
      </x:c>
      <x:c r="G904" s="10" t="n">
        <x:v>0</x:v>
      </x:c>
      <x:c r="H904" s="10" t="n">
        <x:v>0</x:v>
      </x:c>
      <x:c r="I904" s="11" t="n">
        <x:f>E904*Rates!$B$4+F904*Rates!$B$5+G904*Rates!$B$6+H904*Rates!$B$7</x:f>
        <x:v>0.000664</x:v>
      </x:c>
    </x:row>
    <x:row r="905" ht="24" customHeight="1">
      <x:c r="A905" s="10" t="str">
        <x:v>S08-10</x:v>
      </x:c>
      <x:c r="B905" s="10" t="str">
        <x:v>A</x:v>
      </x:c>
      <x:c r="C905" s="10" t="str">
        <x:v>speech_input</x:v>
      </x:c>
      <x:c r="D905" s="10" t="str">
        <x:v>setup</x:v>
      </x:c>
      <x:c r="E905" s="13" t="n">
        <x:v>0</x:v>
      </x:c>
      <x:c r="F905" s="13" t="n">
        <x:v>0</x:v>
      </x:c>
      <x:c r="G905" s="10" t="n">
        <x:v>2</x:v>
      </x:c>
      <x:c r="H905" s="10" t="n">
        <x:v>0</x:v>
      </x:c>
      <x:c r="I905" s="11" t="n">
        <x:f>E905*Rates!$B$4+F905*Rates!$B$5+G905*Rates!$B$6+H905*Rates!$B$7</x:f>
        <x:v>0.002</x:v>
      </x:c>
    </x:row>
    <x:row r="906" ht="24" customHeight="1">
      <x:c r="A906" s="10" t="str">
        <x:v>S08-10</x:v>
      </x:c>
      <x:c r="B906" s="10" t="str">
        <x:v>A</x:v>
      </x:c>
      <x:c r="C906" s="10" t="str">
        <x:v>semantic</x:v>
      </x:c>
      <x:c r="D906" s="10" t="str">
        <x:v>evaluation</x:v>
      </x:c>
      <x:c r="E906" s="13" t="n">
        <x:v>800</x:v>
      </x:c>
      <x:c r="F906" s="13" t="n">
        <x:v>18</x:v>
      </x:c>
      <x:c r="G906" s="10" t="n">
        <x:v>0</x:v>
      </x:c>
      <x:c r="H906" s="10" t="n">
        <x:v>0</x:v>
      </x:c>
      <x:c r="I906" s="11" t="n">
        <x:f>E906*Rates!$B$4+F906*Rates!$B$5+G906*Rates!$B$6+H906*Rates!$B$7</x:f>
        <x:v>0.0008719999999999999</x:v>
      </x:c>
    </x:row>
    <x:row r="907" ht="24" customHeight="1">
      <x:c r="A907" s="10" t="str">
        <x:v>S08-10</x:v>
      </x:c>
      <x:c r="B907" s="10" t="str">
        <x:v>A</x:v>
      </x:c>
      <x:c r="C907" s="10" t="str">
        <x:v>speech_input</x:v>
      </x:c>
      <x:c r="D907" s="10" t="str">
        <x:v>evaluation</x:v>
      </x:c>
      <x:c r="E907" s="13" t="n">
        <x:v>0</x:v>
      </x:c>
      <x:c r="F907" s="13" t="n">
        <x:v>0</x:v>
      </x:c>
      <x:c r="G907" s="10" t="n">
        <x:v>2</x:v>
      </x:c>
      <x:c r="H907" s="10" t="n">
        <x:v>0</x:v>
      </x:c>
      <x:c r="I907" s="11" t="n">
        <x:f>E907*Rates!$B$4+F907*Rates!$B$5+G907*Rates!$B$6+H907*Rates!$B$7</x:f>
        <x:v>0.002</x:v>
      </x:c>
    </x:row>
    <x:row r="908" ht="24" customHeight="1">
      <x:c r="A908" s="10" t="str">
        <x:v>S08-10</x:v>
      </x:c>
      <x:c r="B908" s="10" t="str">
        <x:v>A</x:v>
      </x:c>
      <x:c r="C908" s="10" t="str">
        <x:v>speech_output</x:v>
      </x:c>
      <x:c r="D908" s="10" t="str">
        <x:v>retained</x:v>
      </x:c>
      <x:c r="E908" s="13" t="n">
        <x:v>126</x:v>
      </x:c>
      <x:c r="F908" s="13" t="n">
        <x:v>0</x:v>
      </x:c>
      <x:c r="G908" s="10" t="n">
        <x:v>0</x:v>
      </x:c>
      <x:c r="H908" s="10" t="n">
        <x:v>2.854</x:v>
      </x:c>
      <x:c r="I908" s="11" t="n">
        <x:f>E908*Rates!$B$4+F908*Rates!$B$5+G908*Rates!$B$6+H908*Rates!$B$7</x:f>
        <x:v>0.005834000000000001</x:v>
      </x:c>
    </x:row>
    <x:row r="909" ht="24" customHeight="1">
      <x:c r="A909" s="10" t="str">
        <x:v>S08-10</x:v>
      </x:c>
      <x:c r="B909" s="10" t="str">
        <x:v>B</x:v>
      </x:c>
      <x:c r="C909" s="10" t="str">
        <x:v>semantic</x:v>
      </x:c>
      <x:c r="D909" s="10" t="str">
        <x:v>setup</x:v>
      </x:c>
      <x:c r="E909" s="13" t="n">
        <x:v>600</x:v>
      </x:c>
      <x:c r="F909" s="13" t="n">
        <x:v>16</x:v>
      </x:c>
      <x:c r="G909" s="10" t="n">
        <x:v>0</x:v>
      </x:c>
      <x:c r="H909" s="10" t="n">
        <x:v>0</x:v>
      </x:c>
      <x:c r="I909" s="11" t="n">
        <x:f>E909*Rates!$B$4+F909*Rates!$B$5+G909*Rates!$B$6+H909*Rates!$B$7</x:f>
        <x:v>0.000664</x:v>
      </x:c>
    </x:row>
    <x:row r="910" ht="24" customHeight="1">
      <x:c r="A910" s="10" t="str">
        <x:v>S08-10</x:v>
      </x:c>
      <x:c r="B910" s="10" t="str">
        <x:v>B</x:v>
      </x:c>
      <x:c r="C910" s="10" t="str">
        <x:v>speech_input</x:v>
      </x:c>
      <x:c r="D910" s="10" t="str">
        <x:v>setup</x:v>
      </x:c>
      <x:c r="E910" s="13" t="n">
        <x:v>0</x:v>
      </x:c>
      <x:c r="F910" s="13" t="n">
        <x:v>0</x:v>
      </x:c>
      <x:c r="G910" s="10" t="n">
        <x:v>2</x:v>
      </x:c>
      <x:c r="H910" s="10" t="n">
        <x:v>0</x:v>
      </x:c>
      <x:c r="I910" s="11" t="n">
        <x:f>E910*Rates!$B$4+F910*Rates!$B$5+G910*Rates!$B$6+H910*Rates!$B$7</x:f>
        <x:v>0.002</x:v>
      </x:c>
    </x:row>
    <x:row r="911" ht="24" customHeight="1">
      <x:c r="A911" s="10" t="str">
        <x:v>S08-10</x:v>
      </x:c>
      <x:c r="B911" s="10" t="str">
        <x:v>B</x:v>
      </x:c>
      <x:c r="C911" s="10" t="str">
        <x:v>semantic</x:v>
      </x:c>
      <x:c r="D911" s="10" t="str">
        <x:v>evaluation</x:v>
      </x:c>
      <x:c r="E911" s="13" t="n">
        <x:v>800</x:v>
      </x:c>
      <x:c r="F911" s="13" t="n">
        <x:v>18</x:v>
      </x:c>
      <x:c r="G911" s="10" t="n">
        <x:v>0</x:v>
      </x:c>
      <x:c r="H911" s="10" t="n">
        <x:v>0</x:v>
      </x:c>
      <x:c r="I911" s="11" t="n">
        <x:f>E911*Rates!$B$4+F911*Rates!$B$5+G911*Rates!$B$6+H911*Rates!$B$7</x:f>
        <x:v>0.0008719999999999999</x:v>
      </x:c>
    </x:row>
    <x:row r="912" ht="24" customHeight="1">
      <x:c r="A912" s="10" t="str">
        <x:v>S08-10</x:v>
      </x:c>
      <x:c r="B912" s="10" t="str">
        <x:v>B</x:v>
      </x:c>
      <x:c r="C912" s="10" t="str">
        <x:v>speech_input</x:v>
      </x:c>
      <x:c r="D912" s="10" t="str">
        <x:v>evaluation</x:v>
      </x:c>
      <x:c r="E912" s="13" t="n">
        <x:v>0</x:v>
      </x:c>
      <x:c r="F912" s="13" t="n">
        <x:v>0</x:v>
      </x:c>
      <x:c r="G912" s="10" t="n">
        <x:v>2</x:v>
      </x:c>
      <x:c r="H912" s="10" t="n">
        <x:v>0</x:v>
      </x:c>
      <x:c r="I912" s="11" t="n">
        <x:f>E912*Rates!$B$4+F912*Rates!$B$5+G912*Rates!$B$6+H912*Rates!$B$7</x:f>
        <x:v>0.002</x:v>
      </x:c>
    </x:row>
    <x:row r="913" ht="24" customHeight="1">
      <x:c r="A913" s="10" t="str">
        <x:v>S08-10</x:v>
      </x:c>
      <x:c r="B913" s="10" t="str">
        <x:v>B</x:v>
      </x:c>
      <x:c r="C913" s="10" t="str">
        <x:v>speech_output</x:v>
      </x:c>
      <x:c r="D913" s="10" t="str">
        <x:v>retained</x:v>
      </x:c>
      <x:c r="E913" s="13" t="n">
        <x:v>126</x:v>
      </x:c>
      <x:c r="F913" s="13" t="n">
        <x:v>0</x:v>
      </x:c>
      <x:c r="G913" s="10" t="n">
        <x:v>0</x:v>
      </x:c>
      <x:c r="H913" s="10" t="n">
        <x:v>2.854</x:v>
      </x:c>
      <x:c r="I913" s="11" t="n">
        <x:f>E913*Rates!$B$4+F913*Rates!$B$5+G913*Rates!$B$6+H913*Rates!$B$7</x:f>
        <x:v>0.005834000000000001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9755ab27e76462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3" t="str">
        <x:v>같은 시각의 로컬 RAM 합계</x:v>
      </x:c>
      <x:c r="B1" s="3"/>
      <x:c r="C1" s="3"/>
      <x:c r="D1" s="3"/>
      <x:c r="E1" s="3"/>
      <x:c r="F1" s="3"/>
      <x:c r="G1" s="3"/>
    </x:row>
    <x:row r="2" ht="28" customHeight="1">
      <x:c r="A2" s="4" t="str">
        <x:v>작성 가정 기반 합성 자료. 원본: synthetic-data.json. 실제 모델 실행 및 제품 시험 아님.</x:v>
      </x:c>
      <x:c r="B2" s="4"/>
      <x:c r="C2" s="4"/>
      <x:c r="D2" s="4"/>
      <x:c r="E2" s="4"/>
      <x:c r="F2" s="4"/>
      <x:c r="G2" s="4"/>
    </x:row>
    <x:row r="3" ht="34" customHeight="1">
      <x:c r="A3" s="8" t="str">
        <x:v>사례</x:v>
      </x:c>
      <x:c r="B3" s="8" t="str">
        <x:v>안</x:v>
      </x:c>
      <x:c r="C3" s="8" t="str">
        <x:v>시각 초</x:v>
      </x:c>
      <x:c r="D3" s="8" t="str">
        <x:v>공통 MB</x:v>
      </x:c>
      <x:c r="E3" s="8" t="str">
        <x:v>audio MB</x:v>
      </x:c>
      <x:c r="F3" s="8" t="str">
        <x:v>metadata MB</x:v>
      </x:c>
      <x:c r="G3" s="8" t="str">
        <x:v>합계 MB</x:v>
      </x:c>
    </x:row>
    <x:row r="4" ht="24" customHeight="1">
      <x:c r="A4" s="10" t="str">
        <x:v>S01-01</x:v>
      </x:c>
      <x:c r="B4" s="10" t="str">
        <x:v>A</x:v>
      </x:c>
      <x:c r="C4" s="18" t="n">
        <x:v>-6.0000001</x:v>
      </x:c>
      <x:c r="D4" s="10" t="n">
        <x:v>560</x:v>
      </x:c>
      <x:c r="E4" s="10" t="n">
        <x:v>0</x:v>
      </x:c>
      <x:c r="F4" s="10" t="n">
        <x:v>0</x:v>
      </x:c>
      <x:c r="G4" s="10" t="n">
        <x:f>SUM(D4:F4)</x:f>
        <x:v>560</x:v>
      </x:c>
    </x:row>
    <x:row r="5" ht="24" customHeight="1">
      <x:c r="A5" s="10" t="str">
        <x:v>S01-01</x:v>
      </x:c>
      <x:c r="B5" s="10" t="str">
        <x:v>A</x:v>
      </x:c>
      <x:c r="C5" s="18" t="n">
        <x:v>-6</x:v>
      </x:c>
      <x:c r="D5" s="10" t="n">
        <x:v>560</x:v>
      </x:c>
      <x:c r="E5" s="10" t="n">
        <x:v>0</x:v>
      </x:c>
      <x:c r="F5" s="10" t="n">
        <x:v>0</x:v>
      </x:c>
      <x:c r="G5" s="10" t="n">
        <x:f>SUM(D5:F5)</x:f>
        <x:v>560</x:v>
      </x:c>
    </x:row>
    <x:row r="6" ht="24" customHeight="1">
      <x:c r="A6" s="10" t="str">
        <x:v>S01-01</x:v>
      </x:c>
      <x:c r="B6" s="10" t="str">
        <x:v>A</x:v>
      </x:c>
      <x:c r="C6" s="18" t="n">
        <x:v>-5.9999999</x:v>
      </x:c>
      <x:c r="D6" s="10" t="n">
        <x:v>560</x:v>
      </x:c>
      <x:c r="E6" s="10" t="n">
        <x:v>0</x:v>
      </x:c>
      <x:c r="F6" s="10" t="n">
        <x:v>0</x:v>
      </x:c>
      <x:c r="G6" s="10" t="n">
        <x:f>SUM(D6:F6)</x:f>
        <x:v>560</x:v>
      </x:c>
    </x:row>
    <x:row r="7" ht="24" customHeight="1">
      <x:c r="A7" s="10" t="str">
        <x:v>S01-01</x:v>
      </x:c>
      <x:c r="B7" s="10" t="str">
        <x:v>A</x:v>
      </x:c>
      <x:c r="C7" s="18" t="n">
        <x:v>-1e-7</x:v>
      </x:c>
      <x:c r="D7" s="10" t="n">
        <x:v>560</x:v>
      </x:c>
      <x:c r="E7" s="10" t="n">
        <x:v>0</x:v>
      </x:c>
      <x:c r="F7" s="10" t="n">
        <x:v>0</x:v>
      </x:c>
      <x:c r="G7" s="10" t="n">
        <x:f>SUM(D7:F7)</x:f>
        <x:v>560</x:v>
      </x:c>
    </x:row>
    <x:row r="8" ht="24" customHeight="1">
      <x:c r="A8" s="10" t="str">
        <x:v>S01-01</x:v>
      </x:c>
      <x:c r="B8" s="10" t="str">
        <x:v>A</x:v>
      </x:c>
      <x:c r="C8" s="18" t="n">
        <x:v>0</x:v>
      </x:c>
      <x:c r="D8" s="10" t="n">
        <x:v>560</x:v>
      </x:c>
      <x:c r="E8" s="10" t="n">
        <x:v>0</x:v>
      </x:c>
      <x:c r="F8" s="10" t="n">
        <x:v>0</x:v>
      </x:c>
      <x:c r="G8" s="10" t="n">
        <x:f>SUM(D8:F8)</x:f>
        <x:v>560</x:v>
      </x:c>
    </x:row>
    <x:row r="9" ht="24" customHeight="1">
      <x:c r="A9" s="10" t="str">
        <x:v>S01-01</x:v>
      </x:c>
      <x:c r="B9" s="10" t="str">
        <x:v>A</x:v>
      </x:c>
      <x:c r="C9" s="18" t="n">
        <x:v>1e-7</x:v>
      </x:c>
      <x:c r="D9" s="10" t="n">
        <x:v>560</x:v>
      </x:c>
      <x:c r="E9" s="10" t="n">
        <x:v>0</x:v>
      </x:c>
      <x:c r="F9" s="10" t="n">
        <x:v>0</x:v>
      </x:c>
      <x:c r="G9" s="10" t="n">
        <x:f>SUM(D9:F9)</x:f>
        <x:v>560</x:v>
      </x:c>
    </x:row>
    <x:row r="10" ht="24" customHeight="1">
      <x:c r="A10" s="10" t="str">
        <x:v>S01-01</x:v>
      </x:c>
      <x:c r="B10" s="10" t="str">
        <x:v>A</x:v>
      </x:c>
      <x:c r="C10" s="18" t="n">
        <x:v>0.868333233</x:v>
      </x:c>
      <x:c r="D10" s="10" t="n">
        <x:v>560</x:v>
      </x:c>
      <x:c r="E10" s="10" t="n">
        <x:v>0</x:v>
      </x:c>
      <x:c r="F10" s="10" t="n">
        <x:v>0</x:v>
      </x:c>
      <x:c r="G10" s="10" t="n">
        <x:f>SUM(D10:F10)</x:f>
        <x:v>560</x:v>
      </x:c>
    </x:row>
    <x:row r="11" ht="24" customHeight="1">
      <x:c r="A11" s="10" t="str">
        <x:v>S01-01</x:v>
      </x:c>
      <x:c r="B11" s="10" t="str">
        <x:v>A</x:v>
      </x:c>
      <x:c r="C11" s="18" t="n">
        <x:v>0.868333333</x:v>
      </x:c>
      <x:c r="D11" s="10" t="n">
        <x:v>560</x:v>
      </x:c>
      <x:c r="E11" s="10" t="n">
        <x:v>0</x:v>
      </x:c>
      <x:c r="F11" s="10" t="n">
        <x:v>0.004096</x:v>
      </x:c>
      <x:c r="G11" s="10" t="n">
        <x:f>SUM(D11:F11)</x:f>
        <x:v>560.004096</x:v>
      </x:c>
    </x:row>
    <x:row r="12" ht="24" customHeight="1">
      <x:c r="A12" s="10" t="str">
        <x:v>S01-01</x:v>
      </x:c>
      <x:c r="B12" s="10" t="str">
        <x:v>A</x:v>
      </x:c>
      <x:c r="C12" s="18" t="n">
        <x:v>0.868333433</x:v>
      </x:c>
      <x:c r="D12" s="10" t="n">
        <x:v>560</x:v>
      </x:c>
      <x:c r="E12" s="10" t="n">
        <x:v>0</x:v>
      </x:c>
      <x:c r="F12" s="10" t="n">
        <x:v>0.004096</x:v>
      </x:c>
      <x:c r="G12" s="10" t="n">
        <x:f>SUM(D12:F12)</x:f>
        <x:v>560.004096</x:v>
      </x:c>
    </x:row>
    <x:row r="13" ht="24" customHeight="1">
      <x:c r="A13" s="10" t="str">
        <x:v>S01-01</x:v>
      </x:c>
      <x:c r="B13" s="10" t="str">
        <x:v>A</x:v>
      </x:c>
      <x:c r="C13" s="18" t="n">
        <x:v>1.2729999</x:v>
      </x:c>
      <x:c r="D13" s="10" t="n">
        <x:v>560</x:v>
      </x:c>
      <x:c r="E13" s="10" t="n">
        <x:v>0</x:v>
      </x:c>
      <x:c r="F13" s="10" t="n">
        <x:v>0.004096</x:v>
      </x:c>
      <x:c r="G13" s="10" t="n">
        <x:f>SUM(D13:F13)</x:f>
        <x:v>560.004096</x:v>
      </x:c>
    </x:row>
    <x:row r="14" ht="24" customHeight="1">
      <x:c r="A14" s="10" t="str">
        <x:v>S01-01</x:v>
      </x:c>
      <x:c r="B14" s="10" t="str">
        <x:v>A</x:v>
      </x:c>
      <x:c r="C14" s="18" t="n">
        <x:v>1.273</x:v>
      </x:c>
      <x:c r="D14" s="10" t="n">
        <x:v>560</x:v>
      </x:c>
      <x:c r="E14" s="10" t="n">
        <x:v>0.0096</x:v>
      </x:c>
      <x:c r="F14" s="10" t="n">
        <x:v>0.004096</x:v>
      </x:c>
      <x:c r="G14" s="10" t="n">
        <x:f>SUM(D14:F14)</x:f>
        <x:v>560.013696</x:v>
      </x:c>
    </x:row>
    <x:row r="15" ht="24" customHeight="1">
      <x:c r="A15" s="10" t="str">
        <x:v>S01-01</x:v>
      </x:c>
      <x:c r="B15" s="10" t="str">
        <x:v>A</x:v>
      </x:c>
      <x:c r="C15" s="18" t="n">
        <x:v>1.2730001</x:v>
      </x:c>
      <x:c r="D15" s="10" t="n">
        <x:v>560</x:v>
      </x:c>
      <x:c r="E15" s="10" t="n">
        <x:v>0.009600019</x:v>
      </x:c>
      <x:c r="F15" s="10" t="n">
        <x:v>0.004096</x:v>
      </x:c>
      <x:c r="G15" s="10" t="n">
        <x:f>SUM(D15:F15)</x:f>
        <x:v>560.013696019</x:v>
      </x:c>
    </x:row>
    <x:row r="16" ht="24" customHeight="1">
      <x:c r="A16" s="10" t="str">
        <x:v>S01-01</x:v>
      </x:c>
      <x:c r="B16" s="10" t="str">
        <x:v>A</x:v>
      </x:c>
      <x:c r="C16" s="18" t="n">
        <x:v>1.3129999</x:v>
      </x:c>
      <x:c r="D16" s="10" t="n">
        <x:v>560</x:v>
      </x:c>
      <x:c r="E16" s="10" t="n">
        <x:v>0.017279981</x:v>
      </x:c>
      <x:c r="F16" s="10" t="n">
        <x:v>0.004096</x:v>
      </x:c>
      <x:c r="G16" s="10" t="n">
        <x:f>SUM(D16:F16)</x:f>
        <x:v>560.021375981</x:v>
      </x:c>
    </x:row>
    <x:row r="17" ht="24" customHeight="1">
      <x:c r="A17" s="10" t="str">
        <x:v>S01-01</x:v>
      </x:c>
      <x:c r="B17" s="10" t="str">
        <x:v>A</x:v>
      </x:c>
      <x:c r="C17" s="18" t="n">
        <x:v>1.313</x:v>
      </x:c>
      <x:c r="D17" s="10" t="n">
        <x:v>560</x:v>
      </x:c>
      <x:c r="E17" s="10" t="n">
        <x:v>0.01728</x:v>
      </x:c>
      <x:c r="F17" s="10" t="n">
        <x:v>0.004096</x:v>
      </x:c>
      <x:c r="G17" s="10" t="n">
        <x:f>SUM(D17:F17)</x:f>
        <x:v>560.021376</x:v>
      </x:c>
    </x:row>
    <x:row r="18" ht="24" customHeight="1">
      <x:c r="A18" s="10" t="str">
        <x:v>S01-01</x:v>
      </x:c>
      <x:c r="B18" s="10" t="str">
        <x:v>A</x:v>
      </x:c>
      <x:c r="C18" s="18" t="n">
        <x:v>1.3130001</x:v>
      </x:c>
      <x:c r="D18" s="10" t="n">
        <x:v>560</x:v>
      </x:c>
      <x:c r="E18" s="10" t="n">
        <x:v>0.017280014</x:v>
      </x:c>
      <x:c r="F18" s="10" t="n">
        <x:v>0.004096</x:v>
      </x:c>
      <x:c r="G18" s="10" t="n">
        <x:f>SUM(D18:F18)</x:f>
        <x:v>560.021376014</x:v>
      </x:c>
    </x:row>
    <x:row r="19" ht="24" customHeight="1">
      <x:c r="A19" s="10" t="str">
        <x:v>S01-01</x:v>
      </x:c>
      <x:c r="B19" s="10" t="str">
        <x:v>A</x:v>
      </x:c>
      <x:c r="C19" s="18" t="n">
        <x:v>1.9594999</x:v>
      </x:c>
      <x:c r="D19" s="10" t="n">
        <x:v>560</x:v>
      </x:c>
      <x:c r="E19" s="10" t="n">
        <x:v>0.110375986</x:v>
      </x:c>
      <x:c r="F19" s="10" t="n">
        <x:v>0.004096</x:v>
      </x:c>
      <x:c r="G19" s="10" t="n">
        <x:f>SUM(D19:F19)</x:f>
        <x:v>560.114471986</x:v>
      </x:c>
    </x:row>
    <x:row r="20" ht="24" customHeight="1">
      <x:c r="A20" s="10" t="str">
        <x:v>S01-01</x:v>
      </x:c>
      <x:c r="B20" s="10" t="str">
        <x:v>A</x:v>
      </x:c>
      <x:c r="C20" s="18" t="n">
        <x:v>1.9595</x:v>
      </x:c>
      <x:c r="D20" s="10" t="n">
        <x:v>560</x:v>
      </x:c>
      <x:c r="E20" s="10" t="n">
        <x:v>0.110376</x:v>
      </x:c>
      <x:c r="F20" s="10" t="n">
        <x:v>0.004096</x:v>
      </x:c>
      <x:c r="G20" s="10" t="n">
        <x:f>SUM(D20:F20)</x:f>
        <x:v>560.114472</x:v>
      </x:c>
    </x:row>
    <x:row r="21" ht="24" customHeight="1">
      <x:c r="A21" s="10" t="str">
        <x:v>S01-01</x:v>
      </x:c>
      <x:c r="B21" s="10" t="str">
        <x:v>A</x:v>
      </x:c>
      <x:c r="C21" s="18" t="n">
        <x:v>1.9595001</x:v>
      </x:c>
      <x:c r="D21" s="10" t="n">
        <x:v>560</x:v>
      </x:c>
      <x:c r="E21" s="10" t="n">
        <x:v>0.110375995</x:v>
      </x:c>
      <x:c r="F21" s="10" t="n">
        <x:v>0.004096</x:v>
      </x:c>
      <x:c r="G21" s="10" t="n">
        <x:f>SUM(D21:F21)</x:f>
        <x:v>560.114471995</x:v>
      </x:c>
    </x:row>
    <x:row r="22" ht="24" customHeight="1">
      <x:c r="A22" s="10" t="str">
        <x:v>S01-01</x:v>
      </x:c>
      <x:c r="B22" s="10" t="str">
        <x:v>A</x:v>
      </x:c>
      <x:c r="C22" s="18" t="n">
        <x:v>4.258999899</x:v>
      </x:c>
      <x:c r="D22" s="10" t="n">
        <x:v>560</x:v>
      </x:c>
      <x:c r="E22" s="10" t="n">
        <x:v>5e-9</x:v>
      </x:c>
      <x:c r="F22" s="10" t="n">
        <x:v>0.004096</x:v>
      </x:c>
      <x:c r="G22" s="10" t="n">
        <x:f>SUM(D22:F22)</x:f>
        <x:v>560.004096005</x:v>
      </x:c>
    </x:row>
    <x:row r="23" ht="24" customHeight="1">
      <x:c r="A23" s="10" t="str">
        <x:v>S01-01</x:v>
      </x:c>
      <x:c r="B23" s="10" t="str">
        <x:v>A</x:v>
      </x:c>
      <x:c r="C23" s="18" t="n">
        <x:v>4.258999999</x:v>
      </x:c>
      <x:c r="D23" s="10" t="n">
        <x:v>560</x:v>
      </x:c>
      <x:c r="E23" s="10" t="n">
        <x:v>0</x:v>
      </x:c>
      <x:c r="F23" s="10" t="n">
        <x:v>0.004096</x:v>
      </x:c>
      <x:c r="G23" s="10" t="n">
        <x:f>SUM(D23:F23)</x:f>
        <x:v>560.004096</x:v>
      </x:c>
    </x:row>
    <x:row r="24" ht="24" customHeight="1">
      <x:c r="A24" s="10" t="str">
        <x:v>S01-01</x:v>
      </x:c>
      <x:c r="B24" s="10" t="str">
        <x:v>A</x:v>
      </x:c>
      <x:c r="C24" s="18" t="n">
        <x:v>4.259000099</x:v>
      </x:c>
      <x:c r="D24" s="10" t="n">
        <x:v>560</x:v>
      </x:c>
      <x:c r="E24" s="10" t="n">
        <x:v>0</x:v>
      </x:c>
      <x:c r="F24" s="10" t="n">
        <x:v>0</x:v>
      </x:c>
      <x:c r="G24" s="10" t="n">
        <x:f>SUM(D24:F24)</x:f>
        <x:v>560</x:v>
      </x:c>
    </x:row>
    <x:row r="25" ht="24" customHeight="1">
      <x:c r="A25" s="10" t="str">
        <x:v>S01-01</x:v>
      </x:c>
      <x:c r="B25" s="10" t="str">
        <x:v>B</x:v>
      </x:c>
      <x:c r="C25" s="18" t="n">
        <x:v>-6.0000001</x:v>
      </x:c>
      <x:c r="D25" s="10" t="n">
        <x:v>560</x:v>
      </x:c>
      <x:c r="E25" s="10" t="n">
        <x:v>0</x:v>
      </x:c>
      <x:c r="F25" s="10" t="n">
        <x:v>0</x:v>
      </x:c>
      <x:c r="G25" s="10" t="n">
        <x:f>SUM(D25:F25)</x:f>
        <x:v>560</x:v>
      </x:c>
    </x:row>
    <x:row r="26" ht="24" customHeight="1">
      <x:c r="A26" s="10" t="str">
        <x:v>S01-01</x:v>
      </x:c>
      <x:c r="B26" s="10" t="str">
        <x:v>B</x:v>
      </x:c>
      <x:c r="C26" s="18" t="n">
        <x:v>-6</x:v>
      </x:c>
      <x:c r="D26" s="10" t="n">
        <x:v>560</x:v>
      </x:c>
      <x:c r="E26" s="10" t="n">
        <x:v>0</x:v>
      </x:c>
      <x:c r="F26" s="10" t="n">
        <x:v>0</x:v>
      </x:c>
      <x:c r="G26" s="10" t="n">
        <x:f>SUM(D26:F26)</x:f>
        <x:v>560</x:v>
      </x:c>
    </x:row>
    <x:row r="27" ht="24" customHeight="1">
      <x:c r="A27" s="10" t="str">
        <x:v>S01-01</x:v>
      </x:c>
      <x:c r="B27" s="10" t="str">
        <x:v>B</x:v>
      </x:c>
      <x:c r="C27" s="18" t="n">
        <x:v>-5.9999999</x:v>
      </x:c>
      <x:c r="D27" s="10" t="n">
        <x:v>560</x:v>
      </x:c>
      <x:c r="E27" s="10" t="n">
        <x:v>0</x:v>
      </x:c>
      <x:c r="F27" s="10" t="n">
        <x:v>0</x:v>
      </x:c>
      <x:c r="G27" s="10" t="n">
        <x:f>SUM(D27:F27)</x:f>
        <x:v>560</x:v>
      </x:c>
    </x:row>
    <x:row r="28" ht="24" customHeight="1">
      <x:c r="A28" s="10" t="str">
        <x:v>S01-01</x:v>
      </x:c>
      <x:c r="B28" s="10" t="str">
        <x:v>B</x:v>
      </x:c>
      <x:c r="C28" s="18" t="n">
        <x:v>-1e-7</x:v>
      </x:c>
      <x:c r="D28" s="10" t="n">
        <x:v>560</x:v>
      </x:c>
      <x:c r="E28" s="10" t="n">
        <x:v>0</x:v>
      </x:c>
      <x:c r="F28" s="10" t="n">
        <x:v>0</x:v>
      </x:c>
      <x:c r="G28" s="10" t="n">
        <x:f>SUM(D28:F28)</x:f>
        <x:v>560</x:v>
      </x:c>
    </x:row>
    <x:row r="29" ht="24" customHeight="1">
      <x:c r="A29" s="10" t="str">
        <x:v>S01-01</x:v>
      </x:c>
      <x:c r="B29" s="10" t="str">
        <x:v>B</x:v>
      </x:c>
      <x:c r="C29" s="18" t="n">
        <x:v>0</x:v>
      </x:c>
      <x:c r="D29" s="10" t="n">
        <x:v>560</x:v>
      </x:c>
      <x:c r="E29" s="10" t="n">
        <x:v>0</x:v>
      </x:c>
      <x:c r="F29" s="10" t="n">
        <x:v>0</x:v>
      </x:c>
      <x:c r="G29" s="10" t="n">
        <x:f>SUM(D29:F29)</x:f>
        <x:v>560</x:v>
      </x:c>
    </x:row>
    <x:row r="30" ht="24" customHeight="1">
      <x:c r="A30" s="10" t="str">
        <x:v>S01-01</x:v>
      </x:c>
      <x:c r="B30" s="10" t="str">
        <x:v>B</x:v>
      </x:c>
      <x:c r="C30" s="18" t="n">
        <x:v>1e-7</x:v>
      </x:c>
      <x:c r="D30" s="10" t="n">
        <x:v>560</x:v>
      </x:c>
      <x:c r="E30" s="10" t="n">
        <x:v>0</x:v>
      </x:c>
      <x:c r="F30" s="10" t="n">
        <x:v>0</x:v>
      </x:c>
      <x:c r="G30" s="10" t="n">
        <x:f>SUM(D30:F30)</x:f>
        <x:v>560</x:v>
      </x:c>
    </x:row>
    <x:row r="31" ht="24" customHeight="1">
      <x:c r="A31" s="10" t="str">
        <x:v>S01-01</x:v>
      </x:c>
      <x:c r="B31" s="10" t="str">
        <x:v>B</x:v>
      </x:c>
      <x:c r="C31" s="18" t="n">
        <x:v>0.868333233</x:v>
      </x:c>
      <x:c r="D31" s="10" t="n">
        <x:v>560</x:v>
      </x:c>
      <x:c r="E31" s="10" t="n">
        <x:v>0</x:v>
      </x:c>
      <x:c r="F31" s="10" t="n">
        <x:v>0</x:v>
      </x:c>
      <x:c r="G31" s="10" t="n">
        <x:f>SUM(D31:F31)</x:f>
        <x:v>560</x:v>
      </x:c>
    </x:row>
    <x:row r="32" ht="24" customHeight="1">
      <x:c r="A32" s="10" t="str">
        <x:v>S01-01</x:v>
      </x:c>
      <x:c r="B32" s="10" t="str">
        <x:v>B</x:v>
      </x:c>
      <x:c r="C32" s="18" t="n">
        <x:v>0.868333333</x:v>
      </x:c>
      <x:c r="D32" s="10" t="n">
        <x:v>560</x:v>
      </x:c>
      <x:c r="E32" s="10" t="n">
        <x:v>0</x:v>
      </x:c>
      <x:c r="F32" s="10" t="n">
        <x:v>0.004096</x:v>
      </x:c>
      <x:c r="G32" s="10" t="n">
        <x:f>SUM(D32:F32)</x:f>
        <x:v>560.004096</x:v>
      </x:c>
    </x:row>
    <x:row r="33" ht="24" customHeight="1">
      <x:c r="A33" s="10" t="str">
        <x:v>S01-01</x:v>
      </x:c>
      <x:c r="B33" s="10" t="str">
        <x:v>B</x:v>
      </x:c>
      <x:c r="C33" s="18" t="n">
        <x:v>0.868333433</x:v>
      </x:c>
      <x:c r="D33" s="10" t="n">
        <x:v>560</x:v>
      </x:c>
      <x:c r="E33" s="10" t="n">
        <x:v>0</x:v>
      </x:c>
      <x:c r="F33" s="10" t="n">
        <x:v>0.004096</x:v>
      </x:c>
      <x:c r="G33" s="10" t="n">
        <x:f>SUM(D33:F33)</x:f>
        <x:v>560.004096</x:v>
      </x:c>
    </x:row>
    <x:row r="34" ht="24" customHeight="1">
      <x:c r="A34" s="10" t="str">
        <x:v>S01-01</x:v>
      </x:c>
      <x:c r="B34" s="10" t="str">
        <x:v>B</x:v>
      </x:c>
      <x:c r="C34" s="18" t="n">
        <x:v>1.2729999</x:v>
      </x:c>
      <x:c r="D34" s="10" t="n">
        <x:v>560</x:v>
      </x:c>
      <x:c r="E34" s="10" t="n">
        <x:v>0</x:v>
      </x:c>
      <x:c r="F34" s="10" t="n">
        <x:v>0.004096</x:v>
      </x:c>
      <x:c r="G34" s="10" t="n">
        <x:f>SUM(D34:F34)</x:f>
        <x:v>560.004096</x:v>
      </x:c>
    </x:row>
    <x:row r="35" ht="24" customHeight="1">
      <x:c r="A35" s="10" t="str">
        <x:v>S01-01</x:v>
      </x:c>
      <x:c r="B35" s="10" t="str">
        <x:v>B</x:v>
      </x:c>
      <x:c r="C35" s="18" t="n">
        <x:v>1.273</x:v>
      </x:c>
      <x:c r="D35" s="10" t="n">
        <x:v>560</x:v>
      </x:c>
      <x:c r="E35" s="10" t="n">
        <x:v>0.0096</x:v>
      </x:c>
      <x:c r="F35" s="10" t="n">
        <x:v>0.004096</x:v>
      </x:c>
      <x:c r="G35" s="10" t="n">
        <x:f>SUM(D35:F35)</x:f>
        <x:v>560.013696</x:v>
      </x:c>
    </x:row>
    <x:row r="36" ht="24" customHeight="1">
      <x:c r="A36" s="10" t="str">
        <x:v>S01-01</x:v>
      </x:c>
      <x:c r="B36" s="10" t="str">
        <x:v>B</x:v>
      </x:c>
      <x:c r="C36" s="18" t="n">
        <x:v>1.2730001</x:v>
      </x:c>
      <x:c r="D36" s="10" t="n">
        <x:v>560</x:v>
      </x:c>
      <x:c r="E36" s="10" t="n">
        <x:v>0.009600019</x:v>
      </x:c>
      <x:c r="F36" s="10" t="n">
        <x:v>0.004096</x:v>
      </x:c>
      <x:c r="G36" s="10" t="n">
        <x:f>SUM(D36:F36)</x:f>
        <x:v>560.013696019</x:v>
      </x:c>
    </x:row>
    <x:row r="37" ht="24" customHeight="1">
      <x:c r="A37" s="10" t="str">
        <x:v>S01-01</x:v>
      </x:c>
      <x:c r="B37" s="10" t="str">
        <x:v>B</x:v>
      </x:c>
      <x:c r="C37" s="18" t="n">
        <x:v>1.3129999</x:v>
      </x:c>
      <x:c r="D37" s="10" t="n">
        <x:v>560</x:v>
      </x:c>
      <x:c r="E37" s="10" t="n">
        <x:v>0.017279981</x:v>
      </x:c>
      <x:c r="F37" s="10" t="n">
        <x:v>0.004096</x:v>
      </x:c>
      <x:c r="G37" s="10" t="n">
        <x:f>SUM(D37:F37)</x:f>
        <x:v>560.021375981</x:v>
      </x:c>
    </x:row>
    <x:row r="38" ht="24" customHeight="1">
      <x:c r="A38" s="10" t="str">
        <x:v>S01-01</x:v>
      </x:c>
      <x:c r="B38" s="10" t="str">
        <x:v>B</x:v>
      </x:c>
      <x:c r="C38" s="18" t="n">
        <x:v>1.313</x:v>
      </x:c>
      <x:c r="D38" s="10" t="n">
        <x:v>560</x:v>
      </x:c>
      <x:c r="E38" s="10" t="n">
        <x:v>0.01728</x:v>
      </x:c>
      <x:c r="F38" s="10" t="n">
        <x:v>0.004096</x:v>
      </x:c>
      <x:c r="G38" s="10" t="n">
        <x:f>SUM(D38:F38)</x:f>
        <x:v>560.021376</x:v>
      </x:c>
    </x:row>
    <x:row r="39" ht="24" customHeight="1">
      <x:c r="A39" s="10" t="str">
        <x:v>S01-01</x:v>
      </x:c>
      <x:c r="B39" s="10" t="str">
        <x:v>B</x:v>
      </x:c>
      <x:c r="C39" s="18" t="n">
        <x:v>1.3130001</x:v>
      </x:c>
      <x:c r="D39" s="10" t="n">
        <x:v>560</x:v>
      </x:c>
      <x:c r="E39" s="10" t="n">
        <x:v>0.017280014</x:v>
      </x:c>
      <x:c r="F39" s="10" t="n">
        <x:v>0.004096</x:v>
      </x:c>
      <x:c r="G39" s="10" t="n">
        <x:f>SUM(D39:F39)</x:f>
        <x:v>560.021376014</x:v>
      </x:c>
    </x:row>
    <x:row r="40" ht="24" customHeight="1">
      <x:c r="A40" s="10" t="str">
        <x:v>S01-01</x:v>
      </x:c>
      <x:c r="B40" s="10" t="str">
        <x:v>B</x:v>
      </x:c>
      <x:c r="C40" s="18" t="n">
        <x:v>1.9594999</x:v>
      </x:c>
      <x:c r="D40" s="10" t="n">
        <x:v>560</x:v>
      </x:c>
      <x:c r="E40" s="10" t="n">
        <x:v>0.110375986</x:v>
      </x:c>
      <x:c r="F40" s="10" t="n">
        <x:v>0.004096</x:v>
      </x:c>
      <x:c r="G40" s="10" t="n">
        <x:f>SUM(D40:F40)</x:f>
        <x:v>560.114471986</x:v>
      </x:c>
    </x:row>
    <x:row r="41" ht="24" customHeight="1">
      <x:c r="A41" s="10" t="str">
        <x:v>S01-01</x:v>
      </x:c>
      <x:c r="B41" s="10" t="str">
        <x:v>B</x:v>
      </x:c>
      <x:c r="C41" s="18" t="n">
        <x:v>1.9595</x:v>
      </x:c>
      <x:c r="D41" s="10" t="n">
        <x:v>560</x:v>
      </x:c>
      <x:c r="E41" s="10" t="n">
        <x:v>0.110376</x:v>
      </x:c>
      <x:c r="F41" s="10" t="n">
        <x:v>0.004096</x:v>
      </x:c>
      <x:c r="G41" s="10" t="n">
        <x:f>SUM(D41:F41)</x:f>
        <x:v>560.114472</x:v>
      </x:c>
    </x:row>
    <x:row r="42" ht="24" customHeight="1">
      <x:c r="A42" s="10" t="str">
        <x:v>S01-01</x:v>
      </x:c>
      <x:c r="B42" s="10" t="str">
        <x:v>B</x:v>
      </x:c>
      <x:c r="C42" s="18" t="n">
        <x:v>1.9595001</x:v>
      </x:c>
      <x:c r="D42" s="10" t="n">
        <x:v>560</x:v>
      </x:c>
      <x:c r="E42" s="10" t="n">
        <x:v>0.110375995</x:v>
      </x:c>
      <x:c r="F42" s="10" t="n">
        <x:v>0.004096</x:v>
      </x:c>
      <x:c r="G42" s="10" t="n">
        <x:f>SUM(D42:F42)</x:f>
        <x:v>560.114471995</x:v>
      </x:c>
    </x:row>
    <x:row r="43" ht="24" customHeight="1">
      <x:c r="A43" s="10" t="str">
        <x:v>S01-01</x:v>
      </x:c>
      <x:c r="B43" s="10" t="str">
        <x:v>B</x:v>
      </x:c>
      <x:c r="C43" s="18" t="n">
        <x:v>4.258999899</x:v>
      </x:c>
      <x:c r="D43" s="10" t="n">
        <x:v>560</x:v>
      </x:c>
      <x:c r="E43" s="10" t="n">
        <x:v>5e-9</x:v>
      </x:c>
      <x:c r="F43" s="10" t="n">
        <x:v>0.004096</x:v>
      </x:c>
      <x:c r="G43" s="10" t="n">
        <x:f>SUM(D43:F43)</x:f>
        <x:v>560.004096005</x:v>
      </x:c>
    </x:row>
    <x:row r="44" ht="24" customHeight="1">
      <x:c r="A44" s="10" t="str">
        <x:v>S01-01</x:v>
      </x:c>
      <x:c r="B44" s="10" t="str">
        <x:v>B</x:v>
      </x:c>
      <x:c r="C44" s="18" t="n">
        <x:v>4.258999999</x:v>
      </x:c>
      <x:c r="D44" s="10" t="n">
        <x:v>560</x:v>
      </x:c>
      <x:c r="E44" s="10" t="n">
        <x:v>0</x:v>
      </x:c>
      <x:c r="F44" s="10" t="n">
        <x:v>0.004096</x:v>
      </x:c>
      <x:c r="G44" s="10" t="n">
        <x:f>SUM(D44:F44)</x:f>
        <x:v>560.004096</x:v>
      </x:c>
    </x:row>
    <x:row r="45" ht="24" customHeight="1">
      <x:c r="A45" s="10" t="str">
        <x:v>S01-01</x:v>
      </x:c>
      <x:c r="B45" s="10" t="str">
        <x:v>B</x:v>
      </x:c>
      <x:c r="C45" s="18" t="n">
        <x:v>4.259000099</x:v>
      </x:c>
      <x:c r="D45" s="10" t="n">
        <x:v>560</x:v>
      </x:c>
      <x:c r="E45" s="10" t="n">
        <x:v>0</x:v>
      </x:c>
      <x:c r="F45" s="10" t="n">
        <x:v>0</x:v>
      </x:c>
      <x:c r="G45" s="10" t="n">
        <x:f>SUM(D45:F45)</x:f>
        <x:v>560</x:v>
      </x:c>
    </x:row>
    <x:row r="46" ht="24" customHeight="1">
      <x:c r="A46" s="10" t="str">
        <x:v>S01-02</x:v>
      </x:c>
      <x:c r="B46" s="10" t="str">
        <x:v>A</x:v>
      </x:c>
      <x:c r="C46" s="18" t="n">
        <x:v>-6.0000001</x:v>
      </x:c>
      <x:c r="D46" s="10" t="n">
        <x:v>560</x:v>
      </x:c>
      <x:c r="E46" s="10" t="n">
        <x:v>0</x:v>
      </x:c>
      <x:c r="F46" s="10" t="n">
        <x:v>0</x:v>
      </x:c>
      <x:c r="G46" s="10" t="n">
        <x:f>SUM(D46:F46)</x:f>
        <x:v>560</x:v>
      </x:c>
    </x:row>
    <x:row r="47" ht="24" customHeight="1">
      <x:c r="A47" s="10" t="str">
        <x:v>S01-02</x:v>
      </x:c>
      <x:c r="B47" s="10" t="str">
        <x:v>A</x:v>
      </x:c>
      <x:c r="C47" s="18" t="n">
        <x:v>-6</x:v>
      </x:c>
      <x:c r="D47" s="10" t="n">
        <x:v>560</x:v>
      </x:c>
      <x:c r="E47" s="10" t="n">
        <x:v>0</x:v>
      </x:c>
      <x:c r="F47" s="10" t="n">
        <x:v>0</x:v>
      </x:c>
      <x:c r="G47" s="10" t="n">
        <x:f>SUM(D47:F47)</x:f>
        <x:v>560</x:v>
      </x:c>
    </x:row>
    <x:row r="48" ht="24" customHeight="1">
      <x:c r="A48" s="10" t="str">
        <x:v>S01-02</x:v>
      </x:c>
      <x:c r="B48" s="10" t="str">
        <x:v>A</x:v>
      </x:c>
      <x:c r="C48" s="18" t="n">
        <x:v>-5.9999999</x:v>
      </x:c>
      <x:c r="D48" s="10" t="n">
        <x:v>560</x:v>
      </x:c>
      <x:c r="E48" s="10" t="n">
        <x:v>0</x:v>
      </x:c>
      <x:c r="F48" s="10" t="n">
        <x:v>0</x:v>
      </x:c>
      <x:c r="G48" s="10" t="n">
        <x:f>SUM(D48:F48)</x:f>
        <x:v>560</x:v>
      </x:c>
    </x:row>
    <x:row r="49" ht="24" customHeight="1">
      <x:c r="A49" s="10" t="str">
        <x:v>S01-02</x:v>
      </x:c>
      <x:c r="B49" s="10" t="str">
        <x:v>A</x:v>
      </x:c>
      <x:c r="C49" s="18" t="n">
        <x:v>-1e-7</x:v>
      </x:c>
      <x:c r="D49" s="10" t="n">
        <x:v>560</x:v>
      </x:c>
      <x:c r="E49" s="10" t="n">
        <x:v>0</x:v>
      </x:c>
      <x:c r="F49" s="10" t="n">
        <x:v>0</x:v>
      </x:c>
      <x:c r="G49" s="10" t="n">
        <x:f>SUM(D49:F49)</x:f>
        <x:v>560</x:v>
      </x:c>
    </x:row>
    <x:row r="50" ht="24" customHeight="1">
      <x:c r="A50" s="10" t="str">
        <x:v>S01-02</x:v>
      </x:c>
      <x:c r="B50" s="10" t="str">
        <x:v>A</x:v>
      </x:c>
      <x:c r="C50" s="18" t="n">
        <x:v>0</x:v>
      </x:c>
      <x:c r="D50" s="10" t="n">
        <x:v>560</x:v>
      </x:c>
      <x:c r="E50" s="10" t="n">
        <x:v>0</x:v>
      </x:c>
      <x:c r="F50" s="10" t="n">
        <x:v>0</x:v>
      </x:c>
      <x:c r="G50" s="10" t="n">
        <x:f>SUM(D50:F50)</x:f>
        <x:v>560</x:v>
      </x:c>
    </x:row>
    <x:row r="51" ht="24" customHeight="1">
      <x:c r="A51" s="10" t="str">
        <x:v>S01-02</x:v>
      </x:c>
      <x:c r="B51" s="10" t="str">
        <x:v>A</x:v>
      </x:c>
      <x:c r="C51" s="18" t="n">
        <x:v>1e-7</x:v>
      </x:c>
      <x:c r="D51" s="10" t="n">
        <x:v>560</x:v>
      </x:c>
      <x:c r="E51" s="10" t="n">
        <x:v>0</x:v>
      </x:c>
      <x:c r="F51" s="10" t="n">
        <x:v>0</x:v>
      </x:c>
      <x:c r="G51" s="10" t="n">
        <x:f>SUM(D51:F51)</x:f>
        <x:v>560</x:v>
      </x:c>
    </x:row>
    <x:row r="52" ht="24" customHeight="1">
      <x:c r="A52" s="10" t="str">
        <x:v>S01-02</x:v>
      </x:c>
      <x:c r="B52" s="10" t="str">
        <x:v>A</x:v>
      </x:c>
      <x:c r="C52" s="18" t="n">
        <x:v>0.896666567</x:v>
      </x:c>
      <x:c r="D52" s="10" t="n">
        <x:v>560</x:v>
      </x:c>
      <x:c r="E52" s="10" t="n">
        <x:v>0</x:v>
      </x:c>
      <x:c r="F52" s="10" t="n">
        <x:v>0</x:v>
      </x:c>
      <x:c r="G52" s="10" t="n">
        <x:f>SUM(D52:F52)</x:f>
        <x:v>560</x:v>
      </x:c>
    </x:row>
    <x:row r="53" ht="24" customHeight="1">
      <x:c r="A53" s="10" t="str">
        <x:v>S01-02</x:v>
      </x:c>
      <x:c r="B53" s="10" t="str">
        <x:v>A</x:v>
      </x:c>
      <x:c r="C53" s="18" t="n">
        <x:v>0.896666667</x:v>
      </x:c>
      <x:c r="D53" s="10" t="n">
        <x:v>560</x:v>
      </x:c>
      <x:c r="E53" s="10" t="n">
        <x:v>0</x:v>
      </x:c>
      <x:c r="F53" s="10" t="n">
        <x:v>0.004096</x:v>
      </x:c>
      <x:c r="G53" s="10" t="n">
        <x:f>SUM(D53:F53)</x:f>
        <x:v>560.004096</x:v>
      </x:c>
    </x:row>
    <x:row r="54" ht="24" customHeight="1">
      <x:c r="A54" s="10" t="str">
        <x:v>S01-02</x:v>
      </x:c>
      <x:c r="B54" s="10" t="str">
        <x:v>A</x:v>
      </x:c>
      <x:c r="C54" s="18" t="n">
        <x:v>0.896666767</x:v>
      </x:c>
      <x:c r="D54" s="10" t="n">
        <x:v>560</x:v>
      </x:c>
      <x:c r="E54" s="10" t="n">
        <x:v>0</x:v>
      </x:c>
      <x:c r="F54" s="10" t="n">
        <x:v>0.004096</x:v>
      </x:c>
      <x:c r="G54" s="10" t="n">
        <x:f>SUM(D54:F54)</x:f>
        <x:v>560.004096</x:v>
      </x:c>
    </x:row>
    <x:row r="55" ht="24" customHeight="1">
      <x:c r="A55" s="10" t="str">
        <x:v>S01-02</x:v>
      </x:c>
      <x:c r="B55" s="10" t="str">
        <x:v>A</x:v>
      </x:c>
      <x:c r="C55" s="18" t="n">
        <x:v>1.301333234</x:v>
      </x:c>
      <x:c r="D55" s="10" t="n">
        <x:v>560</x:v>
      </x:c>
      <x:c r="E55" s="10" t="n">
        <x:v>0</x:v>
      </x:c>
      <x:c r="F55" s="10" t="n">
        <x:v>0.004096</x:v>
      </x:c>
      <x:c r="G55" s="10" t="n">
        <x:f>SUM(D55:F55)</x:f>
        <x:v>560.004096</x:v>
      </x:c>
    </x:row>
    <x:row r="56" ht="24" customHeight="1">
      <x:c r="A56" s="10" t="str">
        <x:v>S01-02</x:v>
      </x:c>
      <x:c r="B56" s="10" t="str">
        <x:v>A</x:v>
      </x:c>
      <x:c r="C56" s="18" t="n">
        <x:v>1.301333334</x:v>
      </x:c>
      <x:c r="D56" s="10" t="n">
        <x:v>560</x:v>
      </x:c>
      <x:c r="E56" s="10" t="n">
        <x:v>0.0096</x:v>
      </x:c>
      <x:c r="F56" s="10" t="n">
        <x:v>0.004096</x:v>
      </x:c>
      <x:c r="G56" s="10" t="n">
        <x:f>SUM(D56:F56)</x:f>
        <x:v>560.013696</x:v>
      </x:c>
    </x:row>
    <x:row r="57" ht="24" customHeight="1">
      <x:c r="A57" s="10" t="str">
        <x:v>S01-02</x:v>
      </x:c>
      <x:c r="B57" s="10" t="str">
        <x:v>A</x:v>
      </x:c>
      <x:c r="C57" s="18" t="n">
        <x:v>1.301333434</x:v>
      </x:c>
      <x:c r="D57" s="10" t="n">
        <x:v>560</x:v>
      </x:c>
      <x:c r="E57" s="10" t="n">
        <x:v>0.009600019</x:v>
      </x:c>
      <x:c r="F57" s="10" t="n">
        <x:v>0.004096</x:v>
      </x:c>
      <x:c r="G57" s="10" t="n">
        <x:f>SUM(D57:F57)</x:f>
        <x:v>560.013696019</x:v>
      </x:c>
    </x:row>
    <x:row r="58" ht="24" customHeight="1">
      <x:c r="A58" s="10" t="str">
        <x:v>S01-02</x:v>
      </x:c>
      <x:c r="B58" s="10" t="str">
        <x:v>A</x:v>
      </x:c>
      <x:c r="C58" s="18" t="n">
        <x:v>1.341333234</x:v>
      </x:c>
      <x:c r="D58" s="10" t="n">
        <x:v>560</x:v>
      </x:c>
      <x:c r="E58" s="10" t="n">
        <x:v>0.017279981</x:v>
      </x:c>
      <x:c r="F58" s="10" t="n">
        <x:v>0.004096</x:v>
      </x:c>
      <x:c r="G58" s="10" t="n">
        <x:f>SUM(D58:F58)</x:f>
        <x:v>560.021375981</x:v>
      </x:c>
    </x:row>
    <x:row r="59" ht="24" customHeight="1">
      <x:c r="A59" s="10" t="str">
        <x:v>S01-02</x:v>
      </x:c>
      <x:c r="B59" s="10" t="str">
        <x:v>A</x:v>
      </x:c>
      <x:c r="C59" s="18" t="n">
        <x:v>1.341333334</x:v>
      </x:c>
      <x:c r="D59" s="10" t="n">
        <x:v>560</x:v>
      </x:c>
      <x:c r="E59" s="10" t="n">
        <x:v>0.01728</x:v>
      </x:c>
      <x:c r="F59" s="10" t="n">
        <x:v>0.004096</x:v>
      </x:c>
      <x:c r="G59" s="10" t="n">
        <x:f>SUM(D59:F59)</x:f>
        <x:v>560.021376</x:v>
      </x:c>
    </x:row>
    <x:row r="60" ht="24" customHeight="1">
      <x:c r="A60" s="10" t="str">
        <x:v>S01-02</x:v>
      </x:c>
      <x:c r="B60" s="10" t="str">
        <x:v>A</x:v>
      </x:c>
      <x:c r="C60" s="18" t="n">
        <x:v>1.341333434</x:v>
      </x:c>
      <x:c r="D60" s="10" t="n">
        <x:v>560</x:v>
      </x:c>
      <x:c r="E60" s="10" t="n">
        <x:v>0.017280014</x:v>
      </x:c>
      <x:c r="F60" s="10" t="n">
        <x:v>0.004096</x:v>
      </x:c>
      <x:c r="G60" s="10" t="n">
        <x:f>SUM(D60:F60)</x:f>
        <x:v>560.021376014</x:v>
      </x:c>
    </x:row>
    <x:row r="61" ht="24" customHeight="1">
      <x:c r="A61" s="10" t="str">
        <x:v>S01-02</x:v>
      </x:c>
      <x:c r="B61" s="10" t="str">
        <x:v>A</x:v>
      </x:c>
      <x:c r="C61" s="18" t="n">
        <x:v>1.990833234</x:v>
      </x:c>
      <x:c r="D61" s="10" t="n">
        <x:v>560</x:v>
      </x:c>
      <x:c r="E61" s="10" t="n">
        <x:v>0.110807986</x:v>
      </x:c>
      <x:c r="F61" s="10" t="n">
        <x:v>0.004096</x:v>
      </x:c>
      <x:c r="G61" s="10" t="n">
        <x:f>SUM(D61:F61)</x:f>
        <x:v>560.1149039860001</x:v>
      </x:c>
    </x:row>
    <x:row r="62" ht="24" customHeight="1">
      <x:c r="A62" s="10" t="str">
        <x:v>S01-02</x:v>
      </x:c>
      <x:c r="B62" s="10" t="str">
        <x:v>A</x:v>
      </x:c>
      <x:c r="C62" s="18" t="n">
        <x:v>1.990833334</x:v>
      </x:c>
      <x:c r="D62" s="10" t="n">
        <x:v>560</x:v>
      </x:c>
      <x:c r="E62" s="10" t="n">
        <x:v>0.110808</x:v>
      </x:c>
      <x:c r="F62" s="10" t="n">
        <x:v>0.004096</x:v>
      </x:c>
      <x:c r="G62" s="10" t="n">
        <x:f>SUM(D62:F62)</x:f>
        <x:v>560.114904</x:v>
      </x:c>
    </x:row>
    <x:row r="63" ht="24" customHeight="1">
      <x:c r="A63" s="10" t="str">
        <x:v>S01-02</x:v>
      </x:c>
      <x:c r="B63" s="10" t="str">
        <x:v>A</x:v>
      </x:c>
      <x:c r="C63" s="18" t="n">
        <x:v>1.990833434</x:v>
      </x:c>
      <x:c r="D63" s="10" t="n">
        <x:v>560</x:v>
      </x:c>
      <x:c r="E63" s="10" t="n">
        <x:v>0.110807995</x:v>
      </x:c>
      <x:c r="F63" s="10" t="n">
        <x:v>0.004096</x:v>
      </x:c>
      <x:c r="G63" s="10" t="n">
        <x:f>SUM(D63:F63)</x:f>
        <x:v>560.114903995</x:v>
      </x:c>
    </x:row>
    <x:row r="64" ht="24" customHeight="1">
      <x:c r="A64" s="10" t="str">
        <x:v>S01-02</x:v>
      </x:c>
      <x:c r="B64" s="10" t="str">
        <x:v>A</x:v>
      </x:c>
      <x:c r="C64" s="18" t="n">
        <x:v>4.299333233</x:v>
      </x:c>
      <x:c r="D64" s="10" t="n">
        <x:v>560</x:v>
      </x:c>
      <x:c r="E64" s="10" t="n">
        <x:v>5e-9</x:v>
      </x:c>
      <x:c r="F64" s="10" t="n">
        <x:v>0.004096</x:v>
      </x:c>
      <x:c r="G64" s="10" t="n">
        <x:f>SUM(D64:F64)</x:f>
        <x:v>560.004096005</x:v>
      </x:c>
    </x:row>
    <x:row r="65" ht="24" customHeight="1">
      <x:c r="A65" s="10" t="str">
        <x:v>S01-02</x:v>
      </x:c>
      <x:c r="B65" s="10" t="str">
        <x:v>A</x:v>
      </x:c>
      <x:c r="C65" s="18" t="n">
        <x:v>4.299333333</x:v>
      </x:c>
      <x:c r="D65" s="10" t="n">
        <x:v>560</x:v>
      </x:c>
      <x:c r="E65" s="10" t="n">
        <x:v>0</x:v>
      </x:c>
      <x:c r="F65" s="10" t="n">
        <x:v>0.004096</x:v>
      </x:c>
      <x:c r="G65" s="10" t="n">
        <x:f>SUM(D65:F65)</x:f>
        <x:v>560.004096</x:v>
      </x:c>
    </x:row>
    <x:row r="66" ht="24" customHeight="1">
      <x:c r="A66" s="10" t="str">
        <x:v>S01-02</x:v>
      </x:c>
      <x:c r="B66" s="10" t="str">
        <x:v>A</x:v>
      </x:c>
      <x:c r="C66" s="18" t="n">
        <x:v>4.299333433</x:v>
      </x:c>
      <x:c r="D66" s="10" t="n">
        <x:v>560</x:v>
      </x:c>
      <x:c r="E66" s="10" t="n">
        <x:v>0</x:v>
      </x:c>
      <x:c r="F66" s="10" t="n">
        <x:v>0</x:v>
      </x:c>
      <x:c r="G66" s="10" t="n">
        <x:f>SUM(D66:F66)</x:f>
        <x:v>560</x:v>
      </x:c>
    </x:row>
    <x:row r="67" ht="24" customHeight="1">
      <x:c r="A67" s="10" t="str">
        <x:v>S01-02</x:v>
      </x:c>
      <x:c r="B67" s="10" t="str">
        <x:v>B</x:v>
      </x:c>
      <x:c r="C67" s="18" t="n">
        <x:v>-6.0000001</x:v>
      </x:c>
      <x:c r="D67" s="10" t="n">
        <x:v>560</x:v>
      </x:c>
      <x:c r="E67" s="10" t="n">
        <x:v>0</x:v>
      </x:c>
      <x:c r="F67" s="10" t="n">
        <x:v>0</x:v>
      </x:c>
      <x:c r="G67" s="10" t="n">
        <x:f>SUM(D67:F67)</x:f>
        <x:v>560</x:v>
      </x:c>
    </x:row>
    <x:row r="68" ht="24" customHeight="1">
      <x:c r="A68" s="10" t="str">
        <x:v>S01-02</x:v>
      </x:c>
      <x:c r="B68" s="10" t="str">
        <x:v>B</x:v>
      </x:c>
      <x:c r="C68" s="18" t="n">
        <x:v>-6</x:v>
      </x:c>
      <x:c r="D68" s="10" t="n">
        <x:v>560</x:v>
      </x:c>
      <x:c r="E68" s="10" t="n">
        <x:v>0</x:v>
      </x:c>
      <x:c r="F68" s="10" t="n">
        <x:v>0</x:v>
      </x:c>
      <x:c r="G68" s="10" t="n">
        <x:f>SUM(D68:F68)</x:f>
        <x:v>560</x:v>
      </x:c>
    </x:row>
    <x:row r="69" ht="24" customHeight="1">
      <x:c r="A69" s="10" t="str">
        <x:v>S01-02</x:v>
      </x:c>
      <x:c r="B69" s="10" t="str">
        <x:v>B</x:v>
      </x:c>
      <x:c r="C69" s="18" t="n">
        <x:v>-5.9999999</x:v>
      </x:c>
      <x:c r="D69" s="10" t="n">
        <x:v>560</x:v>
      </x:c>
      <x:c r="E69" s="10" t="n">
        <x:v>0</x:v>
      </x:c>
      <x:c r="F69" s="10" t="n">
        <x:v>0</x:v>
      </x:c>
      <x:c r="G69" s="10" t="n">
        <x:f>SUM(D69:F69)</x:f>
        <x:v>560</x:v>
      </x:c>
    </x:row>
    <x:row r="70" ht="24" customHeight="1">
      <x:c r="A70" s="10" t="str">
        <x:v>S01-02</x:v>
      </x:c>
      <x:c r="B70" s="10" t="str">
        <x:v>B</x:v>
      </x:c>
      <x:c r="C70" s="18" t="n">
        <x:v>-1e-7</x:v>
      </x:c>
      <x:c r="D70" s="10" t="n">
        <x:v>560</x:v>
      </x:c>
      <x:c r="E70" s="10" t="n">
        <x:v>0</x:v>
      </x:c>
      <x:c r="F70" s="10" t="n">
        <x:v>0</x:v>
      </x:c>
      <x:c r="G70" s="10" t="n">
        <x:f>SUM(D70:F70)</x:f>
        <x:v>560</x:v>
      </x:c>
    </x:row>
    <x:row r="71" ht="24" customHeight="1">
      <x:c r="A71" s="10" t="str">
        <x:v>S01-02</x:v>
      </x:c>
      <x:c r="B71" s="10" t="str">
        <x:v>B</x:v>
      </x:c>
      <x:c r="C71" s="18" t="n">
        <x:v>0</x:v>
      </x:c>
      <x:c r="D71" s="10" t="n">
        <x:v>560</x:v>
      </x:c>
      <x:c r="E71" s="10" t="n">
        <x:v>0</x:v>
      </x:c>
      <x:c r="F71" s="10" t="n">
        <x:v>0</x:v>
      </x:c>
      <x:c r="G71" s="10" t="n">
        <x:f>SUM(D71:F71)</x:f>
        <x:v>560</x:v>
      </x:c>
    </x:row>
    <x:row r="72" ht="24" customHeight="1">
      <x:c r="A72" s="10" t="str">
        <x:v>S01-02</x:v>
      </x:c>
      <x:c r="B72" s="10" t="str">
        <x:v>B</x:v>
      </x:c>
      <x:c r="C72" s="18" t="n">
        <x:v>1e-7</x:v>
      </x:c>
      <x:c r="D72" s="10" t="n">
        <x:v>560</x:v>
      </x:c>
      <x:c r="E72" s="10" t="n">
        <x:v>0</x:v>
      </x:c>
      <x:c r="F72" s="10" t="n">
        <x:v>0</x:v>
      </x:c>
      <x:c r="G72" s="10" t="n">
        <x:f>SUM(D72:F72)</x:f>
        <x:v>560</x:v>
      </x:c>
    </x:row>
    <x:row r="73" ht="24" customHeight="1">
      <x:c r="A73" s="10" t="str">
        <x:v>S01-02</x:v>
      </x:c>
      <x:c r="B73" s="10" t="str">
        <x:v>B</x:v>
      </x:c>
      <x:c r="C73" s="18" t="n">
        <x:v>0.896666567</x:v>
      </x:c>
      <x:c r="D73" s="10" t="n">
        <x:v>560</x:v>
      </x:c>
      <x:c r="E73" s="10" t="n">
        <x:v>0</x:v>
      </x:c>
      <x:c r="F73" s="10" t="n">
        <x:v>0</x:v>
      </x:c>
      <x:c r="G73" s="10" t="n">
        <x:f>SUM(D73:F73)</x:f>
        <x:v>560</x:v>
      </x:c>
    </x:row>
    <x:row r="74" ht="24" customHeight="1">
      <x:c r="A74" s="10" t="str">
        <x:v>S01-02</x:v>
      </x:c>
      <x:c r="B74" s="10" t="str">
        <x:v>B</x:v>
      </x:c>
      <x:c r="C74" s="18" t="n">
        <x:v>0.896666667</x:v>
      </x:c>
      <x:c r="D74" s="10" t="n">
        <x:v>560</x:v>
      </x:c>
      <x:c r="E74" s="10" t="n">
        <x:v>0</x:v>
      </x:c>
      <x:c r="F74" s="10" t="n">
        <x:v>0.004096</x:v>
      </x:c>
      <x:c r="G74" s="10" t="n">
        <x:f>SUM(D74:F74)</x:f>
        <x:v>560.004096</x:v>
      </x:c>
    </x:row>
    <x:row r="75" ht="24" customHeight="1">
      <x:c r="A75" s="10" t="str">
        <x:v>S01-02</x:v>
      </x:c>
      <x:c r="B75" s="10" t="str">
        <x:v>B</x:v>
      </x:c>
      <x:c r="C75" s="18" t="n">
        <x:v>0.896666767</x:v>
      </x:c>
      <x:c r="D75" s="10" t="n">
        <x:v>560</x:v>
      </x:c>
      <x:c r="E75" s="10" t="n">
        <x:v>0</x:v>
      </x:c>
      <x:c r="F75" s="10" t="n">
        <x:v>0.004096</x:v>
      </x:c>
      <x:c r="G75" s="10" t="n">
        <x:f>SUM(D75:F75)</x:f>
        <x:v>560.004096</x:v>
      </x:c>
    </x:row>
    <x:row r="76" ht="24" customHeight="1">
      <x:c r="A76" s="10" t="str">
        <x:v>S01-02</x:v>
      </x:c>
      <x:c r="B76" s="10" t="str">
        <x:v>B</x:v>
      </x:c>
      <x:c r="C76" s="18" t="n">
        <x:v>1.301333234</x:v>
      </x:c>
      <x:c r="D76" s="10" t="n">
        <x:v>560</x:v>
      </x:c>
      <x:c r="E76" s="10" t="n">
        <x:v>0</x:v>
      </x:c>
      <x:c r="F76" s="10" t="n">
        <x:v>0.004096</x:v>
      </x:c>
      <x:c r="G76" s="10" t="n">
        <x:f>SUM(D76:F76)</x:f>
        <x:v>560.004096</x:v>
      </x:c>
    </x:row>
    <x:row r="77" ht="24" customHeight="1">
      <x:c r="A77" s="10" t="str">
        <x:v>S01-02</x:v>
      </x:c>
      <x:c r="B77" s="10" t="str">
        <x:v>B</x:v>
      </x:c>
      <x:c r="C77" s="18" t="n">
        <x:v>1.301333334</x:v>
      </x:c>
      <x:c r="D77" s="10" t="n">
        <x:v>560</x:v>
      </x:c>
      <x:c r="E77" s="10" t="n">
        <x:v>0.0096</x:v>
      </x:c>
      <x:c r="F77" s="10" t="n">
        <x:v>0.004096</x:v>
      </x:c>
      <x:c r="G77" s="10" t="n">
        <x:f>SUM(D77:F77)</x:f>
        <x:v>560.013696</x:v>
      </x:c>
    </x:row>
    <x:row r="78" ht="24" customHeight="1">
      <x:c r="A78" s="10" t="str">
        <x:v>S01-02</x:v>
      </x:c>
      <x:c r="B78" s="10" t="str">
        <x:v>B</x:v>
      </x:c>
      <x:c r="C78" s="18" t="n">
        <x:v>1.301333434</x:v>
      </x:c>
      <x:c r="D78" s="10" t="n">
        <x:v>560</x:v>
      </x:c>
      <x:c r="E78" s="10" t="n">
        <x:v>0.009600019</x:v>
      </x:c>
      <x:c r="F78" s="10" t="n">
        <x:v>0.004096</x:v>
      </x:c>
      <x:c r="G78" s="10" t="n">
        <x:f>SUM(D78:F78)</x:f>
        <x:v>560.013696019</x:v>
      </x:c>
    </x:row>
    <x:row r="79" ht="24" customHeight="1">
      <x:c r="A79" s="10" t="str">
        <x:v>S01-02</x:v>
      </x:c>
      <x:c r="B79" s="10" t="str">
        <x:v>B</x:v>
      </x:c>
      <x:c r="C79" s="18" t="n">
        <x:v>1.341333234</x:v>
      </x:c>
      <x:c r="D79" s="10" t="n">
        <x:v>560</x:v>
      </x:c>
      <x:c r="E79" s="10" t="n">
        <x:v>0.017279981</x:v>
      </x:c>
      <x:c r="F79" s="10" t="n">
        <x:v>0.004096</x:v>
      </x:c>
      <x:c r="G79" s="10" t="n">
        <x:f>SUM(D79:F79)</x:f>
        <x:v>560.021375981</x:v>
      </x:c>
    </x:row>
    <x:row r="80" ht="24" customHeight="1">
      <x:c r="A80" s="10" t="str">
        <x:v>S01-02</x:v>
      </x:c>
      <x:c r="B80" s="10" t="str">
        <x:v>B</x:v>
      </x:c>
      <x:c r="C80" s="18" t="n">
        <x:v>1.341333334</x:v>
      </x:c>
      <x:c r="D80" s="10" t="n">
        <x:v>560</x:v>
      </x:c>
      <x:c r="E80" s="10" t="n">
        <x:v>0.01728</x:v>
      </x:c>
      <x:c r="F80" s="10" t="n">
        <x:v>0.004096</x:v>
      </x:c>
      <x:c r="G80" s="10" t="n">
        <x:f>SUM(D80:F80)</x:f>
        <x:v>560.021376</x:v>
      </x:c>
    </x:row>
    <x:row r="81" ht="24" customHeight="1">
      <x:c r="A81" s="10" t="str">
        <x:v>S01-02</x:v>
      </x:c>
      <x:c r="B81" s="10" t="str">
        <x:v>B</x:v>
      </x:c>
      <x:c r="C81" s="18" t="n">
        <x:v>1.341333434</x:v>
      </x:c>
      <x:c r="D81" s="10" t="n">
        <x:v>560</x:v>
      </x:c>
      <x:c r="E81" s="10" t="n">
        <x:v>0.017280014</x:v>
      </x:c>
      <x:c r="F81" s="10" t="n">
        <x:v>0.004096</x:v>
      </x:c>
      <x:c r="G81" s="10" t="n">
        <x:f>SUM(D81:F81)</x:f>
        <x:v>560.021376014</x:v>
      </x:c>
    </x:row>
    <x:row r="82" ht="24" customHeight="1">
      <x:c r="A82" s="10" t="str">
        <x:v>S01-02</x:v>
      </x:c>
      <x:c r="B82" s="10" t="str">
        <x:v>B</x:v>
      </x:c>
      <x:c r="C82" s="18" t="n">
        <x:v>1.990833234</x:v>
      </x:c>
      <x:c r="D82" s="10" t="n">
        <x:v>560</x:v>
      </x:c>
      <x:c r="E82" s="10" t="n">
        <x:v>0.110807986</x:v>
      </x:c>
      <x:c r="F82" s="10" t="n">
        <x:v>0.004096</x:v>
      </x:c>
      <x:c r="G82" s="10" t="n">
        <x:f>SUM(D82:F82)</x:f>
        <x:v>560.1149039860001</x:v>
      </x:c>
    </x:row>
    <x:row r="83" ht="24" customHeight="1">
      <x:c r="A83" s="10" t="str">
        <x:v>S01-02</x:v>
      </x:c>
      <x:c r="B83" s="10" t="str">
        <x:v>B</x:v>
      </x:c>
      <x:c r="C83" s="18" t="n">
        <x:v>1.990833334</x:v>
      </x:c>
      <x:c r="D83" s="10" t="n">
        <x:v>560</x:v>
      </x:c>
      <x:c r="E83" s="10" t="n">
        <x:v>0.110808</x:v>
      </x:c>
      <x:c r="F83" s="10" t="n">
        <x:v>0.004096</x:v>
      </x:c>
      <x:c r="G83" s="10" t="n">
        <x:f>SUM(D83:F83)</x:f>
        <x:v>560.114904</x:v>
      </x:c>
    </x:row>
    <x:row r="84" ht="24" customHeight="1">
      <x:c r="A84" s="10" t="str">
        <x:v>S01-02</x:v>
      </x:c>
      <x:c r="B84" s="10" t="str">
        <x:v>B</x:v>
      </x:c>
      <x:c r="C84" s="18" t="n">
        <x:v>1.990833434</x:v>
      </x:c>
      <x:c r="D84" s="10" t="n">
        <x:v>560</x:v>
      </x:c>
      <x:c r="E84" s="10" t="n">
        <x:v>0.110807995</x:v>
      </x:c>
      <x:c r="F84" s="10" t="n">
        <x:v>0.004096</x:v>
      </x:c>
      <x:c r="G84" s="10" t="n">
        <x:f>SUM(D84:F84)</x:f>
        <x:v>560.114903995</x:v>
      </x:c>
    </x:row>
    <x:row r="85" ht="24" customHeight="1">
      <x:c r="A85" s="10" t="str">
        <x:v>S01-02</x:v>
      </x:c>
      <x:c r="B85" s="10" t="str">
        <x:v>B</x:v>
      </x:c>
      <x:c r="C85" s="18" t="n">
        <x:v>4.299333233</x:v>
      </x:c>
      <x:c r="D85" s="10" t="n">
        <x:v>560</x:v>
      </x:c>
      <x:c r="E85" s="10" t="n">
        <x:v>5e-9</x:v>
      </x:c>
      <x:c r="F85" s="10" t="n">
        <x:v>0.004096</x:v>
      </x:c>
      <x:c r="G85" s="10" t="n">
        <x:f>SUM(D85:F85)</x:f>
        <x:v>560.004096005</x:v>
      </x:c>
    </x:row>
    <x:row r="86" ht="24" customHeight="1">
      <x:c r="A86" s="10" t="str">
        <x:v>S01-02</x:v>
      </x:c>
      <x:c r="B86" s="10" t="str">
        <x:v>B</x:v>
      </x:c>
      <x:c r="C86" s="18" t="n">
        <x:v>4.299333333</x:v>
      </x:c>
      <x:c r="D86" s="10" t="n">
        <x:v>560</x:v>
      </x:c>
      <x:c r="E86" s="10" t="n">
        <x:v>0</x:v>
      </x:c>
      <x:c r="F86" s="10" t="n">
        <x:v>0.004096</x:v>
      </x:c>
      <x:c r="G86" s="10" t="n">
        <x:f>SUM(D86:F86)</x:f>
        <x:v>560.004096</x:v>
      </x:c>
    </x:row>
    <x:row r="87" ht="24" customHeight="1">
      <x:c r="A87" s="10" t="str">
        <x:v>S01-02</x:v>
      </x:c>
      <x:c r="B87" s="10" t="str">
        <x:v>B</x:v>
      </x:c>
      <x:c r="C87" s="18" t="n">
        <x:v>4.299333433</x:v>
      </x:c>
      <x:c r="D87" s="10" t="n">
        <x:v>560</x:v>
      </x:c>
      <x:c r="E87" s="10" t="n">
        <x:v>0</x:v>
      </x:c>
      <x:c r="F87" s="10" t="n">
        <x:v>0</x:v>
      </x:c>
      <x:c r="G87" s="10" t="n">
        <x:f>SUM(D87:F87)</x:f>
        <x:v>560</x:v>
      </x:c>
    </x:row>
    <x:row r="88" ht="24" customHeight="1">
      <x:c r="A88" s="10" t="str">
        <x:v>S01-03</x:v>
      </x:c>
      <x:c r="B88" s="10" t="str">
        <x:v>A</x:v>
      </x:c>
      <x:c r="C88" s="18" t="n">
        <x:v>-6.0000001</x:v>
      </x:c>
      <x:c r="D88" s="10" t="n">
        <x:v>560</x:v>
      </x:c>
      <x:c r="E88" s="10" t="n">
        <x:v>0</x:v>
      </x:c>
      <x:c r="F88" s="10" t="n">
        <x:v>0</x:v>
      </x:c>
      <x:c r="G88" s="10" t="n">
        <x:f>SUM(D88:F88)</x:f>
        <x:v>560</x:v>
      </x:c>
    </x:row>
    <x:row r="89" ht="24" customHeight="1">
      <x:c r="A89" s="10" t="str">
        <x:v>S01-03</x:v>
      </x:c>
      <x:c r="B89" s="10" t="str">
        <x:v>A</x:v>
      </x:c>
      <x:c r="C89" s="18" t="n">
        <x:v>-6</x:v>
      </x:c>
      <x:c r="D89" s="10" t="n">
        <x:v>560</x:v>
      </x:c>
      <x:c r="E89" s="10" t="n">
        <x:v>0</x:v>
      </x:c>
      <x:c r="F89" s="10" t="n">
        <x:v>0</x:v>
      </x:c>
      <x:c r="G89" s="10" t="n">
        <x:f>SUM(D89:F89)</x:f>
        <x:v>560</x:v>
      </x:c>
    </x:row>
    <x:row r="90" ht="24" customHeight="1">
      <x:c r="A90" s="10" t="str">
        <x:v>S01-03</x:v>
      </x:c>
      <x:c r="B90" s="10" t="str">
        <x:v>A</x:v>
      </x:c>
      <x:c r="C90" s="18" t="n">
        <x:v>-5.9999999</x:v>
      </x:c>
      <x:c r="D90" s="10" t="n">
        <x:v>560</x:v>
      </x:c>
      <x:c r="E90" s="10" t="n">
        <x:v>0</x:v>
      </x:c>
      <x:c r="F90" s="10" t="n">
        <x:v>0</x:v>
      </x:c>
      <x:c r="G90" s="10" t="n">
        <x:f>SUM(D90:F90)</x:f>
        <x:v>560</x:v>
      </x:c>
    </x:row>
    <x:row r="91" ht="24" customHeight="1">
      <x:c r="A91" s="10" t="str">
        <x:v>S01-03</x:v>
      </x:c>
      <x:c r="B91" s="10" t="str">
        <x:v>A</x:v>
      </x:c>
      <x:c r="C91" s="18" t="n">
        <x:v>-1e-7</x:v>
      </x:c>
      <x:c r="D91" s="10" t="n">
        <x:v>560</x:v>
      </x:c>
      <x:c r="E91" s="10" t="n">
        <x:v>0</x:v>
      </x:c>
      <x:c r="F91" s="10" t="n">
        <x:v>0</x:v>
      </x:c>
      <x:c r="G91" s="10" t="n">
        <x:f>SUM(D91:F91)</x:f>
        <x:v>560</x:v>
      </x:c>
    </x:row>
    <x:row r="92" ht="24" customHeight="1">
      <x:c r="A92" s="10" t="str">
        <x:v>S01-03</x:v>
      </x:c>
      <x:c r="B92" s="10" t="str">
        <x:v>A</x:v>
      </x:c>
      <x:c r="C92" s="18" t="n">
        <x:v>0</x:v>
      </x:c>
      <x:c r="D92" s="10" t="n">
        <x:v>560</x:v>
      </x:c>
      <x:c r="E92" s="10" t="n">
        <x:v>0</x:v>
      </x:c>
      <x:c r="F92" s="10" t="n">
        <x:v>0</x:v>
      </x:c>
      <x:c r="G92" s="10" t="n">
        <x:f>SUM(D92:F92)</x:f>
        <x:v>560</x:v>
      </x:c>
    </x:row>
    <x:row r="93" ht="24" customHeight="1">
      <x:c r="A93" s="10" t="str">
        <x:v>S01-03</x:v>
      </x:c>
      <x:c r="B93" s="10" t="str">
        <x:v>A</x:v>
      </x:c>
      <x:c r="C93" s="18" t="n">
        <x:v>1e-7</x:v>
      </x:c>
      <x:c r="D93" s="10" t="n">
        <x:v>560</x:v>
      </x:c>
      <x:c r="E93" s="10" t="n">
        <x:v>0</x:v>
      </x:c>
      <x:c r="F93" s="10" t="n">
        <x:v>0</x:v>
      </x:c>
      <x:c r="G93" s="10" t="n">
        <x:f>SUM(D93:F93)</x:f>
        <x:v>560</x:v>
      </x:c>
    </x:row>
    <x:row r="94" ht="24" customHeight="1">
      <x:c r="A94" s="10" t="str">
        <x:v>S01-03</x:v>
      </x:c>
      <x:c r="B94" s="10" t="str">
        <x:v>A</x:v>
      </x:c>
      <x:c r="C94" s="18" t="n">
        <x:v>0.8499999</x:v>
      </x:c>
      <x:c r="D94" s="10" t="n">
        <x:v>560</x:v>
      </x:c>
      <x:c r="E94" s="10" t="n">
        <x:v>0</x:v>
      </x:c>
      <x:c r="F94" s="10" t="n">
        <x:v>0</x:v>
      </x:c>
      <x:c r="G94" s="10" t="n">
        <x:f>SUM(D94:F94)</x:f>
        <x:v>560</x:v>
      </x:c>
    </x:row>
    <x:row r="95" ht="24" customHeight="1">
      <x:c r="A95" s="10" t="str">
        <x:v>S01-03</x:v>
      </x:c>
      <x:c r="B95" s="10" t="str">
        <x:v>A</x:v>
      </x:c>
      <x:c r="C95" s="18" t="n">
        <x:v>0.85</x:v>
      </x:c>
      <x:c r="D95" s="10" t="n">
        <x:v>560</x:v>
      </x:c>
      <x:c r="E95" s="10" t="n">
        <x:v>0</x:v>
      </x:c>
      <x:c r="F95" s="10" t="n">
        <x:v>0.004096</x:v>
      </x:c>
      <x:c r="G95" s="10" t="n">
        <x:f>SUM(D95:F95)</x:f>
        <x:v>560.004096</x:v>
      </x:c>
    </x:row>
    <x:row r="96" ht="24" customHeight="1">
      <x:c r="A96" s="10" t="str">
        <x:v>S01-03</x:v>
      </x:c>
      <x:c r="B96" s="10" t="str">
        <x:v>A</x:v>
      </x:c>
      <x:c r="C96" s="18" t="n">
        <x:v>0.8500001</x:v>
      </x:c>
      <x:c r="D96" s="10" t="n">
        <x:v>560</x:v>
      </x:c>
      <x:c r="E96" s="10" t="n">
        <x:v>0</x:v>
      </x:c>
      <x:c r="F96" s="10" t="n">
        <x:v>0.004096</x:v>
      </x:c>
      <x:c r="G96" s="10" t="n">
        <x:f>SUM(D96:F96)</x:f>
        <x:v>560.004096</x:v>
      </x:c>
    </x:row>
    <x:row r="97" ht="24" customHeight="1">
      <x:c r="A97" s="10" t="str">
        <x:v>S01-03</x:v>
      </x:c>
      <x:c r="B97" s="10" t="str">
        <x:v>A</x:v>
      </x:c>
      <x:c r="C97" s="18" t="n">
        <x:v>1.254666567</x:v>
      </x:c>
      <x:c r="D97" s="10" t="n">
        <x:v>560</x:v>
      </x:c>
      <x:c r="E97" s="10" t="n">
        <x:v>0</x:v>
      </x:c>
      <x:c r="F97" s="10" t="n">
        <x:v>0.004096</x:v>
      </x:c>
      <x:c r="G97" s="10" t="n">
        <x:f>SUM(D97:F97)</x:f>
        <x:v>560.004096</x:v>
      </x:c>
    </x:row>
    <x:row r="98" ht="24" customHeight="1">
      <x:c r="A98" s="10" t="str">
        <x:v>S01-03</x:v>
      </x:c>
      <x:c r="B98" s="10" t="str">
        <x:v>A</x:v>
      </x:c>
      <x:c r="C98" s="18" t="n">
        <x:v>1.254666667</x:v>
      </x:c>
      <x:c r="D98" s="10" t="n">
        <x:v>560</x:v>
      </x:c>
      <x:c r="E98" s="10" t="n">
        <x:v>0.0096</x:v>
      </x:c>
      <x:c r="F98" s="10" t="n">
        <x:v>0.004096</x:v>
      </x:c>
      <x:c r="G98" s="10" t="n">
        <x:f>SUM(D98:F98)</x:f>
        <x:v>560.013696</x:v>
      </x:c>
    </x:row>
    <x:row r="99" ht="24" customHeight="1">
      <x:c r="A99" s="10" t="str">
        <x:v>S01-03</x:v>
      </x:c>
      <x:c r="B99" s="10" t="str">
        <x:v>A</x:v>
      </x:c>
      <x:c r="C99" s="18" t="n">
        <x:v>1.254666767</x:v>
      </x:c>
      <x:c r="D99" s="10" t="n">
        <x:v>560</x:v>
      </x:c>
      <x:c r="E99" s="10" t="n">
        <x:v>0.009600019</x:v>
      </x:c>
      <x:c r="F99" s="10" t="n">
        <x:v>0.004096</x:v>
      </x:c>
      <x:c r="G99" s="10" t="n">
        <x:f>SUM(D99:F99)</x:f>
        <x:v>560.013696019</x:v>
      </x:c>
    </x:row>
    <x:row r="100" ht="24" customHeight="1">
      <x:c r="A100" s="10" t="str">
        <x:v>S01-03</x:v>
      </x:c>
      <x:c r="B100" s="10" t="str">
        <x:v>A</x:v>
      </x:c>
      <x:c r="C100" s="18" t="n">
        <x:v>1.294666567</x:v>
      </x:c>
      <x:c r="D100" s="10" t="n">
        <x:v>560</x:v>
      </x:c>
      <x:c r="E100" s="10" t="n">
        <x:v>0.017279981</x:v>
      </x:c>
      <x:c r="F100" s="10" t="n">
        <x:v>0.004096</x:v>
      </x:c>
      <x:c r="G100" s="10" t="n">
        <x:f>SUM(D100:F100)</x:f>
        <x:v>560.021375981</x:v>
      </x:c>
    </x:row>
    <x:row r="101" ht="24" customHeight="1">
      <x:c r="A101" s="10" t="str">
        <x:v>S01-03</x:v>
      </x:c>
      <x:c r="B101" s="10" t="str">
        <x:v>A</x:v>
      </x:c>
      <x:c r="C101" s="18" t="n">
        <x:v>1.294666667</x:v>
      </x:c>
      <x:c r="D101" s="10" t="n">
        <x:v>560</x:v>
      </x:c>
      <x:c r="E101" s="10" t="n">
        <x:v>0.01728</x:v>
      </x:c>
      <x:c r="F101" s="10" t="n">
        <x:v>0.004096</x:v>
      </x:c>
      <x:c r="G101" s="10" t="n">
        <x:f>SUM(D101:F101)</x:f>
        <x:v>560.021376</x:v>
      </x:c>
    </x:row>
    <x:row r="102" ht="24" customHeight="1">
      <x:c r="A102" s="10" t="str">
        <x:v>S01-03</x:v>
      </x:c>
      <x:c r="B102" s="10" t="str">
        <x:v>A</x:v>
      </x:c>
      <x:c r="C102" s="18" t="n">
        <x:v>1.294666767</x:v>
      </x:c>
      <x:c r="D102" s="10" t="n">
        <x:v>560</x:v>
      </x:c>
      <x:c r="E102" s="10" t="n">
        <x:v>0.017280014</x:v>
      </x:c>
      <x:c r="F102" s="10" t="n">
        <x:v>0.004096</x:v>
      </x:c>
      <x:c r="G102" s="10" t="n">
        <x:f>SUM(D102:F102)</x:f>
        <x:v>560.021376014</x:v>
      </x:c>
    </x:row>
    <x:row r="103" ht="24" customHeight="1">
      <x:c r="A103" s="10" t="str">
        <x:v>S01-03</x:v>
      </x:c>
      <x:c r="B103" s="10" t="str">
        <x:v>A</x:v>
      </x:c>
      <x:c r="C103" s="18" t="n">
        <x:v>1.947166567</x:v>
      </x:c>
      <x:c r="D103" s="10" t="n">
        <x:v>560</x:v>
      </x:c>
      <x:c r="E103" s="10" t="n">
        <x:v>0.111239986</x:v>
      </x:c>
      <x:c r="F103" s="10" t="n">
        <x:v>0.004096</x:v>
      </x:c>
      <x:c r="G103" s="10" t="n">
        <x:f>SUM(D103:F103)</x:f>
        <x:v>560.115335986</x:v>
      </x:c>
    </x:row>
    <x:row r="104" ht="24" customHeight="1">
      <x:c r="A104" s="10" t="str">
        <x:v>S01-03</x:v>
      </x:c>
      <x:c r="B104" s="10" t="str">
        <x:v>A</x:v>
      </x:c>
      <x:c r="C104" s="18" t="n">
        <x:v>1.947166667</x:v>
      </x:c>
      <x:c r="D104" s="10" t="n">
        <x:v>560</x:v>
      </x:c>
      <x:c r="E104" s="10" t="n">
        <x:v>0.11124</x:v>
      </x:c>
      <x:c r="F104" s="10" t="n">
        <x:v>0.004096</x:v>
      </x:c>
      <x:c r="G104" s="10" t="n">
        <x:f>SUM(D104:F104)</x:f>
        <x:v>560.115336</x:v>
      </x:c>
    </x:row>
    <x:row r="105" ht="24" customHeight="1">
      <x:c r="A105" s="10" t="str">
        <x:v>S01-03</x:v>
      </x:c>
      <x:c r="B105" s="10" t="str">
        <x:v>A</x:v>
      </x:c>
      <x:c r="C105" s="18" t="n">
        <x:v>1.947166767</x:v>
      </x:c>
      <x:c r="D105" s="10" t="n">
        <x:v>560</x:v>
      </x:c>
      <x:c r="E105" s="10" t="n">
        <x:v>0.111239995</x:v>
      </x:c>
      <x:c r="F105" s="10" t="n">
        <x:v>0.004096</x:v>
      </x:c>
      <x:c r="G105" s="10" t="n">
        <x:f>SUM(D105:F105)</x:f>
        <x:v>560.115335995</x:v>
      </x:c>
    </x:row>
    <x:row r="106" ht="24" customHeight="1">
      <x:c r="A106" s="10" t="str">
        <x:v>S01-03</x:v>
      </x:c>
      <x:c r="B106" s="10" t="str">
        <x:v>A</x:v>
      </x:c>
      <x:c r="C106" s="18" t="n">
        <x:v>4.264666566</x:v>
      </x:c>
      <x:c r="D106" s="10" t="n">
        <x:v>560</x:v>
      </x:c>
      <x:c r="E106" s="10" t="n">
        <x:v>5e-9</x:v>
      </x:c>
      <x:c r="F106" s="10" t="n">
        <x:v>0.004096</x:v>
      </x:c>
      <x:c r="G106" s="10" t="n">
        <x:f>SUM(D106:F106)</x:f>
        <x:v>560.004096005</x:v>
      </x:c>
    </x:row>
    <x:row r="107" ht="24" customHeight="1">
      <x:c r="A107" s="10" t="str">
        <x:v>S01-03</x:v>
      </x:c>
      <x:c r="B107" s="10" t="str">
        <x:v>A</x:v>
      </x:c>
      <x:c r="C107" s="18" t="n">
        <x:v>4.264666666</x:v>
      </x:c>
      <x:c r="D107" s="10" t="n">
        <x:v>560</x:v>
      </x:c>
      <x:c r="E107" s="10" t="n">
        <x:v>0</x:v>
      </x:c>
      <x:c r="F107" s="10" t="n">
        <x:v>0.004096</x:v>
      </x:c>
      <x:c r="G107" s="10" t="n">
        <x:f>SUM(D107:F107)</x:f>
        <x:v>560.004096</x:v>
      </x:c>
    </x:row>
    <x:row r="108" ht="24" customHeight="1">
      <x:c r="A108" s="10" t="str">
        <x:v>S01-03</x:v>
      </x:c>
      <x:c r="B108" s="10" t="str">
        <x:v>A</x:v>
      </x:c>
      <x:c r="C108" s="18" t="n">
        <x:v>4.264666766</x:v>
      </x:c>
      <x:c r="D108" s="10" t="n">
        <x:v>560</x:v>
      </x:c>
      <x:c r="E108" s="10" t="n">
        <x:v>0</x:v>
      </x:c>
      <x:c r="F108" s="10" t="n">
        <x:v>0</x:v>
      </x:c>
      <x:c r="G108" s="10" t="n">
        <x:f>SUM(D108:F108)</x:f>
        <x:v>560</x:v>
      </x:c>
    </x:row>
    <x:row r="109" ht="24" customHeight="1">
      <x:c r="A109" s="10" t="str">
        <x:v>S01-03</x:v>
      </x:c>
      <x:c r="B109" s="10" t="str">
        <x:v>B</x:v>
      </x:c>
      <x:c r="C109" s="18" t="n">
        <x:v>-6.0000001</x:v>
      </x:c>
      <x:c r="D109" s="10" t="n">
        <x:v>560</x:v>
      </x:c>
      <x:c r="E109" s="10" t="n">
        <x:v>0</x:v>
      </x:c>
      <x:c r="F109" s="10" t="n">
        <x:v>0</x:v>
      </x:c>
      <x:c r="G109" s="10" t="n">
        <x:f>SUM(D109:F109)</x:f>
        <x:v>560</x:v>
      </x:c>
    </x:row>
    <x:row r="110" ht="24" customHeight="1">
      <x:c r="A110" s="10" t="str">
        <x:v>S01-03</x:v>
      </x:c>
      <x:c r="B110" s="10" t="str">
        <x:v>B</x:v>
      </x:c>
      <x:c r="C110" s="18" t="n">
        <x:v>-6</x:v>
      </x:c>
      <x:c r="D110" s="10" t="n">
        <x:v>560</x:v>
      </x:c>
      <x:c r="E110" s="10" t="n">
        <x:v>0</x:v>
      </x:c>
      <x:c r="F110" s="10" t="n">
        <x:v>0</x:v>
      </x:c>
      <x:c r="G110" s="10" t="n">
        <x:f>SUM(D110:F110)</x:f>
        <x:v>560</x:v>
      </x:c>
    </x:row>
    <x:row r="111" ht="24" customHeight="1">
      <x:c r="A111" s="10" t="str">
        <x:v>S01-03</x:v>
      </x:c>
      <x:c r="B111" s="10" t="str">
        <x:v>B</x:v>
      </x:c>
      <x:c r="C111" s="18" t="n">
        <x:v>-5.9999999</x:v>
      </x:c>
      <x:c r="D111" s="10" t="n">
        <x:v>560</x:v>
      </x:c>
      <x:c r="E111" s="10" t="n">
        <x:v>0</x:v>
      </x:c>
      <x:c r="F111" s="10" t="n">
        <x:v>0</x:v>
      </x:c>
      <x:c r="G111" s="10" t="n">
        <x:f>SUM(D111:F111)</x:f>
        <x:v>560</x:v>
      </x:c>
    </x:row>
    <x:row r="112" ht="24" customHeight="1">
      <x:c r="A112" s="10" t="str">
        <x:v>S01-03</x:v>
      </x:c>
      <x:c r="B112" s="10" t="str">
        <x:v>B</x:v>
      </x:c>
      <x:c r="C112" s="18" t="n">
        <x:v>-1e-7</x:v>
      </x:c>
      <x:c r="D112" s="10" t="n">
        <x:v>560</x:v>
      </x:c>
      <x:c r="E112" s="10" t="n">
        <x:v>0</x:v>
      </x:c>
      <x:c r="F112" s="10" t="n">
        <x:v>0</x:v>
      </x:c>
      <x:c r="G112" s="10" t="n">
        <x:f>SUM(D112:F112)</x:f>
        <x:v>560</x:v>
      </x:c>
    </x:row>
    <x:row r="113" ht="24" customHeight="1">
      <x:c r="A113" s="10" t="str">
        <x:v>S01-03</x:v>
      </x:c>
      <x:c r="B113" s="10" t="str">
        <x:v>B</x:v>
      </x:c>
      <x:c r="C113" s="18" t="n">
        <x:v>0</x:v>
      </x:c>
      <x:c r="D113" s="10" t="n">
        <x:v>560</x:v>
      </x:c>
      <x:c r="E113" s="10" t="n">
        <x:v>0</x:v>
      </x:c>
      <x:c r="F113" s="10" t="n">
        <x:v>0</x:v>
      </x:c>
      <x:c r="G113" s="10" t="n">
        <x:f>SUM(D113:F113)</x:f>
        <x:v>560</x:v>
      </x:c>
    </x:row>
    <x:row r="114" ht="24" customHeight="1">
      <x:c r="A114" s="10" t="str">
        <x:v>S01-03</x:v>
      </x:c>
      <x:c r="B114" s="10" t="str">
        <x:v>B</x:v>
      </x:c>
      <x:c r="C114" s="18" t="n">
        <x:v>1e-7</x:v>
      </x:c>
      <x:c r="D114" s="10" t="n">
        <x:v>560</x:v>
      </x:c>
      <x:c r="E114" s="10" t="n">
        <x:v>0</x:v>
      </x:c>
      <x:c r="F114" s="10" t="n">
        <x:v>0</x:v>
      </x:c>
      <x:c r="G114" s="10" t="n">
        <x:f>SUM(D114:F114)</x:f>
        <x:v>560</x:v>
      </x:c>
    </x:row>
    <x:row r="115" ht="24" customHeight="1">
      <x:c r="A115" s="10" t="str">
        <x:v>S01-03</x:v>
      </x:c>
      <x:c r="B115" s="10" t="str">
        <x:v>B</x:v>
      </x:c>
      <x:c r="C115" s="18" t="n">
        <x:v>0.8499999</x:v>
      </x:c>
      <x:c r="D115" s="10" t="n">
        <x:v>560</x:v>
      </x:c>
      <x:c r="E115" s="10" t="n">
        <x:v>0</x:v>
      </x:c>
      <x:c r="F115" s="10" t="n">
        <x:v>0</x:v>
      </x:c>
      <x:c r="G115" s="10" t="n">
        <x:f>SUM(D115:F115)</x:f>
        <x:v>560</x:v>
      </x:c>
    </x:row>
    <x:row r="116" ht="24" customHeight="1">
      <x:c r="A116" s="10" t="str">
        <x:v>S01-03</x:v>
      </x:c>
      <x:c r="B116" s="10" t="str">
        <x:v>B</x:v>
      </x:c>
      <x:c r="C116" s="18" t="n">
        <x:v>0.85</x:v>
      </x:c>
      <x:c r="D116" s="10" t="n">
        <x:v>560</x:v>
      </x:c>
      <x:c r="E116" s="10" t="n">
        <x:v>0</x:v>
      </x:c>
      <x:c r="F116" s="10" t="n">
        <x:v>0.004096</x:v>
      </x:c>
      <x:c r="G116" s="10" t="n">
        <x:f>SUM(D116:F116)</x:f>
        <x:v>560.004096</x:v>
      </x:c>
    </x:row>
    <x:row r="117" ht="24" customHeight="1">
      <x:c r="A117" s="10" t="str">
        <x:v>S01-03</x:v>
      </x:c>
      <x:c r="B117" s="10" t="str">
        <x:v>B</x:v>
      </x:c>
      <x:c r="C117" s="18" t="n">
        <x:v>0.8500001</x:v>
      </x:c>
      <x:c r="D117" s="10" t="n">
        <x:v>560</x:v>
      </x:c>
      <x:c r="E117" s="10" t="n">
        <x:v>0</x:v>
      </x:c>
      <x:c r="F117" s="10" t="n">
        <x:v>0.004096</x:v>
      </x:c>
      <x:c r="G117" s="10" t="n">
        <x:f>SUM(D117:F117)</x:f>
        <x:v>560.004096</x:v>
      </x:c>
    </x:row>
    <x:row r="118" ht="24" customHeight="1">
      <x:c r="A118" s="10" t="str">
        <x:v>S01-03</x:v>
      </x:c>
      <x:c r="B118" s="10" t="str">
        <x:v>B</x:v>
      </x:c>
      <x:c r="C118" s="18" t="n">
        <x:v>1.254666567</x:v>
      </x:c>
      <x:c r="D118" s="10" t="n">
        <x:v>560</x:v>
      </x:c>
      <x:c r="E118" s="10" t="n">
        <x:v>0</x:v>
      </x:c>
      <x:c r="F118" s="10" t="n">
        <x:v>0.004096</x:v>
      </x:c>
      <x:c r="G118" s="10" t="n">
        <x:f>SUM(D118:F118)</x:f>
        <x:v>560.004096</x:v>
      </x:c>
    </x:row>
    <x:row r="119" ht="24" customHeight="1">
      <x:c r="A119" s="10" t="str">
        <x:v>S01-03</x:v>
      </x:c>
      <x:c r="B119" s="10" t="str">
        <x:v>B</x:v>
      </x:c>
      <x:c r="C119" s="18" t="n">
        <x:v>1.254666667</x:v>
      </x:c>
      <x:c r="D119" s="10" t="n">
        <x:v>560</x:v>
      </x:c>
      <x:c r="E119" s="10" t="n">
        <x:v>0.0096</x:v>
      </x:c>
      <x:c r="F119" s="10" t="n">
        <x:v>0.004096</x:v>
      </x:c>
      <x:c r="G119" s="10" t="n">
        <x:f>SUM(D119:F119)</x:f>
        <x:v>560.013696</x:v>
      </x:c>
    </x:row>
    <x:row r="120" ht="24" customHeight="1">
      <x:c r="A120" s="10" t="str">
        <x:v>S01-03</x:v>
      </x:c>
      <x:c r="B120" s="10" t="str">
        <x:v>B</x:v>
      </x:c>
      <x:c r="C120" s="18" t="n">
        <x:v>1.254666767</x:v>
      </x:c>
      <x:c r="D120" s="10" t="n">
        <x:v>560</x:v>
      </x:c>
      <x:c r="E120" s="10" t="n">
        <x:v>0.009600019</x:v>
      </x:c>
      <x:c r="F120" s="10" t="n">
        <x:v>0.004096</x:v>
      </x:c>
      <x:c r="G120" s="10" t="n">
        <x:f>SUM(D120:F120)</x:f>
        <x:v>560.013696019</x:v>
      </x:c>
    </x:row>
    <x:row r="121" ht="24" customHeight="1">
      <x:c r="A121" s="10" t="str">
        <x:v>S01-03</x:v>
      </x:c>
      <x:c r="B121" s="10" t="str">
        <x:v>B</x:v>
      </x:c>
      <x:c r="C121" s="18" t="n">
        <x:v>1.294666567</x:v>
      </x:c>
      <x:c r="D121" s="10" t="n">
        <x:v>560</x:v>
      </x:c>
      <x:c r="E121" s="10" t="n">
        <x:v>0.017279981</x:v>
      </x:c>
      <x:c r="F121" s="10" t="n">
        <x:v>0.004096</x:v>
      </x:c>
      <x:c r="G121" s="10" t="n">
        <x:f>SUM(D121:F121)</x:f>
        <x:v>560.021375981</x:v>
      </x:c>
    </x:row>
    <x:row r="122" ht="24" customHeight="1">
      <x:c r="A122" s="10" t="str">
        <x:v>S01-03</x:v>
      </x:c>
      <x:c r="B122" s="10" t="str">
        <x:v>B</x:v>
      </x:c>
      <x:c r="C122" s="18" t="n">
        <x:v>1.294666667</x:v>
      </x:c>
      <x:c r="D122" s="10" t="n">
        <x:v>560</x:v>
      </x:c>
      <x:c r="E122" s="10" t="n">
        <x:v>0.01728</x:v>
      </x:c>
      <x:c r="F122" s="10" t="n">
        <x:v>0.004096</x:v>
      </x:c>
      <x:c r="G122" s="10" t="n">
        <x:f>SUM(D122:F122)</x:f>
        <x:v>560.021376</x:v>
      </x:c>
    </x:row>
    <x:row r="123" ht="24" customHeight="1">
      <x:c r="A123" s="10" t="str">
        <x:v>S01-03</x:v>
      </x:c>
      <x:c r="B123" s="10" t="str">
        <x:v>B</x:v>
      </x:c>
      <x:c r="C123" s="18" t="n">
        <x:v>1.294666767</x:v>
      </x:c>
      <x:c r="D123" s="10" t="n">
        <x:v>560</x:v>
      </x:c>
      <x:c r="E123" s="10" t="n">
        <x:v>0.017280014</x:v>
      </x:c>
      <x:c r="F123" s="10" t="n">
        <x:v>0.004096</x:v>
      </x:c>
      <x:c r="G123" s="10" t="n">
        <x:f>SUM(D123:F123)</x:f>
        <x:v>560.021376014</x:v>
      </x:c>
    </x:row>
    <x:row r="124" ht="24" customHeight="1">
      <x:c r="A124" s="10" t="str">
        <x:v>S01-03</x:v>
      </x:c>
      <x:c r="B124" s="10" t="str">
        <x:v>B</x:v>
      </x:c>
      <x:c r="C124" s="18" t="n">
        <x:v>1.947166567</x:v>
      </x:c>
      <x:c r="D124" s="10" t="n">
        <x:v>560</x:v>
      </x:c>
      <x:c r="E124" s="10" t="n">
        <x:v>0.111239986</x:v>
      </x:c>
      <x:c r="F124" s="10" t="n">
        <x:v>0.004096</x:v>
      </x:c>
      <x:c r="G124" s="10" t="n">
        <x:f>SUM(D124:F124)</x:f>
        <x:v>560.115335986</x:v>
      </x:c>
    </x:row>
    <x:row r="125" ht="24" customHeight="1">
      <x:c r="A125" s="10" t="str">
        <x:v>S01-03</x:v>
      </x:c>
      <x:c r="B125" s="10" t="str">
        <x:v>B</x:v>
      </x:c>
      <x:c r="C125" s="18" t="n">
        <x:v>1.947166667</x:v>
      </x:c>
      <x:c r="D125" s="10" t="n">
        <x:v>560</x:v>
      </x:c>
      <x:c r="E125" s="10" t="n">
        <x:v>0.11124</x:v>
      </x:c>
      <x:c r="F125" s="10" t="n">
        <x:v>0.004096</x:v>
      </x:c>
      <x:c r="G125" s="10" t="n">
        <x:f>SUM(D125:F125)</x:f>
        <x:v>560.115336</x:v>
      </x:c>
    </x:row>
    <x:row r="126" ht="24" customHeight="1">
      <x:c r="A126" s="10" t="str">
        <x:v>S01-03</x:v>
      </x:c>
      <x:c r="B126" s="10" t="str">
        <x:v>B</x:v>
      </x:c>
      <x:c r="C126" s="18" t="n">
        <x:v>1.947166767</x:v>
      </x:c>
      <x:c r="D126" s="10" t="n">
        <x:v>560</x:v>
      </x:c>
      <x:c r="E126" s="10" t="n">
        <x:v>0.111239995</x:v>
      </x:c>
      <x:c r="F126" s="10" t="n">
        <x:v>0.004096</x:v>
      </x:c>
      <x:c r="G126" s="10" t="n">
        <x:f>SUM(D126:F126)</x:f>
        <x:v>560.115335995</x:v>
      </x:c>
    </x:row>
    <x:row r="127" ht="24" customHeight="1">
      <x:c r="A127" s="10" t="str">
        <x:v>S01-03</x:v>
      </x:c>
      <x:c r="B127" s="10" t="str">
        <x:v>B</x:v>
      </x:c>
      <x:c r="C127" s="18" t="n">
        <x:v>4.264666566</x:v>
      </x:c>
      <x:c r="D127" s="10" t="n">
        <x:v>560</x:v>
      </x:c>
      <x:c r="E127" s="10" t="n">
        <x:v>5e-9</x:v>
      </x:c>
      <x:c r="F127" s="10" t="n">
        <x:v>0.004096</x:v>
      </x:c>
      <x:c r="G127" s="10" t="n">
        <x:f>SUM(D127:F127)</x:f>
        <x:v>560.004096005</x:v>
      </x:c>
    </x:row>
    <x:row r="128" ht="24" customHeight="1">
      <x:c r="A128" s="10" t="str">
        <x:v>S01-03</x:v>
      </x:c>
      <x:c r="B128" s="10" t="str">
        <x:v>B</x:v>
      </x:c>
      <x:c r="C128" s="18" t="n">
        <x:v>4.264666666</x:v>
      </x:c>
      <x:c r="D128" s="10" t="n">
        <x:v>560</x:v>
      </x:c>
      <x:c r="E128" s="10" t="n">
        <x:v>0</x:v>
      </x:c>
      <x:c r="F128" s="10" t="n">
        <x:v>0.004096</x:v>
      </x:c>
      <x:c r="G128" s="10" t="n">
        <x:f>SUM(D128:F128)</x:f>
        <x:v>560.004096</x:v>
      </x:c>
    </x:row>
    <x:row r="129" ht="24" customHeight="1">
      <x:c r="A129" s="10" t="str">
        <x:v>S01-03</x:v>
      </x:c>
      <x:c r="B129" s="10" t="str">
        <x:v>B</x:v>
      </x:c>
      <x:c r="C129" s="18" t="n">
        <x:v>4.264666766</x:v>
      </x:c>
      <x:c r="D129" s="10" t="n">
        <x:v>560</x:v>
      </x:c>
      <x:c r="E129" s="10" t="n">
        <x:v>0</x:v>
      </x:c>
      <x:c r="F129" s="10" t="n">
        <x:v>0</x:v>
      </x:c>
      <x:c r="G129" s="10" t="n">
        <x:f>SUM(D129:F129)</x:f>
        <x:v>560</x:v>
      </x:c>
    </x:row>
    <x:row r="130" ht="24" customHeight="1">
      <x:c r="A130" s="10" t="str">
        <x:v>S01-04</x:v>
      </x:c>
      <x:c r="B130" s="10" t="str">
        <x:v>A</x:v>
      </x:c>
      <x:c r="C130" s="18" t="n">
        <x:v>-6.0000001</x:v>
      </x:c>
      <x:c r="D130" s="10" t="n">
        <x:v>560</x:v>
      </x:c>
      <x:c r="E130" s="10" t="n">
        <x:v>0</x:v>
      </x:c>
      <x:c r="F130" s="10" t="n">
        <x:v>0</x:v>
      </x:c>
      <x:c r="G130" s="10" t="n">
        <x:f>SUM(D130:F130)</x:f>
        <x:v>560</x:v>
      </x:c>
    </x:row>
    <x:row r="131" ht="24" customHeight="1">
      <x:c r="A131" s="10" t="str">
        <x:v>S01-04</x:v>
      </x:c>
      <x:c r="B131" s="10" t="str">
        <x:v>A</x:v>
      </x:c>
      <x:c r="C131" s="18" t="n">
        <x:v>-6</x:v>
      </x:c>
      <x:c r="D131" s="10" t="n">
        <x:v>560</x:v>
      </x:c>
      <x:c r="E131" s="10" t="n">
        <x:v>0</x:v>
      </x:c>
      <x:c r="F131" s="10" t="n">
        <x:v>0</x:v>
      </x:c>
      <x:c r="G131" s="10" t="n">
        <x:f>SUM(D131:F131)</x:f>
        <x:v>560</x:v>
      </x:c>
    </x:row>
    <x:row r="132" ht="24" customHeight="1">
      <x:c r="A132" s="10" t="str">
        <x:v>S01-04</x:v>
      </x:c>
      <x:c r="B132" s="10" t="str">
        <x:v>A</x:v>
      </x:c>
      <x:c r="C132" s="18" t="n">
        <x:v>-5.9999999</x:v>
      </x:c>
      <x:c r="D132" s="10" t="n">
        <x:v>560</x:v>
      </x:c>
      <x:c r="E132" s="10" t="n">
        <x:v>0</x:v>
      </x:c>
      <x:c r="F132" s="10" t="n">
        <x:v>0</x:v>
      </x:c>
      <x:c r="G132" s="10" t="n">
        <x:f>SUM(D132:F132)</x:f>
        <x:v>560</x:v>
      </x:c>
    </x:row>
    <x:row r="133" ht="24" customHeight="1">
      <x:c r="A133" s="10" t="str">
        <x:v>S01-04</x:v>
      </x:c>
      <x:c r="B133" s="10" t="str">
        <x:v>A</x:v>
      </x:c>
      <x:c r="C133" s="18" t="n">
        <x:v>-1e-7</x:v>
      </x:c>
      <x:c r="D133" s="10" t="n">
        <x:v>560</x:v>
      </x:c>
      <x:c r="E133" s="10" t="n">
        <x:v>0</x:v>
      </x:c>
      <x:c r="F133" s="10" t="n">
        <x:v>0</x:v>
      </x:c>
      <x:c r="G133" s="10" t="n">
        <x:f>SUM(D133:F133)</x:f>
        <x:v>560</x:v>
      </x:c>
    </x:row>
    <x:row r="134" ht="24" customHeight="1">
      <x:c r="A134" s="10" t="str">
        <x:v>S01-04</x:v>
      </x:c>
      <x:c r="B134" s="10" t="str">
        <x:v>A</x:v>
      </x:c>
      <x:c r="C134" s="18" t="n">
        <x:v>0</x:v>
      </x:c>
      <x:c r="D134" s="10" t="n">
        <x:v>560</x:v>
      </x:c>
      <x:c r="E134" s="10" t="n">
        <x:v>0</x:v>
      </x:c>
      <x:c r="F134" s="10" t="n">
        <x:v>0</x:v>
      </x:c>
      <x:c r="G134" s="10" t="n">
        <x:f>SUM(D134:F134)</x:f>
        <x:v>560</x:v>
      </x:c>
    </x:row>
    <x:row r="135" ht="24" customHeight="1">
      <x:c r="A135" s="10" t="str">
        <x:v>S01-04</x:v>
      </x:c>
      <x:c r="B135" s="10" t="str">
        <x:v>A</x:v>
      </x:c>
      <x:c r="C135" s="18" t="n">
        <x:v>1e-7</x:v>
      </x:c>
      <x:c r="D135" s="10" t="n">
        <x:v>560</x:v>
      </x:c>
      <x:c r="E135" s="10" t="n">
        <x:v>0</x:v>
      </x:c>
      <x:c r="F135" s="10" t="n">
        <x:v>0</x:v>
      </x:c>
      <x:c r="G135" s="10" t="n">
        <x:f>SUM(D135:F135)</x:f>
        <x:v>560</x:v>
      </x:c>
    </x:row>
    <x:row r="136" ht="24" customHeight="1">
      <x:c r="A136" s="10" t="str">
        <x:v>S01-04</x:v>
      </x:c>
      <x:c r="B136" s="10" t="str">
        <x:v>A</x:v>
      </x:c>
      <x:c r="C136" s="18" t="n">
        <x:v>0.878333233</x:v>
      </x:c>
      <x:c r="D136" s="10" t="n">
        <x:v>560</x:v>
      </x:c>
      <x:c r="E136" s="10" t="n">
        <x:v>0</x:v>
      </x:c>
      <x:c r="F136" s="10" t="n">
        <x:v>0</x:v>
      </x:c>
      <x:c r="G136" s="10" t="n">
        <x:f>SUM(D136:F136)</x:f>
        <x:v>560</x:v>
      </x:c>
    </x:row>
    <x:row r="137" ht="24" customHeight="1">
      <x:c r="A137" s="10" t="str">
        <x:v>S01-04</x:v>
      </x:c>
      <x:c r="B137" s="10" t="str">
        <x:v>A</x:v>
      </x:c>
      <x:c r="C137" s="18" t="n">
        <x:v>0.878333333</x:v>
      </x:c>
      <x:c r="D137" s="10" t="n">
        <x:v>560</x:v>
      </x:c>
      <x:c r="E137" s="10" t="n">
        <x:v>0</x:v>
      </x:c>
      <x:c r="F137" s="10" t="n">
        <x:v>0.004096</x:v>
      </x:c>
      <x:c r="G137" s="10" t="n">
        <x:f>SUM(D137:F137)</x:f>
        <x:v>560.004096</x:v>
      </x:c>
    </x:row>
    <x:row r="138" ht="24" customHeight="1">
      <x:c r="A138" s="10" t="str">
        <x:v>S01-04</x:v>
      </x:c>
      <x:c r="B138" s="10" t="str">
        <x:v>A</x:v>
      </x:c>
      <x:c r="C138" s="18" t="n">
        <x:v>0.878333433</x:v>
      </x:c>
      <x:c r="D138" s="10" t="n">
        <x:v>560</x:v>
      </x:c>
      <x:c r="E138" s="10" t="n">
        <x:v>0</x:v>
      </x:c>
      <x:c r="F138" s="10" t="n">
        <x:v>0.004096</x:v>
      </x:c>
      <x:c r="G138" s="10" t="n">
        <x:f>SUM(D138:F138)</x:f>
        <x:v>560.004096</x:v>
      </x:c>
    </x:row>
    <x:row r="139" ht="24" customHeight="1">
      <x:c r="A139" s="10" t="str">
        <x:v>S01-04</x:v>
      </x:c>
      <x:c r="B139" s="10" t="str">
        <x:v>A</x:v>
      </x:c>
      <x:c r="C139" s="18" t="n">
        <x:v>1.2829999</x:v>
      </x:c>
      <x:c r="D139" s="10" t="n">
        <x:v>560</x:v>
      </x:c>
      <x:c r="E139" s="10" t="n">
        <x:v>0</x:v>
      </x:c>
      <x:c r="F139" s="10" t="n">
        <x:v>0.004096</x:v>
      </x:c>
      <x:c r="G139" s="10" t="n">
        <x:f>SUM(D139:F139)</x:f>
        <x:v>560.004096</x:v>
      </x:c>
    </x:row>
    <x:row r="140" ht="24" customHeight="1">
      <x:c r="A140" s="10" t="str">
        <x:v>S01-04</x:v>
      </x:c>
      <x:c r="B140" s="10" t="str">
        <x:v>A</x:v>
      </x:c>
      <x:c r="C140" s="18" t="n">
        <x:v>1.283</x:v>
      </x:c>
      <x:c r="D140" s="10" t="n">
        <x:v>560</x:v>
      </x:c>
      <x:c r="E140" s="10" t="n">
        <x:v>0.0096</x:v>
      </x:c>
      <x:c r="F140" s="10" t="n">
        <x:v>0.004096</x:v>
      </x:c>
      <x:c r="G140" s="10" t="n">
        <x:f>SUM(D140:F140)</x:f>
        <x:v>560.013696</x:v>
      </x:c>
    </x:row>
    <x:row r="141" ht="24" customHeight="1">
      <x:c r="A141" s="10" t="str">
        <x:v>S01-04</x:v>
      </x:c>
      <x:c r="B141" s="10" t="str">
        <x:v>A</x:v>
      </x:c>
      <x:c r="C141" s="18" t="n">
        <x:v>1.2830001</x:v>
      </x:c>
      <x:c r="D141" s="10" t="n">
        <x:v>560</x:v>
      </x:c>
      <x:c r="E141" s="10" t="n">
        <x:v>0.009600019</x:v>
      </x:c>
      <x:c r="F141" s="10" t="n">
        <x:v>0.004096</x:v>
      </x:c>
      <x:c r="G141" s="10" t="n">
        <x:f>SUM(D141:F141)</x:f>
        <x:v>560.013696019</x:v>
      </x:c>
    </x:row>
    <x:row r="142" ht="24" customHeight="1">
      <x:c r="A142" s="10" t="str">
        <x:v>S01-04</x:v>
      </x:c>
      <x:c r="B142" s="10" t="str">
        <x:v>A</x:v>
      </x:c>
      <x:c r="C142" s="18" t="n">
        <x:v>1.3229999</x:v>
      </x:c>
      <x:c r="D142" s="10" t="n">
        <x:v>560</x:v>
      </x:c>
      <x:c r="E142" s="10" t="n">
        <x:v>0.017279981</x:v>
      </x:c>
      <x:c r="F142" s="10" t="n">
        <x:v>0.004096</x:v>
      </x:c>
      <x:c r="G142" s="10" t="n">
        <x:f>SUM(D142:F142)</x:f>
        <x:v>560.021375981</x:v>
      </x:c>
    </x:row>
    <x:row r="143" ht="24" customHeight="1">
      <x:c r="A143" s="10" t="str">
        <x:v>S01-04</x:v>
      </x:c>
      <x:c r="B143" s="10" t="str">
        <x:v>A</x:v>
      </x:c>
      <x:c r="C143" s="18" t="n">
        <x:v>1.323</x:v>
      </x:c>
      <x:c r="D143" s="10" t="n">
        <x:v>560</x:v>
      </x:c>
      <x:c r="E143" s="10" t="n">
        <x:v>0.01728</x:v>
      </x:c>
      <x:c r="F143" s="10" t="n">
        <x:v>0.004096</x:v>
      </x:c>
      <x:c r="G143" s="10" t="n">
        <x:f>SUM(D143:F143)</x:f>
        <x:v>560.021376</x:v>
      </x:c>
    </x:row>
    <x:row r="144" ht="24" customHeight="1">
      <x:c r="A144" s="10" t="str">
        <x:v>S01-04</x:v>
      </x:c>
      <x:c r="B144" s="10" t="str">
        <x:v>A</x:v>
      </x:c>
      <x:c r="C144" s="18" t="n">
        <x:v>1.3230001</x:v>
      </x:c>
      <x:c r="D144" s="10" t="n">
        <x:v>560</x:v>
      </x:c>
      <x:c r="E144" s="10" t="n">
        <x:v>0.017280014</x:v>
      </x:c>
      <x:c r="F144" s="10" t="n">
        <x:v>0.004096</x:v>
      </x:c>
      <x:c r="G144" s="10" t="n">
        <x:f>SUM(D144:F144)</x:f>
        <x:v>560.021376014</x:v>
      </x:c>
    </x:row>
    <x:row r="145" ht="24" customHeight="1">
      <x:c r="A145" s="10" t="str">
        <x:v>S01-04</x:v>
      </x:c>
      <x:c r="B145" s="10" t="str">
        <x:v>A</x:v>
      </x:c>
      <x:c r="C145" s="18" t="n">
        <x:v>1.9784999</x:v>
      </x:c>
      <x:c r="D145" s="10" t="n">
        <x:v>560</x:v>
      </x:c>
      <x:c r="E145" s="10" t="n">
        <x:v>0.111671986</x:v>
      </x:c>
      <x:c r="F145" s="10" t="n">
        <x:v>0.004096</x:v>
      </x:c>
      <x:c r="G145" s="10" t="n">
        <x:f>SUM(D145:F145)</x:f>
        <x:v>560.115767986</x:v>
      </x:c>
    </x:row>
    <x:row r="146" ht="24" customHeight="1">
      <x:c r="A146" s="10" t="str">
        <x:v>S01-04</x:v>
      </x:c>
      <x:c r="B146" s="10" t="str">
        <x:v>A</x:v>
      </x:c>
      <x:c r="C146" s="18" t="n">
        <x:v>1.9785</x:v>
      </x:c>
      <x:c r="D146" s="10" t="n">
        <x:v>560</x:v>
      </x:c>
      <x:c r="E146" s="10" t="n">
        <x:v>0.111672</x:v>
      </x:c>
      <x:c r="F146" s="10" t="n">
        <x:v>0.004096</x:v>
      </x:c>
      <x:c r="G146" s="10" t="n">
        <x:f>SUM(D146:F146)</x:f>
        <x:v>560.115768</x:v>
      </x:c>
    </x:row>
    <x:row r="147" ht="24" customHeight="1">
      <x:c r="A147" s="10" t="str">
        <x:v>S01-04</x:v>
      </x:c>
      <x:c r="B147" s="10" t="str">
        <x:v>A</x:v>
      </x:c>
      <x:c r="C147" s="18" t="n">
        <x:v>1.9785001</x:v>
      </x:c>
      <x:c r="D147" s="10" t="n">
        <x:v>560</x:v>
      </x:c>
      <x:c r="E147" s="10" t="n">
        <x:v>0.111671995</x:v>
      </x:c>
      <x:c r="F147" s="10" t="n">
        <x:v>0.004096</x:v>
      </x:c>
      <x:c r="G147" s="10" t="n">
        <x:f>SUM(D147:F147)</x:f>
        <x:v>560.115767995</x:v>
      </x:c>
    </x:row>
    <x:row r="148" ht="24" customHeight="1">
      <x:c r="A148" s="10" t="str">
        <x:v>S01-04</x:v>
      </x:c>
      <x:c r="B148" s="10" t="str">
        <x:v>A</x:v>
      </x:c>
      <x:c r="C148" s="18" t="n">
        <x:v>4.304999899</x:v>
      </x:c>
      <x:c r="D148" s="10" t="n">
        <x:v>560</x:v>
      </x:c>
      <x:c r="E148" s="10" t="n">
        <x:v>5e-9</x:v>
      </x:c>
      <x:c r="F148" s="10" t="n">
        <x:v>0.004096</x:v>
      </x:c>
      <x:c r="G148" s="10" t="n">
        <x:f>SUM(D148:F148)</x:f>
        <x:v>560.004096005</x:v>
      </x:c>
    </x:row>
    <x:row r="149" ht="24" customHeight="1">
      <x:c r="A149" s="10" t="str">
        <x:v>S01-04</x:v>
      </x:c>
      <x:c r="B149" s="10" t="str">
        <x:v>A</x:v>
      </x:c>
      <x:c r="C149" s="18" t="n">
        <x:v>4.304999999</x:v>
      </x:c>
      <x:c r="D149" s="10" t="n">
        <x:v>560</x:v>
      </x:c>
      <x:c r="E149" s="10" t="n">
        <x:v>0</x:v>
      </x:c>
      <x:c r="F149" s="10" t="n">
        <x:v>0.004096</x:v>
      </x:c>
      <x:c r="G149" s="10" t="n">
        <x:f>SUM(D149:F149)</x:f>
        <x:v>560.004096</x:v>
      </x:c>
    </x:row>
    <x:row r="150" ht="24" customHeight="1">
      <x:c r="A150" s="10" t="str">
        <x:v>S01-04</x:v>
      </x:c>
      <x:c r="B150" s="10" t="str">
        <x:v>A</x:v>
      </x:c>
      <x:c r="C150" s="18" t="n">
        <x:v>4.305000099</x:v>
      </x:c>
      <x:c r="D150" s="10" t="n">
        <x:v>560</x:v>
      </x:c>
      <x:c r="E150" s="10" t="n">
        <x:v>0</x:v>
      </x:c>
      <x:c r="F150" s="10" t="n">
        <x:v>0</x:v>
      </x:c>
      <x:c r="G150" s="10" t="n">
        <x:f>SUM(D150:F150)</x:f>
        <x:v>560</x:v>
      </x:c>
    </x:row>
    <x:row r="151" ht="24" customHeight="1">
      <x:c r="A151" s="10" t="str">
        <x:v>S01-04</x:v>
      </x:c>
      <x:c r="B151" s="10" t="str">
        <x:v>B</x:v>
      </x:c>
      <x:c r="C151" s="18" t="n">
        <x:v>-6.0000001</x:v>
      </x:c>
      <x:c r="D151" s="10" t="n">
        <x:v>560</x:v>
      </x:c>
      <x:c r="E151" s="10" t="n">
        <x:v>0</x:v>
      </x:c>
      <x:c r="F151" s="10" t="n">
        <x:v>0</x:v>
      </x:c>
      <x:c r="G151" s="10" t="n">
        <x:f>SUM(D151:F151)</x:f>
        <x:v>560</x:v>
      </x:c>
    </x:row>
    <x:row r="152" ht="24" customHeight="1">
      <x:c r="A152" s="10" t="str">
        <x:v>S01-04</x:v>
      </x:c>
      <x:c r="B152" s="10" t="str">
        <x:v>B</x:v>
      </x:c>
      <x:c r="C152" s="18" t="n">
        <x:v>-6</x:v>
      </x:c>
      <x:c r="D152" s="10" t="n">
        <x:v>560</x:v>
      </x:c>
      <x:c r="E152" s="10" t="n">
        <x:v>0</x:v>
      </x:c>
      <x:c r="F152" s="10" t="n">
        <x:v>0</x:v>
      </x:c>
      <x:c r="G152" s="10" t="n">
        <x:f>SUM(D152:F152)</x:f>
        <x:v>560</x:v>
      </x:c>
    </x:row>
    <x:row r="153" ht="24" customHeight="1">
      <x:c r="A153" s="10" t="str">
        <x:v>S01-04</x:v>
      </x:c>
      <x:c r="B153" s="10" t="str">
        <x:v>B</x:v>
      </x:c>
      <x:c r="C153" s="18" t="n">
        <x:v>-5.9999999</x:v>
      </x:c>
      <x:c r="D153" s="10" t="n">
        <x:v>560</x:v>
      </x:c>
      <x:c r="E153" s="10" t="n">
        <x:v>0</x:v>
      </x:c>
      <x:c r="F153" s="10" t="n">
        <x:v>0</x:v>
      </x:c>
      <x:c r="G153" s="10" t="n">
        <x:f>SUM(D153:F153)</x:f>
        <x:v>560</x:v>
      </x:c>
    </x:row>
    <x:row r="154" ht="24" customHeight="1">
      <x:c r="A154" s="10" t="str">
        <x:v>S01-04</x:v>
      </x:c>
      <x:c r="B154" s="10" t="str">
        <x:v>B</x:v>
      </x:c>
      <x:c r="C154" s="18" t="n">
        <x:v>-1e-7</x:v>
      </x:c>
      <x:c r="D154" s="10" t="n">
        <x:v>560</x:v>
      </x:c>
      <x:c r="E154" s="10" t="n">
        <x:v>0</x:v>
      </x:c>
      <x:c r="F154" s="10" t="n">
        <x:v>0</x:v>
      </x:c>
      <x:c r="G154" s="10" t="n">
        <x:f>SUM(D154:F154)</x:f>
        <x:v>560</x:v>
      </x:c>
    </x:row>
    <x:row r="155" ht="24" customHeight="1">
      <x:c r="A155" s="10" t="str">
        <x:v>S01-04</x:v>
      </x:c>
      <x:c r="B155" s="10" t="str">
        <x:v>B</x:v>
      </x:c>
      <x:c r="C155" s="18" t="n">
        <x:v>0</x:v>
      </x:c>
      <x:c r="D155" s="10" t="n">
        <x:v>560</x:v>
      </x:c>
      <x:c r="E155" s="10" t="n">
        <x:v>0</x:v>
      </x:c>
      <x:c r="F155" s="10" t="n">
        <x:v>0</x:v>
      </x:c>
      <x:c r="G155" s="10" t="n">
        <x:f>SUM(D155:F155)</x:f>
        <x:v>560</x:v>
      </x:c>
    </x:row>
    <x:row r="156" ht="24" customHeight="1">
      <x:c r="A156" s="10" t="str">
        <x:v>S01-04</x:v>
      </x:c>
      <x:c r="B156" s="10" t="str">
        <x:v>B</x:v>
      </x:c>
      <x:c r="C156" s="18" t="n">
        <x:v>1e-7</x:v>
      </x:c>
      <x:c r="D156" s="10" t="n">
        <x:v>560</x:v>
      </x:c>
      <x:c r="E156" s="10" t="n">
        <x:v>0</x:v>
      </x:c>
      <x:c r="F156" s="10" t="n">
        <x:v>0</x:v>
      </x:c>
      <x:c r="G156" s="10" t="n">
        <x:f>SUM(D156:F156)</x:f>
        <x:v>560</x:v>
      </x:c>
    </x:row>
    <x:row r="157" ht="24" customHeight="1">
      <x:c r="A157" s="10" t="str">
        <x:v>S01-04</x:v>
      </x:c>
      <x:c r="B157" s="10" t="str">
        <x:v>B</x:v>
      </x:c>
      <x:c r="C157" s="18" t="n">
        <x:v>0.878333233</x:v>
      </x:c>
      <x:c r="D157" s="10" t="n">
        <x:v>560</x:v>
      </x:c>
      <x:c r="E157" s="10" t="n">
        <x:v>0</x:v>
      </x:c>
      <x:c r="F157" s="10" t="n">
        <x:v>0</x:v>
      </x:c>
      <x:c r="G157" s="10" t="n">
        <x:f>SUM(D157:F157)</x:f>
        <x:v>560</x:v>
      </x:c>
    </x:row>
    <x:row r="158" ht="24" customHeight="1">
      <x:c r="A158" s="10" t="str">
        <x:v>S01-04</x:v>
      </x:c>
      <x:c r="B158" s="10" t="str">
        <x:v>B</x:v>
      </x:c>
      <x:c r="C158" s="18" t="n">
        <x:v>0.878333333</x:v>
      </x:c>
      <x:c r="D158" s="10" t="n">
        <x:v>560</x:v>
      </x:c>
      <x:c r="E158" s="10" t="n">
        <x:v>0</x:v>
      </x:c>
      <x:c r="F158" s="10" t="n">
        <x:v>0.004096</x:v>
      </x:c>
      <x:c r="G158" s="10" t="n">
        <x:f>SUM(D158:F158)</x:f>
        <x:v>560.004096</x:v>
      </x:c>
    </x:row>
    <x:row r="159" ht="24" customHeight="1">
      <x:c r="A159" s="10" t="str">
        <x:v>S01-04</x:v>
      </x:c>
      <x:c r="B159" s="10" t="str">
        <x:v>B</x:v>
      </x:c>
      <x:c r="C159" s="18" t="n">
        <x:v>0.878333433</x:v>
      </x:c>
      <x:c r="D159" s="10" t="n">
        <x:v>560</x:v>
      </x:c>
      <x:c r="E159" s="10" t="n">
        <x:v>0</x:v>
      </x:c>
      <x:c r="F159" s="10" t="n">
        <x:v>0.004096</x:v>
      </x:c>
      <x:c r="G159" s="10" t="n">
        <x:f>SUM(D159:F159)</x:f>
        <x:v>560.004096</x:v>
      </x:c>
    </x:row>
    <x:row r="160" ht="24" customHeight="1">
      <x:c r="A160" s="10" t="str">
        <x:v>S01-04</x:v>
      </x:c>
      <x:c r="B160" s="10" t="str">
        <x:v>B</x:v>
      </x:c>
      <x:c r="C160" s="18" t="n">
        <x:v>1.2829999</x:v>
      </x:c>
      <x:c r="D160" s="10" t="n">
        <x:v>560</x:v>
      </x:c>
      <x:c r="E160" s="10" t="n">
        <x:v>0</x:v>
      </x:c>
      <x:c r="F160" s="10" t="n">
        <x:v>0.004096</x:v>
      </x:c>
      <x:c r="G160" s="10" t="n">
        <x:f>SUM(D160:F160)</x:f>
        <x:v>560.004096</x:v>
      </x:c>
    </x:row>
    <x:row r="161" ht="24" customHeight="1">
      <x:c r="A161" s="10" t="str">
        <x:v>S01-04</x:v>
      </x:c>
      <x:c r="B161" s="10" t="str">
        <x:v>B</x:v>
      </x:c>
      <x:c r="C161" s="18" t="n">
        <x:v>1.283</x:v>
      </x:c>
      <x:c r="D161" s="10" t="n">
        <x:v>560</x:v>
      </x:c>
      <x:c r="E161" s="10" t="n">
        <x:v>0.0096</x:v>
      </x:c>
      <x:c r="F161" s="10" t="n">
        <x:v>0.004096</x:v>
      </x:c>
      <x:c r="G161" s="10" t="n">
        <x:f>SUM(D161:F161)</x:f>
        <x:v>560.013696</x:v>
      </x:c>
    </x:row>
    <x:row r="162" ht="24" customHeight="1">
      <x:c r="A162" s="10" t="str">
        <x:v>S01-04</x:v>
      </x:c>
      <x:c r="B162" s="10" t="str">
        <x:v>B</x:v>
      </x:c>
      <x:c r="C162" s="18" t="n">
        <x:v>1.2830001</x:v>
      </x:c>
      <x:c r="D162" s="10" t="n">
        <x:v>560</x:v>
      </x:c>
      <x:c r="E162" s="10" t="n">
        <x:v>0.009600019</x:v>
      </x:c>
      <x:c r="F162" s="10" t="n">
        <x:v>0.004096</x:v>
      </x:c>
      <x:c r="G162" s="10" t="n">
        <x:f>SUM(D162:F162)</x:f>
        <x:v>560.013696019</x:v>
      </x:c>
    </x:row>
    <x:row r="163" ht="24" customHeight="1">
      <x:c r="A163" s="10" t="str">
        <x:v>S01-04</x:v>
      </x:c>
      <x:c r="B163" s="10" t="str">
        <x:v>B</x:v>
      </x:c>
      <x:c r="C163" s="18" t="n">
        <x:v>1.3229999</x:v>
      </x:c>
      <x:c r="D163" s="10" t="n">
        <x:v>560</x:v>
      </x:c>
      <x:c r="E163" s="10" t="n">
        <x:v>0.017279981</x:v>
      </x:c>
      <x:c r="F163" s="10" t="n">
        <x:v>0.004096</x:v>
      </x:c>
      <x:c r="G163" s="10" t="n">
        <x:f>SUM(D163:F163)</x:f>
        <x:v>560.021375981</x:v>
      </x:c>
    </x:row>
    <x:row r="164" ht="24" customHeight="1">
      <x:c r="A164" s="10" t="str">
        <x:v>S01-04</x:v>
      </x:c>
      <x:c r="B164" s="10" t="str">
        <x:v>B</x:v>
      </x:c>
      <x:c r="C164" s="18" t="n">
        <x:v>1.323</x:v>
      </x:c>
      <x:c r="D164" s="10" t="n">
        <x:v>560</x:v>
      </x:c>
      <x:c r="E164" s="10" t="n">
        <x:v>0.01728</x:v>
      </x:c>
      <x:c r="F164" s="10" t="n">
        <x:v>0.004096</x:v>
      </x:c>
      <x:c r="G164" s="10" t="n">
        <x:f>SUM(D164:F164)</x:f>
        <x:v>560.021376</x:v>
      </x:c>
    </x:row>
    <x:row r="165" ht="24" customHeight="1">
      <x:c r="A165" s="10" t="str">
        <x:v>S01-04</x:v>
      </x:c>
      <x:c r="B165" s="10" t="str">
        <x:v>B</x:v>
      </x:c>
      <x:c r="C165" s="18" t="n">
        <x:v>1.3230001</x:v>
      </x:c>
      <x:c r="D165" s="10" t="n">
        <x:v>560</x:v>
      </x:c>
      <x:c r="E165" s="10" t="n">
        <x:v>0.017280014</x:v>
      </x:c>
      <x:c r="F165" s="10" t="n">
        <x:v>0.004096</x:v>
      </x:c>
      <x:c r="G165" s="10" t="n">
        <x:f>SUM(D165:F165)</x:f>
        <x:v>560.021376014</x:v>
      </x:c>
    </x:row>
    <x:row r="166" ht="24" customHeight="1">
      <x:c r="A166" s="10" t="str">
        <x:v>S01-04</x:v>
      </x:c>
      <x:c r="B166" s="10" t="str">
        <x:v>B</x:v>
      </x:c>
      <x:c r="C166" s="18" t="n">
        <x:v>1.9784999</x:v>
      </x:c>
      <x:c r="D166" s="10" t="n">
        <x:v>560</x:v>
      </x:c>
      <x:c r="E166" s="10" t="n">
        <x:v>0.111671986</x:v>
      </x:c>
      <x:c r="F166" s="10" t="n">
        <x:v>0.004096</x:v>
      </x:c>
      <x:c r="G166" s="10" t="n">
        <x:f>SUM(D166:F166)</x:f>
        <x:v>560.115767986</x:v>
      </x:c>
    </x:row>
    <x:row r="167" ht="24" customHeight="1">
      <x:c r="A167" s="10" t="str">
        <x:v>S01-04</x:v>
      </x:c>
      <x:c r="B167" s="10" t="str">
        <x:v>B</x:v>
      </x:c>
      <x:c r="C167" s="18" t="n">
        <x:v>1.9785</x:v>
      </x:c>
      <x:c r="D167" s="10" t="n">
        <x:v>560</x:v>
      </x:c>
      <x:c r="E167" s="10" t="n">
        <x:v>0.111672</x:v>
      </x:c>
      <x:c r="F167" s="10" t="n">
        <x:v>0.004096</x:v>
      </x:c>
      <x:c r="G167" s="10" t="n">
        <x:f>SUM(D167:F167)</x:f>
        <x:v>560.115768</x:v>
      </x:c>
    </x:row>
    <x:row r="168" ht="24" customHeight="1">
      <x:c r="A168" s="10" t="str">
        <x:v>S01-04</x:v>
      </x:c>
      <x:c r="B168" s="10" t="str">
        <x:v>B</x:v>
      </x:c>
      <x:c r="C168" s="18" t="n">
        <x:v>1.9785001</x:v>
      </x:c>
      <x:c r="D168" s="10" t="n">
        <x:v>560</x:v>
      </x:c>
      <x:c r="E168" s="10" t="n">
        <x:v>0.111671995</x:v>
      </x:c>
      <x:c r="F168" s="10" t="n">
        <x:v>0.004096</x:v>
      </x:c>
      <x:c r="G168" s="10" t="n">
        <x:f>SUM(D168:F168)</x:f>
        <x:v>560.115767995</x:v>
      </x:c>
    </x:row>
    <x:row r="169" ht="24" customHeight="1">
      <x:c r="A169" s="10" t="str">
        <x:v>S01-04</x:v>
      </x:c>
      <x:c r="B169" s="10" t="str">
        <x:v>B</x:v>
      </x:c>
      <x:c r="C169" s="18" t="n">
        <x:v>4.304999899</x:v>
      </x:c>
      <x:c r="D169" s="10" t="n">
        <x:v>560</x:v>
      </x:c>
      <x:c r="E169" s="10" t="n">
        <x:v>5e-9</x:v>
      </x:c>
      <x:c r="F169" s="10" t="n">
        <x:v>0.004096</x:v>
      </x:c>
      <x:c r="G169" s="10" t="n">
        <x:f>SUM(D169:F169)</x:f>
        <x:v>560.004096005</x:v>
      </x:c>
    </x:row>
    <x:row r="170" ht="24" customHeight="1">
      <x:c r="A170" s="10" t="str">
        <x:v>S01-04</x:v>
      </x:c>
      <x:c r="B170" s="10" t="str">
        <x:v>B</x:v>
      </x:c>
      <x:c r="C170" s="18" t="n">
        <x:v>4.304999999</x:v>
      </x:c>
      <x:c r="D170" s="10" t="n">
        <x:v>560</x:v>
      </x:c>
      <x:c r="E170" s="10" t="n">
        <x:v>0</x:v>
      </x:c>
      <x:c r="F170" s="10" t="n">
        <x:v>0.004096</x:v>
      </x:c>
      <x:c r="G170" s="10" t="n">
        <x:f>SUM(D170:F170)</x:f>
        <x:v>560.004096</x:v>
      </x:c>
    </x:row>
    <x:row r="171" ht="24" customHeight="1">
      <x:c r="A171" s="10" t="str">
        <x:v>S01-04</x:v>
      </x:c>
      <x:c r="B171" s="10" t="str">
        <x:v>B</x:v>
      </x:c>
      <x:c r="C171" s="18" t="n">
        <x:v>4.305000099</x:v>
      </x:c>
      <x:c r="D171" s="10" t="n">
        <x:v>560</x:v>
      </x:c>
      <x:c r="E171" s="10" t="n">
        <x:v>0</x:v>
      </x:c>
      <x:c r="F171" s="10" t="n">
        <x:v>0</x:v>
      </x:c>
      <x:c r="G171" s="10" t="n">
        <x:f>SUM(D171:F171)</x:f>
        <x:v>560</x:v>
      </x:c>
    </x:row>
    <x:row r="172" ht="24" customHeight="1">
      <x:c r="A172" s="10" t="str">
        <x:v>S01-05</x:v>
      </x:c>
      <x:c r="B172" s="10" t="str">
        <x:v>A</x:v>
      </x:c>
      <x:c r="C172" s="18" t="n">
        <x:v>-6.0000001</x:v>
      </x:c>
      <x:c r="D172" s="10" t="n">
        <x:v>560</x:v>
      </x:c>
      <x:c r="E172" s="10" t="n">
        <x:v>0</x:v>
      </x:c>
      <x:c r="F172" s="10" t="n">
        <x:v>0</x:v>
      </x:c>
      <x:c r="G172" s="10" t="n">
        <x:f>SUM(D172:F172)</x:f>
        <x:v>560</x:v>
      </x:c>
    </x:row>
    <x:row r="173" ht="24" customHeight="1">
      <x:c r="A173" s="10" t="str">
        <x:v>S01-05</x:v>
      </x:c>
      <x:c r="B173" s="10" t="str">
        <x:v>A</x:v>
      </x:c>
      <x:c r="C173" s="18" t="n">
        <x:v>-6</x:v>
      </x:c>
      <x:c r="D173" s="10" t="n">
        <x:v>560</x:v>
      </x:c>
      <x:c r="E173" s="10" t="n">
        <x:v>0</x:v>
      </x:c>
      <x:c r="F173" s="10" t="n">
        <x:v>0</x:v>
      </x:c>
      <x:c r="G173" s="10" t="n">
        <x:f>SUM(D173:F173)</x:f>
        <x:v>560</x:v>
      </x:c>
    </x:row>
    <x:row r="174" ht="24" customHeight="1">
      <x:c r="A174" s="10" t="str">
        <x:v>S01-05</x:v>
      </x:c>
      <x:c r="B174" s="10" t="str">
        <x:v>A</x:v>
      </x:c>
      <x:c r="C174" s="18" t="n">
        <x:v>-5.9999999</x:v>
      </x:c>
      <x:c r="D174" s="10" t="n">
        <x:v>560</x:v>
      </x:c>
      <x:c r="E174" s="10" t="n">
        <x:v>0</x:v>
      </x:c>
      <x:c r="F174" s="10" t="n">
        <x:v>0</x:v>
      </x:c>
      <x:c r="G174" s="10" t="n">
        <x:f>SUM(D174:F174)</x:f>
        <x:v>560</x:v>
      </x:c>
    </x:row>
    <x:row r="175" ht="24" customHeight="1">
      <x:c r="A175" s="10" t="str">
        <x:v>S01-05</x:v>
      </x:c>
      <x:c r="B175" s="10" t="str">
        <x:v>A</x:v>
      </x:c>
      <x:c r="C175" s="18" t="n">
        <x:v>-1e-7</x:v>
      </x:c>
      <x:c r="D175" s="10" t="n">
        <x:v>560</x:v>
      </x:c>
      <x:c r="E175" s="10" t="n">
        <x:v>0</x:v>
      </x:c>
      <x:c r="F175" s="10" t="n">
        <x:v>0</x:v>
      </x:c>
      <x:c r="G175" s="10" t="n">
        <x:f>SUM(D175:F175)</x:f>
        <x:v>560</x:v>
      </x:c>
    </x:row>
    <x:row r="176" ht="24" customHeight="1">
      <x:c r="A176" s="10" t="str">
        <x:v>S01-05</x:v>
      </x:c>
      <x:c r="B176" s="10" t="str">
        <x:v>A</x:v>
      </x:c>
      <x:c r="C176" s="18" t="n">
        <x:v>0</x:v>
      </x:c>
      <x:c r="D176" s="10" t="n">
        <x:v>560</x:v>
      </x:c>
      <x:c r="E176" s="10" t="n">
        <x:v>0</x:v>
      </x:c>
      <x:c r="F176" s="10" t="n">
        <x:v>0</x:v>
      </x:c>
      <x:c r="G176" s="10" t="n">
        <x:f>SUM(D176:F176)</x:f>
        <x:v>560</x:v>
      </x:c>
    </x:row>
    <x:row r="177" ht="24" customHeight="1">
      <x:c r="A177" s="10" t="str">
        <x:v>S01-05</x:v>
      </x:c>
      <x:c r="B177" s="10" t="str">
        <x:v>A</x:v>
      </x:c>
      <x:c r="C177" s="18" t="n">
        <x:v>1e-7</x:v>
      </x:c>
      <x:c r="D177" s="10" t="n">
        <x:v>560</x:v>
      </x:c>
      <x:c r="E177" s="10" t="n">
        <x:v>0</x:v>
      </x:c>
      <x:c r="F177" s="10" t="n">
        <x:v>0</x:v>
      </x:c>
      <x:c r="G177" s="10" t="n">
        <x:f>SUM(D177:F177)</x:f>
        <x:v>560</x:v>
      </x:c>
    </x:row>
    <x:row r="178" ht="24" customHeight="1">
      <x:c r="A178" s="10" t="str">
        <x:v>S01-05</x:v>
      </x:c>
      <x:c r="B178" s="10" t="str">
        <x:v>A</x:v>
      </x:c>
      <x:c r="C178" s="18" t="n">
        <x:v>0.906666567</x:v>
      </x:c>
      <x:c r="D178" s="10" t="n">
        <x:v>560</x:v>
      </x:c>
      <x:c r="E178" s="10" t="n">
        <x:v>0</x:v>
      </x:c>
      <x:c r="F178" s="10" t="n">
        <x:v>0</x:v>
      </x:c>
      <x:c r="G178" s="10" t="n">
        <x:f>SUM(D178:F178)</x:f>
        <x:v>560</x:v>
      </x:c>
    </x:row>
    <x:row r="179" ht="24" customHeight="1">
      <x:c r="A179" s="10" t="str">
        <x:v>S01-05</x:v>
      </x:c>
      <x:c r="B179" s="10" t="str">
        <x:v>A</x:v>
      </x:c>
      <x:c r="C179" s="18" t="n">
        <x:v>0.906666667</x:v>
      </x:c>
      <x:c r="D179" s="10" t="n">
        <x:v>560</x:v>
      </x:c>
      <x:c r="E179" s="10" t="n">
        <x:v>0</x:v>
      </x:c>
      <x:c r="F179" s="10" t="n">
        <x:v>0.004096</x:v>
      </x:c>
      <x:c r="G179" s="10" t="n">
        <x:f>SUM(D179:F179)</x:f>
        <x:v>560.004096</x:v>
      </x:c>
    </x:row>
    <x:row r="180" ht="24" customHeight="1">
      <x:c r="A180" s="10" t="str">
        <x:v>S01-05</x:v>
      </x:c>
      <x:c r="B180" s="10" t="str">
        <x:v>A</x:v>
      </x:c>
      <x:c r="C180" s="18" t="n">
        <x:v>0.906666767</x:v>
      </x:c>
      <x:c r="D180" s="10" t="n">
        <x:v>560</x:v>
      </x:c>
      <x:c r="E180" s="10" t="n">
        <x:v>0</x:v>
      </x:c>
      <x:c r="F180" s="10" t="n">
        <x:v>0.004096</x:v>
      </x:c>
      <x:c r="G180" s="10" t="n">
        <x:f>SUM(D180:F180)</x:f>
        <x:v>560.004096</x:v>
      </x:c>
    </x:row>
    <x:row r="181" ht="24" customHeight="1">
      <x:c r="A181" s="10" t="str">
        <x:v>S01-05</x:v>
      </x:c>
      <x:c r="B181" s="10" t="str">
        <x:v>A</x:v>
      </x:c>
      <x:c r="C181" s="18" t="n">
        <x:v>1.311333234</x:v>
      </x:c>
      <x:c r="D181" s="10" t="n">
        <x:v>560</x:v>
      </x:c>
      <x:c r="E181" s="10" t="n">
        <x:v>0</x:v>
      </x:c>
      <x:c r="F181" s="10" t="n">
        <x:v>0.004096</x:v>
      </x:c>
      <x:c r="G181" s="10" t="n">
        <x:f>SUM(D181:F181)</x:f>
        <x:v>560.004096</x:v>
      </x:c>
    </x:row>
    <x:row r="182" ht="24" customHeight="1">
      <x:c r="A182" s="10" t="str">
        <x:v>S01-05</x:v>
      </x:c>
      <x:c r="B182" s="10" t="str">
        <x:v>A</x:v>
      </x:c>
      <x:c r="C182" s="18" t="n">
        <x:v>1.311333334</x:v>
      </x:c>
      <x:c r="D182" s="10" t="n">
        <x:v>560</x:v>
      </x:c>
      <x:c r="E182" s="10" t="n">
        <x:v>0.0096</x:v>
      </x:c>
      <x:c r="F182" s="10" t="n">
        <x:v>0.004096</x:v>
      </x:c>
      <x:c r="G182" s="10" t="n">
        <x:f>SUM(D182:F182)</x:f>
        <x:v>560.013696</x:v>
      </x:c>
    </x:row>
    <x:row r="183" ht="24" customHeight="1">
      <x:c r="A183" s="10" t="str">
        <x:v>S01-05</x:v>
      </x:c>
      <x:c r="B183" s="10" t="str">
        <x:v>A</x:v>
      </x:c>
      <x:c r="C183" s="18" t="n">
        <x:v>1.311333434</x:v>
      </x:c>
      <x:c r="D183" s="10" t="n">
        <x:v>560</x:v>
      </x:c>
      <x:c r="E183" s="10" t="n">
        <x:v>0.009600019</x:v>
      </x:c>
      <x:c r="F183" s="10" t="n">
        <x:v>0.004096</x:v>
      </x:c>
      <x:c r="G183" s="10" t="n">
        <x:f>SUM(D183:F183)</x:f>
        <x:v>560.013696019</x:v>
      </x:c>
    </x:row>
    <x:row r="184" ht="24" customHeight="1">
      <x:c r="A184" s="10" t="str">
        <x:v>S01-05</x:v>
      </x:c>
      <x:c r="B184" s="10" t="str">
        <x:v>A</x:v>
      </x:c>
      <x:c r="C184" s="18" t="n">
        <x:v>1.351333234</x:v>
      </x:c>
      <x:c r="D184" s="10" t="n">
        <x:v>560</x:v>
      </x:c>
      <x:c r="E184" s="10" t="n">
        <x:v>0.017279981</x:v>
      </x:c>
      <x:c r="F184" s="10" t="n">
        <x:v>0.004096</x:v>
      </x:c>
      <x:c r="G184" s="10" t="n">
        <x:f>SUM(D184:F184)</x:f>
        <x:v>560.021375981</x:v>
      </x:c>
    </x:row>
    <x:row r="185" ht="24" customHeight="1">
      <x:c r="A185" s="10" t="str">
        <x:v>S01-05</x:v>
      </x:c>
      <x:c r="B185" s="10" t="str">
        <x:v>A</x:v>
      </x:c>
      <x:c r="C185" s="18" t="n">
        <x:v>1.351333334</x:v>
      </x:c>
      <x:c r="D185" s="10" t="n">
        <x:v>560</x:v>
      </x:c>
      <x:c r="E185" s="10" t="n">
        <x:v>0.01728</x:v>
      </x:c>
      <x:c r="F185" s="10" t="n">
        <x:v>0.004096</x:v>
      </x:c>
      <x:c r="G185" s="10" t="n">
        <x:f>SUM(D185:F185)</x:f>
        <x:v>560.021376</x:v>
      </x:c>
    </x:row>
    <x:row r="186" ht="24" customHeight="1">
      <x:c r="A186" s="10" t="str">
        <x:v>S01-05</x:v>
      </x:c>
      <x:c r="B186" s="10" t="str">
        <x:v>A</x:v>
      </x:c>
      <x:c r="C186" s="18" t="n">
        <x:v>1.351333434</x:v>
      </x:c>
      <x:c r="D186" s="10" t="n">
        <x:v>560</x:v>
      </x:c>
      <x:c r="E186" s="10" t="n">
        <x:v>0.017280014</x:v>
      </x:c>
      <x:c r="F186" s="10" t="n">
        <x:v>0.004096</x:v>
      </x:c>
      <x:c r="G186" s="10" t="n">
        <x:f>SUM(D186:F186)</x:f>
        <x:v>560.021376014</x:v>
      </x:c>
    </x:row>
    <x:row r="187" ht="24" customHeight="1">
      <x:c r="A187" s="10" t="str">
        <x:v>S01-05</x:v>
      </x:c>
      <x:c r="B187" s="10" t="str">
        <x:v>A</x:v>
      </x:c>
      <x:c r="C187" s="18" t="n">
        <x:v>2.009833234</x:v>
      </x:c>
      <x:c r="D187" s="10" t="n">
        <x:v>560</x:v>
      </x:c>
      <x:c r="E187" s="10" t="n">
        <x:v>0.112103986</x:v>
      </x:c>
      <x:c r="F187" s="10" t="n">
        <x:v>0.004096</x:v>
      </x:c>
      <x:c r="G187" s="10" t="n">
        <x:f>SUM(D187:F187)</x:f>
        <x:v>560.116199986</x:v>
      </x:c>
    </x:row>
    <x:row r="188" ht="24" customHeight="1">
      <x:c r="A188" s="10" t="str">
        <x:v>S01-05</x:v>
      </x:c>
      <x:c r="B188" s="10" t="str">
        <x:v>A</x:v>
      </x:c>
      <x:c r="C188" s="18" t="n">
        <x:v>2.009833334</x:v>
      </x:c>
      <x:c r="D188" s="10" t="n">
        <x:v>560</x:v>
      </x:c>
      <x:c r="E188" s="10" t="n">
        <x:v>0.112104</x:v>
      </x:c>
      <x:c r="F188" s="10" t="n">
        <x:v>0.004096</x:v>
      </x:c>
      <x:c r="G188" s="10" t="n">
        <x:f>SUM(D188:F188)</x:f>
        <x:v>560.1162</x:v>
      </x:c>
    </x:row>
    <x:row r="189" ht="24" customHeight="1">
      <x:c r="A189" s="10" t="str">
        <x:v>S01-05</x:v>
      </x:c>
      <x:c r="B189" s="10" t="str">
        <x:v>A</x:v>
      </x:c>
      <x:c r="C189" s="18" t="n">
        <x:v>2.009833434</x:v>
      </x:c>
      <x:c r="D189" s="10" t="n">
        <x:v>560</x:v>
      </x:c>
      <x:c r="E189" s="10" t="n">
        <x:v>0.112103995</x:v>
      </x:c>
      <x:c r="F189" s="10" t="n">
        <x:v>0.004096</x:v>
      </x:c>
      <x:c r="G189" s="10" t="n">
        <x:f>SUM(D189:F189)</x:f>
        <x:v>560.116199995</x:v>
      </x:c>
    </x:row>
    <x:row r="190" ht="24" customHeight="1">
      <x:c r="A190" s="10" t="str">
        <x:v>S01-05</x:v>
      </x:c>
      <x:c r="B190" s="10" t="str">
        <x:v>A</x:v>
      </x:c>
      <x:c r="C190" s="18" t="n">
        <x:v>4.345333233</x:v>
      </x:c>
      <x:c r="D190" s="10" t="n">
        <x:v>560</x:v>
      </x:c>
      <x:c r="E190" s="10" t="n">
        <x:v>5e-9</x:v>
      </x:c>
      <x:c r="F190" s="10" t="n">
        <x:v>0.004096</x:v>
      </x:c>
      <x:c r="G190" s="10" t="n">
        <x:f>SUM(D190:F190)</x:f>
        <x:v>560.004096005</x:v>
      </x:c>
    </x:row>
    <x:row r="191" ht="24" customHeight="1">
      <x:c r="A191" s="10" t="str">
        <x:v>S01-05</x:v>
      </x:c>
      <x:c r="B191" s="10" t="str">
        <x:v>A</x:v>
      </x:c>
      <x:c r="C191" s="18" t="n">
        <x:v>4.345333333</x:v>
      </x:c>
      <x:c r="D191" s="10" t="n">
        <x:v>560</x:v>
      </x:c>
      <x:c r="E191" s="10" t="n">
        <x:v>0</x:v>
      </x:c>
      <x:c r="F191" s="10" t="n">
        <x:v>0.004096</x:v>
      </x:c>
      <x:c r="G191" s="10" t="n">
        <x:f>SUM(D191:F191)</x:f>
        <x:v>560.004096</x:v>
      </x:c>
    </x:row>
    <x:row r="192" ht="24" customHeight="1">
      <x:c r="A192" s="10" t="str">
        <x:v>S01-05</x:v>
      </x:c>
      <x:c r="B192" s="10" t="str">
        <x:v>A</x:v>
      </x:c>
      <x:c r="C192" s="18" t="n">
        <x:v>4.345333433</x:v>
      </x:c>
      <x:c r="D192" s="10" t="n">
        <x:v>560</x:v>
      </x:c>
      <x:c r="E192" s="10" t="n">
        <x:v>0</x:v>
      </x:c>
      <x:c r="F192" s="10" t="n">
        <x:v>0</x:v>
      </x:c>
      <x:c r="G192" s="10" t="n">
        <x:f>SUM(D192:F192)</x:f>
        <x:v>560</x:v>
      </x:c>
    </x:row>
    <x:row r="193" ht="24" customHeight="1">
      <x:c r="A193" s="10" t="str">
        <x:v>S01-05</x:v>
      </x:c>
      <x:c r="B193" s="10" t="str">
        <x:v>B</x:v>
      </x:c>
      <x:c r="C193" s="18" t="n">
        <x:v>-6.0000001</x:v>
      </x:c>
      <x:c r="D193" s="10" t="n">
        <x:v>560</x:v>
      </x:c>
      <x:c r="E193" s="10" t="n">
        <x:v>0</x:v>
      </x:c>
      <x:c r="F193" s="10" t="n">
        <x:v>0</x:v>
      </x:c>
      <x:c r="G193" s="10" t="n">
        <x:f>SUM(D193:F193)</x:f>
        <x:v>560</x:v>
      </x:c>
    </x:row>
    <x:row r="194" ht="24" customHeight="1">
      <x:c r="A194" s="10" t="str">
        <x:v>S01-05</x:v>
      </x:c>
      <x:c r="B194" s="10" t="str">
        <x:v>B</x:v>
      </x:c>
      <x:c r="C194" s="18" t="n">
        <x:v>-6</x:v>
      </x:c>
      <x:c r="D194" s="10" t="n">
        <x:v>560</x:v>
      </x:c>
      <x:c r="E194" s="10" t="n">
        <x:v>0</x:v>
      </x:c>
      <x:c r="F194" s="10" t="n">
        <x:v>0</x:v>
      </x:c>
      <x:c r="G194" s="10" t="n">
        <x:f>SUM(D194:F194)</x:f>
        <x:v>560</x:v>
      </x:c>
    </x:row>
    <x:row r="195" ht="24" customHeight="1">
      <x:c r="A195" s="10" t="str">
        <x:v>S01-05</x:v>
      </x:c>
      <x:c r="B195" s="10" t="str">
        <x:v>B</x:v>
      </x:c>
      <x:c r="C195" s="18" t="n">
        <x:v>-5.9999999</x:v>
      </x:c>
      <x:c r="D195" s="10" t="n">
        <x:v>560</x:v>
      </x:c>
      <x:c r="E195" s="10" t="n">
        <x:v>0</x:v>
      </x:c>
      <x:c r="F195" s="10" t="n">
        <x:v>0</x:v>
      </x:c>
      <x:c r="G195" s="10" t="n">
        <x:f>SUM(D195:F195)</x:f>
        <x:v>560</x:v>
      </x:c>
    </x:row>
    <x:row r="196" ht="24" customHeight="1">
      <x:c r="A196" s="10" t="str">
        <x:v>S01-05</x:v>
      </x:c>
      <x:c r="B196" s="10" t="str">
        <x:v>B</x:v>
      </x:c>
      <x:c r="C196" s="18" t="n">
        <x:v>-1e-7</x:v>
      </x:c>
      <x:c r="D196" s="10" t="n">
        <x:v>560</x:v>
      </x:c>
      <x:c r="E196" s="10" t="n">
        <x:v>0</x:v>
      </x:c>
      <x:c r="F196" s="10" t="n">
        <x:v>0</x:v>
      </x:c>
      <x:c r="G196" s="10" t="n">
        <x:f>SUM(D196:F196)</x:f>
        <x:v>560</x:v>
      </x:c>
    </x:row>
    <x:row r="197" ht="24" customHeight="1">
      <x:c r="A197" s="10" t="str">
        <x:v>S01-05</x:v>
      </x:c>
      <x:c r="B197" s="10" t="str">
        <x:v>B</x:v>
      </x:c>
      <x:c r="C197" s="18" t="n">
        <x:v>0</x:v>
      </x:c>
      <x:c r="D197" s="10" t="n">
        <x:v>560</x:v>
      </x:c>
      <x:c r="E197" s="10" t="n">
        <x:v>0</x:v>
      </x:c>
      <x:c r="F197" s="10" t="n">
        <x:v>0</x:v>
      </x:c>
      <x:c r="G197" s="10" t="n">
        <x:f>SUM(D197:F197)</x:f>
        <x:v>560</x:v>
      </x:c>
    </x:row>
    <x:row r="198" ht="24" customHeight="1">
      <x:c r="A198" s="10" t="str">
        <x:v>S01-05</x:v>
      </x:c>
      <x:c r="B198" s="10" t="str">
        <x:v>B</x:v>
      </x:c>
      <x:c r="C198" s="18" t="n">
        <x:v>1e-7</x:v>
      </x:c>
      <x:c r="D198" s="10" t="n">
        <x:v>560</x:v>
      </x:c>
      <x:c r="E198" s="10" t="n">
        <x:v>0</x:v>
      </x:c>
      <x:c r="F198" s="10" t="n">
        <x:v>0</x:v>
      </x:c>
      <x:c r="G198" s="10" t="n">
        <x:f>SUM(D198:F198)</x:f>
        <x:v>560</x:v>
      </x:c>
    </x:row>
    <x:row r="199" ht="24" customHeight="1">
      <x:c r="A199" s="10" t="str">
        <x:v>S01-05</x:v>
      </x:c>
      <x:c r="B199" s="10" t="str">
        <x:v>B</x:v>
      </x:c>
      <x:c r="C199" s="18" t="n">
        <x:v>0.906666567</x:v>
      </x:c>
      <x:c r="D199" s="10" t="n">
        <x:v>560</x:v>
      </x:c>
      <x:c r="E199" s="10" t="n">
        <x:v>0</x:v>
      </x:c>
      <x:c r="F199" s="10" t="n">
        <x:v>0</x:v>
      </x:c>
      <x:c r="G199" s="10" t="n">
        <x:f>SUM(D199:F199)</x:f>
        <x:v>560</x:v>
      </x:c>
    </x:row>
    <x:row r="200" ht="24" customHeight="1">
      <x:c r="A200" s="10" t="str">
        <x:v>S01-05</x:v>
      </x:c>
      <x:c r="B200" s="10" t="str">
        <x:v>B</x:v>
      </x:c>
      <x:c r="C200" s="18" t="n">
        <x:v>0.906666667</x:v>
      </x:c>
      <x:c r="D200" s="10" t="n">
        <x:v>560</x:v>
      </x:c>
      <x:c r="E200" s="10" t="n">
        <x:v>0</x:v>
      </x:c>
      <x:c r="F200" s="10" t="n">
        <x:v>0.004096</x:v>
      </x:c>
      <x:c r="G200" s="10" t="n">
        <x:f>SUM(D200:F200)</x:f>
        <x:v>560.004096</x:v>
      </x:c>
    </x:row>
    <x:row r="201" ht="24" customHeight="1">
      <x:c r="A201" s="10" t="str">
        <x:v>S01-05</x:v>
      </x:c>
      <x:c r="B201" s="10" t="str">
        <x:v>B</x:v>
      </x:c>
      <x:c r="C201" s="18" t="n">
        <x:v>0.906666767</x:v>
      </x:c>
      <x:c r="D201" s="10" t="n">
        <x:v>560</x:v>
      </x:c>
      <x:c r="E201" s="10" t="n">
        <x:v>0</x:v>
      </x:c>
      <x:c r="F201" s="10" t="n">
        <x:v>0.004096</x:v>
      </x:c>
      <x:c r="G201" s="10" t="n">
        <x:f>SUM(D201:F201)</x:f>
        <x:v>560.004096</x:v>
      </x:c>
    </x:row>
    <x:row r="202" ht="24" customHeight="1">
      <x:c r="A202" s="10" t="str">
        <x:v>S01-05</x:v>
      </x:c>
      <x:c r="B202" s="10" t="str">
        <x:v>B</x:v>
      </x:c>
      <x:c r="C202" s="18" t="n">
        <x:v>1.311333234</x:v>
      </x:c>
      <x:c r="D202" s="10" t="n">
        <x:v>560</x:v>
      </x:c>
      <x:c r="E202" s="10" t="n">
        <x:v>0</x:v>
      </x:c>
      <x:c r="F202" s="10" t="n">
        <x:v>0.004096</x:v>
      </x:c>
      <x:c r="G202" s="10" t="n">
        <x:f>SUM(D202:F202)</x:f>
        <x:v>560.004096</x:v>
      </x:c>
    </x:row>
    <x:row r="203" ht="24" customHeight="1">
      <x:c r="A203" s="10" t="str">
        <x:v>S01-05</x:v>
      </x:c>
      <x:c r="B203" s="10" t="str">
        <x:v>B</x:v>
      </x:c>
      <x:c r="C203" s="18" t="n">
        <x:v>1.311333334</x:v>
      </x:c>
      <x:c r="D203" s="10" t="n">
        <x:v>560</x:v>
      </x:c>
      <x:c r="E203" s="10" t="n">
        <x:v>0.0096</x:v>
      </x:c>
      <x:c r="F203" s="10" t="n">
        <x:v>0.004096</x:v>
      </x:c>
      <x:c r="G203" s="10" t="n">
        <x:f>SUM(D203:F203)</x:f>
        <x:v>560.013696</x:v>
      </x:c>
    </x:row>
    <x:row r="204" ht="24" customHeight="1">
      <x:c r="A204" s="10" t="str">
        <x:v>S01-05</x:v>
      </x:c>
      <x:c r="B204" s="10" t="str">
        <x:v>B</x:v>
      </x:c>
      <x:c r="C204" s="18" t="n">
        <x:v>1.311333434</x:v>
      </x:c>
      <x:c r="D204" s="10" t="n">
        <x:v>560</x:v>
      </x:c>
      <x:c r="E204" s="10" t="n">
        <x:v>0.009600019</x:v>
      </x:c>
      <x:c r="F204" s="10" t="n">
        <x:v>0.004096</x:v>
      </x:c>
      <x:c r="G204" s="10" t="n">
        <x:f>SUM(D204:F204)</x:f>
        <x:v>560.013696019</x:v>
      </x:c>
    </x:row>
    <x:row r="205" ht="24" customHeight="1">
      <x:c r="A205" s="10" t="str">
        <x:v>S01-05</x:v>
      </x:c>
      <x:c r="B205" s="10" t="str">
        <x:v>B</x:v>
      </x:c>
      <x:c r="C205" s="18" t="n">
        <x:v>1.351333234</x:v>
      </x:c>
      <x:c r="D205" s="10" t="n">
        <x:v>560</x:v>
      </x:c>
      <x:c r="E205" s="10" t="n">
        <x:v>0.017279981</x:v>
      </x:c>
      <x:c r="F205" s="10" t="n">
        <x:v>0.004096</x:v>
      </x:c>
      <x:c r="G205" s="10" t="n">
        <x:f>SUM(D205:F205)</x:f>
        <x:v>560.021375981</x:v>
      </x:c>
    </x:row>
    <x:row r="206" ht="24" customHeight="1">
      <x:c r="A206" s="10" t="str">
        <x:v>S01-05</x:v>
      </x:c>
      <x:c r="B206" s="10" t="str">
        <x:v>B</x:v>
      </x:c>
      <x:c r="C206" s="18" t="n">
        <x:v>1.351333334</x:v>
      </x:c>
      <x:c r="D206" s="10" t="n">
        <x:v>560</x:v>
      </x:c>
      <x:c r="E206" s="10" t="n">
        <x:v>0.01728</x:v>
      </x:c>
      <x:c r="F206" s="10" t="n">
        <x:v>0.004096</x:v>
      </x:c>
      <x:c r="G206" s="10" t="n">
        <x:f>SUM(D206:F206)</x:f>
        <x:v>560.021376</x:v>
      </x:c>
    </x:row>
    <x:row r="207" ht="24" customHeight="1">
      <x:c r="A207" s="10" t="str">
        <x:v>S01-05</x:v>
      </x:c>
      <x:c r="B207" s="10" t="str">
        <x:v>B</x:v>
      </x:c>
      <x:c r="C207" s="18" t="n">
        <x:v>1.351333434</x:v>
      </x:c>
      <x:c r="D207" s="10" t="n">
        <x:v>560</x:v>
      </x:c>
      <x:c r="E207" s="10" t="n">
        <x:v>0.017280014</x:v>
      </x:c>
      <x:c r="F207" s="10" t="n">
        <x:v>0.004096</x:v>
      </x:c>
      <x:c r="G207" s="10" t="n">
        <x:f>SUM(D207:F207)</x:f>
        <x:v>560.021376014</x:v>
      </x:c>
    </x:row>
    <x:row r="208" ht="24" customHeight="1">
      <x:c r="A208" s="10" t="str">
        <x:v>S01-05</x:v>
      </x:c>
      <x:c r="B208" s="10" t="str">
        <x:v>B</x:v>
      </x:c>
      <x:c r="C208" s="18" t="n">
        <x:v>2.009833234</x:v>
      </x:c>
      <x:c r="D208" s="10" t="n">
        <x:v>560</x:v>
      </x:c>
      <x:c r="E208" s="10" t="n">
        <x:v>0.112103986</x:v>
      </x:c>
      <x:c r="F208" s="10" t="n">
        <x:v>0.004096</x:v>
      </x:c>
      <x:c r="G208" s="10" t="n">
        <x:f>SUM(D208:F208)</x:f>
        <x:v>560.116199986</x:v>
      </x:c>
    </x:row>
    <x:row r="209" ht="24" customHeight="1">
      <x:c r="A209" s="10" t="str">
        <x:v>S01-05</x:v>
      </x:c>
      <x:c r="B209" s="10" t="str">
        <x:v>B</x:v>
      </x:c>
      <x:c r="C209" s="18" t="n">
        <x:v>2.009833334</x:v>
      </x:c>
      <x:c r="D209" s="10" t="n">
        <x:v>560</x:v>
      </x:c>
      <x:c r="E209" s="10" t="n">
        <x:v>0.112104</x:v>
      </x:c>
      <x:c r="F209" s="10" t="n">
        <x:v>0.004096</x:v>
      </x:c>
      <x:c r="G209" s="10" t="n">
        <x:f>SUM(D209:F209)</x:f>
        <x:v>560.1162</x:v>
      </x:c>
    </x:row>
    <x:row r="210" ht="24" customHeight="1">
      <x:c r="A210" s="10" t="str">
        <x:v>S01-05</x:v>
      </x:c>
      <x:c r="B210" s="10" t="str">
        <x:v>B</x:v>
      </x:c>
      <x:c r="C210" s="18" t="n">
        <x:v>2.009833434</x:v>
      </x:c>
      <x:c r="D210" s="10" t="n">
        <x:v>560</x:v>
      </x:c>
      <x:c r="E210" s="10" t="n">
        <x:v>0.112103995</x:v>
      </x:c>
      <x:c r="F210" s="10" t="n">
        <x:v>0.004096</x:v>
      </x:c>
      <x:c r="G210" s="10" t="n">
        <x:f>SUM(D210:F210)</x:f>
        <x:v>560.116199995</x:v>
      </x:c>
    </x:row>
    <x:row r="211" ht="24" customHeight="1">
      <x:c r="A211" s="10" t="str">
        <x:v>S01-05</x:v>
      </x:c>
      <x:c r="B211" s="10" t="str">
        <x:v>B</x:v>
      </x:c>
      <x:c r="C211" s="18" t="n">
        <x:v>4.345333233</x:v>
      </x:c>
      <x:c r="D211" s="10" t="n">
        <x:v>560</x:v>
      </x:c>
      <x:c r="E211" s="10" t="n">
        <x:v>5e-9</x:v>
      </x:c>
      <x:c r="F211" s="10" t="n">
        <x:v>0.004096</x:v>
      </x:c>
      <x:c r="G211" s="10" t="n">
        <x:f>SUM(D211:F211)</x:f>
        <x:v>560.004096005</x:v>
      </x:c>
    </x:row>
    <x:row r="212" ht="24" customHeight="1">
      <x:c r="A212" s="10" t="str">
        <x:v>S01-05</x:v>
      </x:c>
      <x:c r="B212" s="10" t="str">
        <x:v>B</x:v>
      </x:c>
      <x:c r="C212" s="18" t="n">
        <x:v>4.345333333</x:v>
      </x:c>
      <x:c r="D212" s="10" t="n">
        <x:v>560</x:v>
      </x:c>
      <x:c r="E212" s="10" t="n">
        <x:v>0</x:v>
      </x:c>
      <x:c r="F212" s="10" t="n">
        <x:v>0.004096</x:v>
      </x:c>
      <x:c r="G212" s="10" t="n">
        <x:f>SUM(D212:F212)</x:f>
        <x:v>560.004096</x:v>
      </x:c>
    </x:row>
    <x:row r="213" ht="24" customHeight="1">
      <x:c r="A213" s="10" t="str">
        <x:v>S01-05</x:v>
      </x:c>
      <x:c r="B213" s="10" t="str">
        <x:v>B</x:v>
      </x:c>
      <x:c r="C213" s="18" t="n">
        <x:v>4.345333433</x:v>
      </x:c>
      <x:c r="D213" s="10" t="n">
        <x:v>560</x:v>
      </x:c>
      <x:c r="E213" s="10" t="n">
        <x:v>0</x:v>
      </x:c>
      <x:c r="F213" s="10" t="n">
        <x:v>0</x:v>
      </x:c>
      <x:c r="G213" s="10" t="n">
        <x:f>SUM(D213:F213)</x:f>
        <x:v>560</x:v>
      </x:c>
    </x:row>
    <x:row r="214" ht="24" customHeight="1">
      <x:c r="A214" s="10" t="str">
        <x:v>S01-06</x:v>
      </x:c>
      <x:c r="B214" s="10" t="str">
        <x:v>A</x:v>
      </x:c>
      <x:c r="C214" s="18" t="n">
        <x:v>-6.0000001</x:v>
      </x:c>
      <x:c r="D214" s="10" t="n">
        <x:v>560</x:v>
      </x:c>
      <x:c r="E214" s="10" t="n">
        <x:v>0</x:v>
      </x:c>
      <x:c r="F214" s="10" t="n">
        <x:v>0</x:v>
      </x:c>
      <x:c r="G214" s="10" t="n">
        <x:f>SUM(D214:F214)</x:f>
        <x:v>560</x:v>
      </x:c>
    </x:row>
    <x:row r="215" ht="24" customHeight="1">
      <x:c r="A215" s="10" t="str">
        <x:v>S01-06</x:v>
      </x:c>
      <x:c r="B215" s="10" t="str">
        <x:v>A</x:v>
      </x:c>
      <x:c r="C215" s="18" t="n">
        <x:v>-6</x:v>
      </x:c>
      <x:c r="D215" s="10" t="n">
        <x:v>560</x:v>
      </x:c>
      <x:c r="E215" s="10" t="n">
        <x:v>0</x:v>
      </x:c>
      <x:c r="F215" s="10" t="n">
        <x:v>0</x:v>
      </x:c>
      <x:c r="G215" s="10" t="n">
        <x:f>SUM(D215:F215)</x:f>
        <x:v>560</x:v>
      </x:c>
    </x:row>
    <x:row r="216" ht="24" customHeight="1">
      <x:c r="A216" s="10" t="str">
        <x:v>S01-06</x:v>
      </x:c>
      <x:c r="B216" s="10" t="str">
        <x:v>A</x:v>
      </x:c>
      <x:c r="C216" s="18" t="n">
        <x:v>-5.9999999</x:v>
      </x:c>
      <x:c r="D216" s="10" t="n">
        <x:v>560</x:v>
      </x:c>
      <x:c r="E216" s="10" t="n">
        <x:v>0</x:v>
      </x:c>
      <x:c r="F216" s="10" t="n">
        <x:v>0</x:v>
      </x:c>
      <x:c r="G216" s="10" t="n">
        <x:f>SUM(D216:F216)</x:f>
        <x:v>560</x:v>
      </x:c>
    </x:row>
    <x:row r="217" ht="24" customHeight="1">
      <x:c r="A217" s="10" t="str">
        <x:v>S01-06</x:v>
      </x:c>
      <x:c r="B217" s="10" t="str">
        <x:v>A</x:v>
      </x:c>
      <x:c r="C217" s="18" t="n">
        <x:v>-1e-7</x:v>
      </x:c>
      <x:c r="D217" s="10" t="n">
        <x:v>560</x:v>
      </x:c>
      <x:c r="E217" s="10" t="n">
        <x:v>0</x:v>
      </x:c>
      <x:c r="F217" s="10" t="n">
        <x:v>0</x:v>
      </x:c>
      <x:c r="G217" s="10" t="n">
        <x:f>SUM(D217:F217)</x:f>
        <x:v>560</x:v>
      </x:c>
    </x:row>
    <x:row r="218" ht="24" customHeight="1">
      <x:c r="A218" s="10" t="str">
        <x:v>S01-06</x:v>
      </x:c>
      <x:c r="B218" s="10" t="str">
        <x:v>A</x:v>
      </x:c>
      <x:c r="C218" s="18" t="n">
        <x:v>0</x:v>
      </x:c>
      <x:c r="D218" s="10" t="n">
        <x:v>560</x:v>
      </x:c>
      <x:c r="E218" s="10" t="n">
        <x:v>0</x:v>
      </x:c>
      <x:c r="F218" s="10" t="n">
        <x:v>0</x:v>
      </x:c>
      <x:c r="G218" s="10" t="n">
        <x:f>SUM(D218:F218)</x:f>
        <x:v>560</x:v>
      </x:c>
    </x:row>
    <x:row r="219" ht="24" customHeight="1">
      <x:c r="A219" s="10" t="str">
        <x:v>S01-06</x:v>
      </x:c>
      <x:c r="B219" s="10" t="str">
        <x:v>A</x:v>
      </x:c>
      <x:c r="C219" s="18" t="n">
        <x:v>1e-7</x:v>
      </x:c>
      <x:c r="D219" s="10" t="n">
        <x:v>560</x:v>
      </x:c>
      <x:c r="E219" s="10" t="n">
        <x:v>0</x:v>
      </x:c>
      <x:c r="F219" s="10" t="n">
        <x:v>0</x:v>
      </x:c>
      <x:c r="G219" s="10" t="n">
        <x:f>SUM(D219:F219)</x:f>
        <x:v>560</x:v>
      </x:c>
    </x:row>
    <x:row r="220" ht="24" customHeight="1">
      <x:c r="A220" s="10" t="str">
        <x:v>S01-06</x:v>
      </x:c>
      <x:c r="B220" s="10" t="str">
        <x:v>A</x:v>
      </x:c>
      <x:c r="C220" s="18" t="n">
        <x:v>0.8599999</x:v>
      </x:c>
      <x:c r="D220" s="10" t="n">
        <x:v>560</x:v>
      </x:c>
      <x:c r="E220" s="10" t="n">
        <x:v>0</x:v>
      </x:c>
      <x:c r="F220" s="10" t="n">
        <x:v>0</x:v>
      </x:c>
      <x:c r="G220" s="10" t="n">
        <x:f>SUM(D220:F220)</x:f>
        <x:v>560</x:v>
      </x:c>
    </x:row>
    <x:row r="221" ht="24" customHeight="1">
      <x:c r="A221" s="10" t="str">
        <x:v>S01-06</x:v>
      </x:c>
      <x:c r="B221" s="10" t="str">
        <x:v>A</x:v>
      </x:c>
      <x:c r="C221" s="18" t="n">
        <x:v>0.86</x:v>
      </x:c>
      <x:c r="D221" s="10" t="n">
        <x:v>560</x:v>
      </x:c>
      <x:c r="E221" s="10" t="n">
        <x:v>0</x:v>
      </x:c>
      <x:c r="F221" s="10" t="n">
        <x:v>0.004096</x:v>
      </x:c>
      <x:c r="G221" s="10" t="n">
        <x:f>SUM(D221:F221)</x:f>
        <x:v>560.004096</x:v>
      </x:c>
    </x:row>
    <x:row r="222" ht="24" customHeight="1">
      <x:c r="A222" s="10" t="str">
        <x:v>S01-06</x:v>
      </x:c>
      <x:c r="B222" s="10" t="str">
        <x:v>A</x:v>
      </x:c>
      <x:c r="C222" s="18" t="n">
        <x:v>0.8600001</x:v>
      </x:c>
      <x:c r="D222" s="10" t="n">
        <x:v>560</x:v>
      </x:c>
      <x:c r="E222" s="10" t="n">
        <x:v>0</x:v>
      </x:c>
      <x:c r="F222" s="10" t="n">
        <x:v>0.004096</x:v>
      </x:c>
      <x:c r="G222" s="10" t="n">
        <x:f>SUM(D222:F222)</x:f>
        <x:v>560.004096</x:v>
      </x:c>
    </x:row>
    <x:row r="223" ht="24" customHeight="1">
      <x:c r="A223" s="10" t="str">
        <x:v>S01-06</x:v>
      </x:c>
      <x:c r="B223" s="10" t="str">
        <x:v>A</x:v>
      </x:c>
      <x:c r="C223" s="18" t="n">
        <x:v>1.264666567</x:v>
      </x:c>
      <x:c r="D223" s="10" t="n">
        <x:v>560</x:v>
      </x:c>
      <x:c r="E223" s="10" t="n">
        <x:v>0</x:v>
      </x:c>
      <x:c r="F223" s="10" t="n">
        <x:v>0.004096</x:v>
      </x:c>
      <x:c r="G223" s="10" t="n">
        <x:f>SUM(D223:F223)</x:f>
        <x:v>560.004096</x:v>
      </x:c>
    </x:row>
    <x:row r="224" ht="24" customHeight="1">
      <x:c r="A224" s="10" t="str">
        <x:v>S01-06</x:v>
      </x:c>
      <x:c r="B224" s="10" t="str">
        <x:v>A</x:v>
      </x:c>
      <x:c r="C224" s="18" t="n">
        <x:v>1.264666667</x:v>
      </x:c>
      <x:c r="D224" s="10" t="n">
        <x:v>560</x:v>
      </x:c>
      <x:c r="E224" s="10" t="n">
        <x:v>0.0096</x:v>
      </x:c>
      <x:c r="F224" s="10" t="n">
        <x:v>0.004096</x:v>
      </x:c>
      <x:c r="G224" s="10" t="n">
        <x:f>SUM(D224:F224)</x:f>
        <x:v>560.013696</x:v>
      </x:c>
    </x:row>
    <x:row r="225" ht="24" customHeight="1">
      <x:c r="A225" s="10" t="str">
        <x:v>S01-06</x:v>
      </x:c>
      <x:c r="B225" s="10" t="str">
        <x:v>A</x:v>
      </x:c>
      <x:c r="C225" s="18" t="n">
        <x:v>1.264666767</x:v>
      </x:c>
      <x:c r="D225" s="10" t="n">
        <x:v>560</x:v>
      </x:c>
      <x:c r="E225" s="10" t="n">
        <x:v>0.009600019</x:v>
      </x:c>
      <x:c r="F225" s="10" t="n">
        <x:v>0.004096</x:v>
      </x:c>
      <x:c r="G225" s="10" t="n">
        <x:f>SUM(D225:F225)</x:f>
        <x:v>560.013696019</x:v>
      </x:c>
    </x:row>
    <x:row r="226" ht="24" customHeight="1">
      <x:c r="A226" s="10" t="str">
        <x:v>S01-06</x:v>
      </x:c>
      <x:c r="B226" s="10" t="str">
        <x:v>A</x:v>
      </x:c>
      <x:c r="C226" s="18" t="n">
        <x:v>1.304666567</x:v>
      </x:c>
      <x:c r="D226" s="10" t="n">
        <x:v>560</x:v>
      </x:c>
      <x:c r="E226" s="10" t="n">
        <x:v>0.017279981</x:v>
      </x:c>
      <x:c r="F226" s="10" t="n">
        <x:v>0.004096</x:v>
      </x:c>
      <x:c r="G226" s="10" t="n">
        <x:f>SUM(D226:F226)</x:f>
        <x:v>560.021375981</x:v>
      </x:c>
    </x:row>
    <x:row r="227" ht="24" customHeight="1">
      <x:c r="A227" s="10" t="str">
        <x:v>S01-06</x:v>
      </x:c>
      <x:c r="B227" s="10" t="str">
        <x:v>A</x:v>
      </x:c>
      <x:c r="C227" s="18" t="n">
        <x:v>1.304666667</x:v>
      </x:c>
      <x:c r="D227" s="10" t="n">
        <x:v>560</x:v>
      </x:c>
      <x:c r="E227" s="10" t="n">
        <x:v>0.01728</x:v>
      </x:c>
      <x:c r="F227" s="10" t="n">
        <x:v>0.004096</x:v>
      </x:c>
      <x:c r="G227" s="10" t="n">
        <x:f>SUM(D227:F227)</x:f>
        <x:v>560.021376</x:v>
      </x:c>
    </x:row>
    <x:row r="228" ht="24" customHeight="1">
      <x:c r="A228" s="10" t="str">
        <x:v>S01-06</x:v>
      </x:c>
      <x:c r="B228" s="10" t="str">
        <x:v>A</x:v>
      </x:c>
      <x:c r="C228" s="18" t="n">
        <x:v>1.304666767</x:v>
      </x:c>
      <x:c r="D228" s="10" t="n">
        <x:v>560</x:v>
      </x:c>
      <x:c r="E228" s="10" t="n">
        <x:v>0.017280014</x:v>
      </x:c>
      <x:c r="F228" s="10" t="n">
        <x:v>0.004096</x:v>
      </x:c>
      <x:c r="G228" s="10" t="n">
        <x:f>SUM(D228:F228)</x:f>
        <x:v>560.021376014</x:v>
      </x:c>
    </x:row>
    <x:row r="229" ht="24" customHeight="1">
      <x:c r="A229" s="10" t="str">
        <x:v>S01-06</x:v>
      </x:c>
      <x:c r="B229" s="10" t="str">
        <x:v>A</x:v>
      </x:c>
      <x:c r="C229" s="18" t="n">
        <x:v>1.966166567</x:v>
      </x:c>
      <x:c r="D229" s="10" t="n">
        <x:v>560</x:v>
      </x:c>
      <x:c r="E229" s="10" t="n">
        <x:v>0.112535986</x:v>
      </x:c>
      <x:c r="F229" s="10" t="n">
        <x:v>0.004096</x:v>
      </x:c>
      <x:c r="G229" s="10" t="n">
        <x:f>SUM(D229:F229)</x:f>
        <x:v>560.116631986</x:v>
      </x:c>
    </x:row>
    <x:row r="230" ht="24" customHeight="1">
      <x:c r="A230" s="10" t="str">
        <x:v>S01-06</x:v>
      </x:c>
      <x:c r="B230" s="10" t="str">
        <x:v>A</x:v>
      </x:c>
      <x:c r="C230" s="18" t="n">
        <x:v>1.966166667</x:v>
      </x:c>
      <x:c r="D230" s="10" t="n">
        <x:v>560</x:v>
      </x:c>
      <x:c r="E230" s="10" t="n">
        <x:v>0.112536</x:v>
      </x:c>
      <x:c r="F230" s="10" t="n">
        <x:v>0.004096</x:v>
      </x:c>
      <x:c r="G230" s="10" t="n">
        <x:f>SUM(D230:F230)</x:f>
        <x:v>560.116632</x:v>
      </x:c>
    </x:row>
    <x:row r="231" ht="24" customHeight="1">
      <x:c r="A231" s="10" t="str">
        <x:v>S01-06</x:v>
      </x:c>
      <x:c r="B231" s="10" t="str">
        <x:v>A</x:v>
      </x:c>
      <x:c r="C231" s="18" t="n">
        <x:v>1.966166767</x:v>
      </x:c>
      <x:c r="D231" s="10" t="n">
        <x:v>560</x:v>
      </x:c>
      <x:c r="E231" s="10" t="n">
        <x:v>0.112535995</x:v>
      </x:c>
      <x:c r="F231" s="10" t="n">
        <x:v>0.004096</x:v>
      </x:c>
      <x:c r="G231" s="10" t="n">
        <x:f>SUM(D231:F231)</x:f>
        <x:v>560.116631995</x:v>
      </x:c>
    </x:row>
    <x:row r="232" ht="24" customHeight="1">
      <x:c r="A232" s="10" t="str">
        <x:v>S01-06</x:v>
      </x:c>
      <x:c r="B232" s="10" t="str">
        <x:v>A</x:v>
      </x:c>
      <x:c r="C232" s="18" t="n">
        <x:v>4.310666566</x:v>
      </x:c>
      <x:c r="D232" s="10" t="n">
        <x:v>560</x:v>
      </x:c>
      <x:c r="E232" s="10" t="n">
        <x:v>5e-9</x:v>
      </x:c>
      <x:c r="F232" s="10" t="n">
        <x:v>0.004096</x:v>
      </x:c>
      <x:c r="G232" s="10" t="n">
        <x:f>SUM(D232:F232)</x:f>
        <x:v>560.004096005</x:v>
      </x:c>
    </x:row>
    <x:row r="233" ht="24" customHeight="1">
      <x:c r="A233" s="10" t="str">
        <x:v>S01-06</x:v>
      </x:c>
      <x:c r="B233" s="10" t="str">
        <x:v>A</x:v>
      </x:c>
      <x:c r="C233" s="18" t="n">
        <x:v>4.310666666</x:v>
      </x:c>
      <x:c r="D233" s="10" t="n">
        <x:v>560</x:v>
      </x:c>
      <x:c r="E233" s="10" t="n">
        <x:v>0</x:v>
      </x:c>
      <x:c r="F233" s="10" t="n">
        <x:v>0.004096</x:v>
      </x:c>
      <x:c r="G233" s="10" t="n">
        <x:f>SUM(D233:F233)</x:f>
        <x:v>560.004096</x:v>
      </x:c>
    </x:row>
    <x:row r="234" ht="24" customHeight="1">
      <x:c r="A234" s="10" t="str">
        <x:v>S01-06</x:v>
      </x:c>
      <x:c r="B234" s="10" t="str">
        <x:v>A</x:v>
      </x:c>
      <x:c r="C234" s="18" t="n">
        <x:v>4.310666766</x:v>
      </x:c>
      <x:c r="D234" s="10" t="n">
        <x:v>560</x:v>
      </x:c>
      <x:c r="E234" s="10" t="n">
        <x:v>0</x:v>
      </x:c>
      <x:c r="F234" s="10" t="n">
        <x:v>0</x:v>
      </x:c>
      <x:c r="G234" s="10" t="n">
        <x:f>SUM(D234:F234)</x:f>
        <x:v>560</x:v>
      </x:c>
    </x:row>
    <x:row r="235" ht="24" customHeight="1">
      <x:c r="A235" s="10" t="str">
        <x:v>S01-06</x:v>
      </x:c>
      <x:c r="B235" s="10" t="str">
        <x:v>B</x:v>
      </x:c>
      <x:c r="C235" s="18" t="n">
        <x:v>-6.0000001</x:v>
      </x:c>
      <x:c r="D235" s="10" t="n">
        <x:v>560</x:v>
      </x:c>
      <x:c r="E235" s="10" t="n">
        <x:v>0</x:v>
      </x:c>
      <x:c r="F235" s="10" t="n">
        <x:v>0</x:v>
      </x:c>
      <x:c r="G235" s="10" t="n">
        <x:f>SUM(D235:F235)</x:f>
        <x:v>560</x:v>
      </x:c>
    </x:row>
    <x:row r="236" ht="24" customHeight="1">
      <x:c r="A236" s="10" t="str">
        <x:v>S01-06</x:v>
      </x:c>
      <x:c r="B236" s="10" t="str">
        <x:v>B</x:v>
      </x:c>
      <x:c r="C236" s="18" t="n">
        <x:v>-6</x:v>
      </x:c>
      <x:c r="D236" s="10" t="n">
        <x:v>560</x:v>
      </x:c>
      <x:c r="E236" s="10" t="n">
        <x:v>0</x:v>
      </x:c>
      <x:c r="F236" s="10" t="n">
        <x:v>0</x:v>
      </x:c>
      <x:c r="G236" s="10" t="n">
        <x:f>SUM(D236:F236)</x:f>
        <x:v>560</x:v>
      </x:c>
    </x:row>
    <x:row r="237" ht="24" customHeight="1">
      <x:c r="A237" s="10" t="str">
        <x:v>S01-06</x:v>
      </x:c>
      <x:c r="B237" s="10" t="str">
        <x:v>B</x:v>
      </x:c>
      <x:c r="C237" s="18" t="n">
        <x:v>-5.9999999</x:v>
      </x:c>
      <x:c r="D237" s="10" t="n">
        <x:v>560</x:v>
      </x:c>
      <x:c r="E237" s="10" t="n">
        <x:v>0</x:v>
      </x:c>
      <x:c r="F237" s="10" t="n">
        <x:v>0</x:v>
      </x:c>
      <x:c r="G237" s="10" t="n">
        <x:f>SUM(D237:F237)</x:f>
        <x:v>560</x:v>
      </x:c>
    </x:row>
    <x:row r="238" ht="24" customHeight="1">
      <x:c r="A238" s="10" t="str">
        <x:v>S01-06</x:v>
      </x:c>
      <x:c r="B238" s="10" t="str">
        <x:v>B</x:v>
      </x:c>
      <x:c r="C238" s="18" t="n">
        <x:v>-1e-7</x:v>
      </x:c>
      <x:c r="D238" s="10" t="n">
        <x:v>560</x:v>
      </x:c>
      <x:c r="E238" s="10" t="n">
        <x:v>0</x:v>
      </x:c>
      <x:c r="F238" s="10" t="n">
        <x:v>0</x:v>
      </x:c>
      <x:c r="G238" s="10" t="n">
        <x:f>SUM(D238:F238)</x:f>
        <x:v>560</x:v>
      </x:c>
    </x:row>
    <x:row r="239" ht="24" customHeight="1">
      <x:c r="A239" s="10" t="str">
        <x:v>S01-06</x:v>
      </x:c>
      <x:c r="B239" s="10" t="str">
        <x:v>B</x:v>
      </x:c>
      <x:c r="C239" s="18" t="n">
        <x:v>0</x:v>
      </x:c>
      <x:c r="D239" s="10" t="n">
        <x:v>560</x:v>
      </x:c>
      <x:c r="E239" s="10" t="n">
        <x:v>0</x:v>
      </x:c>
      <x:c r="F239" s="10" t="n">
        <x:v>0</x:v>
      </x:c>
      <x:c r="G239" s="10" t="n">
        <x:f>SUM(D239:F239)</x:f>
        <x:v>560</x:v>
      </x:c>
    </x:row>
    <x:row r="240" ht="24" customHeight="1">
      <x:c r="A240" s="10" t="str">
        <x:v>S01-06</x:v>
      </x:c>
      <x:c r="B240" s="10" t="str">
        <x:v>B</x:v>
      </x:c>
      <x:c r="C240" s="18" t="n">
        <x:v>1e-7</x:v>
      </x:c>
      <x:c r="D240" s="10" t="n">
        <x:v>560</x:v>
      </x:c>
      <x:c r="E240" s="10" t="n">
        <x:v>0</x:v>
      </x:c>
      <x:c r="F240" s="10" t="n">
        <x:v>0</x:v>
      </x:c>
      <x:c r="G240" s="10" t="n">
        <x:f>SUM(D240:F240)</x:f>
        <x:v>560</x:v>
      </x:c>
    </x:row>
    <x:row r="241" ht="24" customHeight="1">
      <x:c r="A241" s="10" t="str">
        <x:v>S01-06</x:v>
      </x:c>
      <x:c r="B241" s="10" t="str">
        <x:v>B</x:v>
      </x:c>
      <x:c r="C241" s="18" t="n">
        <x:v>0.8599999</x:v>
      </x:c>
      <x:c r="D241" s="10" t="n">
        <x:v>560</x:v>
      </x:c>
      <x:c r="E241" s="10" t="n">
        <x:v>0</x:v>
      </x:c>
      <x:c r="F241" s="10" t="n">
        <x:v>0</x:v>
      </x:c>
      <x:c r="G241" s="10" t="n">
        <x:f>SUM(D241:F241)</x:f>
        <x:v>560</x:v>
      </x:c>
    </x:row>
    <x:row r="242" ht="24" customHeight="1">
      <x:c r="A242" s="10" t="str">
        <x:v>S01-06</x:v>
      </x:c>
      <x:c r="B242" s="10" t="str">
        <x:v>B</x:v>
      </x:c>
      <x:c r="C242" s="18" t="n">
        <x:v>0.86</x:v>
      </x:c>
      <x:c r="D242" s="10" t="n">
        <x:v>560</x:v>
      </x:c>
      <x:c r="E242" s="10" t="n">
        <x:v>0</x:v>
      </x:c>
      <x:c r="F242" s="10" t="n">
        <x:v>0.004096</x:v>
      </x:c>
      <x:c r="G242" s="10" t="n">
        <x:f>SUM(D242:F242)</x:f>
        <x:v>560.004096</x:v>
      </x:c>
    </x:row>
    <x:row r="243" ht="24" customHeight="1">
      <x:c r="A243" s="10" t="str">
        <x:v>S01-06</x:v>
      </x:c>
      <x:c r="B243" s="10" t="str">
        <x:v>B</x:v>
      </x:c>
      <x:c r="C243" s="18" t="n">
        <x:v>0.8600001</x:v>
      </x:c>
      <x:c r="D243" s="10" t="n">
        <x:v>560</x:v>
      </x:c>
      <x:c r="E243" s="10" t="n">
        <x:v>0</x:v>
      </x:c>
      <x:c r="F243" s="10" t="n">
        <x:v>0.004096</x:v>
      </x:c>
      <x:c r="G243" s="10" t="n">
        <x:f>SUM(D243:F243)</x:f>
        <x:v>560.004096</x:v>
      </x:c>
    </x:row>
    <x:row r="244" ht="24" customHeight="1">
      <x:c r="A244" s="10" t="str">
        <x:v>S01-06</x:v>
      </x:c>
      <x:c r="B244" s="10" t="str">
        <x:v>B</x:v>
      </x:c>
      <x:c r="C244" s="18" t="n">
        <x:v>1.264666567</x:v>
      </x:c>
      <x:c r="D244" s="10" t="n">
        <x:v>560</x:v>
      </x:c>
      <x:c r="E244" s="10" t="n">
        <x:v>0</x:v>
      </x:c>
      <x:c r="F244" s="10" t="n">
        <x:v>0.004096</x:v>
      </x:c>
      <x:c r="G244" s="10" t="n">
        <x:f>SUM(D244:F244)</x:f>
        <x:v>560.004096</x:v>
      </x:c>
    </x:row>
    <x:row r="245" ht="24" customHeight="1">
      <x:c r="A245" s="10" t="str">
        <x:v>S01-06</x:v>
      </x:c>
      <x:c r="B245" s="10" t="str">
        <x:v>B</x:v>
      </x:c>
      <x:c r="C245" s="18" t="n">
        <x:v>1.264666667</x:v>
      </x:c>
      <x:c r="D245" s="10" t="n">
        <x:v>560</x:v>
      </x:c>
      <x:c r="E245" s="10" t="n">
        <x:v>0.0096</x:v>
      </x:c>
      <x:c r="F245" s="10" t="n">
        <x:v>0.004096</x:v>
      </x:c>
      <x:c r="G245" s="10" t="n">
        <x:f>SUM(D245:F245)</x:f>
        <x:v>560.013696</x:v>
      </x:c>
    </x:row>
    <x:row r="246" ht="24" customHeight="1">
      <x:c r="A246" s="10" t="str">
        <x:v>S01-06</x:v>
      </x:c>
      <x:c r="B246" s="10" t="str">
        <x:v>B</x:v>
      </x:c>
      <x:c r="C246" s="18" t="n">
        <x:v>1.264666767</x:v>
      </x:c>
      <x:c r="D246" s="10" t="n">
        <x:v>560</x:v>
      </x:c>
      <x:c r="E246" s="10" t="n">
        <x:v>0.009600019</x:v>
      </x:c>
      <x:c r="F246" s="10" t="n">
        <x:v>0.004096</x:v>
      </x:c>
      <x:c r="G246" s="10" t="n">
        <x:f>SUM(D246:F246)</x:f>
        <x:v>560.013696019</x:v>
      </x:c>
    </x:row>
    <x:row r="247" ht="24" customHeight="1">
      <x:c r="A247" s="10" t="str">
        <x:v>S01-06</x:v>
      </x:c>
      <x:c r="B247" s="10" t="str">
        <x:v>B</x:v>
      </x:c>
      <x:c r="C247" s="18" t="n">
        <x:v>1.304666567</x:v>
      </x:c>
      <x:c r="D247" s="10" t="n">
        <x:v>560</x:v>
      </x:c>
      <x:c r="E247" s="10" t="n">
        <x:v>0.017279981</x:v>
      </x:c>
      <x:c r="F247" s="10" t="n">
        <x:v>0.004096</x:v>
      </x:c>
      <x:c r="G247" s="10" t="n">
        <x:f>SUM(D247:F247)</x:f>
        <x:v>560.021375981</x:v>
      </x:c>
    </x:row>
    <x:row r="248" ht="24" customHeight="1">
      <x:c r="A248" s="10" t="str">
        <x:v>S01-06</x:v>
      </x:c>
      <x:c r="B248" s="10" t="str">
        <x:v>B</x:v>
      </x:c>
      <x:c r="C248" s="18" t="n">
        <x:v>1.304666667</x:v>
      </x:c>
      <x:c r="D248" s="10" t="n">
        <x:v>560</x:v>
      </x:c>
      <x:c r="E248" s="10" t="n">
        <x:v>0.01728</x:v>
      </x:c>
      <x:c r="F248" s="10" t="n">
        <x:v>0.004096</x:v>
      </x:c>
      <x:c r="G248" s="10" t="n">
        <x:f>SUM(D248:F248)</x:f>
        <x:v>560.021376</x:v>
      </x:c>
    </x:row>
    <x:row r="249" ht="24" customHeight="1">
      <x:c r="A249" s="10" t="str">
        <x:v>S01-06</x:v>
      </x:c>
      <x:c r="B249" s="10" t="str">
        <x:v>B</x:v>
      </x:c>
      <x:c r="C249" s="18" t="n">
        <x:v>1.304666767</x:v>
      </x:c>
      <x:c r="D249" s="10" t="n">
        <x:v>560</x:v>
      </x:c>
      <x:c r="E249" s="10" t="n">
        <x:v>0.017280014</x:v>
      </x:c>
      <x:c r="F249" s="10" t="n">
        <x:v>0.004096</x:v>
      </x:c>
      <x:c r="G249" s="10" t="n">
        <x:f>SUM(D249:F249)</x:f>
        <x:v>560.021376014</x:v>
      </x:c>
    </x:row>
    <x:row r="250" ht="24" customHeight="1">
      <x:c r="A250" s="10" t="str">
        <x:v>S01-06</x:v>
      </x:c>
      <x:c r="B250" s="10" t="str">
        <x:v>B</x:v>
      </x:c>
      <x:c r="C250" s="18" t="n">
        <x:v>1.966166567</x:v>
      </x:c>
      <x:c r="D250" s="10" t="n">
        <x:v>560</x:v>
      </x:c>
      <x:c r="E250" s="10" t="n">
        <x:v>0.112535986</x:v>
      </x:c>
      <x:c r="F250" s="10" t="n">
        <x:v>0.004096</x:v>
      </x:c>
      <x:c r="G250" s="10" t="n">
        <x:f>SUM(D250:F250)</x:f>
        <x:v>560.116631986</x:v>
      </x:c>
    </x:row>
    <x:row r="251" ht="24" customHeight="1">
      <x:c r="A251" s="10" t="str">
        <x:v>S01-06</x:v>
      </x:c>
      <x:c r="B251" s="10" t="str">
        <x:v>B</x:v>
      </x:c>
      <x:c r="C251" s="18" t="n">
        <x:v>1.966166667</x:v>
      </x:c>
      <x:c r="D251" s="10" t="n">
        <x:v>560</x:v>
      </x:c>
      <x:c r="E251" s="10" t="n">
        <x:v>0.112536</x:v>
      </x:c>
      <x:c r="F251" s="10" t="n">
        <x:v>0.004096</x:v>
      </x:c>
      <x:c r="G251" s="10" t="n">
        <x:f>SUM(D251:F251)</x:f>
        <x:v>560.116632</x:v>
      </x:c>
    </x:row>
    <x:row r="252" ht="24" customHeight="1">
      <x:c r="A252" s="10" t="str">
        <x:v>S01-06</x:v>
      </x:c>
      <x:c r="B252" s="10" t="str">
        <x:v>B</x:v>
      </x:c>
      <x:c r="C252" s="18" t="n">
        <x:v>1.966166767</x:v>
      </x:c>
      <x:c r="D252" s="10" t="n">
        <x:v>560</x:v>
      </x:c>
      <x:c r="E252" s="10" t="n">
        <x:v>0.112535995</x:v>
      </x:c>
      <x:c r="F252" s="10" t="n">
        <x:v>0.004096</x:v>
      </x:c>
      <x:c r="G252" s="10" t="n">
        <x:f>SUM(D252:F252)</x:f>
        <x:v>560.116631995</x:v>
      </x:c>
    </x:row>
    <x:row r="253" ht="24" customHeight="1">
      <x:c r="A253" s="10" t="str">
        <x:v>S01-06</x:v>
      </x:c>
      <x:c r="B253" s="10" t="str">
        <x:v>B</x:v>
      </x:c>
      <x:c r="C253" s="18" t="n">
        <x:v>4.310666566</x:v>
      </x:c>
      <x:c r="D253" s="10" t="n">
        <x:v>560</x:v>
      </x:c>
      <x:c r="E253" s="10" t="n">
        <x:v>5e-9</x:v>
      </x:c>
      <x:c r="F253" s="10" t="n">
        <x:v>0.004096</x:v>
      </x:c>
      <x:c r="G253" s="10" t="n">
        <x:f>SUM(D253:F253)</x:f>
        <x:v>560.004096005</x:v>
      </x:c>
    </x:row>
    <x:row r="254" ht="24" customHeight="1">
      <x:c r="A254" s="10" t="str">
        <x:v>S01-06</x:v>
      </x:c>
      <x:c r="B254" s="10" t="str">
        <x:v>B</x:v>
      </x:c>
      <x:c r="C254" s="18" t="n">
        <x:v>4.310666666</x:v>
      </x:c>
      <x:c r="D254" s="10" t="n">
        <x:v>560</x:v>
      </x:c>
      <x:c r="E254" s="10" t="n">
        <x:v>0</x:v>
      </x:c>
      <x:c r="F254" s="10" t="n">
        <x:v>0.004096</x:v>
      </x:c>
      <x:c r="G254" s="10" t="n">
        <x:f>SUM(D254:F254)</x:f>
        <x:v>560.004096</x:v>
      </x:c>
    </x:row>
    <x:row r="255" ht="24" customHeight="1">
      <x:c r="A255" s="10" t="str">
        <x:v>S01-06</x:v>
      </x:c>
      <x:c r="B255" s="10" t="str">
        <x:v>B</x:v>
      </x:c>
      <x:c r="C255" s="18" t="n">
        <x:v>4.310666766</x:v>
      </x:c>
      <x:c r="D255" s="10" t="n">
        <x:v>560</x:v>
      </x:c>
      <x:c r="E255" s="10" t="n">
        <x:v>0</x:v>
      </x:c>
      <x:c r="F255" s="10" t="n">
        <x:v>0</x:v>
      </x:c>
      <x:c r="G255" s="10" t="n">
        <x:f>SUM(D255:F255)</x:f>
        <x:v>560</x:v>
      </x:c>
    </x:row>
    <x:row r="256" ht="24" customHeight="1">
      <x:c r="A256" s="10" t="str">
        <x:v>S01-07</x:v>
      </x:c>
      <x:c r="B256" s="10" t="str">
        <x:v>A</x:v>
      </x:c>
      <x:c r="C256" s="18" t="n">
        <x:v>-6.0000001</x:v>
      </x:c>
      <x:c r="D256" s="10" t="n">
        <x:v>560</x:v>
      </x:c>
      <x:c r="E256" s="10" t="n">
        <x:v>0</x:v>
      </x:c>
      <x:c r="F256" s="10" t="n">
        <x:v>0</x:v>
      </x:c>
      <x:c r="G256" s="10" t="n">
        <x:f>SUM(D256:F256)</x:f>
        <x:v>560</x:v>
      </x:c>
    </x:row>
    <x:row r="257" ht="24" customHeight="1">
      <x:c r="A257" s="10" t="str">
        <x:v>S01-07</x:v>
      </x:c>
      <x:c r="B257" s="10" t="str">
        <x:v>A</x:v>
      </x:c>
      <x:c r="C257" s="18" t="n">
        <x:v>-6</x:v>
      </x:c>
      <x:c r="D257" s="10" t="n">
        <x:v>560</x:v>
      </x:c>
      <x:c r="E257" s="10" t="n">
        <x:v>0</x:v>
      </x:c>
      <x:c r="F257" s="10" t="n">
        <x:v>0</x:v>
      </x:c>
      <x:c r="G257" s="10" t="n">
        <x:f>SUM(D257:F257)</x:f>
        <x:v>560</x:v>
      </x:c>
    </x:row>
    <x:row r="258" ht="24" customHeight="1">
      <x:c r="A258" s="10" t="str">
        <x:v>S01-07</x:v>
      </x:c>
      <x:c r="B258" s="10" t="str">
        <x:v>A</x:v>
      </x:c>
      <x:c r="C258" s="18" t="n">
        <x:v>-5.9999999</x:v>
      </x:c>
      <x:c r="D258" s="10" t="n">
        <x:v>560</x:v>
      </x:c>
      <x:c r="E258" s="10" t="n">
        <x:v>0</x:v>
      </x:c>
      <x:c r="F258" s="10" t="n">
        <x:v>0</x:v>
      </x:c>
      <x:c r="G258" s="10" t="n">
        <x:f>SUM(D258:F258)</x:f>
        <x:v>560</x:v>
      </x:c>
    </x:row>
    <x:row r="259" ht="24" customHeight="1">
      <x:c r="A259" s="10" t="str">
        <x:v>S01-07</x:v>
      </x:c>
      <x:c r="B259" s="10" t="str">
        <x:v>A</x:v>
      </x:c>
      <x:c r="C259" s="18" t="n">
        <x:v>-1e-7</x:v>
      </x:c>
      <x:c r="D259" s="10" t="n">
        <x:v>560</x:v>
      </x:c>
      <x:c r="E259" s="10" t="n">
        <x:v>0</x:v>
      </x:c>
      <x:c r="F259" s="10" t="n">
        <x:v>0</x:v>
      </x:c>
      <x:c r="G259" s="10" t="n">
        <x:f>SUM(D259:F259)</x:f>
        <x:v>560</x:v>
      </x:c>
    </x:row>
    <x:row r="260" ht="24" customHeight="1">
      <x:c r="A260" s="10" t="str">
        <x:v>S01-07</x:v>
      </x:c>
      <x:c r="B260" s="10" t="str">
        <x:v>A</x:v>
      </x:c>
      <x:c r="C260" s="18" t="n">
        <x:v>0</x:v>
      </x:c>
      <x:c r="D260" s="10" t="n">
        <x:v>560</x:v>
      </x:c>
      <x:c r="E260" s="10" t="n">
        <x:v>0</x:v>
      </x:c>
      <x:c r="F260" s="10" t="n">
        <x:v>0</x:v>
      </x:c>
      <x:c r="G260" s="10" t="n">
        <x:f>SUM(D260:F260)</x:f>
        <x:v>560</x:v>
      </x:c>
    </x:row>
    <x:row r="261" ht="24" customHeight="1">
      <x:c r="A261" s="10" t="str">
        <x:v>S01-07</x:v>
      </x:c>
      <x:c r="B261" s="10" t="str">
        <x:v>A</x:v>
      </x:c>
      <x:c r="C261" s="18" t="n">
        <x:v>1e-7</x:v>
      </x:c>
      <x:c r="D261" s="10" t="n">
        <x:v>560</x:v>
      </x:c>
      <x:c r="E261" s="10" t="n">
        <x:v>0</x:v>
      </x:c>
      <x:c r="F261" s="10" t="n">
        <x:v>0</x:v>
      </x:c>
      <x:c r="G261" s="10" t="n">
        <x:f>SUM(D261:F261)</x:f>
        <x:v>560</x:v>
      </x:c>
    </x:row>
    <x:row r="262" ht="24" customHeight="1">
      <x:c r="A262" s="10" t="str">
        <x:v>S01-07</x:v>
      </x:c>
      <x:c r="B262" s="10" t="str">
        <x:v>A</x:v>
      </x:c>
      <x:c r="C262" s="18" t="n">
        <x:v>0.888333233</x:v>
      </x:c>
      <x:c r="D262" s="10" t="n">
        <x:v>560</x:v>
      </x:c>
      <x:c r="E262" s="10" t="n">
        <x:v>0</x:v>
      </x:c>
      <x:c r="F262" s="10" t="n">
        <x:v>0</x:v>
      </x:c>
      <x:c r="G262" s="10" t="n">
        <x:f>SUM(D262:F262)</x:f>
        <x:v>560</x:v>
      </x:c>
    </x:row>
    <x:row r="263" ht="24" customHeight="1">
      <x:c r="A263" s="10" t="str">
        <x:v>S01-07</x:v>
      </x:c>
      <x:c r="B263" s="10" t="str">
        <x:v>A</x:v>
      </x:c>
      <x:c r="C263" s="18" t="n">
        <x:v>0.888333333</x:v>
      </x:c>
      <x:c r="D263" s="10" t="n">
        <x:v>560</x:v>
      </x:c>
      <x:c r="E263" s="10" t="n">
        <x:v>0</x:v>
      </x:c>
      <x:c r="F263" s="10" t="n">
        <x:v>0.004096</x:v>
      </x:c>
      <x:c r="G263" s="10" t="n">
        <x:f>SUM(D263:F263)</x:f>
        <x:v>560.004096</x:v>
      </x:c>
    </x:row>
    <x:row r="264" ht="24" customHeight="1">
      <x:c r="A264" s="10" t="str">
        <x:v>S01-07</x:v>
      </x:c>
      <x:c r="B264" s="10" t="str">
        <x:v>A</x:v>
      </x:c>
      <x:c r="C264" s="18" t="n">
        <x:v>0.888333433</x:v>
      </x:c>
      <x:c r="D264" s="10" t="n">
        <x:v>560</x:v>
      </x:c>
      <x:c r="E264" s="10" t="n">
        <x:v>0</x:v>
      </x:c>
      <x:c r="F264" s="10" t="n">
        <x:v>0.004096</x:v>
      </x:c>
      <x:c r="G264" s="10" t="n">
        <x:f>SUM(D264:F264)</x:f>
        <x:v>560.004096</x:v>
      </x:c>
    </x:row>
    <x:row r="265" ht="24" customHeight="1">
      <x:c r="A265" s="10" t="str">
        <x:v>S01-07</x:v>
      </x:c>
      <x:c r="B265" s="10" t="str">
        <x:v>A</x:v>
      </x:c>
      <x:c r="C265" s="18" t="n">
        <x:v>1.2929999</x:v>
      </x:c>
      <x:c r="D265" s="10" t="n">
        <x:v>560</x:v>
      </x:c>
      <x:c r="E265" s="10" t="n">
        <x:v>0</x:v>
      </x:c>
      <x:c r="F265" s="10" t="n">
        <x:v>0.004096</x:v>
      </x:c>
      <x:c r="G265" s="10" t="n">
        <x:f>SUM(D265:F265)</x:f>
        <x:v>560.004096</x:v>
      </x:c>
    </x:row>
    <x:row r="266" ht="24" customHeight="1">
      <x:c r="A266" s="10" t="str">
        <x:v>S01-07</x:v>
      </x:c>
      <x:c r="B266" s="10" t="str">
        <x:v>A</x:v>
      </x:c>
      <x:c r="C266" s="18" t="n">
        <x:v>1.293</x:v>
      </x:c>
      <x:c r="D266" s="10" t="n">
        <x:v>560</x:v>
      </x:c>
      <x:c r="E266" s="10" t="n">
        <x:v>0.0096</x:v>
      </x:c>
      <x:c r="F266" s="10" t="n">
        <x:v>0.004096</x:v>
      </x:c>
      <x:c r="G266" s="10" t="n">
        <x:f>SUM(D266:F266)</x:f>
        <x:v>560.013696</x:v>
      </x:c>
    </x:row>
    <x:row r="267" ht="24" customHeight="1">
      <x:c r="A267" s="10" t="str">
        <x:v>S01-07</x:v>
      </x:c>
      <x:c r="B267" s="10" t="str">
        <x:v>A</x:v>
      </x:c>
      <x:c r="C267" s="18" t="n">
        <x:v>1.2930001</x:v>
      </x:c>
      <x:c r="D267" s="10" t="n">
        <x:v>560</x:v>
      </x:c>
      <x:c r="E267" s="10" t="n">
        <x:v>0.009600019</x:v>
      </x:c>
      <x:c r="F267" s="10" t="n">
        <x:v>0.004096</x:v>
      </x:c>
      <x:c r="G267" s="10" t="n">
        <x:f>SUM(D267:F267)</x:f>
        <x:v>560.013696019</x:v>
      </x:c>
    </x:row>
    <x:row r="268" ht="24" customHeight="1">
      <x:c r="A268" s="10" t="str">
        <x:v>S01-07</x:v>
      </x:c>
      <x:c r="B268" s="10" t="str">
        <x:v>A</x:v>
      </x:c>
      <x:c r="C268" s="18" t="n">
        <x:v>1.3329999</x:v>
      </x:c>
      <x:c r="D268" s="10" t="n">
        <x:v>560</x:v>
      </x:c>
      <x:c r="E268" s="10" t="n">
        <x:v>0.017279981</x:v>
      </x:c>
      <x:c r="F268" s="10" t="n">
        <x:v>0.004096</x:v>
      </x:c>
      <x:c r="G268" s="10" t="n">
        <x:f>SUM(D268:F268)</x:f>
        <x:v>560.021375981</x:v>
      </x:c>
    </x:row>
    <x:row r="269" ht="24" customHeight="1">
      <x:c r="A269" s="10" t="str">
        <x:v>S01-07</x:v>
      </x:c>
      <x:c r="B269" s="10" t="str">
        <x:v>A</x:v>
      </x:c>
      <x:c r="C269" s="18" t="n">
        <x:v>1.333</x:v>
      </x:c>
      <x:c r="D269" s="10" t="n">
        <x:v>560</x:v>
      </x:c>
      <x:c r="E269" s="10" t="n">
        <x:v>0.01728</x:v>
      </x:c>
      <x:c r="F269" s="10" t="n">
        <x:v>0.004096</x:v>
      </x:c>
      <x:c r="G269" s="10" t="n">
        <x:f>SUM(D269:F269)</x:f>
        <x:v>560.021376</x:v>
      </x:c>
    </x:row>
    <x:row r="270" ht="24" customHeight="1">
      <x:c r="A270" s="10" t="str">
        <x:v>S01-07</x:v>
      </x:c>
      <x:c r="B270" s="10" t="str">
        <x:v>A</x:v>
      </x:c>
      <x:c r="C270" s="18" t="n">
        <x:v>1.3330001</x:v>
      </x:c>
      <x:c r="D270" s="10" t="n">
        <x:v>560</x:v>
      </x:c>
      <x:c r="E270" s="10" t="n">
        <x:v>0.017280014</x:v>
      </x:c>
      <x:c r="F270" s="10" t="n">
        <x:v>0.004096</x:v>
      </x:c>
      <x:c r="G270" s="10" t="n">
        <x:f>SUM(D270:F270)</x:f>
        <x:v>560.021376014</x:v>
      </x:c>
    </x:row>
    <x:row r="271" ht="24" customHeight="1">
      <x:c r="A271" s="10" t="str">
        <x:v>S01-07</x:v>
      </x:c>
      <x:c r="B271" s="10" t="str">
        <x:v>A</x:v>
      </x:c>
      <x:c r="C271" s="18" t="n">
        <x:v>1.9974999</x:v>
      </x:c>
      <x:c r="D271" s="10" t="n">
        <x:v>560</x:v>
      </x:c>
      <x:c r="E271" s="10" t="n">
        <x:v>0.112967986</x:v>
      </x:c>
      <x:c r="F271" s="10" t="n">
        <x:v>0.004096</x:v>
      </x:c>
      <x:c r="G271" s="10" t="n">
        <x:f>SUM(D271:F271)</x:f>
        <x:v>560.117063986</x:v>
      </x:c>
    </x:row>
    <x:row r="272" ht="24" customHeight="1">
      <x:c r="A272" s="10" t="str">
        <x:v>S01-07</x:v>
      </x:c>
      <x:c r="B272" s="10" t="str">
        <x:v>A</x:v>
      </x:c>
      <x:c r="C272" s="18" t="n">
        <x:v>1.9975</x:v>
      </x:c>
      <x:c r="D272" s="10" t="n">
        <x:v>560</x:v>
      </x:c>
      <x:c r="E272" s="10" t="n">
        <x:v>0.112968</x:v>
      </x:c>
      <x:c r="F272" s="10" t="n">
        <x:v>0.004096</x:v>
      </x:c>
      <x:c r="G272" s="10" t="n">
        <x:f>SUM(D272:F272)</x:f>
        <x:v>560.117064</x:v>
      </x:c>
    </x:row>
    <x:row r="273" ht="24" customHeight="1">
      <x:c r="A273" s="10" t="str">
        <x:v>S01-07</x:v>
      </x:c>
      <x:c r="B273" s="10" t="str">
        <x:v>A</x:v>
      </x:c>
      <x:c r="C273" s="18" t="n">
        <x:v>1.9975001</x:v>
      </x:c>
      <x:c r="D273" s="10" t="n">
        <x:v>560</x:v>
      </x:c>
      <x:c r="E273" s="10" t="n">
        <x:v>0.112967995</x:v>
      </x:c>
      <x:c r="F273" s="10" t="n">
        <x:v>0.004096</x:v>
      </x:c>
      <x:c r="G273" s="10" t="n">
        <x:f>SUM(D273:F273)</x:f>
        <x:v>560.117063995</x:v>
      </x:c>
    </x:row>
    <x:row r="274" ht="24" customHeight="1">
      <x:c r="A274" s="10" t="str">
        <x:v>S01-07</x:v>
      </x:c>
      <x:c r="B274" s="10" t="str">
        <x:v>A</x:v>
      </x:c>
      <x:c r="C274" s="18" t="n">
        <x:v>4.350999899</x:v>
      </x:c>
      <x:c r="D274" s="10" t="n">
        <x:v>560</x:v>
      </x:c>
      <x:c r="E274" s="10" t="n">
        <x:v>5e-9</x:v>
      </x:c>
      <x:c r="F274" s="10" t="n">
        <x:v>0.004096</x:v>
      </x:c>
      <x:c r="G274" s="10" t="n">
        <x:f>SUM(D274:F274)</x:f>
        <x:v>560.004096005</x:v>
      </x:c>
    </x:row>
    <x:row r="275" ht="24" customHeight="1">
      <x:c r="A275" s="10" t="str">
        <x:v>S01-07</x:v>
      </x:c>
      <x:c r="B275" s="10" t="str">
        <x:v>A</x:v>
      </x:c>
      <x:c r="C275" s="18" t="n">
        <x:v>4.350999999</x:v>
      </x:c>
      <x:c r="D275" s="10" t="n">
        <x:v>560</x:v>
      </x:c>
      <x:c r="E275" s="10" t="n">
        <x:v>0</x:v>
      </x:c>
      <x:c r="F275" s="10" t="n">
        <x:v>0.004096</x:v>
      </x:c>
      <x:c r="G275" s="10" t="n">
        <x:f>SUM(D275:F275)</x:f>
        <x:v>560.004096</x:v>
      </x:c>
    </x:row>
    <x:row r="276" ht="24" customHeight="1">
      <x:c r="A276" s="10" t="str">
        <x:v>S01-07</x:v>
      </x:c>
      <x:c r="B276" s="10" t="str">
        <x:v>A</x:v>
      </x:c>
      <x:c r="C276" s="18" t="n">
        <x:v>4.351000099</x:v>
      </x:c>
      <x:c r="D276" s="10" t="n">
        <x:v>560</x:v>
      </x:c>
      <x:c r="E276" s="10" t="n">
        <x:v>0</x:v>
      </x:c>
      <x:c r="F276" s="10" t="n">
        <x:v>0</x:v>
      </x:c>
      <x:c r="G276" s="10" t="n">
        <x:f>SUM(D276:F276)</x:f>
        <x:v>560</x:v>
      </x:c>
    </x:row>
    <x:row r="277" ht="24" customHeight="1">
      <x:c r="A277" s="10" t="str">
        <x:v>S01-07</x:v>
      </x:c>
      <x:c r="B277" s="10" t="str">
        <x:v>B</x:v>
      </x:c>
      <x:c r="C277" s="18" t="n">
        <x:v>-6.0000001</x:v>
      </x:c>
      <x:c r="D277" s="10" t="n">
        <x:v>560</x:v>
      </x:c>
      <x:c r="E277" s="10" t="n">
        <x:v>0</x:v>
      </x:c>
      <x:c r="F277" s="10" t="n">
        <x:v>0</x:v>
      </x:c>
      <x:c r="G277" s="10" t="n">
        <x:f>SUM(D277:F277)</x:f>
        <x:v>560</x:v>
      </x:c>
    </x:row>
    <x:row r="278" ht="24" customHeight="1">
      <x:c r="A278" s="10" t="str">
        <x:v>S01-07</x:v>
      </x:c>
      <x:c r="B278" s="10" t="str">
        <x:v>B</x:v>
      </x:c>
      <x:c r="C278" s="18" t="n">
        <x:v>-6</x:v>
      </x:c>
      <x:c r="D278" s="10" t="n">
        <x:v>560</x:v>
      </x:c>
      <x:c r="E278" s="10" t="n">
        <x:v>0</x:v>
      </x:c>
      <x:c r="F278" s="10" t="n">
        <x:v>0</x:v>
      </x:c>
      <x:c r="G278" s="10" t="n">
        <x:f>SUM(D278:F278)</x:f>
        <x:v>560</x:v>
      </x:c>
    </x:row>
    <x:row r="279" ht="24" customHeight="1">
      <x:c r="A279" s="10" t="str">
        <x:v>S01-07</x:v>
      </x:c>
      <x:c r="B279" s="10" t="str">
        <x:v>B</x:v>
      </x:c>
      <x:c r="C279" s="18" t="n">
        <x:v>-5.9999999</x:v>
      </x:c>
      <x:c r="D279" s="10" t="n">
        <x:v>560</x:v>
      </x:c>
      <x:c r="E279" s="10" t="n">
        <x:v>0</x:v>
      </x:c>
      <x:c r="F279" s="10" t="n">
        <x:v>0</x:v>
      </x:c>
      <x:c r="G279" s="10" t="n">
        <x:f>SUM(D279:F279)</x:f>
        <x:v>560</x:v>
      </x:c>
    </x:row>
    <x:row r="280" ht="24" customHeight="1">
      <x:c r="A280" s="10" t="str">
        <x:v>S01-07</x:v>
      </x:c>
      <x:c r="B280" s="10" t="str">
        <x:v>B</x:v>
      </x:c>
      <x:c r="C280" s="18" t="n">
        <x:v>-1e-7</x:v>
      </x:c>
      <x:c r="D280" s="10" t="n">
        <x:v>560</x:v>
      </x:c>
      <x:c r="E280" s="10" t="n">
        <x:v>0</x:v>
      </x:c>
      <x:c r="F280" s="10" t="n">
        <x:v>0</x:v>
      </x:c>
      <x:c r="G280" s="10" t="n">
        <x:f>SUM(D280:F280)</x:f>
        <x:v>560</x:v>
      </x:c>
    </x:row>
    <x:row r="281" ht="24" customHeight="1">
      <x:c r="A281" s="10" t="str">
        <x:v>S01-07</x:v>
      </x:c>
      <x:c r="B281" s="10" t="str">
        <x:v>B</x:v>
      </x:c>
      <x:c r="C281" s="18" t="n">
        <x:v>0</x:v>
      </x:c>
      <x:c r="D281" s="10" t="n">
        <x:v>560</x:v>
      </x:c>
      <x:c r="E281" s="10" t="n">
        <x:v>0</x:v>
      </x:c>
      <x:c r="F281" s="10" t="n">
        <x:v>0</x:v>
      </x:c>
      <x:c r="G281" s="10" t="n">
        <x:f>SUM(D281:F281)</x:f>
        <x:v>560</x:v>
      </x:c>
    </x:row>
    <x:row r="282" ht="24" customHeight="1">
      <x:c r="A282" s="10" t="str">
        <x:v>S01-07</x:v>
      </x:c>
      <x:c r="B282" s="10" t="str">
        <x:v>B</x:v>
      </x:c>
      <x:c r="C282" s="18" t="n">
        <x:v>1e-7</x:v>
      </x:c>
      <x:c r="D282" s="10" t="n">
        <x:v>560</x:v>
      </x:c>
      <x:c r="E282" s="10" t="n">
        <x:v>0</x:v>
      </x:c>
      <x:c r="F282" s="10" t="n">
        <x:v>0</x:v>
      </x:c>
      <x:c r="G282" s="10" t="n">
        <x:f>SUM(D282:F282)</x:f>
        <x:v>560</x:v>
      </x:c>
    </x:row>
    <x:row r="283" ht="24" customHeight="1">
      <x:c r="A283" s="10" t="str">
        <x:v>S01-07</x:v>
      </x:c>
      <x:c r="B283" s="10" t="str">
        <x:v>B</x:v>
      </x:c>
      <x:c r="C283" s="18" t="n">
        <x:v>0.888333233</x:v>
      </x:c>
      <x:c r="D283" s="10" t="n">
        <x:v>560</x:v>
      </x:c>
      <x:c r="E283" s="10" t="n">
        <x:v>0</x:v>
      </x:c>
      <x:c r="F283" s="10" t="n">
        <x:v>0</x:v>
      </x:c>
      <x:c r="G283" s="10" t="n">
        <x:f>SUM(D283:F283)</x:f>
        <x:v>560</x:v>
      </x:c>
    </x:row>
    <x:row r="284" ht="24" customHeight="1">
      <x:c r="A284" s="10" t="str">
        <x:v>S01-07</x:v>
      </x:c>
      <x:c r="B284" s="10" t="str">
        <x:v>B</x:v>
      </x:c>
      <x:c r="C284" s="18" t="n">
        <x:v>0.888333333</x:v>
      </x:c>
      <x:c r="D284" s="10" t="n">
        <x:v>560</x:v>
      </x:c>
      <x:c r="E284" s="10" t="n">
        <x:v>0</x:v>
      </x:c>
      <x:c r="F284" s="10" t="n">
        <x:v>0.004096</x:v>
      </x:c>
      <x:c r="G284" s="10" t="n">
        <x:f>SUM(D284:F284)</x:f>
        <x:v>560.004096</x:v>
      </x:c>
    </x:row>
    <x:row r="285" ht="24" customHeight="1">
      <x:c r="A285" s="10" t="str">
        <x:v>S01-07</x:v>
      </x:c>
      <x:c r="B285" s="10" t="str">
        <x:v>B</x:v>
      </x:c>
      <x:c r="C285" s="18" t="n">
        <x:v>0.888333433</x:v>
      </x:c>
      <x:c r="D285" s="10" t="n">
        <x:v>560</x:v>
      </x:c>
      <x:c r="E285" s="10" t="n">
        <x:v>0</x:v>
      </x:c>
      <x:c r="F285" s="10" t="n">
        <x:v>0.004096</x:v>
      </x:c>
      <x:c r="G285" s="10" t="n">
        <x:f>SUM(D285:F285)</x:f>
        <x:v>560.004096</x:v>
      </x:c>
    </x:row>
    <x:row r="286" ht="24" customHeight="1">
      <x:c r="A286" s="10" t="str">
        <x:v>S01-07</x:v>
      </x:c>
      <x:c r="B286" s="10" t="str">
        <x:v>B</x:v>
      </x:c>
      <x:c r="C286" s="18" t="n">
        <x:v>1.2929999</x:v>
      </x:c>
      <x:c r="D286" s="10" t="n">
        <x:v>560</x:v>
      </x:c>
      <x:c r="E286" s="10" t="n">
        <x:v>0</x:v>
      </x:c>
      <x:c r="F286" s="10" t="n">
        <x:v>0.004096</x:v>
      </x:c>
      <x:c r="G286" s="10" t="n">
        <x:f>SUM(D286:F286)</x:f>
        <x:v>560.004096</x:v>
      </x:c>
    </x:row>
    <x:row r="287" ht="24" customHeight="1">
      <x:c r="A287" s="10" t="str">
        <x:v>S01-07</x:v>
      </x:c>
      <x:c r="B287" s="10" t="str">
        <x:v>B</x:v>
      </x:c>
      <x:c r="C287" s="18" t="n">
        <x:v>1.293</x:v>
      </x:c>
      <x:c r="D287" s="10" t="n">
        <x:v>560</x:v>
      </x:c>
      <x:c r="E287" s="10" t="n">
        <x:v>0.0096</x:v>
      </x:c>
      <x:c r="F287" s="10" t="n">
        <x:v>0.004096</x:v>
      </x:c>
      <x:c r="G287" s="10" t="n">
        <x:f>SUM(D287:F287)</x:f>
        <x:v>560.013696</x:v>
      </x:c>
    </x:row>
    <x:row r="288" ht="24" customHeight="1">
      <x:c r="A288" s="10" t="str">
        <x:v>S01-07</x:v>
      </x:c>
      <x:c r="B288" s="10" t="str">
        <x:v>B</x:v>
      </x:c>
      <x:c r="C288" s="18" t="n">
        <x:v>1.2930001</x:v>
      </x:c>
      <x:c r="D288" s="10" t="n">
        <x:v>560</x:v>
      </x:c>
      <x:c r="E288" s="10" t="n">
        <x:v>0.009600019</x:v>
      </x:c>
      <x:c r="F288" s="10" t="n">
        <x:v>0.004096</x:v>
      </x:c>
      <x:c r="G288" s="10" t="n">
        <x:f>SUM(D288:F288)</x:f>
        <x:v>560.013696019</x:v>
      </x:c>
    </x:row>
    <x:row r="289" ht="24" customHeight="1">
      <x:c r="A289" s="10" t="str">
        <x:v>S01-07</x:v>
      </x:c>
      <x:c r="B289" s="10" t="str">
        <x:v>B</x:v>
      </x:c>
      <x:c r="C289" s="18" t="n">
        <x:v>1.3329999</x:v>
      </x:c>
      <x:c r="D289" s="10" t="n">
        <x:v>560</x:v>
      </x:c>
      <x:c r="E289" s="10" t="n">
        <x:v>0.017279981</x:v>
      </x:c>
      <x:c r="F289" s="10" t="n">
        <x:v>0.004096</x:v>
      </x:c>
      <x:c r="G289" s="10" t="n">
        <x:f>SUM(D289:F289)</x:f>
        <x:v>560.021375981</x:v>
      </x:c>
    </x:row>
    <x:row r="290" ht="24" customHeight="1">
      <x:c r="A290" s="10" t="str">
        <x:v>S01-07</x:v>
      </x:c>
      <x:c r="B290" s="10" t="str">
        <x:v>B</x:v>
      </x:c>
      <x:c r="C290" s="18" t="n">
        <x:v>1.333</x:v>
      </x:c>
      <x:c r="D290" s="10" t="n">
        <x:v>560</x:v>
      </x:c>
      <x:c r="E290" s="10" t="n">
        <x:v>0.01728</x:v>
      </x:c>
      <x:c r="F290" s="10" t="n">
        <x:v>0.004096</x:v>
      </x:c>
      <x:c r="G290" s="10" t="n">
        <x:f>SUM(D290:F290)</x:f>
        <x:v>560.021376</x:v>
      </x:c>
    </x:row>
    <x:row r="291" ht="24" customHeight="1">
      <x:c r="A291" s="10" t="str">
        <x:v>S01-07</x:v>
      </x:c>
      <x:c r="B291" s="10" t="str">
        <x:v>B</x:v>
      </x:c>
      <x:c r="C291" s="18" t="n">
        <x:v>1.3330001</x:v>
      </x:c>
      <x:c r="D291" s="10" t="n">
        <x:v>560</x:v>
      </x:c>
      <x:c r="E291" s="10" t="n">
        <x:v>0.017280014</x:v>
      </x:c>
      <x:c r="F291" s="10" t="n">
        <x:v>0.004096</x:v>
      </x:c>
      <x:c r="G291" s="10" t="n">
        <x:f>SUM(D291:F291)</x:f>
        <x:v>560.021376014</x:v>
      </x:c>
    </x:row>
    <x:row r="292" ht="24" customHeight="1">
      <x:c r="A292" s="10" t="str">
        <x:v>S01-07</x:v>
      </x:c>
      <x:c r="B292" s="10" t="str">
        <x:v>B</x:v>
      </x:c>
      <x:c r="C292" s="18" t="n">
        <x:v>1.9974999</x:v>
      </x:c>
      <x:c r="D292" s="10" t="n">
        <x:v>560</x:v>
      </x:c>
      <x:c r="E292" s="10" t="n">
        <x:v>0.112967986</x:v>
      </x:c>
      <x:c r="F292" s="10" t="n">
        <x:v>0.004096</x:v>
      </x:c>
      <x:c r="G292" s="10" t="n">
        <x:f>SUM(D292:F292)</x:f>
        <x:v>560.117063986</x:v>
      </x:c>
    </x:row>
    <x:row r="293" ht="24" customHeight="1">
      <x:c r="A293" s="10" t="str">
        <x:v>S01-07</x:v>
      </x:c>
      <x:c r="B293" s="10" t="str">
        <x:v>B</x:v>
      </x:c>
      <x:c r="C293" s="18" t="n">
        <x:v>1.9975</x:v>
      </x:c>
      <x:c r="D293" s="10" t="n">
        <x:v>560</x:v>
      </x:c>
      <x:c r="E293" s="10" t="n">
        <x:v>0.112968</x:v>
      </x:c>
      <x:c r="F293" s="10" t="n">
        <x:v>0.004096</x:v>
      </x:c>
      <x:c r="G293" s="10" t="n">
        <x:f>SUM(D293:F293)</x:f>
        <x:v>560.117064</x:v>
      </x:c>
    </x:row>
    <x:row r="294" ht="24" customHeight="1">
      <x:c r="A294" s="10" t="str">
        <x:v>S01-07</x:v>
      </x:c>
      <x:c r="B294" s="10" t="str">
        <x:v>B</x:v>
      </x:c>
      <x:c r="C294" s="18" t="n">
        <x:v>1.9975001</x:v>
      </x:c>
      <x:c r="D294" s="10" t="n">
        <x:v>560</x:v>
      </x:c>
      <x:c r="E294" s="10" t="n">
        <x:v>0.112967995</x:v>
      </x:c>
      <x:c r="F294" s="10" t="n">
        <x:v>0.004096</x:v>
      </x:c>
      <x:c r="G294" s="10" t="n">
        <x:f>SUM(D294:F294)</x:f>
        <x:v>560.117063995</x:v>
      </x:c>
    </x:row>
    <x:row r="295" ht="24" customHeight="1">
      <x:c r="A295" s="10" t="str">
        <x:v>S01-07</x:v>
      </x:c>
      <x:c r="B295" s="10" t="str">
        <x:v>B</x:v>
      </x:c>
      <x:c r="C295" s="18" t="n">
        <x:v>4.350999899</x:v>
      </x:c>
      <x:c r="D295" s="10" t="n">
        <x:v>560</x:v>
      </x:c>
      <x:c r="E295" s="10" t="n">
        <x:v>5e-9</x:v>
      </x:c>
      <x:c r="F295" s="10" t="n">
        <x:v>0.004096</x:v>
      </x:c>
      <x:c r="G295" s="10" t="n">
        <x:f>SUM(D295:F295)</x:f>
        <x:v>560.004096005</x:v>
      </x:c>
    </x:row>
    <x:row r="296" ht="24" customHeight="1">
      <x:c r="A296" s="10" t="str">
        <x:v>S01-07</x:v>
      </x:c>
      <x:c r="B296" s="10" t="str">
        <x:v>B</x:v>
      </x:c>
      <x:c r="C296" s="18" t="n">
        <x:v>4.350999999</x:v>
      </x:c>
      <x:c r="D296" s="10" t="n">
        <x:v>560</x:v>
      </x:c>
      <x:c r="E296" s="10" t="n">
        <x:v>0</x:v>
      </x:c>
      <x:c r="F296" s="10" t="n">
        <x:v>0.004096</x:v>
      </x:c>
      <x:c r="G296" s="10" t="n">
        <x:f>SUM(D296:F296)</x:f>
        <x:v>560.004096</x:v>
      </x:c>
    </x:row>
    <x:row r="297" ht="24" customHeight="1">
      <x:c r="A297" s="10" t="str">
        <x:v>S01-07</x:v>
      </x:c>
      <x:c r="B297" s="10" t="str">
        <x:v>B</x:v>
      </x:c>
      <x:c r="C297" s="18" t="n">
        <x:v>4.351000099</x:v>
      </x:c>
      <x:c r="D297" s="10" t="n">
        <x:v>560</x:v>
      </x:c>
      <x:c r="E297" s="10" t="n">
        <x:v>0</x:v>
      </x:c>
      <x:c r="F297" s="10" t="n">
        <x:v>0</x:v>
      </x:c>
      <x:c r="G297" s="10" t="n">
        <x:f>SUM(D297:F297)</x:f>
        <x:v>560</x:v>
      </x:c>
    </x:row>
    <x:row r="298" ht="24" customHeight="1">
      <x:c r="A298" s="10" t="str">
        <x:v>S01-08</x:v>
      </x:c>
      <x:c r="B298" s="10" t="str">
        <x:v>A</x:v>
      </x:c>
      <x:c r="C298" s="18" t="n">
        <x:v>-6.0000001</x:v>
      </x:c>
      <x:c r="D298" s="10" t="n">
        <x:v>560</x:v>
      </x:c>
      <x:c r="E298" s="10" t="n">
        <x:v>0</x:v>
      </x:c>
      <x:c r="F298" s="10" t="n">
        <x:v>0</x:v>
      </x:c>
      <x:c r="G298" s="10" t="n">
        <x:f>SUM(D298:F298)</x:f>
        <x:v>560</x:v>
      </x:c>
    </x:row>
    <x:row r="299" ht="24" customHeight="1">
      <x:c r="A299" s="10" t="str">
        <x:v>S01-08</x:v>
      </x:c>
      <x:c r="B299" s="10" t="str">
        <x:v>A</x:v>
      </x:c>
      <x:c r="C299" s="18" t="n">
        <x:v>-6</x:v>
      </x:c>
      <x:c r="D299" s="10" t="n">
        <x:v>560</x:v>
      </x:c>
      <x:c r="E299" s="10" t="n">
        <x:v>0</x:v>
      </x:c>
      <x:c r="F299" s="10" t="n">
        <x:v>0</x:v>
      </x:c>
      <x:c r="G299" s="10" t="n">
        <x:f>SUM(D299:F299)</x:f>
        <x:v>560</x:v>
      </x:c>
    </x:row>
    <x:row r="300" ht="24" customHeight="1">
      <x:c r="A300" s="10" t="str">
        <x:v>S01-08</x:v>
      </x:c>
      <x:c r="B300" s="10" t="str">
        <x:v>A</x:v>
      </x:c>
      <x:c r="C300" s="18" t="n">
        <x:v>-5.9999999</x:v>
      </x:c>
      <x:c r="D300" s="10" t="n">
        <x:v>560</x:v>
      </x:c>
      <x:c r="E300" s="10" t="n">
        <x:v>0</x:v>
      </x:c>
      <x:c r="F300" s="10" t="n">
        <x:v>0</x:v>
      </x:c>
      <x:c r="G300" s="10" t="n">
        <x:f>SUM(D300:F300)</x:f>
        <x:v>560</x:v>
      </x:c>
    </x:row>
    <x:row r="301" ht="24" customHeight="1">
      <x:c r="A301" s="10" t="str">
        <x:v>S01-08</x:v>
      </x:c>
      <x:c r="B301" s="10" t="str">
        <x:v>A</x:v>
      </x:c>
      <x:c r="C301" s="18" t="n">
        <x:v>-1e-7</x:v>
      </x:c>
      <x:c r="D301" s="10" t="n">
        <x:v>560</x:v>
      </x:c>
      <x:c r="E301" s="10" t="n">
        <x:v>0</x:v>
      </x:c>
      <x:c r="F301" s="10" t="n">
        <x:v>0</x:v>
      </x:c>
      <x:c r="G301" s="10" t="n">
        <x:f>SUM(D301:F301)</x:f>
        <x:v>560</x:v>
      </x:c>
    </x:row>
    <x:row r="302" ht="24" customHeight="1">
      <x:c r="A302" s="10" t="str">
        <x:v>S01-08</x:v>
      </x:c>
      <x:c r="B302" s="10" t="str">
        <x:v>A</x:v>
      </x:c>
      <x:c r="C302" s="18" t="n">
        <x:v>0</x:v>
      </x:c>
      <x:c r="D302" s="10" t="n">
        <x:v>560</x:v>
      </x:c>
      <x:c r="E302" s="10" t="n">
        <x:v>0</x:v>
      </x:c>
      <x:c r="F302" s="10" t="n">
        <x:v>0</x:v>
      </x:c>
      <x:c r="G302" s="10" t="n">
        <x:f>SUM(D302:F302)</x:f>
        <x:v>560</x:v>
      </x:c>
    </x:row>
    <x:row r="303" ht="24" customHeight="1">
      <x:c r="A303" s="10" t="str">
        <x:v>S01-08</x:v>
      </x:c>
      <x:c r="B303" s="10" t="str">
        <x:v>A</x:v>
      </x:c>
      <x:c r="C303" s="18" t="n">
        <x:v>1e-7</x:v>
      </x:c>
      <x:c r="D303" s="10" t="n">
        <x:v>560</x:v>
      </x:c>
      <x:c r="E303" s="10" t="n">
        <x:v>0</x:v>
      </x:c>
      <x:c r="F303" s="10" t="n">
        <x:v>0</x:v>
      </x:c>
      <x:c r="G303" s="10" t="n">
        <x:f>SUM(D303:F303)</x:f>
        <x:v>560</x:v>
      </x:c>
    </x:row>
    <x:row r="304" ht="24" customHeight="1">
      <x:c r="A304" s="10" t="str">
        <x:v>S01-08</x:v>
      </x:c>
      <x:c r="B304" s="10" t="str">
        <x:v>A</x:v>
      </x:c>
      <x:c r="C304" s="18" t="n">
        <x:v>0.916666567</x:v>
      </x:c>
      <x:c r="D304" s="10" t="n">
        <x:v>560</x:v>
      </x:c>
      <x:c r="E304" s="10" t="n">
        <x:v>0</x:v>
      </x:c>
      <x:c r="F304" s="10" t="n">
        <x:v>0</x:v>
      </x:c>
      <x:c r="G304" s="10" t="n">
        <x:f>SUM(D304:F304)</x:f>
        <x:v>560</x:v>
      </x:c>
    </x:row>
    <x:row r="305" ht="24" customHeight="1">
      <x:c r="A305" s="10" t="str">
        <x:v>S01-08</x:v>
      </x:c>
      <x:c r="B305" s="10" t="str">
        <x:v>A</x:v>
      </x:c>
      <x:c r="C305" s="18" t="n">
        <x:v>0.916666667</x:v>
      </x:c>
      <x:c r="D305" s="10" t="n">
        <x:v>560</x:v>
      </x:c>
      <x:c r="E305" s="10" t="n">
        <x:v>0</x:v>
      </x:c>
      <x:c r="F305" s="10" t="n">
        <x:v>0.004096</x:v>
      </x:c>
      <x:c r="G305" s="10" t="n">
        <x:f>SUM(D305:F305)</x:f>
        <x:v>560.004096</x:v>
      </x:c>
    </x:row>
    <x:row r="306" ht="24" customHeight="1">
      <x:c r="A306" s="10" t="str">
        <x:v>S01-08</x:v>
      </x:c>
      <x:c r="B306" s="10" t="str">
        <x:v>A</x:v>
      </x:c>
      <x:c r="C306" s="18" t="n">
        <x:v>0.916666767</x:v>
      </x:c>
      <x:c r="D306" s="10" t="n">
        <x:v>560</x:v>
      </x:c>
      <x:c r="E306" s="10" t="n">
        <x:v>0</x:v>
      </x:c>
      <x:c r="F306" s="10" t="n">
        <x:v>0.004096</x:v>
      </x:c>
      <x:c r="G306" s="10" t="n">
        <x:f>SUM(D306:F306)</x:f>
        <x:v>560.004096</x:v>
      </x:c>
    </x:row>
    <x:row r="307" ht="24" customHeight="1">
      <x:c r="A307" s="10" t="str">
        <x:v>S01-08</x:v>
      </x:c>
      <x:c r="B307" s="10" t="str">
        <x:v>A</x:v>
      </x:c>
      <x:c r="C307" s="18" t="n">
        <x:v>1.321333234</x:v>
      </x:c>
      <x:c r="D307" s="10" t="n">
        <x:v>560</x:v>
      </x:c>
      <x:c r="E307" s="10" t="n">
        <x:v>0</x:v>
      </x:c>
      <x:c r="F307" s="10" t="n">
        <x:v>0.004096</x:v>
      </x:c>
      <x:c r="G307" s="10" t="n">
        <x:f>SUM(D307:F307)</x:f>
        <x:v>560.004096</x:v>
      </x:c>
    </x:row>
    <x:row r="308" ht="24" customHeight="1">
      <x:c r="A308" s="10" t="str">
        <x:v>S01-08</x:v>
      </x:c>
      <x:c r="B308" s="10" t="str">
        <x:v>A</x:v>
      </x:c>
      <x:c r="C308" s="18" t="n">
        <x:v>1.321333334</x:v>
      </x:c>
      <x:c r="D308" s="10" t="n">
        <x:v>560</x:v>
      </x:c>
      <x:c r="E308" s="10" t="n">
        <x:v>0.0096</x:v>
      </x:c>
      <x:c r="F308" s="10" t="n">
        <x:v>0.004096</x:v>
      </x:c>
      <x:c r="G308" s="10" t="n">
        <x:f>SUM(D308:F308)</x:f>
        <x:v>560.013696</x:v>
      </x:c>
    </x:row>
    <x:row r="309" ht="24" customHeight="1">
      <x:c r="A309" s="10" t="str">
        <x:v>S01-08</x:v>
      </x:c>
      <x:c r="B309" s="10" t="str">
        <x:v>A</x:v>
      </x:c>
      <x:c r="C309" s="18" t="n">
        <x:v>1.321333434</x:v>
      </x:c>
      <x:c r="D309" s="10" t="n">
        <x:v>560</x:v>
      </x:c>
      <x:c r="E309" s="10" t="n">
        <x:v>0.009600019</x:v>
      </x:c>
      <x:c r="F309" s="10" t="n">
        <x:v>0.004096</x:v>
      </x:c>
      <x:c r="G309" s="10" t="n">
        <x:f>SUM(D309:F309)</x:f>
        <x:v>560.013696019</x:v>
      </x:c>
    </x:row>
    <x:row r="310" ht="24" customHeight="1">
      <x:c r="A310" s="10" t="str">
        <x:v>S01-08</x:v>
      </x:c>
      <x:c r="B310" s="10" t="str">
        <x:v>A</x:v>
      </x:c>
      <x:c r="C310" s="18" t="n">
        <x:v>1.361333234</x:v>
      </x:c>
      <x:c r="D310" s="10" t="n">
        <x:v>560</x:v>
      </x:c>
      <x:c r="E310" s="10" t="n">
        <x:v>0.017279981</x:v>
      </x:c>
      <x:c r="F310" s="10" t="n">
        <x:v>0.004096</x:v>
      </x:c>
      <x:c r="G310" s="10" t="n">
        <x:f>SUM(D310:F310)</x:f>
        <x:v>560.021375981</x:v>
      </x:c>
    </x:row>
    <x:row r="311" ht="24" customHeight="1">
      <x:c r="A311" s="10" t="str">
        <x:v>S01-08</x:v>
      </x:c>
      <x:c r="B311" s="10" t="str">
        <x:v>A</x:v>
      </x:c>
      <x:c r="C311" s="18" t="n">
        <x:v>1.361333334</x:v>
      </x:c>
      <x:c r="D311" s="10" t="n">
        <x:v>560</x:v>
      </x:c>
      <x:c r="E311" s="10" t="n">
        <x:v>0.01728</x:v>
      </x:c>
      <x:c r="F311" s="10" t="n">
        <x:v>0.004096</x:v>
      </x:c>
      <x:c r="G311" s="10" t="n">
        <x:f>SUM(D311:F311)</x:f>
        <x:v>560.021376</x:v>
      </x:c>
    </x:row>
    <x:row r="312" ht="24" customHeight="1">
      <x:c r="A312" s="10" t="str">
        <x:v>S01-08</x:v>
      </x:c>
      <x:c r="B312" s="10" t="str">
        <x:v>A</x:v>
      </x:c>
      <x:c r="C312" s="18" t="n">
        <x:v>1.361333434</x:v>
      </x:c>
      <x:c r="D312" s="10" t="n">
        <x:v>560</x:v>
      </x:c>
      <x:c r="E312" s="10" t="n">
        <x:v>0.017280014</x:v>
      </x:c>
      <x:c r="F312" s="10" t="n">
        <x:v>0.004096</x:v>
      </x:c>
      <x:c r="G312" s="10" t="n">
        <x:f>SUM(D312:F312)</x:f>
        <x:v>560.021376014</x:v>
      </x:c>
    </x:row>
    <x:row r="313" ht="24" customHeight="1">
      <x:c r="A313" s="10" t="str">
        <x:v>S01-08</x:v>
      </x:c>
      <x:c r="B313" s="10" t="str">
        <x:v>A</x:v>
      </x:c>
      <x:c r="C313" s="18" t="n">
        <x:v>2.028833234</x:v>
      </x:c>
      <x:c r="D313" s="10" t="n">
        <x:v>560</x:v>
      </x:c>
      <x:c r="E313" s="10" t="n">
        <x:v>0.113399986</x:v>
      </x:c>
      <x:c r="F313" s="10" t="n">
        <x:v>0.004096</x:v>
      </x:c>
      <x:c r="G313" s="10" t="n">
        <x:f>SUM(D313:F313)</x:f>
        <x:v>560.117495986</x:v>
      </x:c>
    </x:row>
    <x:row r="314" ht="24" customHeight="1">
      <x:c r="A314" s="10" t="str">
        <x:v>S01-08</x:v>
      </x:c>
      <x:c r="B314" s="10" t="str">
        <x:v>A</x:v>
      </x:c>
      <x:c r="C314" s="18" t="n">
        <x:v>2.028833334</x:v>
      </x:c>
      <x:c r="D314" s="10" t="n">
        <x:v>560</x:v>
      </x:c>
      <x:c r="E314" s="10" t="n">
        <x:v>0.1134</x:v>
      </x:c>
      <x:c r="F314" s="10" t="n">
        <x:v>0.004096</x:v>
      </x:c>
      <x:c r="G314" s="10" t="n">
        <x:f>SUM(D314:F314)</x:f>
        <x:v>560.117496</x:v>
      </x:c>
    </x:row>
    <x:row r="315" ht="24" customHeight="1">
      <x:c r="A315" s="10" t="str">
        <x:v>S01-08</x:v>
      </x:c>
      <x:c r="B315" s="10" t="str">
        <x:v>A</x:v>
      </x:c>
      <x:c r="C315" s="18" t="n">
        <x:v>2.028833434</x:v>
      </x:c>
      <x:c r="D315" s="10" t="n">
        <x:v>560</x:v>
      </x:c>
      <x:c r="E315" s="10" t="n">
        <x:v>0.113399995</x:v>
      </x:c>
      <x:c r="F315" s="10" t="n">
        <x:v>0.004096</x:v>
      </x:c>
      <x:c r="G315" s="10" t="n">
        <x:f>SUM(D315:F315)</x:f>
        <x:v>560.117495995</x:v>
      </x:c>
    </x:row>
    <x:row r="316" ht="24" customHeight="1">
      <x:c r="A316" s="10" t="str">
        <x:v>S01-08</x:v>
      </x:c>
      <x:c r="B316" s="10" t="str">
        <x:v>A</x:v>
      </x:c>
      <x:c r="C316" s="18" t="n">
        <x:v>4.391333233</x:v>
      </x:c>
      <x:c r="D316" s="10" t="n">
        <x:v>560</x:v>
      </x:c>
      <x:c r="E316" s="10" t="n">
        <x:v>5e-9</x:v>
      </x:c>
      <x:c r="F316" s="10" t="n">
        <x:v>0.004096</x:v>
      </x:c>
      <x:c r="G316" s="10" t="n">
        <x:f>SUM(D316:F316)</x:f>
        <x:v>560.004096005</x:v>
      </x:c>
    </x:row>
    <x:row r="317" ht="24" customHeight="1">
      <x:c r="A317" s="10" t="str">
        <x:v>S01-08</x:v>
      </x:c>
      <x:c r="B317" s="10" t="str">
        <x:v>A</x:v>
      </x:c>
      <x:c r="C317" s="18" t="n">
        <x:v>4.391333333</x:v>
      </x:c>
      <x:c r="D317" s="10" t="n">
        <x:v>560</x:v>
      </x:c>
      <x:c r="E317" s="10" t="n">
        <x:v>0</x:v>
      </x:c>
      <x:c r="F317" s="10" t="n">
        <x:v>0.004096</x:v>
      </x:c>
      <x:c r="G317" s="10" t="n">
        <x:f>SUM(D317:F317)</x:f>
        <x:v>560.004096</x:v>
      </x:c>
    </x:row>
    <x:row r="318" ht="24" customHeight="1">
      <x:c r="A318" s="10" t="str">
        <x:v>S01-08</x:v>
      </x:c>
      <x:c r="B318" s="10" t="str">
        <x:v>A</x:v>
      </x:c>
      <x:c r="C318" s="18" t="n">
        <x:v>4.391333433</x:v>
      </x:c>
      <x:c r="D318" s="10" t="n">
        <x:v>560</x:v>
      </x:c>
      <x:c r="E318" s="10" t="n">
        <x:v>0</x:v>
      </x:c>
      <x:c r="F318" s="10" t="n">
        <x:v>0</x:v>
      </x:c>
      <x:c r="G318" s="10" t="n">
        <x:f>SUM(D318:F318)</x:f>
        <x:v>560</x:v>
      </x:c>
    </x:row>
    <x:row r="319" ht="24" customHeight="1">
      <x:c r="A319" s="10" t="str">
        <x:v>S01-08</x:v>
      </x:c>
      <x:c r="B319" s="10" t="str">
        <x:v>B</x:v>
      </x:c>
      <x:c r="C319" s="18" t="n">
        <x:v>-6.0000001</x:v>
      </x:c>
      <x:c r="D319" s="10" t="n">
        <x:v>560</x:v>
      </x:c>
      <x:c r="E319" s="10" t="n">
        <x:v>0</x:v>
      </x:c>
      <x:c r="F319" s="10" t="n">
        <x:v>0</x:v>
      </x:c>
      <x:c r="G319" s="10" t="n">
        <x:f>SUM(D319:F319)</x:f>
        <x:v>560</x:v>
      </x:c>
    </x:row>
    <x:row r="320" ht="24" customHeight="1">
      <x:c r="A320" s="10" t="str">
        <x:v>S01-08</x:v>
      </x:c>
      <x:c r="B320" s="10" t="str">
        <x:v>B</x:v>
      </x:c>
      <x:c r="C320" s="18" t="n">
        <x:v>-6</x:v>
      </x:c>
      <x:c r="D320" s="10" t="n">
        <x:v>560</x:v>
      </x:c>
      <x:c r="E320" s="10" t="n">
        <x:v>0</x:v>
      </x:c>
      <x:c r="F320" s="10" t="n">
        <x:v>0</x:v>
      </x:c>
      <x:c r="G320" s="10" t="n">
        <x:f>SUM(D320:F320)</x:f>
        <x:v>560</x:v>
      </x:c>
    </x:row>
    <x:row r="321" ht="24" customHeight="1">
      <x:c r="A321" s="10" t="str">
        <x:v>S01-08</x:v>
      </x:c>
      <x:c r="B321" s="10" t="str">
        <x:v>B</x:v>
      </x:c>
      <x:c r="C321" s="18" t="n">
        <x:v>-5.9999999</x:v>
      </x:c>
      <x:c r="D321" s="10" t="n">
        <x:v>560</x:v>
      </x:c>
      <x:c r="E321" s="10" t="n">
        <x:v>0</x:v>
      </x:c>
      <x:c r="F321" s="10" t="n">
        <x:v>0</x:v>
      </x:c>
      <x:c r="G321" s="10" t="n">
        <x:f>SUM(D321:F321)</x:f>
        <x:v>560</x:v>
      </x:c>
    </x:row>
    <x:row r="322" ht="24" customHeight="1">
      <x:c r="A322" s="10" t="str">
        <x:v>S01-08</x:v>
      </x:c>
      <x:c r="B322" s="10" t="str">
        <x:v>B</x:v>
      </x:c>
      <x:c r="C322" s="18" t="n">
        <x:v>-1e-7</x:v>
      </x:c>
      <x:c r="D322" s="10" t="n">
        <x:v>560</x:v>
      </x:c>
      <x:c r="E322" s="10" t="n">
        <x:v>0</x:v>
      </x:c>
      <x:c r="F322" s="10" t="n">
        <x:v>0</x:v>
      </x:c>
      <x:c r="G322" s="10" t="n">
        <x:f>SUM(D322:F322)</x:f>
        <x:v>560</x:v>
      </x:c>
    </x:row>
    <x:row r="323" ht="24" customHeight="1">
      <x:c r="A323" s="10" t="str">
        <x:v>S01-08</x:v>
      </x:c>
      <x:c r="B323" s="10" t="str">
        <x:v>B</x:v>
      </x:c>
      <x:c r="C323" s="18" t="n">
        <x:v>0</x:v>
      </x:c>
      <x:c r="D323" s="10" t="n">
        <x:v>560</x:v>
      </x:c>
      <x:c r="E323" s="10" t="n">
        <x:v>0</x:v>
      </x:c>
      <x:c r="F323" s="10" t="n">
        <x:v>0</x:v>
      </x:c>
      <x:c r="G323" s="10" t="n">
        <x:f>SUM(D323:F323)</x:f>
        <x:v>560</x:v>
      </x:c>
    </x:row>
    <x:row r="324" ht="24" customHeight="1">
      <x:c r="A324" s="10" t="str">
        <x:v>S01-08</x:v>
      </x:c>
      <x:c r="B324" s="10" t="str">
        <x:v>B</x:v>
      </x:c>
      <x:c r="C324" s="18" t="n">
        <x:v>1e-7</x:v>
      </x:c>
      <x:c r="D324" s="10" t="n">
        <x:v>560</x:v>
      </x:c>
      <x:c r="E324" s="10" t="n">
        <x:v>0</x:v>
      </x:c>
      <x:c r="F324" s="10" t="n">
        <x:v>0</x:v>
      </x:c>
      <x:c r="G324" s="10" t="n">
        <x:f>SUM(D324:F324)</x:f>
        <x:v>560</x:v>
      </x:c>
    </x:row>
    <x:row r="325" ht="24" customHeight="1">
      <x:c r="A325" s="10" t="str">
        <x:v>S01-08</x:v>
      </x:c>
      <x:c r="B325" s="10" t="str">
        <x:v>B</x:v>
      </x:c>
      <x:c r="C325" s="18" t="n">
        <x:v>0.916666567</x:v>
      </x:c>
      <x:c r="D325" s="10" t="n">
        <x:v>560</x:v>
      </x:c>
      <x:c r="E325" s="10" t="n">
        <x:v>0</x:v>
      </x:c>
      <x:c r="F325" s="10" t="n">
        <x:v>0</x:v>
      </x:c>
      <x:c r="G325" s="10" t="n">
        <x:f>SUM(D325:F325)</x:f>
        <x:v>560</x:v>
      </x:c>
    </x:row>
    <x:row r="326" ht="24" customHeight="1">
      <x:c r="A326" s="10" t="str">
        <x:v>S01-08</x:v>
      </x:c>
      <x:c r="B326" s="10" t="str">
        <x:v>B</x:v>
      </x:c>
      <x:c r="C326" s="18" t="n">
        <x:v>0.916666667</x:v>
      </x:c>
      <x:c r="D326" s="10" t="n">
        <x:v>560</x:v>
      </x:c>
      <x:c r="E326" s="10" t="n">
        <x:v>0</x:v>
      </x:c>
      <x:c r="F326" s="10" t="n">
        <x:v>0.004096</x:v>
      </x:c>
      <x:c r="G326" s="10" t="n">
        <x:f>SUM(D326:F326)</x:f>
        <x:v>560.004096</x:v>
      </x:c>
    </x:row>
    <x:row r="327" ht="24" customHeight="1">
      <x:c r="A327" s="10" t="str">
        <x:v>S01-08</x:v>
      </x:c>
      <x:c r="B327" s="10" t="str">
        <x:v>B</x:v>
      </x:c>
      <x:c r="C327" s="18" t="n">
        <x:v>0.916666767</x:v>
      </x:c>
      <x:c r="D327" s="10" t="n">
        <x:v>560</x:v>
      </x:c>
      <x:c r="E327" s="10" t="n">
        <x:v>0</x:v>
      </x:c>
      <x:c r="F327" s="10" t="n">
        <x:v>0.004096</x:v>
      </x:c>
      <x:c r="G327" s="10" t="n">
        <x:f>SUM(D327:F327)</x:f>
        <x:v>560.004096</x:v>
      </x:c>
    </x:row>
    <x:row r="328" ht="24" customHeight="1">
      <x:c r="A328" s="10" t="str">
        <x:v>S01-08</x:v>
      </x:c>
      <x:c r="B328" s="10" t="str">
        <x:v>B</x:v>
      </x:c>
      <x:c r="C328" s="18" t="n">
        <x:v>1.321333234</x:v>
      </x:c>
      <x:c r="D328" s="10" t="n">
        <x:v>560</x:v>
      </x:c>
      <x:c r="E328" s="10" t="n">
        <x:v>0</x:v>
      </x:c>
      <x:c r="F328" s="10" t="n">
        <x:v>0.004096</x:v>
      </x:c>
      <x:c r="G328" s="10" t="n">
        <x:f>SUM(D328:F328)</x:f>
        <x:v>560.004096</x:v>
      </x:c>
    </x:row>
    <x:row r="329" ht="24" customHeight="1">
      <x:c r="A329" s="10" t="str">
        <x:v>S01-08</x:v>
      </x:c>
      <x:c r="B329" s="10" t="str">
        <x:v>B</x:v>
      </x:c>
      <x:c r="C329" s="18" t="n">
        <x:v>1.321333334</x:v>
      </x:c>
      <x:c r="D329" s="10" t="n">
        <x:v>560</x:v>
      </x:c>
      <x:c r="E329" s="10" t="n">
        <x:v>0.0096</x:v>
      </x:c>
      <x:c r="F329" s="10" t="n">
        <x:v>0.004096</x:v>
      </x:c>
      <x:c r="G329" s="10" t="n">
        <x:f>SUM(D329:F329)</x:f>
        <x:v>560.013696</x:v>
      </x:c>
    </x:row>
    <x:row r="330" ht="24" customHeight="1">
      <x:c r="A330" s="10" t="str">
        <x:v>S01-08</x:v>
      </x:c>
      <x:c r="B330" s="10" t="str">
        <x:v>B</x:v>
      </x:c>
      <x:c r="C330" s="18" t="n">
        <x:v>1.321333434</x:v>
      </x:c>
      <x:c r="D330" s="10" t="n">
        <x:v>560</x:v>
      </x:c>
      <x:c r="E330" s="10" t="n">
        <x:v>0.009600019</x:v>
      </x:c>
      <x:c r="F330" s="10" t="n">
        <x:v>0.004096</x:v>
      </x:c>
      <x:c r="G330" s="10" t="n">
        <x:f>SUM(D330:F330)</x:f>
        <x:v>560.013696019</x:v>
      </x:c>
    </x:row>
    <x:row r="331" ht="24" customHeight="1">
      <x:c r="A331" s="10" t="str">
        <x:v>S01-08</x:v>
      </x:c>
      <x:c r="B331" s="10" t="str">
        <x:v>B</x:v>
      </x:c>
      <x:c r="C331" s="18" t="n">
        <x:v>1.361333234</x:v>
      </x:c>
      <x:c r="D331" s="10" t="n">
        <x:v>560</x:v>
      </x:c>
      <x:c r="E331" s="10" t="n">
        <x:v>0.017279981</x:v>
      </x:c>
      <x:c r="F331" s="10" t="n">
        <x:v>0.004096</x:v>
      </x:c>
      <x:c r="G331" s="10" t="n">
        <x:f>SUM(D331:F331)</x:f>
        <x:v>560.021375981</x:v>
      </x:c>
    </x:row>
    <x:row r="332" ht="24" customHeight="1">
      <x:c r="A332" s="10" t="str">
        <x:v>S01-08</x:v>
      </x:c>
      <x:c r="B332" s="10" t="str">
        <x:v>B</x:v>
      </x:c>
      <x:c r="C332" s="18" t="n">
        <x:v>1.361333334</x:v>
      </x:c>
      <x:c r="D332" s="10" t="n">
        <x:v>560</x:v>
      </x:c>
      <x:c r="E332" s="10" t="n">
        <x:v>0.01728</x:v>
      </x:c>
      <x:c r="F332" s="10" t="n">
        <x:v>0.004096</x:v>
      </x:c>
      <x:c r="G332" s="10" t="n">
        <x:f>SUM(D332:F332)</x:f>
        <x:v>560.021376</x:v>
      </x:c>
    </x:row>
    <x:row r="333" ht="24" customHeight="1">
      <x:c r="A333" s="10" t="str">
        <x:v>S01-08</x:v>
      </x:c>
      <x:c r="B333" s="10" t="str">
        <x:v>B</x:v>
      </x:c>
      <x:c r="C333" s="18" t="n">
        <x:v>1.361333434</x:v>
      </x:c>
      <x:c r="D333" s="10" t="n">
        <x:v>560</x:v>
      </x:c>
      <x:c r="E333" s="10" t="n">
        <x:v>0.017280014</x:v>
      </x:c>
      <x:c r="F333" s="10" t="n">
        <x:v>0.004096</x:v>
      </x:c>
      <x:c r="G333" s="10" t="n">
        <x:f>SUM(D333:F333)</x:f>
        <x:v>560.021376014</x:v>
      </x:c>
    </x:row>
    <x:row r="334" ht="24" customHeight="1">
      <x:c r="A334" s="10" t="str">
        <x:v>S01-08</x:v>
      </x:c>
      <x:c r="B334" s="10" t="str">
        <x:v>B</x:v>
      </x:c>
      <x:c r="C334" s="18" t="n">
        <x:v>2.028833234</x:v>
      </x:c>
      <x:c r="D334" s="10" t="n">
        <x:v>560</x:v>
      </x:c>
      <x:c r="E334" s="10" t="n">
        <x:v>0.113399986</x:v>
      </x:c>
      <x:c r="F334" s="10" t="n">
        <x:v>0.004096</x:v>
      </x:c>
      <x:c r="G334" s="10" t="n">
        <x:f>SUM(D334:F334)</x:f>
        <x:v>560.117495986</x:v>
      </x:c>
    </x:row>
    <x:row r="335" ht="24" customHeight="1">
      <x:c r="A335" s="10" t="str">
        <x:v>S01-08</x:v>
      </x:c>
      <x:c r="B335" s="10" t="str">
        <x:v>B</x:v>
      </x:c>
      <x:c r="C335" s="18" t="n">
        <x:v>2.028833334</x:v>
      </x:c>
      <x:c r="D335" s="10" t="n">
        <x:v>560</x:v>
      </x:c>
      <x:c r="E335" s="10" t="n">
        <x:v>0.1134</x:v>
      </x:c>
      <x:c r="F335" s="10" t="n">
        <x:v>0.004096</x:v>
      </x:c>
      <x:c r="G335" s="10" t="n">
        <x:f>SUM(D335:F335)</x:f>
        <x:v>560.117496</x:v>
      </x:c>
    </x:row>
    <x:row r="336" ht="24" customHeight="1">
      <x:c r="A336" s="10" t="str">
        <x:v>S01-08</x:v>
      </x:c>
      <x:c r="B336" s="10" t="str">
        <x:v>B</x:v>
      </x:c>
      <x:c r="C336" s="18" t="n">
        <x:v>2.028833434</x:v>
      </x:c>
      <x:c r="D336" s="10" t="n">
        <x:v>560</x:v>
      </x:c>
      <x:c r="E336" s="10" t="n">
        <x:v>0.113399995</x:v>
      </x:c>
      <x:c r="F336" s="10" t="n">
        <x:v>0.004096</x:v>
      </x:c>
      <x:c r="G336" s="10" t="n">
        <x:f>SUM(D336:F336)</x:f>
        <x:v>560.117495995</x:v>
      </x:c>
    </x:row>
    <x:row r="337" ht="24" customHeight="1">
      <x:c r="A337" s="10" t="str">
        <x:v>S01-08</x:v>
      </x:c>
      <x:c r="B337" s="10" t="str">
        <x:v>B</x:v>
      </x:c>
      <x:c r="C337" s="18" t="n">
        <x:v>4.391333233</x:v>
      </x:c>
      <x:c r="D337" s="10" t="n">
        <x:v>560</x:v>
      </x:c>
      <x:c r="E337" s="10" t="n">
        <x:v>5e-9</x:v>
      </x:c>
      <x:c r="F337" s="10" t="n">
        <x:v>0.004096</x:v>
      </x:c>
      <x:c r="G337" s="10" t="n">
        <x:f>SUM(D337:F337)</x:f>
        <x:v>560.004096005</x:v>
      </x:c>
    </x:row>
    <x:row r="338" ht="24" customHeight="1">
      <x:c r="A338" s="10" t="str">
        <x:v>S01-08</x:v>
      </x:c>
      <x:c r="B338" s="10" t="str">
        <x:v>B</x:v>
      </x:c>
      <x:c r="C338" s="18" t="n">
        <x:v>4.391333333</x:v>
      </x:c>
      <x:c r="D338" s="10" t="n">
        <x:v>560</x:v>
      </x:c>
      <x:c r="E338" s="10" t="n">
        <x:v>0</x:v>
      </x:c>
      <x:c r="F338" s="10" t="n">
        <x:v>0.004096</x:v>
      </x:c>
      <x:c r="G338" s="10" t="n">
        <x:f>SUM(D338:F338)</x:f>
        <x:v>560.004096</x:v>
      </x:c>
    </x:row>
    <x:row r="339" ht="24" customHeight="1">
      <x:c r="A339" s="10" t="str">
        <x:v>S01-08</x:v>
      </x:c>
      <x:c r="B339" s="10" t="str">
        <x:v>B</x:v>
      </x:c>
      <x:c r="C339" s="18" t="n">
        <x:v>4.391333433</x:v>
      </x:c>
      <x:c r="D339" s="10" t="n">
        <x:v>560</x:v>
      </x:c>
      <x:c r="E339" s="10" t="n">
        <x:v>0</x:v>
      </x:c>
      <x:c r="F339" s="10" t="n">
        <x:v>0</x:v>
      </x:c>
      <x:c r="G339" s="10" t="n">
        <x:f>SUM(D339:F339)</x:f>
        <x:v>560</x:v>
      </x:c>
    </x:row>
    <x:row r="340" ht="24" customHeight="1">
      <x:c r="A340" s="10" t="str">
        <x:v>S01-09</x:v>
      </x:c>
      <x:c r="B340" s="10" t="str">
        <x:v>A</x:v>
      </x:c>
      <x:c r="C340" s="18" t="n">
        <x:v>-6.0000001</x:v>
      </x:c>
      <x:c r="D340" s="10" t="n">
        <x:v>560</x:v>
      </x:c>
      <x:c r="E340" s="10" t="n">
        <x:v>0</x:v>
      </x:c>
      <x:c r="F340" s="10" t="n">
        <x:v>0</x:v>
      </x:c>
      <x:c r="G340" s="10" t="n">
        <x:f>SUM(D340:F340)</x:f>
        <x:v>560</x:v>
      </x:c>
    </x:row>
    <x:row r="341" ht="24" customHeight="1">
      <x:c r="A341" s="10" t="str">
        <x:v>S01-09</x:v>
      </x:c>
      <x:c r="B341" s="10" t="str">
        <x:v>A</x:v>
      </x:c>
      <x:c r="C341" s="18" t="n">
        <x:v>-6</x:v>
      </x:c>
      <x:c r="D341" s="10" t="n">
        <x:v>560</x:v>
      </x:c>
      <x:c r="E341" s="10" t="n">
        <x:v>0</x:v>
      </x:c>
      <x:c r="F341" s="10" t="n">
        <x:v>0</x:v>
      </x:c>
      <x:c r="G341" s="10" t="n">
        <x:f>SUM(D341:F341)</x:f>
        <x:v>560</x:v>
      </x:c>
    </x:row>
    <x:row r="342" ht="24" customHeight="1">
      <x:c r="A342" s="10" t="str">
        <x:v>S01-09</x:v>
      </x:c>
      <x:c r="B342" s="10" t="str">
        <x:v>A</x:v>
      </x:c>
      <x:c r="C342" s="18" t="n">
        <x:v>-5.9999999</x:v>
      </x:c>
      <x:c r="D342" s="10" t="n">
        <x:v>560</x:v>
      </x:c>
      <x:c r="E342" s="10" t="n">
        <x:v>0</x:v>
      </x:c>
      <x:c r="F342" s="10" t="n">
        <x:v>0</x:v>
      </x:c>
      <x:c r="G342" s="10" t="n">
        <x:f>SUM(D342:F342)</x:f>
        <x:v>560</x:v>
      </x:c>
    </x:row>
    <x:row r="343" ht="24" customHeight="1">
      <x:c r="A343" s="10" t="str">
        <x:v>S01-09</x:v>
      </x:c>
      <x:c r="B343" s="10" t="str">
        <x:v>A</x:v>
      </x:c>
      <x:c r="C343" s="18" t="n">
        <x:v>-1e-7</x:v>
      </x:c>
      <x:c r="D343" s="10" t="n">
        <x:v>560</x:v>
      </x:c>
      <x:c r="E343" s="10" t="n">
        <x:v>0</x:v>
      </x:c>
      <x:c r="F343" s="10" t="n">
        <x:v>0</x:v>
      </x:c>
      <x:c r="G343" s="10" t="n">
        <x:f>SUM(D343:F343)</x:f>
        <x:v>560</x:v>
      </x:c>
    </x:row>
    <x:row r="344" ht="24" customHeight="1">
      <x:c r="A344" s="10" t="str">
        <x:v>S01-09</x:v>
      </x:c>
      <x:c r="B344" s="10" t="str">
        <x:v>A</x:v>
      </x:c>
      <x:c r="C344" s="18" t="n">
        <x:v>0</x:v>
      </x:c>
      <x:c r="D344" s="10" t="n">
        <x:v>560</x:v>
      </x:c>
      <x:c r="E344" s="10" t="n">
        <x:v>0</x:v>
      </x:c>
      <x:c r="F344" s="10" t="n">
        <x:v>0</x:v>
      </x:c>
      <x:c r="G344" s="10" t="n">
        <x:f>SUM(D344:F344)</x:f>
        <x:v>560</x:v>
      </x:c>
    </x:row>
    <x:row r="345" ht="24" customHeight="1">
      <x:c r="A345" s="10" t="str">
        <x:v>S01-09</x:v>
      </x:c>
      <x:c r="B345" s="10" t="str">
        <x:v>A</x:v>
      </x:c>
      <x:c r="C345" s="18" t="n">
        <x:v>1e-7</x:v>
      </x:c>
      <x:c r="D345" s="10" t="n">
        <x:v>560</x:v>
      </x:c>
      <x:c r="E345" s="10" t="n">
        <x:v>0</x:v>
      </x:c>
      <x:c r="F345" s="10" t="n">
        <x:v>0</x:v>
      </x:c>
      <x:c r="G345" s="10" t="n">
        <x:f>SUM(D345:F345)</x:f>
        <x:v>560</x:v>
      </x:c>
    </x:row>
    <x:row r="346" ht="24" customHeight="1">
      <x:c r="A346" s="10" t="str">
        <x:v>S01-09</x:v>
      </x:c>
      <x:c r="B346" s="10" t="str">
        <x:v>A</x:v>
      </x:c>
      <x:c r="C346" s="18" t="n">
        <x:v>0.8699999</x:v>
      </x:c>
      <x:c r="D346" s="10" t="n">
        <x:v>560</x:v>
      </x:c>
      <x:c r="E346" s="10" t="n">
        <x:v>0</x:v>
      </x:c>
      <x:c r="F346" s="10" t="n">
        <x:v>0</x:v>
      </x:c>
      <x:c r="G346" s="10" t="n">
        <x:f>SUM(D346:F346)</x:f>
        <x:v>560</x:v>
      </x:c>
    </x:row>
    <x:row r="347" ht="24" customHeight="1">
      <x:c r="A347" s="10" t="str">
        <x:v>S01-09</x:v>
      </x:c>
      <x:c r="B347" s="10" t="str">
        <x:v>A</x:v>
      </x:c>
      <x:c r="C347" s="18" t="n">
        <x:v>0.87</x:v>
      </x:c>
      <x:c r="D347" s="10" t="n">
        <x:v>560</x:v>
      </x:c>
      <x:c r="E347" s="10" t="n">
        <x:v>0</x:v>
      </x:c>
      <x:c r="F347" s="10" t="n">
        <x:v>0.004096</x:v>
      </x:c>
      <x:c r="G347" s="10" t="n">
        <x:f>SUM(D347:F347)</x:f>
        <x:v>560.004096</x:v>
      </x:c>
    </x:row>
    <x:row r="348" ht="24" customHeight="1">
      <x:c r="A348" s="10" t="str">
        <x:v>S01-09</x:v>
      </x:c>
      <x:c r="B348" s="10" t="str">
        <x:v>A</x:v>
      </x:c>
      <x:c r="C348" s="18" t="n">
        <x:v>0.8700001</x:v>
      </x:c>
      <x:c r="D348" s="10" t="n">
        <x:v>560</x:v>
      </x:c>
      <x:c r="E348" s="10" t="n">
        <x:v>0</x:v>
      </x:c>
      <x:c r="F348" s="10" t="n">
        <x:v>0.004096</x:v>
      </x:c>
      <x:c r="G348" s="10" t="n">
        <x:f>SUM(D348:F348)</x:f>
        <x:v>560.004096</x:v>
      </x:c>
    </x:row>
    <x:row r="349" ht="24" customHeight="1">
      <x:c r="A349" s="10" t="str">
        <x:v>S01-09</x:v>
      </x:c>
      <x:c r="B349" s="10" t="str">
        <x:v>A</x:v>
      </x:c>
      <x:c r="C349" s="18" t="n">
        <x:v>1.274666567</x:v>
      </x:c>
      <x:c r="D349" s="10" t="n">
        <x:v>560</x:v>
      </x:c>
      <x:c r="E349" s="10" t="n">
        <x:v>0</x:v>
      </x:c>
      <x:c r="F349" s="10" t="n">
        <x:v>0.004096</x:v>
      </x:c>
      <x:c r="G349" s="10" t="n">
        <x:f>SUM(D349:F349)</x:f>
        <x:v>560.004096</x:v>
      </x:c>
    </x:row>
    <x:row r="350" ht="24" customHeight="1">
      <x:c r="A350" s="10" t="str">
        <x:v>S01-09</x:v>
      </x:c>
      <x:c r="B350" s="10" t="str">
        <x:v>A</x:v>
      </x:c>
      <x:c r="C350" s="18" t="n">
        <x:v>1.274666667</x:v>
      </x:c>
      <x:c r="D350" s="10" t="n">
        <x:v>560</x:v>
      </x:c>
      <x:c r="E350" s="10" t="n">
        <x:v>0.0096</x:v>
      </x:c>
      <x:c r="F350" s="10" t="n">
        <x:v>0.004096</x:v>
      </x:c>
      <x:c r="G350" s="10" t="n">
        <x:f>SUM(D350:F350)</x:f>
        <x:v>560.013696</x:v>
      </x:c>
    </x:row>
    <x:row r="351" ht="24" customHeight="1">
      <x:c r="A351" s="10" t="str">
        <x:v>S01-09</x:v>
      </x:c>
      <x:c r="B351" s="10" t="str">
        <x:v>A</x:v>
      </x:c>
      <x:c r="C351" s="18" t="n">
        <x:v>1.274666767</x:v>
      </x:c>
      <x:c r="D351" s="10" t="n">
        <x:v>560</x:v>
      </x:c>
      <x:c r="E351" s="10" t="n">
        <x:v>0.009600019</x:v>
      </x:c>
      <x:c r="F351" s="10" t="n">
        <x:v>0.004096</x:v>
      </x:c>
      <x:c r="G351" s="10" t="n">
        <x:f>SUM(D351:F351)</x:f>
        <x:v>560.013696019</x:v>
      </x:c>
    </x:row>
    <x:row r="352" ht="24" customHeight="1">
      <x:c r="A352" s="10" t="str">
        <x:v>S01-09</x:v>
      </x:c>
      <x:c r="B352" s="10" t="str">
        <x:v>A</x:v>
      </x:c>
      <x:c r="C352" s="18" t="n">
        <x:v>1.314666567</x:v>
      </x:c>
      <x:c r="D352" s="10" t="n">
        <x:v>560</x:v>
      </x:c>
      <x:c r="E352" s="10" t="n">
        <x:v>0.017279981</x:v>
      </x:c>
      <x:c r="F352" s="10" t="n">
        <x:v>0.004096</x:v>
      </x:c>
      <x:c r="G352" s="10" t="n">
        <x:f>SUM(D352:F352)</x:f>
        <x:v>560.021375981</x:v>
      </x:c>
    </x:row>
    <x:row r="353" ht="24" customHeight="1">
      <x:c r="A353" s="10" t="str">
        <x:v>S01-09</x:v>
      </x:c>
      <x:c r="B353" s="10" t="str">
        <x:v>A</x:v>
      </x:c>
      <x:c r="C353" s="18" t="n">
        <x:v>1.314666667</x:v>
      </x:c>
      <x:c r="D353" s="10" t="n">
        <x:v>560</x:v>
      </x:c>
      <x:c r="E353" s="10" t="n">
        <x:v>0.01728</x:v>
      </x:c>
      <x:c r="F353" s="10" t="n">
        <x:v>0.004096</x:v>
      </x:c>
      <x:c r="G353" s="10" t="n">
        <x:f>SUM(D353:F353)</x:f>
        <x:v>560.021376</x:v>
      </x:c>
    </x:row>
    <x:row r="354" ht="24" customHeight="1">
      <x:c r="A354" s="10" t="str">
        <x:v>S01-09</x:v>
      </x:c>
      <x:c r="B354" s="10" t="str">
        <x:v>A</x:v>
      </x:c>
      <x:c r="C354" s="18" t="n">
        <x:v>1.314666767</x:v>
      </x:c>
      <x:c r="D354" s="10" t="n">
        <x:v>560</x:v>
      </x:c>
      <x:c r="E354" s="10" t="n">
        <x:v>0.017280014</x:v>
      </x:c>
      <x:c r="F354" s="10" t="n">
        <x:v>0.004096</x:v>
      </x:c>
      <x:c r="G354" s="10" t="n">
        <x:f>SUM(D354:F354)</x:f>
        <x:v>560.021376014</x:v>
      </x:c>
    </x:row>
    <x:row r="355" ht="24" customHeight="1">
      <x:c r="A355" s="10" t="str">
        <x:v>S01-09</x:v>
      </x:c>
      <x:c r="B355" s="10" t="str">
        <x:v>A</x:v>
      </x:c>
      <x:c r="C355" s="18" t="n">
        <x:v>1.985166567</x:v>
      </x:c>
      <x:c r="D355" s="10" t="n">
        <x:v>560</x:v>
      </x:c>
      <x:c r="E355" s="10" t="n">
        <x:v>0.113831986</x:v>
      </x:c>
      <x:c r="F355" s="10" t="n">
        <x:v>0.004096</x:v>
      </x:c>
      <x:c r="G355" s="10" t="n">
        <x:f>SUM(D355:F355)</x:f>
        <x:v>560.117927986</x:v>
      </x:c>
    </x:row>
    <x:row r="356" ht="24" customHeight="1">
      <x:c r="A356" s="10" t="str">
        <x:v>S01-09</x:v>
      </x:c>
      <x:c r="B356" s="10" t="str">
        <x:v>A</x:v>
      </x:c>
      <x:c r="C356" s="18" t="n">
        <x:v>1.985166667</x:v>
      </x:c>
      <x:c r="D356" s="10" t="n">
        <x:v>560</x:v>
      </x:c>
      <x:c r="E356" s="10" t="n">
        <x:v>0.113832</x:v>
      </x:c>
      <x:c r="F356" s="10" t="n">
        <x:v>0.004096</x:v>
      </x:c>
      <x:c r="G356" s="10" t="n">
        <x:f>SUM(D356:F356)</x:f>
        <x:v>560.117928</x:v>
      </x:c>
    </x:row>
    <x:row r="357" ht="24" customHeight="1">
      <x:c r="A357" s="10" t="str">
        <x:v>S01-09</x:v>
      </x:c>
      <x:c r="B357" s="10" t="str">
        <x:v>A</x:v>
      </x:c>
      <x:c r="C357" s="18" t="n">
        <x:v>1.985166767</x:v>
      </x:c>
      <x:c r="D357" s="10" t="n">
        <x:v>560</x:v>
      </x:c>
      <x:c r="E357" s="10" t="n">
        <x:v>0.113831995</x:v>
      </x:c>
      <x:c r="F357" s="10" t="n">
        <x:v>0.004096</x:v>
      </x:c>
      <x:c r="G357" s="10" t="n">
        <x:f>SUM(D357:F357)</x:f>
        <x:v>560.1179279950001</x:v>
      </x:c>
    </x:row>
    <x:row r="358" ht="24" customHeight="1">
      <x:c r="A358" s="10" t="str">
        <x:v>S01-09</x:v>
      </x:c>
      <x:c r="B358" s="10" t="str">
        <x:v>A</x:v>
      </x:c>
      <x:c r="C358" s="18" t="n">
        <x:v>4.356666566</x:v>
      </x:c>
      <x:c r="D358" s="10" t="n">
        <x:v>560</x:v>
      </x:c>
      <x:c r="E358" s="10" t="n">
        <x:v>5e-9</x:v>
      </x:c>
      <x:c r="F358" s="10" t="n">
        <x:v>0.004096</x:v>
      </x:c>
      <x:c r="G358" s="10" t="n">
        <x:f>SUM(D358:F358)</x:f>
        <x:v>560.004096005</x:v>
      </x:c>
    </x:row>
    <x:row r="359" ht="24" customHeight="1">
      <x:c r="A359" s="10" t="str">
        <x:v>S01-09</x:v>
      </x:c>
      <x:c r="B359" s="10" t="str">
        <x:v>A</x:v>
      </x:c>
      <x:c r="C359" s="18" t="n">
        <x:v>4.356666666</x:v>
      </x:c>
      <x:c r="D359" s="10" t="n">
        <x:v>560</x:v>
      </x:c>
      <x:c r="E359" s="10" t="n">
        <x:v>0</x:v>
      </x:c>
      <x:c r="F359" s="10" t="n">
        <x:v>0.004096</x:v>
      </x:c>
      <x:c r="G359" s="10" t="n">
        <x:f>SUM(D359:F359)</x:f>
        <x:v>560.004096</x:v>
      </x:c>
    </x:row>
    <x:row r="360" ht="24" customHeight="1">
      <x:c r="A360" s="10" t="str">
        <x:v>S01-09</x:v>
      </x:c>
      <x:c r="B360" s="10" t="str">
        <x:v>A</x:v>
      </x:c>
      <x:c r="C360" s="18" t="n">
        <x:v>4.356666766</x:v>
      </x:c>
      <x:c r="D360" s="10" t="n">
        <x:v>560</x:v>
      </x:c>
      <x:c r="E360" s="10" t="n">
        <x:v>0</x:v>
      </x:c>
      <x:c r="F360" s="10" t="n">
        <x:v>0</x:v>
      </x:c>
      <x:c r="G360" s="10" t="n">
        <x:f>SUM(D360:F360)</x:f>
        <x:v>560</x:v>
      </x:c>
    </x:row>
    <x:row r="361" ht="24" customHeight="1">
      <x:c r="A361" s="10" t="str">
        <x:v>S01-09</x:v>
      </x:c>
      <x:c r="B361" s="10" t="str">
        <x:v>B</x:v>
      </x:c>
      <x:c r="C361" s="18" t="n">
        <x:v>-6.0000001</x:v>
      </x:c>
      <x:c r="D361" s="10" t="n">
        <x:v>560</x:v>
      </x:c>
      <x:c r="E361" s="10" t="n">
        <x:v>0</x:v>
      </x:c>
      <x:c r="F361" s="10" t="n">
        <x:v>0</x:v>
      </x:c>
      <x:c r="G361" s="10" t="n">
        <x:f>SUM(D361:F361)</x:f>
        <x:v>560</x:v>
      </x:c>
    </x:row>
    <x:row r="362" ht="24" customHeight="1">
      <x:c r="A362" s="10" t="str">
        <x:v>S01-09</x:v>
      </x:c>
      <x:c r="B362" s="10" t="str">
        <x:v>B</x:v>
      </x:c>
      <x:c r="C362" s="18" t="n">
        <x:v>-6</x:v>
      </x:c>
      <x:c r="D362" s="10" t="n">
        <x:v>560</x:v>
      </x:c>
      <x:c r="E362" s="10" t="n">
        <x:v>0</x:v>
      </x:c>
      <x:c r="F362" s="10" t="n">
        <x:v>0</x:v>
      </x:c>
      <x:c r="G362" s="10" t="n">
        <x:f>SUM(D362:F362)</x:f>
        <x:v>560</x:v>
      </x:c>
    </x:row>
    <x:row r="363" ht="24" customHeight="1">
      <x:c r="A363" s="10" t="str">
        <x:v>S01-09</x:v>
      </x:c>
      <x:c r="B363" s="10" t="str">
        <x:v>B</x:v>
      </x:c>
      <x:c r="C363" s="18" t="n">
        <x:v>-5.9999999</x:v>
      </x:c>
      <x:c r="D363" s="10" t="n">
        <x:v>560</x:v>
      </x:c>
      <x:c r="E363" s="10" t="n">
        <x:v>0</x:v>
      </x:c>
      <x:c r="F363" s="10" t="n">
        <x:v>0</x:v>
      </x:c>
      <x:c r="G363" s="10" t="n">
        <x:f>SUM(D363:F363)</x:f>
        <x:v>560</x:v>
      </x:c>
    </x:row>
    <x:row r="364" ht="24" customHeight="1">
      <x:c r="A364" s="10" t="str">
        <x:v>S01-09</x:v>
      </x:c>
      <x:c r="B364" s="10" t="str">
        <x:v>B</x:v>
      </x:c>
      <x:c r="C364" s="18" t="n">
        <x:v>-1e-7</x:v>
      </x:c>
      <x:c r="D364" s="10" t="n">
        <x:v>560</x:v>
      </x:c>
      <x:c r="E364" s="10" t="n">
        <x:v>0</x:v>
      </x:c>
      <x:c r="F364" s="10" t="n">
        <x:v>0</x:v>
      </x:c>
      <x:c r="G364" s="10" t="n">
        <x:f>SUM(D364:F364)</x:f>
        <x:v>560</x:v>
      </x:c>
    </x:row>
    <x:row r="365" ht="24" customHeight="1">
      <x:c r="A365" s="10" t="str">
        <x:v>S01-09</x:v>
      </x:c>
      <x:c r="B365" s="10" t="str">
        <x:v>B</x:v>
      </x:c>
      <x:c r="C365" s="18" t="n">
        <x:v>0</x:v>
      </x:c>
      <x:c r="D365" s="10" t="n">
        <x:v>560</x:v>
      </x:c>
      <x:c r="E365" s="10" t="n">
        <x:v>0</x:v>
      </x:c>
      <x:c r="F365" s="10" t="n">
        <x:v>0</x:v>
      </x:c>
      <x:c r="G365" s="10" t="n">
        <x:f>SUM(D365:F365)</x:f>
        <x:v>560</x:v>
      </x:c>
    </x:row>
    <x:row r="366" ht="24" customHeight="1">
      <x:c r="A366" s="10" t="str">
        <x:v>S01-09</x:v>
      </x:c>
      <x:c r="B366" s="10" t="str">
        <x:v>B</x:v>
      </x:c>
      <x:c r="C366" s="18" t="n">
        <x:v>1e-7</x:v>
      </x:c>
      <x:c r="D366" s="10" t="n">
        <x:v>560</x:v>
      </x:c>
      <x:c r="E366" s="10" t="n">
        <x:v>0</x:v>
      </x:c>
      <x:c r="F366" s="10" t="n">
        <x:v>0</x:v>
      </x:c>
      <x:c r="G366" s="10" t="n">
        <x:f>SUM(D366:F366)</x:f>
        <x:v>560</x:v>
      </x:c>
    </x:row>
    <x:row r="367" ht="24" customHeight="1">
      <x:c r="A367" s="10" t="str">
        <x:v>S01-09</x:v>
      </x:c>
      <x:c r="B367" s="10" t="str">
        <x:v>B</x:v>
      </x:c>
      <x:c r="C367" s="18" t="n">
        <x:v>0.8699999</x:v>
      </x:c>
      <x:c r="D367" s="10" t="n">
        <x:v>560</x:v>
      </x:c>
      <x:c r="E367" s="10" t="n">
        <x:v>0</x:v>
      </x:c>
      <x:c r="F367" s="10" t="n">
        <x:v>0</x:v>
      </x:c>
      <x:c r="G367" s="10" t="n">
        <x:f>SUM(D367:F367)</x:f>
        <x:v>560</x:v>
      </x:c>
    </x:row>
    <x:row r="368" ht="24" customHeight="1">
      <x:c r="A368" s="10" t="str">
        <x:v>S01-09</x:v>
      </x:c>
      <x:c r="B368" s="10" t="str">
        <x:v>B</x:v>
      </x:c>
      <x:c r="C368" s="18" t="n">
        <x:v>0.87</x:v>
      </x:c>
      <x:c r="D368" s="10" t="n">
        <x:v>560</x:v>
      </x:c>
      <x:c r="E368" s="10" t="n">
        <x:v>0</x:v>
      </x:c>
      <x:c r="F368" s="10" t="n">
        <x:v>0.004096</x:v>
      </x:c>
      <x:c r="G368" s="10" t="n">
        <x:f>SUM(D368:F368)</x:f>
        <x:v>560.004096</x:v>
      </x:c>
    </x:row>
    <x:row r="369" ht="24" customHeight="1">
      <x:c r="A369" s="10" t="str">
        <x:v>S01-09</x:v>
      </x:c>
      <x:c r="B369" s="10" t="str">
        <x:v>B</x:v>
      </x:c>
      <x:c r="C369" s="18" t="n">
        <x:v>0.8700001</x:v>
      </x:c>
      <x:c r="D369" s="10" t="n">
        <x:v>560</x:v>
      </x:c>
      <x:c r="E369" s="10" t="n">
        <x:v>0</x:v>
      </x:c>
      <x:c r="F369" s="10" t="n">
        <x:v>0.004096</x:v>
      </x:c>
      <x:c r="G369" s="10" t="n">
        <x:f>SUM(D369:F369)</x:f>
        <x:v>560.004096</x:v>
      </x:c>
    </x:row>
    <x:row r="370" ht="24" customHeight="1">
      <x:c r="A370" s="10" t="str">
        <x:v>S01-09</x:v>
      </x:c>
      <x:c r="B370" s="10" t="str">
        <x:v>B</x:v>
      </x:c>
      <x:c r="C370" s="18" t="n">
        <x:v>1.274666567</x:v>
      </x:c>
      <x:c r="D370" s="10" t="n">
        <x:v>560</x:v>
      </x:c>
      <x:c r="E370" s="10" t="n">
        <x:v>0</x:v>
      </x:c>
      <x:c r="F370" s="10" t="n">
        <x:v>0.004096</x:v>
      </x:c>
      <x:c r="G370" s="10" t="n">
        <x:f>SUM(D370:F370)</x:f>
        <x:v>560.004096</x:v>
      </x:c>
    </x:row>
    <x:row r="371" ht="24" customHeight="1">
      <x:c r="A371" s="10" t="str">
        <x:v>S01-09</x:v>
      </x:c>
      <x:c r="B371" s="10" t="str">
        <x:v>B</x:v>
      </x:c>
      <x:c r="C371" s="18" t="n">
        <x:v>1.274666667</x:v>
      </x:c>
      <x:c r="D371" s="10" t="n">
        <x:v>560</x:v>
      </x:c>
      <x:c r="E371" s="10" t="n">
        <x:v>0.0096</x:v>
      </x:c>
      <x:c r="F371" s="10" t="n">
        <x:v>0.004096</x:v>
      </x:c>
      <x:c r="G371" s="10" t="n">
        <x:f>SUM(D371:F371)</x:f>
        <x:v>560.013696</x:v>
      </x:c>
    </x:row>
    <x:row r="372" ht="24" customHeight="1">
      <x:c r="A372" s="10" t="str">
        <x:v>S01-09</x:v>
      </x:c>
      <x:c r="B372" s="10" t="str">
        <x:v>B</x:v>
      </x:c>
      <x:c r="C372" s="18" t="n">
        <x:v>1.274666767</x:v>
      </x:c>
      <x:c r="D372" s="10" t="n">
        <x:v>560</x:v>
      </x:c>
      <x:c r="E372" s="10" t="n">
        <x:v>0.009600019</x:v>
      </x:c>
      <x:c r="F372" s="10" t="n">
        <x:v>0.004096</x:v>
      </x:c>
      <x:c r="G372" s="10" t="n">
        <x:f>SUM(D372:F372)</x:f>
        <x:v>560.013696019</x:v>
      </x:c>
    </x:row>
    <x:row r="373" ht="24" customHeight="1">
      <x:c r="A373" s="10" t="str">
        <x:v>S01-09</x:v>
      </x:c>
      <x:c r="B373" s="10" t="str">
        <x:v>B</x:v>
      </x:c>
      <x:c r="C373" s="18" t="n">
        <x:v>1.314666567</x:v>
      </x:c>
      <x:c r="D373" s="10" t="n">
        <x:v>560</x:v>
      </x:c>
      <x:c r="E373" s="10" t="n">
        <x:v>0.017279981</x:v>
      </x:c>
      <x:c r="F373" s="10" t="n">
        <x:v>0.004096</x:v>
      </x:c>
      <x:c r="G373" s="10" t="n">
        <x:f>SUM(D373:F373)</x:f>
        <x:v>560.021375981</x:v>
      </x:c>
    </x:row>
    <x:row r="374" ht="24" customHeight="1">
      <x:c r="A374" s="10" t="str">
        <x:v>S01-09</x:v>
      </x:c>
      <x:c r="B374" s="10" t="str">
        <x:v>B</x:v>
      </x:c>
      <x:c r="C374" s="18" t="n">
        <x:v>1.314666667</x:v>
      </x:c>
      <x:c r="D374" s="10" t="n">
        <x:v>560</x:v>
      </x:c>
      <x:c r="E374" s="10" t="n">
        <x:v>0.01728</x:v>
      </x:c>
      <x:c r="F374" s="10" t="n">
        <x:v>0.004096</x:v>
      </x:c>
      <x:c r="G374" s="10" t="n">
        <x:f>SUM(D374:F374)</x:f>
        <x:v>560.021376</x:v>
      </x:c>
    </x:row>
    <x:row r="375" ht="24" customHeight="1">
      <x:c r="A375" s="10" t="str">
        <x:v>S01-09</x:v>
      </x:c>
      <x:c r="B375" s="10" t="str">
        <x:v>B</x:v>
      </x:c>
      <x:c r="C375" s="18" t="n">
        <x:v>1.314666767</x:v>
      </x:c>
      <x:c r="D375" s="10" t="n">
        <x:v>560</x:v>
      </x:c>
      <x:c r="E375" s="10" t="n">
        <x:v>0.017280014</x:v>
      </x:c>
      <x:c r="F375" s="10" t="n">
        <x:v>0.004096</x:v>
      </x:c>
      <x:c r="G375" s="10" t="n">
        <x:f>SUM(D375:F375)</x:f>
        <x:v>560.021376014</x:v>
      </x:c>
    </x:row>
    <x:row r="376" ht="24" customHeight="1">
      <x:c r="A376" s="10" t="str">
        <x:v>S01-09</x:v>
      </x:c>
      <x:c r="B376" s="10" t="str">
        <x:v>B</x:v>
      </x:c>
      <x:c r="C376" s="18" t="n">
        <x:v>1.985166567</x:v>
      </x:c>
      <x:c r="D376" s="10" t="n">
        <x:v>560</x:v>
      </x:c>
      <x:c r="E376" s="10" t="n">
        <x:v>0.113831986</x:v>
      </x:c>
      <x:c r="F376" s="10" t="n">
        <x:v>0.004096</x:v>
      </x:c>
      <x:c r="G376" s="10" t="n">
        <x:f>SUM(D376:F376)</x:f>
        <x:v>560.117927986</x:v>
      </x:c>
    </x:row>
    <x:row r="377" ht="24" customHeight="1">
      <x:c r="A377" s="10" t="str">
        <x:v>S01-09</x:v>
      </x:c>
      <x:c r="B377" s="10" t="str">
        <x:v>B</x:v>
      </x:c>
      <x:c r="C377" s="18" t="n">
        <x:v>1.985166667</x:v>
      </x:c>
      <x:c r="D377" s="10" t="n">
        <x:v>560</x:v>
      </x:c>
      <x:c r="E377" s="10" t="n">
        <x:v>0.113832</x:v>
      </x:c>
      <x:c r="F377" s="10" t="n">
        <x:v>0.004096</x:v>
      </x:c>
      <x:c r="G377" s="10" t="n">
        <x:f>SUM(D377:F377)</x:f>
        <x:v>560.117928</x:v>
      </x:c>
    </x:row>
    <x:row r="378" ht="24" customHeight="1">
      <x:c r="A378" s="10" t="str">
        <x:v>S01-09</x:v>
      </x:c>
      <x:c r="B378" s="10" t="str">
        <x:v>B</x:v>
      </x:c>
      <x:c r="C378" s="18" t="n">
        <x:v>1.985166767</x:v>
      </x:c>
      <x:c r="D378" s="10" t="n">
        <x:v>560</x:v>
      </x:c>
      <x:c r="E378" s="10" t="n">
        <x:v>0.113831995</x:v>
      </x:c>
      <x:c r="F378" s="10" t="n">
        <x:v>0.004096</x:v>
      </x:c>
      <x:c r="G378" s="10" t="n">
        <x:f>SUM(D378:F378)</x:f>
        <x:v>560.1179279950001</x:v>
      </x:c>
    </x:row>
    <x:row r="379" ht="24" customHeight="1">
      <x:c r="A379" s="10" t="str">
        <x:v>S01-09</x:v>
      </x:c>
      <x:c r="B379" s="10" t="str">
        <x:v>B</x:v>
      </x:c>
      <x:c r="C379" s="18" t="n">
        <x:v>4.356666566</x:v>
      </x:c>
      <x:c r="D379" s="10" t="n">
        <x:v>560</x:v>
      </x:c>
      <x:c r="E379" s="10" t="n">
        <x:v>5e-9</x:v>
      </x:c>
      <x:c r="F379" s="10" t="n">
        <x:v>0.004096</x:v>
      </x:c>
      <x:c r="G379" s="10" t="n">
        <x:f>SUM(D379:F379)</x:f>
        <x:v>560.004096005</x:v>
      </x:c>
    </x:row>
    <x:row r="380" ht="24" customHeight="1">
      <x:c r="A380" s="10" t="str">
        <x:v>S01-09</x:v>
      </x:c>
      <x:c r="B380" s="10" t="str">
        <x:v>B</x:v>
      </x:c>
      <x:c r="C380" s="18" t="n">
        <x:v>4.356666666</x:v>
      </x:c>
      <x:c r="D380" s="10" t="n">
        <x:v>560</x:v>
      </x:c>
      <x:c r="E380" s="10" t="n">
        <x:v>0</x:v>
      </x:c>
      <x:c r="F380" s="10" t="n">
        <x:v>0.004096</x:v>
      </x:c>
      <x:c r="G380" s="10" t="n">
        <x:f>SUM(D380:F380)</x:f>
        <x:v>560.004096</x:v>
      </x:c>
    </x:row>
    <x:row r="381" ht="24" customHeight="1">
      <x:c r="A381" s="10" t="str">
        <x:v>S01-09</x:v>
      </x:c>
      <x:c r="B381" s="10" t="str">
        <x:v>B</x:v>
      </x:c>
      <x:c r="C381" s="18" t="n">
        <x:v>4.356666766</x:v>
      </x:c>
      <x:c r="D381" s="10" t="n">
        <x:v>560</x:v>
      </x:c>
      <x:c r="E381" s="10" t="n">
        <x:v>0</x:v>
      </x:c>
      <x:c r="F381" s="10" t="n">
        <x:v>0</x:v>
      </x:c>
      <x:c r="G381" s="10" t="n">
        <x:f>SUM(D381:F381)</x:f>
        <x:v>560</x:v>
      </x:c>
    </x:row>
    <x:row r="382" ht="24" customHeight="1">
      <x:c r="A382" s="10" t="str">
        <x:v>S01-10</x:v>
      </x:c>
      <x:c r="B382" s="10" t="str">
        <x:v>A</x:v>
      </x:c>
      <x:c r="C382" s="18" t="n">
        <x:v>-6.0000001</x:v>
      </x:c>
      <x:c r="D382" s="10" t="n">
        <x:v>560</x:v>
      </x:c>
      <x:c r="E382" s="10" t="n">
        <x:v>0</x:v>
      </x:c>
      <x:c r="F382" s="10" t="n">
        <x:v>0</x:v>
      </x:c>
      <x:c r="G382" s="10" t="n">
        <x:f>SUM(D382:F382)</x:f>
        <x:v>560</x:v>
      </x:c>
    </x:row>
    <x:row r="383" ht="24" customHeight="1">
      <x:c r="A383" s="10" t="str">
        <x:v>S01-10</x:v>
      </x:c>
      <x:c r="B383" s="10" t="str">
        <x:v>A</x:v>
      </x:c>
      <x:c r="C383" s="18" t="n">
        <x:v>-6</x:v>
      </x:c>
      <x:c r="D383" s="10" t="n">
        <x:v>560</x:v>
      </x:c>
      <x:c r="E383" s="10" t="n">
        <x:v>0</x:v>
      </x:c>
      <x:c r="F383" s="10" t="n">
        <x:v>0</x:v>
      </x:c>
      <x:c r="G383" s="10" t="n">
        <x:f>SUM(D383:F383)</x:f>
        <x:v>560</x:v>
      </x:c>
    </x:row>
    <x:row r="384" ht="24" customHeight="1">
      <x:c r="A384" s="10" t="str">
        <x:v>S01-10</x:v>
      </x:c>
      <x:c r="B384" s="10" t="str">
        <x:v>A</x:v>
      </x:c>
      <x:c r="C384" s="18" t="n">
        <x:v>-5.9999999</x:v>
      </x:c>
      <x:c r="D384" s="10" t="n">
        <x:v>560</x:v>
      </x:c>
      <x:c r="E384" s="10" t="n">
        <x:v>0</x:v>
      </x:c>
      <x:c r="F384" s="10" t="n">
        <x:v>0</x:v>
      </x:c>
      <x:c r="G384" s="10" t="n">
        <x:f>SUM(D384:F384)</x:f>
        <x:v>560</x:v>
      </x:c>
    </x:row>
    <x:row r="385" ht="24" customHeight="1">
      <x:c r="A385" s="10" t="str">
        <x:v>S01-10</x:v>
      </x:c>
      <x:c r="B385" s="10" t="str">
        <x:v>A</x:v>
      </x:c>
      <x:c r="C385" s="18" t="n">
        <x:v>-1e-7</x:v>
      </x:c>
      <x:c r="D385" s="10" t="n">
        <x:v>560</x:v>
      </x:c>
      <x:c r="E385" s="10" t="n">
        <x:v>0</x:v>
      </x:c>
      <x:c r="F385" s="10" t="n">
        <x:v>0</x:v>
      </x:c>
      <x:c r="G385" s="10" t="n">
        <x:f>SUM(D385:F385)</x:f>
        <x:v>560</x:v>
      </x:c>
    </x:row>
    <x:row r="386" ht="24" customHeight="1">
      <x:c r="A386" s="10" t="str">
        <x:v>S01-10</x:v>
      </x:c>
      <x:c r="B386" s="10" t="str">
        <x:v>A</x:v>
      </x:c>
      <x:c r="C386" s="18" t="n">
        <x:v>0</x:v>
      </x:c>
      <x:c r="D386" s="10" t="n">
        <x:v>560</x:v>
      </x:c>
      <x:c r="E386" s="10" t="n">
        <x:v>0</x:v>
      </x:c>
      <x:c r="F386" s="10" t="n">
        <x:v>0</x:v>
      </x:c>
      <x:c r="G386" s="10" t="n">
        <x:f>SUM(D386:F386)</x:f>
        <x:v>560</x:v>
      </x:c>
    </x:row>
    <x:row r="387" ht="24" customHeight="1">
      <x:c r="A387" s="10" t="str">
        <x:v>S01-10</x:v>
      </x:c>
      <x:c r="B387" s="10" t="str">
        <x:v>A</x:v>
      </x:c>
      <x:c r="C387" s="18" t="n">
        <x:v>1e-7</x:v>
      </x:c>
      <x:c r="D387" s="10" t="n">
        <x:v>560</x:v>
      </x:c>
      <x:c r="E387" s="10" t="n">
        <x:v>0</x:v>
      </x:c>
      <x:c r="F387" s="10" t="n">
        <x:v>0</x:v>
      </x:c>
      <x:c r="G387" s="10" t="n">
        <x:f>SUM(D387:F387)</x:f>
        <x:v>560</x:v>
      </x:c>
    </x:row>
    <x:row r="388" ht="24" customHeight="1">
      <x:c r="A388" s="10" t="str">
        <x:v>S01-10</x:v>
      </x:c>
      <x:c r="B388" s="10" t="str">
        <x:v>A</x:v>
      </x:c>
      <x:c r="C388" s="18" t="n">
        <x:v>0.898333233</x:v>
      </x:c>
      <x:c r="D388" s="10" t="n">
        <x:v>560</x:v>
      </x:c>
      <x:c r="E388" s="10" t="n">
        <x:v>0</x:v>
      </x:c>
      <x:c r="F388" s="10" t="n">
        <x:v>0</x:v>
      </x:c>
      <x:c r="G388" s="10" t="n">
        <x:f>SUM(D388:F388)</x:f>
        <x:v>560</x:v>
      </x:c>
    </x:row>
    <x:row r="389" ht="24" customHeight="1">
      <x:c r="A389" s="10" t="str">
        <x:v>S01-10</x:v>
      </x:c>
      <x:c r="B389" s="10" t="str">
        <x:v>A</x:v>
      </x:c>
      <x:c r="C389" s="18" t="n">
        <x:v>0.898333333</x:v>
      </x:c>
      <x:c r="D389" s="10" t="n">
        <x:v>560</x:v>
      </x:c>
      <x:c r="E389" s="10" t="n">
        <x:v>0</x:v>
      </x:c>
      <x:c r="F389" s="10" t="n">
        <x:v>0.004096</x:v>
      </x:c>
      <x:c r="G389" s="10" t="n">
        <x:f>SUM(D389:F389)</x:f>
        <x:v>560.004096</x:v>
      </x:c>
    </x:row>
    <x:row r="390" ht="24" customHeight="1">
      <x:c r="A390" s="10" t="str">
        <x:v>S01-10</x:v>
      </x:c>
      <x:c r="B390" s="10" t="str">
        <x:v>A</x:v>
      </x:c>
      <x:c r="C390" s="18" t="n">
        <x:v>0.898333433</x:v>
      </x:c>
      <x:c r="D390" s="10" t="n">
        <x:v>560</x:v>
      </x:c>
      <x:c r="E390" s="10" t="n">
        <x:v>0</x:v>
      </x:c>
      <x:c r="F390" s="10" t="n">
        <x:v>0.004096</x:v>
      </x:c>
      <x:c r="G390" s="10" t="n">
        <x:f>SUM(D390:F390)</x:f>
        <x:v>560.004096</x:v>
      </x:c>
    </x:row>
    <x:row r="391" ht="24" customHeight="1">
      <x:c r="A391" s="10" t="str">
        <x:v>S01-10</x:v>
      </x:c>
      <x:c r="B391" s="10" t="str">
        <x:v>A</x:v>
      </x:c>
      <x:c r="C391" s="18" t="n">
        <x:v>1.3029999</x:v>
      </x:c>
      <x:c r="D391" s="10" t="n">
        <x:v>560</x:v>
      </x:c>
      <x:c r="E391" s="10" t="n">
        <x:v>0</x:v>
      </x:c>
      <x:c r="F391" s="10" t="n">
        <x:v>0.004096</x:v>
      </x:c>
      <x:c r="G391" s="10" t="n">
        <x:f>SUM(D391:F391)</x:f>
        <x:v>560.004096</x:v>
      </x:c>
    </x:row>
    <x:row r="392" ht="24" customHeight="1">
      <x:c r="A392" s="10" t="str">
        <x:v>S01-10</x:v>
      </x:c>
      <x:c r="B392" s="10" t="str">
        <x:v>A</x:v>
      </x:c>
      <x:c r="C392" s="18" t="n">
        <x:v>1.303</x:v>
      </x:c>
      <x:c r="D392" s="10" t="n">
        <x:v>560</x:v>
      </x:c>
      <x:c r="E392" s="10" t="n">
        <x:v>0.0096</x:v>
      </x:c>
      <x:c r="F392" s="10" t="n">
        <x:v>0.004096</x:v>
      </x:c>
      <x:c r="G392" s="10" t="n">
        <x:f>SUM(D392:F392)</x:f>
        <x:v>560.013696</x:v>
      </x:c>
    </x:row>
    <x:row r="393" ht="24" customHeight="1">
      <x:c r="A393" s="10" t="str">
        <x:v>S01-10</x:v>
      </x:c>
      <x:c r="B393" s="10" t="str">
        <x:v>A</x:v>
      </x:c>
      <x:c r="C393" s="18" t="n">
        <x:v>1.3030001</x:v>
      </x:c>
      <x:c r="D393" s="10" t="n">
        <x:v>560</x:v>
      </x:c>
      <x:c r="E393" s="10" t="n">
        <x:v>0.009600019</x:v>
      </x:c>
      <x:c r="F393" s="10" t="n">
        <x:v>0.004096</x:v>
      </x:c>
      <x:c r="G393" s="10" t="n">
        <x:f>SUM(D393:F393)</x:f>
        <x:v>560.013696019</x:v>
      </x:c>
    </x:row>
    <x:row r="394" ht="24" customHeight="1">
      <x:c r="A394" s="10" t="str">
        <x:v>S01-10</x:v>
      </x:c>
      <x:c r="B394" s="10" t="str">
        <x:v>A</x:v>
      </x:c>
      <x:c r="C394" s="18" t="n">
        <x:v>1.3429999</x:v>
      </x:c>
      <x:c r="D394" s="10" t="n">
        <x:v>560</x:v>
      </x:c>
      <x:c r="E394" s="10" t="n">
        <x:v>0.017279981</x:v>
      </x:c>
      <x:c r="F394" s="10" t="n">
        <x:v>0.004096</x:v>
      </x:c>
      <x:c r="G394" s="10" t="n">
        <x:f>SUM(D394:F394)</x:f>
        <x:v>560.021375981</x:v>
      </x:c>
    </x:row>
    <x:row r="395" ht="24" customHeight="1">
      <x:c r="A395" s="10" t="str">
        <x:v>S01-10</x:v>
      </x:c>
      <x:c r="B395" s="10" t="str">
        <x:v>A</x:v>
      </x:c>
      <x:c r="C395" s="18" t="n">
        <x:v>1.343</x:v>
      </x:c>
      <x:c r="D395" s="10" t="n">
        <x:v>560</x:v>
      </x:c>
      <x:c r="E395" s="10" t="n">
        <x:v>0.01728</x:v>
      </x:c>
      <x:c r="F395" s="10" t="n">
        <x:v>0.004096</x:v>
      </x:c>
      <x:c r="G395" s="10" t="n">
        <x:f>SUM(D395:F395)</x:f>
        <x:v>560.021376</x:v>
      </x:c>
    </x:row>
    <x:row r="396" ht="24" customHeight="1">
      <x:c r="A396" s="10" t="str">
        <x:v>S01-10</x:v>
      </x:c>
      <x:c r="B396" s="10" t="str">
        <x:v>A</x:v>
      </x:c>
      <x:c r="C396" s="18" t="n">
        <x:v>1.3430001</x:v>
      </x:c>
      <x:c r="D396" s="10" t="n">
        <x:v>560</x:v>
      </x:c>
      <x:c r="E396" s="10" t="n">
        <x:v>0.017280014</x:v>
      </x:c>
      <x:c r="F396" s="10" t="n">
        <x:v>0.004096</x:v>
      </x:c>
      <x:c r="G396" s="10" t="n">
        <x:f>SUM(D396:F396)</x:f>
        <x:v>560.021376014</x:v>
      </x:c>
    </x:row>
    <x:row r="397" ht="24" customHeight="1">
      <x:c r="A397" s="10" t="str">
        <x:v>S01-10</x:v>
      </x:c>
      <x:c r="B397" s="10" t="str">
        <x:v>A</x:v>
      </x:c>
      <x:c r="C397" s="18" t="n">
        <x:v>2.0164999</x:v>
      </x:c>
      <x:c r="D397" s="10" t="n">
        <x:v>560</x:v>
      </x:c>
      <x:c r="E397" s="10" t="n">
        <x:v>0.114263986</x:v>
      </x:c>
      <x:c r="F397" s="10" t="n">
        <x:v>0.004096</x:v>
      </x:c>
      <x:c r="G397" s="10" t="n">
        <x:f>SUM(D397:F397)</x:f>
        <x:v>560.118359986</x:v>
      </x:c>
    </x:row>
    <x:row r="398" ht="24" customHeight="1">
      <x:c r="A398" s="10" t="str">
        <x:v>S01-10</x:v>
      </x:c>
      <x:c r="B398" s="10" t="str">
        <x:v>A</x:v>
      </x:c>
      <x:c r="C398" s="18" t="n">
        <x:v>2.0165</x:v>
      </x:c>
      <x:c r="D398" s="10" t="n">
        <x:v>560</x:v>
      </x:c>
      <x:c r="E398" s="10" t="n">
        <x:v>0.114264</x:v>
      </x:c>
      <x:c r="F398" s="10" t="n">
        <x:v>0.004096</x:v>
      </x:c>
      <x:c r="G398" s="10" t="n">
        <x:f>SUM(D398:F398)</x:f>
        <x:v>560.11836</x:v>
      </x:c>
    </x:row>
    <x:row r="399" ht="24" customHeight="1">
      <x:c r="A399" s="10" t="str">
        <x:v>S01-10</x:v>
      </x:c>
      <x:c r="B399" s="10" t="str">
        <x:v>A</x:v>
      </x:c>
      <x:c r="C399" s="18" t="n">
        <x:v>2.0165001</x:v>
      </x:c>
      <x:c r="D399" s="10" t="n">
        <x:v>560</x:v>
      </x:c>
      <x:c r="E399" s="10" t="n">
        <x:v>0.114263995</x:v>
      </x:c>
      <x:c r="F399" s="10" t="n">
        <x:v>0.004096</x:v>
      </x:c>
      <x:c r="G399" s="10" t="n">
        <x:f>SUM(D399:F399)</x:f>
        <x:v>560.118359995</x:v>
      </x:c>
    </x:row>
    <x:row r="400" ht="24" customHeight="1">
      <x:c r="A400" s="10" t="str">
        <x:v>S01-10</x:v>
      </x:c>
      <x:c r="B400" s="10" t="str">
        <x:v>A</x:v>
      </x:c>
      <x:c r="C400" s="18" t="n">
        <x:v>4.396999899</x:v>
      </x:c>
      <x:c r="D400" s="10" t="n">
        <x:v>560</x:v>
      </x:c>
      <x:c r="E400" s="10" t="n">
        <x:v>5e-9</x:v>
      </x:c>
      <x:c r="F400" s="10" t="n">
        <x:v>0.004096</x:v>
      </x:c>
      <x:c r="G400" s="10" t="n">
        <x:f>SUM(D400:F400)</x:f>
        <x:v>560.004096005</x:v>
      </x:c>
    </x:row>
    <x:row r="401" ht="24" customHeight="1">
      <x:c r="A401" s="10" t="str">
        <x:v>S01-10</x:v>
      </x:c>
      <x:c r="B401" s="10" t="str">
        <x:v>A</x:v>
      </x:c>
      <x:c r="C401" s="18" t="n">
        <x:v>4.396999999</x:v>
      </x:c>
      <x:c r="D401" s="10" t="n">
        <x:v>560</x:v>
      </x:c>
      <x:c r="E401" s="10" t="n">
        <x:v>0</x:v>
      </x:c>
      <x:c r="F401" s="10" t="n">
        <x:v>0.004096</x:v>
      </x:c>
      <x:c r="G401" s="10" t="n">
        <x:f>SUM(D401:F401)</x:f>
        <x:v>560.004096</x:v>
      </x:c>
    </x:row>
    <x:row r="402" ht="24" customHeight="1">
      <x:c r="A402" s="10" t="str">
        <x:v>S01-10</x:v>
      </x:c>
      <x:c r="B402" s="10" t="str">
        <x:v>A</x:v>
      </x:c>
      <x:c r="C402" s="18" t="n">
        <x:v>4.397000099</x:v>
      </x:c>
      <x:c r="D402" s="10" t="n">
        <x:v>560</x:v>
      </x:c>
      <x:c r="E402" s="10" t="n">
        <x:v>0</x:v>
      </x:c>
      <x:c r="F402" s="10" t="n">
        <x:v>0</x:v>
      </x:c>
      <x:c r="G402" s="10" t="n">
        <x:f>SUM(D402:F402)</x:f>
        <x:v>560</x:v>
      </x:c>
    </x:row>
    <x:row r="403" ht="24" customHeight="1">
      <x:c r="A403" s="10" t="str">
        <x:v>S01-10</x:v>
      </x:c>
      <x:c r="B403" s="10" t="str">
        <x:v>B</x:v>
      </x:c>
      <x:c r="C403" s="18" t="n">
        <x:v>-6.0000001</x:v>
      </x:c>
      <x:c r="D403" s="10" t="n">
        <x:v>560</x:v>
      </x:c>
      <x:c r="E403" s="10" t="n">
        <x:v>0</x:v>
      </x:c>
      <x:c r="F403" s="10" t="n">
        <x:v>0</x:v>
      </x:c>
      <x:c r="G403" s="10" t="n">
        <x:f>SUM(D403:F403)</x:f>
        <x:v>560</x:v>
      </x:c>
    </x:row>
    <x:row r="404" ht="24" customHeight="1">
      <x:c r="A404" s="10" t="str">
        <x:v>S01-10</x:v>
      </x:c>
      <x:c r="B404" s="10" t="str">
        <x:v>B</x:v>
      </x:c>
      <x:c r="C404" s="18" t="n">
        <x:v>-6</x:v>
      </x:c>
      <x:c r="D404" s="10" t="n">
        <x:v>560</x:v>
      </x:c>
      <x:c r="E404" s="10" t="n">
        <x:v>0</x:v>
      </x:c>
      <x:c r="F404" s="10" t="n">
        <x:v>0</x:v>
      </x:c>
      <x:c r="G404" s="10" t="n">
        <x:f>SUM(D404:F404)</x:f>
        <x:v>560</x:v>
      </x:c>
    </x:row>
    <x:row r="405" ht="24" customHeight="1">
      <x:c r="A405" s="10" t="str">
        <x:v>S01-10</x:v>
      </x:c>
      <x:c r="B405" s="10" t="str">
        <x:v>B</x:v>
      </x:c>
      <x:c r="C405" s="18" t="n">
        <x:v>-5.9999999</x:v>
      </x:c>
      <x:c r="D405" s="10" t="n">
        <x:v>560</x:v>
      </x:c>
      <x:c r="E405" s="10" t="n">
        <x:v>0</x:v>
      </x:c>
      <x:c r="F405" s="10" t="n">
        <x:v>0</x:v>
      </x:c>
      <x:c r="G405" s="10" t="n">
        <x:f>SUM(D405:F405)</x:f>
        <x:v>560</x:v>
      </x:c>
    </x:row>
    <x:row r="406" ht="24" customHeight="1">
      <x:c r="A406" s="10" t="str">
        <x:v>S01-10</x:v>
      </x:c>
      <x:c r="B406" s="10" t="str">
        <x:v>B</x:v>
      </x:c>
      <x:c r="C406" s="18" t="n">
        <x:v>-1e-7</x:v>
      </x:c>
      <x:c r="D406" s="10" t="n">
        <x:v>560</x:v>
      </x:c>
      <x:c r="E406" s="10" t="n">
        <x:v>0</x:v>
      </x:c>
      <x:c r="F406" s="10" t="n">
        <x:v>0</x:v>
      </x:c>
      <x:c r="G406" s="10" t="n">
        <x:f>SUM(D406:F406)</x:f>
        <x:v>560</x:v>
      </x:c>
    </x:row>
    <x:row r="407" ht="24" customHeight="1">
      <x:c r="A407" s="10" t="str">
        <x:v>S01-10</x:v>
      </x:c>
      <x:c r="B407" s="10" t="str">
        <x:v>B</x:v>
      </x:c>
      <x:c r="C407" s="18" t="n">
        <x:v>0</x:v>
      </x:c>
      <x:c r="D407" s="10" t="n">
        <x:v>560</x:v>
      </x:c>
      <x:c r="E407" s="10" t="n">
        <x:v>0</x:v>
      </x:c>
      <x:c r="F407" s="10" t="n">
        <x:v>0</x:v>
      </x:c>
      <x:c r="G407" s="10" t="n">
        <x:f>SUM(D407:F407)</x:f>
        <x:v>560</x:v>
      </x:c>
    </x:row>
    <x:row r="408" ht="24" customHeight="1">
      <x:c r="A408" s="10" t="str">
        <x:v>S01-10</x:v>
      </x:c>
      <x:c r="B408" s="10" t="str">
        <x:v>B</x:v>
      </x:c>
      <x:c r="C408" s="18" t="n">
        <x:v>1e-7</x:v>
      </x:c>
      <x:c r="D408" s="10" t="n">
        <x:v>560</x:v>
      </x:c>
      <x:c r="E408" s="10" t="n">
        <x:v>0</x:v>
      </x:c>
      <x:c r="F408" s="10" t="n">
        <x:v>0</x:v>
      </x:c>
      <x:c r="G408" s="10" t="n">
        <x:f>SUM(D408:F408)</x:f>
        <x:v>560</x:v>
      </x:c>
    </x:row>
    <x:row r="409" ht="24" customHeight="1">
      <x:c r="A409" s="10" t="str">
        <x:v>S01-10</x:v>
      </x:c>
      <x:c r="B409" s="10" t="str">
        <x:v>B</x:v>
      </x:c>
      <x:c r="C409" s="18" t="n">
        <x:v>0.898333233</x:v>
      </x:c>
      <x:c r="D409" s="10" t="n">
        <x:v>560</x:v>
      </x:c>
      <x:c r="E409" s="10" t="n">
        <x:v>0</x:v>
      </x:c>
      <x:c r="F409" s="10" t="n">
        <x:v>0</x:v>
      </x:c>
      <x:c r="G409" s="10" t="n">
        <x:f>SUM(D409:F409)</x:f>
        <x:v>560</x:v>
      </x:c>
    </x:row>
    <x:row r="410" ht="24" customHeight="1">
      <x:c r="A410" s="10" t="str">
        <x:v>S01-10</x:v>
      </x:c>
      <x:c r="B410" s="10" t="str">
        <x:v>B</x:v>
      </x:c>
      <x:c r="C410" s="18" t="n">
        <x:v>0.898333333</x:v>
      </x:c>
      <x:c r="D410" s="10" t="n">
        <x:v>560</x:v>
      </x:c>
      <x:c r="E410" s="10" t="n">
        <x:v>0</x:v>
      </x:c>
      <x:c r="F410" s="10" t="n">
        <x:v>0.004096</x:v>
      </x:c>
      <x:c r="G410" s="10" t="n">
        <x:f>SUM(D410:F410)</x:f>
        <x:v>560.004096</x:v>
      </x:c>
    </x:row>
    <x:row r="411" ht="24" customHeight="1">
      <x:c r="A411" s="10" t="str">
        <x:v>S01-10</x:v>
      </x:c>
      <x:c r="B411" s="10" t="str">
        <x:v>B</x:v>
      </x:c>
      <x:c r="C411" s="18" t="n">
        <x:v>0.898333433</x:v>
      </x:c>
      <x:c r="D411" s="10" t="n">
        <x:v>560</x:v>
      </x:c>
      <x:c r="E411" s="10" t="n">
        <x:v>0</x:v>
      </x:c>
      <x:c r="F411" s="10" t="n">
        <x:v>0.004096</x:v>
      </x:c>
      <x:c r="G411" s="10" t="n">
        <x:f>SUM(D411:F411)</x:f>
        <x:v>560.004096</x:v>
      </x:c>
    </x:row>
    <x:row r="412" ht="24" customHeight="1">
      <x:c r="A412" s="10" t="str">
        <x:v>S01-10</x:v>
      </x:c>
      <x:c r="B412" s="10" t="str">
        <x:v>B</x:v>
      </x:c>
      <x:c r="C412" s="18" t="n">
        <x:v>1.3029999</x:v>
      </x:c>
      <x:c r="D412" s="10" t="n">
        <x:v>560</x:v>
      </x:c>
      <x:c r="E412" s="10" t="n">
        <x:v>0</x:v>
      </x:c>
      <x:c r="F412" s="10" t="n">
        <x:v>0.004096</x:v>
      </x:c>
      <x:c r="G412" s="10" t="n">
        <x:f>SUM(D412:F412)</x:f>
        <x:v>560.004096</x:v>
      </x:c>
    </x:row>
    <x:row r="413" ht="24" customHeight="1">
      <x:c r="A413" s="10" t="str">
        <x:v>S01-10</x:v>
      </x:c>
      <x:c r="B413" s="10" t="str">
        <x:v>B</x:v>
      </x:c>
      <x:c r="C413" s="18" t="n">
        <x:v>1.303</x:v>
      </x:c>
      <x:c r="D413" s="10" t="n">
        <x:v>560</x:v>
      </x:c>
      <x:c r="E413" s="10" t="n">
        <x:v>0.0096</x:v>
      </x:c>
      <x:c r="F413" s="10" t="n">
        <x:v>0.004096</x:v>
      </x:c>
      <x:c r="G413" s="10" t="n">
        <x:f>SUM(D413:F413)</x:f>
        <x:v>560.013696</x:v>
      </x:c>
    </x:row>
    <x:row r="414" ht="24" customHeight="1">
      <x:c r="A414" s="10" t="str">
        <x:v>S01-10</x:v>
      </x:c>
      <x:c r="B414" s="10" t="str">
        <x:v>B</x:v>
      </x:c>
      <x:c r="C414" s="18" t="n">
        <x:v>1.3030001</x:v>
      </x:c>
      <x:c r="D414" s="10" t="n">
        <x:v>560</x:v>
      </x:c>
      <x:c r="E414" s="10" t="n">
        <x:v>0.009600019</x:v>
      </x:c>
      <x:c r="F414" s="10" t="n">
        <x:v>0.004096</x:v>
      </x:c>
      <x:c r="G414" s="10" t="n">
        <x:f>SUM(D414:F414)</x:f>
        <x:v>560.013696019</x:v>
      </x:c>
    </x:row>
    <x:row r="415" ht="24" customHeight="1">
      <x:c r="A415" s="10" t="str">
        <x:v>S01-10</x:v>
      </x:c>
      <x:c r="B415" s="10" t="str">
        <x:v>B</x:v>
      </x:c>
      <x:c r="C415" s="18" t="n">
        <x:v>1.3429999</x:v>
      </x:c>
      <x:c r="D415" s="10" t="n">
        <x:v>560</x:v>
      </x:c>
      <x:c r="E415" s="10" t="n">
        <x:v>0.017279981</x:v>
      </x:c>
      <x:c r="F415" s="10" t="n">
        <x:v>0.004096</x:v>
      </x:c>
      <x:c r="G415" s="10" t="n">
        <x:f>SUM(D415:F415)</x:f>
        <x:v>560.021375981</x:v>
      </x:c>
    </x:row>
    <x:row r="416" ht="24" customHeight="1">
      <x:c r="A416" s="10" t="str">
        <x:v>S01-10</x:v>
      </x:c>
      <x:c r="B416" s="10" t="str">
        <x:v>B</x:v>
      </x:c>
      <x:c r="C416" s="18" t="n">
        <x:v>1.343</x:v>
      </x:c>
      <x:c r="D416" s="10" t="n">
        <x:v>560</x:v>
      </x:c>
      <x:c r="E416" s="10" t="n">
        <x:v>0.01728</x:v>
      </x:c>
      <x:c r="F416" s="10" t="n">
        <x:v>0.004096</x:v>
      </x:c>
      <x:c r="G416" s="10" t="n">
        <x:f>SUM(D416:F416)</x:f>
        <x:v>560.021376</x:v>
      </x:c>
    </x:row>
    <x:row r="417" ht="24" customHeight="1">
      <x:c r="A417" s="10" t="str">
        <x:v>S01-10</x:v>
      </x:c>
      <x:c r="B417" s="10" t="str">
        <x:v>B</x:v>
      </x:c>
      <x:c r="C417" s="18" t="n">
        <x:v>1.3430001</x:v>
      </x:c>
      <x:c r="D417" s="10" t="n">
        <x:v>560</x:v>
      </x:c>
      <x:c r="E417" s="10" t="n">
        <x:v>0.017280014</x:v>
      </x:c>
      <x:c r="F417" s="10" t="n">
        <x:v>0.004096</x:v>
      </x:c>
      <x:c r="G417" s="10" t="n">
        <x:f>SUM(D417:F417)</x:f>
        <x:v>560.021376014</x:v>
      </x:c>
    </x:row>
    <x:row r="418" ht="24" customHeight="1">
      <x:c r="A418" s="10" t="str">
        <x:v>S01-10</x:v>
      </x:c>
      <x:c r="B418" s="10" t="str">
        <x:v>B</x:v>
      </x:c>
      <x:c r="C418" s="18" t="n">
        <x:v>2.0164999</x:v>
      </x:c>
      <x:c r="D418" s="10" t="n">
        <x:v>560</x:v>
      </x:c>
      <x:c r="E418" s="10" t="n">
        <x:v>0.114263986</x:v>
      </x:c>
      <x:c r="F418" s="10" t="n">
        <x:v>0.004096</x:v>
      </x:c>
      <x:c r="G418" s="10" t="n">
        <x:f>SUM(D418:F418)</x:f>
        <x:v>560.118359986</x:v>
      </x:c>
    </x:row>
    <x:row r="419" ht="24" customHeight="1">
      <x:c r="A419" s="10" t="str">
        <x:v>S01-10</x:v>
      </x:c>
      <x:c r="B419" s="10" t="str">
        <x:v>B</x:v>
      </x:c>
      <x:c r="C419" s="18" t="n">
        <x:v>2.0165</x:v>
      </x:c>
      <x:c r="D419" s="10" t="n">
        <x:v>560</x:v>
      </x:c>
      <x:c r="E419" s="10" t="n">
        <x:v>0.114264</x:v>
      </x:c>
      <x:c r="F419" s="10" t="n">
        <x:v>0.004096</x:v>
      </x:c>
      <x:c r="G419" s="10" t="n">
        <x:f>SUM(D419:F419)</x:f>
        <x:v>560.11836</x:v>
      </x:c>
    </x:row>
    <x:row r="420" ht="24" customHeight="1">
      <x:c r="A420" s="10" t="str">
        <x:v>S01-10</x:v>
      </x:c>
      <x:c r="B420" s="10" t="str">
        <x:v>B</x:v>
      </x:c>
      <x:c r="C420" s="18" t="n">
        <x:v>2.0165001</x:v>
      </x:c>
      <x:c r="D420" s="10" t="n">
        <x:v>560</x:v>
      </x:c>
      <x:c r="E420" s="10" t="n">
        <x:v>0.114263995</x:v>
      </x:c>
      <x:c r="F420" s="10" t="n">
        <x:v>0.004096</x:v>
      </x:c>
      <x:c r="G420" s="10" t="n">
        <x:f>SUM(D420:F420)</x:f>
        <x:v>560.118359995</x:v>
      </x:c>
    </x:row>
    <x:row r="421" ht="24" customHeight="1">
      <x:c r="A421" s="10" t="str">
        <x:v>S01-10</x:v>
      </x:c>
      <x:c r="B421" s="10" t="str">
        <x:v>B</x:v>
      </x:c>
      <x:c r="C421" s="18" t="n">
        <x:v>4.396999899</x:v>
      </x:c>
      <x:c r="D421" s="10" t="n">
        <x:v>560</x:v>
      </x:c>
      <x:c r="E421" s="10" t="n">
        <x:v>5e-9</x:v>
      </x:c>
      <x:c r="F421" s="10" t="n">
        <x:v>0.004096</x:v>
      </x:c>
      <x:c r="G421" s="10" t="n">
        <x:f>SUM(D421:F421)</x:f>
        <x:v>560.004096005</x:v>
      </x:c>
    </x:row>
    <x:row r="422" ht="24" customHeight="1">
      <x:c r="A422" s="10" t="str">
        <x:v>S01-10</x:v>
      </x:c>
      <x:c r="B422" s="10" t="str">
        <x:v>B</x:v>
      </x:c>
      <x:c r="C422" s="18" t="n">
        <x:v>4.396999999</x:v>
      </x:c>
      <x:c r="D422" s="10" t="n">
        <x:v>560</x:v>
      </x:c>
      <x:c r="E422" s="10" t="n">
        <x:v>0</x:v>
      </x:c>
      <x:c r="F422" s="10" t="n">
        <x:v>0.004096</x:v>
      </x:c>
      <x:c r="G422" s="10" t="n">
        <x:f>SUM(D422:F422)</x:f>
        <x:v>560.004096</x:v>
      </x:c>
    </x:row>
    <x:row r="423" ht="24" customHeight="1">
      <x:c r="A423" s="10" t="str">
        <x:v>S01-10</x:v>
      </x:c>
      <x:c r="B423" s="10" t="str">
        <x:v>B</x:v>
      </x:c>
      <x:c r="C423" s="18" t="n">
        <x:v>4.397000099</x:v>
      </x:c>
      <x:c r="D423" s="10" t="n">
        <x:v>560</x:v>
      </x:c>
      <x:c r="E423" s="10" t="n">
        <x:v>0</x:v>
      </x:c>
      <x:c r="F423" s="10" t="n">
        <x:v>0</x:v>
      </x:c>
      <x:c r="G423" s="10" t="n">
        <x:f>SUM(D423:F423)</x:f>
        <x:v>560</x:v>
      </x:c>
    </x:row>
    <x:row r="424" ht="24" customHeight="1">
      <x:c r="A424" s="10" t="str">
        <x:v>S02-01</x:v>
      </x:c>
      <x:c r="B424" s="10" t="str">
        <x:v>A</x:v>
      </x:c>
      <x:c r="C424" s="18" t="n">
        <x:v>-6.0000001</x:v>
      </x:c>
      <x:c r="D424" s="10" t="n">
        <x:v>560</x:v>
      </x:c>
      <x:c r="E424" s="10" t="n">
        <x:v>0</x:v>
      </x:c>
      <x:c r="F424" s="10" t="n">
        <x:v>0</x:v>
      </x:c>
      <x:c r="G424" s="10" t="n">
        <x:f>SUM(D424:F424)</x:f>
        <x:v>560</x:v>
      </x:c>
    </x:row>
    <x:row r="425" ht="24" customHeight="1">
      <x:c r="A425" s="10" t="str">
        <x:v>S02-01</x:v>
      </x:c>
      <x:c r="B425" s="10" t="str">
        <x:v>A</x:v>
      </x:c>
      <x:c r="C425" s="18" t="n">
        <x:v>-6</x:v>
      </x:c>
      <x:c r="D425" s="10" t="n">
        <x:v>560</x:v>
      </x:c>
      <x:c r="E425" s="10" t="n">
        <x:v>0</x:v>
      </x:c>
      <x:c r="F425" s="10" t="n">
        <x:v>0</x:v>
      </x:c>
      <x:c r="G425" s="10" t="n">
        <x:f>SUM(D425:F425)</x:f>
        <x:v>560</x:v>
      </x:c>
    </x:row>
    <x:row r="426" ht="24" customHeight="1">
      <x:c r="A426" s="10" t="str">
        <x:v>S02-01</x:v>
      </x:c>
      <x:c r="B426" s="10" t="str">
        <x:v>A</x:v>
      </x:c>
      <x:c r="C426" s="18" t="n">
        <x:v>-5.9999999</x:v>
      </x:c>
      <x:c r="D426" s="10" t="n">
        <x:v>560</x:v>
      </x:c>
      <x:c r="E426" s="10" t="n">
        <x:v>0</x:v>
      </x:c>
      <x:c r="F426" s="10" t="n">
        <x:v>0</x:v>
      </x:c>
      <x:c r="G426" s="10" t="n">
        <x:f>SUM(D426:F426)</x:f>
        <x:v>560</x:v>
      </x:c>
    </x:row>
    <x:row r="427" ht="24" customHeight="1">
      <x:c r="A427" s="10" t="str">
        <x:v>S02-01</x:v>
      </x:c>
      <x:c r="B427" s="10" t="str">
        <x:v>A</x:v>
      </x:c>
      <x:c r="C427" s="18" t="n">
        <x:v>-1.4000001</x:v>
      </x:c>
      <x:c r="D427" s="10" t="n">
        <x:v>560</x:v>
      </x:c>
      <x:c r="E427" s="10" t="n">
        <x:v>0</x:v>
      </x:c>
      <x:c r="F427" s="10" t="n">
        <x:v>0</x:v>
      </x:c>
      <x:c r="G427" s="10" t="n">
        <x:f>SUM(D427:F427)</x:f>
        <x:v>560</x:v>
      </x:c>
    </x:row>
    <x:row r="428" ht="24" customHeight="1">
      <x:c r="A428" s="10" t="str">
        <x:v>S02-01</x:v>
      </x:c>
      <x:c r="B428" s="10" t="str">
        <x:v>A</x:v>
      </x:c>
      <x:c r="C428" s="18" t="n">
        <x:v>-1.4</x:v>
      </x:c>
      <x:c r="D428" s="10" t="n">
        <x:v>560</x:v>
      </x:c>
      <x:c r="E428" s="10" t="n">
        <x:v>0</x:v>
      </x:c>
      <x:c r="F428" s="10" t="n">
        <x:v>0.004096</x:v>
      </x:c>
      <x:c r="G428" s="10" t="n">
        <x:f>SUM(D428:F428)</x:f>
        <x:v>560.004096</x:v>
      </x:c>
    </x:row>
    <x:row r="429" ht="24" customHeight="1">
      <x:c r="A429" s="10" t="str">
        <x:v>S02-01</x:v>
      </x:c>
      <x:c r="B429" s="10" t="str">
        <x:v>A</x:v>
      </x:c>
      <x:c r="C429" s="18" t="n">
        <x:v>-1.3999999</x:v>
      </x:c>
      <x:c r="D429" s="10" t="n">
        <x:v>560</x:v>
      </x:c>
      <x:c r="E429" s="10" t="n">
        <x:v>0</x:v>
      </x:c>
      <x:c r="F429" s="10" t="n">
        <x:v>0.004096</x:v>
      </x:c>
      <x:c r="G429" s="10" t="n">
        <x:f>SUM(D429:F429)</x:f>
        <x:v>560.004096</x:v>
      </x:c>
    </x:row>
    <x:row r="430" ht="24" customHeight="1">
      <x:c r="A430" s="10" t="str">
        <x:v>S02-01</x:v>
      </x:c>
      <x:c r="B430" s="10" t="str">
        <x:v>A</x:v>
      </x:c>
      <x:c r="C430" s="18" t="n">
        <x:v>-0.9990001</x:v>
      </x:c>
      <x:c r="D430" s="10" t="n">
        <x:v>560</x:v>
      </x:c>
      <x:c r="E430" s="10" t="n">
        <x:v>0</x:v>
      </x:c>
      <x:c r="F430" s="10" t="n">
        <x:v>0.004096</x:v>
      </x:c>
      <x:c r="G430" s="10" t="n">
        <x:f>SUM(D430:F430)</x:f>
        <x:v>560.004096</x:v>
      </x:c>
    </x:row>
    <x:row r="431" ht="24" customHeight="1">
      <x:c r="A431" s="10" t="str">
        <x:v>S02-01</x:v>
      </x:c>
      <x:c r="B431" s="10" t="str">
        <x:v>A</x:v>
      </x:c>
      <x:c r="C431" s="18" t="n">
        <x:v>-0.999</x:v>
      </x:c>
      <x:c r="D431" s="10" t="n">
        <x:v>560</x:v>
      </x:c>
      <x:c r="E431" s="10" t="n">
        <x:v>0.0096</x:v>
      </x:c>
      <x:c r="F431" s="10" t="n">
        <x:v>0.004096</x:v>
      </x:c>
      <x:c r="G431" s="10" t="n">
        <x:f>SUM(D431:F431)</x:f>
        <x:v>560.013696</x:v>
      </x:c>
    </x:row>
    <x:row r="432" ht="24" customHeight="1">
      <x:c r="A432" s="10" t="str">
        <x:v>S02-01</x:v>
      </x:c>
      <x:c r="B432" s="10" t="str">
        <x:v>A</x:v>
      </x:c>
      <x:c r="C432" s="18" t="n">
        <x:v>-0.9989999</x:v>
      </x:c>
      <x:c r="D432" s="10" t="n">
        <x:v>560</x:v>
      </x:c>
      <x:c r="E432" s="10" t="n">
        <x:v>0.009600019</x:v>
      </x:c>
      <x:c r="F432" s="10" t="n">
        <x:v>0.004096</x:v>
      </x:c>
      <x:c r="G432" s="10" t="n">
        <x:f>SUM(D432:F432)</x:f>
        <x:v>560.013696019</x:v>
      </x:c>
    </x:row>
    <x:row r="433" ht="24" customHeight="1">
      <x:c r="A433" s="10" t="str">
        <x:v>S02-01</x:v>
      </x:c>
      <x:c r="B433" s="10" t="str">
        <x:v>A</x:v>
      </x:c>
      <x:c r="C433" s="18" t="n">
        <x:v>-0.3625001</x:v>
      </x:c>
      <x:c r="D433" s="10" t="n">
        <x:v>560</x:v>
      </x:c>
      <x:c r="E433" s="10" t="n">
        <x:v>0.131807981</x:v>
      </x:c>
      <x:c r="F433" s="10" t="n">
        <x:v>0.004096</x:v>
      </x:c>
      <x:c r="G433" s="10" t="n">
        <x:f>SUM(D433:F433)</x:f>
        <x:v>560.135903981</x:v>
      </x:c>
    </x:row>
    <x:row r="434" ht="24" customHeight="1">
      <x:c r="A434" s="10" t="str">
        <x:v>S02-01</x:v>
      </x:c>
      <x:c r="B434" s="10" t="str">
        <x:v>A</x:v>
      </x:c>
      <x:c r="C434" s="18" t="n">
        <x:v>-0.3625</x:v>
      </x:c>
      <x:c r="D434" s="10" t="n">
        <x:v>560</x:v>
      </x:c>
      <x:c r="E434" s="10" t="n">
        <x:v>0.131808</x:v>
      </x:c>
      <x:c r="F434" s="10" t="n">
        <x:v>0.004096</x:v>
      </x:c>
      <x:c r="G434" s="10" t="n">
        <x:f>SUM(D434:F434)</x:f>
        <x:v>560.135904</x:v>
      </x:c>
    </x:row>
    <x:row r="435" ht="24" customHeight="1">
      <x:c r="A435" s="10" t="str">
        <x:v>S02-01</x:v>
      </x:c>
      <x:c r="B435" s="10" t="str">
        <x:v>A</x:v>
      </x:c>
      <x:c r="C435" s="18" t="n">
        <x:v>-0.3624999</x:v>
      </x:c>
      <x:c r="D435" s="10" t="n">
        <x:v>560</x:v>
      </x:c>
      <x:c r="E435" s="10" t="n">
        <x:v>0.131808</x:v>
      </x:c>
      <x:c r="F435" s="10" t="n">
        <x:v>0.004096</x:v>
      </x:c>
      <x:c r="G435" s="10" t="n">
        <x:f>SUM(D435:F435)</x:f>
        <x:v>560.135904</x:v>
      </x:c>
    </x:row>
    <x:row r="436" ht="24" customHeight="1">
      <x:c r="A436" s="10" t="str">
        <x:v>S02-01</x:v>
      </x:c>
      <x:c r="B436" s="10" t="str">
        <x:v>A</x:v>
      </x:c>
      <x:c r="C436" s="18" t="n">
        <x:v>-1e-7</x:v>
      </x:c>
      <x:c r="D436" s="10" t="n">
        <x:v>560</x:v>
      </x:c>
      <x:c r="E436" s="10" t="n">
        <x:v>0.131808</x:v>
      </x:c>
      <x:c r="F436" s="10" t="n">
        <x:v>0.004096</x:v>
      </x:c>
      <x:c r="G436" s="10" t="n">
        <x:f>SUM(D436:F436)</x:f>
        <x:v>560.135904</x:v>
      </x:c>
    </x:row>
    <x:row r="437" ht="24" customHeight="1">
      <x:c r="A437" s="10" t="str">
        <x:v>S02-01</x:v>
      </x:c>
      <x:c r="B437" s="10" t="str">
        <x:v>A</x:v>
      </x:c>
      <x:c r="C437" s="18" t="n">
        <x:v>0</x:v>
      </x:c>
      <x:c r="D437" s="10" t="n">
        <x:v>560</x:v>
      </x:c>
      <x:c r="E437" s="10" t="n">
        <x:v>0.131808</x:v>
      </x:c>
      <x:c r="F437" s="10" t="n">
        <x:v>0.004096</x:v>
      </x:c>
      <x:c r="G437" s="10" t="n">
        <x:f>SUM(D437:F437)</x:f>
        <x:v>560.135904</x:v>
      </x:c>
    </x:row>
    <x:row r="438" ht="24" customHeight="1">
      <x:c r="A438" s="10" t="str">
        <x:v>S02-01</x:v>
      </x:c>
      <x:c r="B438" s="10" t="str">
        <x:v>A</x:v>
      </x:c>
      <x:c r="C438" s="18" t="n">
        <x:v>1e-7</x:v>
      </x:c>
      <x:c r="D438" s="10" t="n">
        <x:v>560</x:v>
      </x:c>
      <x:c r="E438" s="10" t="n">
        <x:v>0.131808</x:v>
      </x:c>
      <x:c r="F438" s="10" t="n">
        <x:v>0.004096</x:v>
      </x:c>
      <x:c r="G438" s="10" t="n">
        <x:f>SUM(D438:F438)</x:f>
        <x:v>560.135904</x:v>
      </x:c>
    </x:row>
    <x:row r="439" ht="24" customHeight="1">
      <x:c r="A439" s="10" t="str">
        <x:v>S02-01</x:v>
      </x:c>
      <x:c r="B439" s="10" t="str">
        <x:v>A</x:v>
      </x:c>
      <x:c r="C439" s="18" t="n">
        <x:v>0.868333233</x:v>
      </x:c>
      <x:c r="D439" s="10" t="n">
        <x:v>560</x:v>
      </x:c>
      <x:c r="E439" s="10" t="n">
        <x:v>0.131808</x:v>
      </x:c>
      <x:c r="F439" s="10" t="n">
        <x:v>0.004096</x:v>
      </x:c>
      <x:c r="G439" s="10" t="n">
        <x:f>SUM(D439:F439)</x:f>
        <x:v>560.135904</x:v>
      </x:c>
    </x:row>
    <x:row r="440" ht="24" customHeight="1">
      <x:c r="A440" s="10" t="str">
        <x:v>S02-01</x:v>
      </x:c>
      <x:c r="B440" s="10" t="str">
        <x:v>A</x:v>
      </x:c>
      <x:c r="C440" s="18" t="n">
        <x:v>0.868333333</x:v>
      </x:c>
      <x:c r="D440" s="10" t="n">
        <x:v>560</x:v>
      </x:c>
      <x:c r="E440" s="10" t="n">
        <x:v>0.131808</x:v>
      </x:c>
      <x:c r="F440" s="10" t="n">
        <x:v>0.004096</x:v>
      </x:c>
      <x:c r="G440" s="10" t="n">
        <x:f>SUM(D440:F440)</x:f>
        <x:v>560.135904</x:v>
      </x:c>
    </x:row>
    <x:row r="441" ht="24" customHeight="1">
      <x:c r="A441" s="10" t="str">
        <x:v>S02-01</x:v>
      </x:c>
      <x:c r="B441" s="10" t="str">
        <x:v>A</x:v>
      </x:c>
      <x:c r="C441" s="18" t="n">
        <x:v>0.868333433</x:v>
      </x:c>
      <x:c r="D441" s="10" t="n">
        <x:v>560</x:v>
      </x:c>
      <x:c r="E441" s="10" t="n">
        <x:v>0.131808</x:v>
      </x:c>
      <x:c r="F441" s="10" t="n">
        <x:v>0.004096</x:v>
      </x:c>
      <x:c r="G441" s="10" t="n">
        <x:f>SUM(D441:F441)</x:f>
        <x:v>560.135904</x:v>
      </x:c>
    </x:row>
    <x:row r="442" ht="24" customHeight="1">
      <x:c r="A442" s="10" t="str">
        <x:v>S02-01</x:v>
      </x:c>
      <x:c r="B442" s="10" t="str">
        <x:v>A</x:v>
      </x:c>
      <x:c r="C442" s="18" t="n">
        <x:v>0.908333233</x:v>
      </x:c>
      <x:c r="D442" s="10" t="n">
        <x:v>560</x:v>
      </x:c>
      <x:c r="E442" s="10" t="n">
        <x:v>0.131808</x:v>
      </x:c>
      <x:c r="F442" s="10" t="n">
        <x:v>0.004096</x:v>
      </x:c>
      <x:c r="G442" s="10" t="n">
        <x:f>SUM(D442:F442)</x:f>
        <x:v>560.135904</x:v>
      </x:c>
    </x:row>
    <x:row r="443" ht="24" customHeight="1">
      <x:c r="A443" s="10" t="str">
        <x:v>S02-01</x:v>
      </x:c>
      <x:c r="B443" s="10" t="str">
        <x:v>A</x:v>
      </x:c>
      <x:c r="C443" s="18" t="n">
        <x:v>0.908333333</x:v>
      </x:c>
      <x:c r="D443" s="10" t="n">
        <x:v>560</x:v>
      </x:c>
      <x:c r="E443" s="10" t="n">
        <x:v>0.131808</x:v>
      </x:c>
      <x:c r="F443" s="10" t="n">
        <x:v>0.004096</x:v>
      </x:c>
      <x:c r="G443" s="10" t="n">
        <x:f>SUM(D443:F443)</x:f>
        <x:v>560.135904</x:v>
      </x:c>
    </x:row>
    <x:row r="444" ht="24" customHeight="1">
      <x:c r="A444" s="10" t="str">
        <x:v>S02-01</x:v>
      </x:c>
      <x:c r="B444" s="10" t="str">
        <x:v>A</x:v>
      </x:c>
      <x:c r="C444" s="18" t="n">
        <x:v>0.908333433</x:v>
      </x:c>
      <x:c r="D444" s="10" t="n">
        <x:v>560</x:v>
      </x:c>
      <x:c r="E444" s="10" t="n">
        <x:v>0.131807995</x:v>
      </x:c>
      <x:c r="F444" s="10" t="n">
        <x:v>0.004096</x:v>
      </x:c>
      <x:c r="G444" s="10" t="n">
        <x:f>SUM(D444:F444)</x:f>
        <x:v>560.135903995</x:v>
      </x:c>
    </x:row>
    <x:row r="445" ht="24" customHeight="1">
      <x:c r="A445" s="10" t="str">
        <x:v>S02-01</x:v>
      </x:c>
      <x:c r="B445" s="10" t="str">
        <x:v>A</x:v>
      </x:c>
      <x:c r="C445" s="18" t="n">
        <x:v>3.654333233</x:v>
      </x:c>
      <x:c r="D445" s="10" t="n">
        <x:v>560</x:v>
      </x:c>
      <x:c r="E445" s="10" t="n">
        <x:v>5e-9</x:v>
      </x:c>
      <x:c r="F445" s="10" t="n">
        <x:v>0.004096</x:v>
      </x:c>
      <x:c r="G445" s="10" t="n">
        <x:f>SUM(D445:F445)</x:f>
        <x:v>560.004096005</x:v>
      </x:c>
    </x:row>
    <x:row r="446" ht="24" customHeight="1">
      <x:c r="A446" s="10" t="str">
        <x:v>S02-01</x:v>
      </x:c>
      <x:c r="B446" s="10" t="str">
        <x:v>A</x:v>
      </x:c>
      <x:c r="C446" s="18" t="n">
        <x:v>3.654333333</x:v>
      </x:c>
      <x:c r="D446" s="10" t="n">
        <x:v>560</x:v>
      </x:c>
      <x:c r="E446" s="10" t="n">
        <x:v>0</x:v>
      </x:c>
      <x:c r="F446" s="10" t="n">
        <x:v>0.004096</x:v>
      </x:c>
      <x:c r="G446" s="10" t="n">
        <x:f>SUM(D446:F446)</x:f>
        <x:v>560.004096</x:v>
      </x:c>
    </x:row>
    <x:row r="447" ht="24" customHeight="1">
      <x:c r="A447" s="10" t="str">
        <x:v>S02-01</x:v>
      </x:c>
      <x:c r="B447" s="10" t="str">
        <x:v>A</x:v>
      </x:c>
      <x:c r="C447" s="18" t="n">
        <x:v>3.654333433</x:v>
      </x:c>
      <x:c r="D447" s="10" t="n">
        <x:v>560</x:v>
      </x:c>
      <x:c r="E447" s="10" t="n">
        <x:v>0</x:v>
      </x:c>
      <x:c r="F447" s="10" t="n">
        <x:v>0</x:v>
      </x:c>
      <x:c r="G447" s="10" t="n">
        <x:f>SUM(D447:F447)</x:f>
        <x:v>560</x:v>
      </x:c>
    </x:row>
    <x:row r="448" ht="24" customHeight="1">
      <x:c r="A448" s="10" t="str">
        <x:v>S02-01</x:v>
      </x:c>
      <x:c r="B448" s="10" t="str">
        <x:v>B</x:v>
      </x:c>
      <x:c r="C448" s="18" t="n">
        <x:v>-6.0000001</x:v>
      </x:c>
      <x:c r="D448" s="10" t="n">
        <x:v>560</x:v>
      </x:c>
      <x:c r="E448" s="10" t="n">
        <x:v>0</x:v>
      </x:c>
      <x:c r="F448" s="10" t="n">
        <x:v>0</x:v>
      </x:c>
      <x:c r="G448" s="10" t="n">
        <x:f>SUM(D448:F448)</x:f>
        <x:v>560</x:v>
      </x:c>
    </x:row>
    <x:row r="449" ht="24" customHeight="1">
      <x:c r="A449" s="10" t="str">
        <x:v>S02-01</x:v>
      </x:c>
      <x:c r="B449" s="10" t="str">
        <x:v>B</x:v>
      </x:c>
      <x:c r="C449" s="18" t="n">
        <x:v>-6</x:v>
      </x:c>
      <x:c r="D449" s="10" t="n">
        <x:v>560</x:v>
      </x:c>
      <x:c r="E449" s="10" t="n">
        <x:v>0</x:v>
      </x:c>
      <x:c r="F449" s="10" t="n">
        <x:v>0</x:v>
      </x:c>
      <x:c r="G449" s="10" t="n">
        <x:f>SUM(D449:F449)</x:f>
        <x:v>560</x:v>
      </x:c>
    </x:row>
    <x:row r="450" ht="24" customHeight="1">
      <x:c r="A450" s="10" t="str">
        <x:v>S02-01</x:v>
      </x:c>
      <x:c r="B450" s="10" t="str">
        <x:v>B</x:v>
      </x:c>
      <x:c r="C450" s="18" t="n">
        <x:v>-5.9999999</x:v>
      </x:c>
      <x:c r="D450" s="10" t="n">
        <x:v>560</x:v>
      </x:c>
      <x:c r="E450" s="10" t="n">
        <x:v>0</x:v>
      </x:c>
      <x:c r="F450" s="10" t="n">
        <x:v>0</x:v>
      </x:c>
      <x:c r="G450" s="10" t="n">
        <x:f>SUM(D450:F450)</x:f>
        <x:v>560</x:v>
      </x:c>
    </x:row>
    <x:row r="451" ht="24" customHeight="1">
      <x:c r="A451" s="10" t="str">
        <x:v>S02-01</x:v>
      </x:c>
      <x:c r="B451" s="10" t="str">
        <x:v>B</x:v>
      </x:c>
      <x:c r="C451" s="18" t="n">
        <x:v>-1e-7</x:v>
      </x:c>
      <x:c r="D451" s="10" t="n">
        <x:v>560</x:v>
      </x:c>
      <x:c r="E451" s="10" t="n">
        <x:v>0</x:v>
      </x:c>
      <x:c r="F451" s="10" t="n">
        <x:v>0</x:v>
      </x:c>
      <x:c r="G451" s="10" t="n">
        <x:f>SUM(D451:F451)</x:f>
        <x:v>560</x:v>
      </x:c>
    </x:row>
    <x:row r="452" ht="24" customHeight="1">
      <x:c r="A452" s="10" t="str">
        <x:v>S02-01</x:v>
      </x:c>
      <x:c r="B452" s="10" t="str">
        <x:v>B</x:v>
      </x:c>
      <x:c r="C452" s="18" t="n">
        <x:v>0</x:v>
      </x:c>
      <x:c r="D452" s="10" t="n">
        <x:v>560</x:v>
      </x:c>
      <x:c r="E452" s="10" t="n">
        <x:v>0</x:v>
      </x:c>
      <x:c r="F452" s="10" t="n">
        <x:v>0</x:v>
      </x:c>
      <x:c r="G452" s="10" t="n">
        <x:f>SUM(D452:F452)</x:f>
        <x:v>560</x:v>
      </x:c>
    </x:row>
    <x:row r="453" ht="24" customHeight="1">
      <x:c r="A453" s="10" t="str">
        <x:v>S02-01</x:v>
      </x:c>
      <x:c r="B453" s="10" t="str">
        <x:v>B</x:v>
      </x:c>
      <x:c r="C453" s="18" t="n">
        <x:v>1e-7</x:v>
      </x:c>
      <x:c r="D453" s="10" t="n">
        <x:v>560</x:v>
      </x:c>
      <x:c r="E453" s="10" t="n">
        <x:v>0</x:v>
      </x:c>
      <x:c r="F453" s="10" t="n">
        <x:v>0</x:v>
      </x:c>
      <x:c r="G453" s="10" t="n">
        <x:f>SUM(D453:F453)</x:f>
        <x:v>560</x:v>
      </x:c>
    </x:row>
    <x:row r="454" ht="24" customHeight="1">
      <x:c r="A454" s="10" t="str">
        <x:v>S02-01</x:v>
      </x:c>
      <x:c r="B454" s="10" t="str">
        <x:v>B</x:v>
      </x:c>
      <x:c r="C454" s="18" t="n">
        <x:v>0.868333233</x:v>
      </x:c>
      <x:c r="D454" s="10" t="n">
        <x:v>560</x:v>
      </x:c>
      <x:c r="E454" s="10" t="n">
        <x:v>0</x:v>
      </x:c>
      <x:c r="F454" s="10" t="n">
        <x:v>0</x:v>
      </x:c>
      <x:c r="G454" s="10" t="n">
        <x:f>SUM(D454:F454)</x:f>
        <x:v>560</x:v>
      </x:c>
    </x:row>
    <x:row r="455" ht="24" customHeight="1">
      <x:c r="A455" s="10" t="str">
        <x:v>S02-01</x:v>
      </x:c>
      <x:c r="B455" s="10" t="str">
        <x:v>B</x:v>
      </x:c>
      <x:c r="C455" s="18" t="n">
        <x:v>0.868333333</x:v>
      </x:c>
      <x:c r="D455" s="10" t="n">
        <x:v>560</x:v>
      </x:c>
      <x:c r="E455" s="10" t="n">
        <x:v>0</x:v>
      </x:c>
      <x:c r="F455" s="10" t="n">
        <x:v>0.004096</x:v>
      </x:c>
      <x:c r="G455" s="10" t="n">
        <x:f>SUM(D455:F455)</x:f>
        <x:v>560.004096</x:v>
      </x:c>
    </x:row>
    <x:row r="456" ht="24" customHeight="1">
      <x:c r="A456" s="10" t="str">
        <x:v>S02-01</x:v>
      </x:c>
      <x:c r="B456" s="10" t="str">
        <x:v>B</x:v>
      </x:c>
      <x:c r="C456" s="18" t="n">
        <x:v>0.868333433</x:v>
      </x:c>
      <x:c r="D456" s="10" t="n">
        <x:v>560</x:v>
      </x:c>
      <x:c r="E456" s="10" t="n">
        <x:v>0</x:v>
      </x:c>
      <x:c r="F456" s="10" t="n">
        <x:v>0.004096</x:v>
      </x:c>
      <x:c r="G456" s="10" t="n">
        <x:f>SUM(D456:F456)</x:f>
        <x:v>560.004096</x:v>
      </x:c>
    </x:row>
    <x:row r="457" ht="24" customHeight="1">
      <x:c r="A457" s="10" t="str">
        <x:v>S02-01</x:v>
      </x:c>
      <x:c r="B457" s="10" t="str">
        <x:v>B</x:v>
      </x:c>
      <x:c r="C457" s="18" t="n">
        <x:v>1.269333233</x:v>
      </x:c>
      <x:c r="D457" s="10" t="n">
        <x:v>560</x:v>
      </x:c>
      <x:c r="E457" s="10" t="n">
        <x:v>0</x:v>
      </x:c>
      <x:c r="F457" s="10" t="n">
        <x:v>0.004096</x:v>
      </x:c>
      <x:c r="G457" s="10" t="n">
        <x:f>SUM(D457:F457)</x:f>
        <x:v>560.004096</x:v>
      </x:c>
    </x:row>
    <x:row r="458" ht="24" customHeight="1">
      <x:c r="A458" s="10" t="str">
        <x:v>S02-01</x:v>
      </x:c>
      <x:c r="B458" s="10" t="str">
        <x:v>B</x:v>
      </x:c>
      <x:c r="C458" s="18" t="n">
        <x:v>1.269333333</x:v>
      </x:c>
      <x:c r="D458" s="10" t="n">
        <x:v>560</x:v>
      </x:c>
      <x:c r="E458" s="10" t="n">
        <x:v>0.0096</x:v>
      </x:c>
      <x:c r="F458" s="10" t="n">
        <x:v>0.004096</x:v>
      </x:c>
      <x:c r="G458" s="10" t="n">
        <x:f>SUM(D458:F458)</x:f>
        <x:v>560.013696</x:v>
      </x:c>
    </x:row>
    <x:row r="459" ht="24" customHeight="1">
      <x:c r="A459" s="10" t="str">
        <x:v>S02-01</x:v>
      </x:c>
      <x:c r="B459" s="10" t="str">
        <x:v>B</x:v>
      </x:c>
      <x:c r="C459" s="18" t="n">
        <x:v>1.269333433</x:v>
      </x:c>
      <x:c r="D459" s="10" t="n">
        <x:v>560</x:v>
      </x:c>
      <x:c r="E459" s="10" t="n">
        <x:v>0.009600019</x:v>
      </x:c>
      <x:c r="F459" s="10" t="n">
        <x:v>0.004096</x:v>
      </x:c>
      <x:c r="G459" s="10" t="n">
        <x:f>SUM(D459:F459)</x:f>
        <x:v>560.013696019</x:v>
      </x:c>
    </x:row>
    <x:row r="460" ht="24" customHeight="1">
      <x:c r="A460" s="10" t="str">
        <x:v>S02-01</x:v>
      </x:c>
      <x:c r="B460" s="10" t="str">
        <x:v>B</x:v>
      </x:c>
      <x:c r="C460" s="18" t="n">
        <x:v>1.309333233</x:v>
      </x:c>
      <x:c r="D460" s="10" t="n">
        <x:v>560</x:v>
      </x:c>
      <x:c r="E460" s="10" t="n">
        <x:v>0.017279981</x:v>
      </x:c>
      <x:c r="F460" s="10" t="n">
        <x:v>0.004096</x:v>
      </x:c>
      <x:c r="G460" s="10" t="n">
        <x:f>SUM(D460:F460)</x:f>
        <x:v>560.021375981</x:v>
      </x:c>
    </x:row>
    <x:row r="461" ht="24" customHeight="1">
      <x:c r="A461" s="10" t="str">
        <x:v>S02-01</x:v>
      </x:c>
      <x:c r="B461" s="10" t="str">
        <x:v>B</x:v>
      </x:c>
      <x:c r="C461" s="18" t="n">
        <x:v>1.309333333</x:v>
      </x:c>
      <x:c r="D461" s="10" t="n">
        <x:v>560</x:v>
      </x:c>
      <x:c r="E461" s="10" t="n">
        <x:v>0.01728</x:v>
      </x:c>
      <x:c r="F461" s="10" t="n">
        <x:v>0.004096</x:v>
      </x:c>
      <x:c r="G461" s="10" t="n">
        <x:f>SUM(D461:F461)</x:f>
        <x:v>560.021376</x:v>
      </x:c>
    </x:row>
    <x:row r="462" ht="24" customHeight="1">
      <x:c r="A462" s="10" t="str">
        <x:v>S02-01</x:v>
      </x:c>
      <x:c r="B462" s="10" t="str">
        <x:v>B</x:v>
      </x:c>
      <x:c r="C462" s="18" t="n">
        <x:v>1.309333433</x:v>
      </x:c>
      <x:c r="D462" s="10" t="n">
        <x:v>560</x:v>
      </x:c>
      <x:c r="E462" s="10" t="n">
        <x:v>0.017280014</x:v>
      </x:c>
      <x:c r="F462" s="10" t="n">
        <x:v>0.004096</x:v>
      </x:c>
      <x:c r="G462" s="10" t="n">
        <x:f>SUM(D462:F462)</x:f>
        <x:v>560.021376014</x:v>
      </x:c>
    </x:row>
    <x:row r="463" ht="24" customHeight="1">
      <x:c r="A463" s="10" t="str">
        <x:v>S02-01</x:v>
      </x:c>
      <x:c r="B463" s="10" t="str">
        <x:v>B</x:v>
      </x:c>
      <x:c r="C463" s="18" t="n">
        <x:v>1.905833233</x:v>
      </x:c>
      <x:c r="D463" s="10" t="n">
        <x:v>560</x:v>
      </x:c>
      <x:c r="E463" s="10" t="n">
        <x:v>0.103175986</x:v>
      </x:c>
      <x:c r="F463" s="10" t="n">
        <x:v>0.004096</x:v>
      </x:c>
      <x:c r="G463" s="10" t="n">
        <x:f>SUM(D463:F463)</x:f>
        <x:v>560.107271986</x:v>
      </x:c>
    </x:row>
    <x:row r="464" ht="24" customHeight="1">
      <x:c r="A464" s="10" t="str">
        <x:v>S02-01</x:v>
      </x:c>
      <x:c r="B464" s="10" t="str">
        <x:v>B</x:v>
      </x:c>
      <x:c r="C464" s="18" t="n">
        <x:v>1.905833333</x:v>
      </x:c>
      <x:c r="D464" s="10" t="n">
        <x:v>560</x:v>
      </x:c>
      <x:c r="E464" s="10" t="n">
        <x:v>0.103176</x:v>
      </x:c>
      <x:c r="F464" s="10" t="n">
        <x:v>0.004096</x:v>
      </x:c>
      <x:c r="G464" s="10" t="n">
        <x:f>SUM(D464:F464)</x:f>
        <x:v>560.107272</x:v>
      </x:c>
    </x:row>
    <x:row r="465" ht="24" customHeight="1">
      <x:c r="A465" s="10" t="str">
        <x:v>S02-01</x:v>
      </x:c>
      <x:c r="B465" s="10" t="str">
        <x:v>B</x:v>
      </x:c>
      <x:c r="C465" s="18" t="n">
        <x:v>1.905833433</x:v>
      </x:c>
      <x:c r="D465" s="10" t="n">
        <x:v>560</x:v>
      </x:c>
      <x:c r="E465" s="10" t="n">
        <x:v>0.103175995</x:v>
      </x:c>
      <x:c r="F465" s="10" t="n">
        <x:v>0.004096</x:v>
      </x:c>
      <x:c r="G465" s="10" t="n">
        <x:f>SUM(D465:F465)</x:f>
        <x:v>560.107271995</x:v>
      </x:c>
    </x:row>
    <x:row r="466" ht="24" customHeight="1">
      <x:c r="A466" s="10" t="str">
        <x:v>S02-01</x:v>
      </x:c>
      <x:c r="B466" s="10" t="str">
        <x:v>B</x:v>
      </x:c>
      <x:c r="C466" s="18" t="n">
        <x:v>4.055333233</x:v>
      </x:c>
      <x:c r="D466" s="10" t="n">
        <x:v>560</x:v>
      </x:c>
      <x:c r="E466" s="10" t="n">
        <x:v>5e-9</x:v>
      </x:c>
      <x:c r="F466" s="10" t="n">
        <x:v>0.004096</x:v>
      </x:c>
      <x:c r="G466" s="10" t="n">
        <x:f>SUM(D466:F466)</x:f>
        <x:v>560.004096005</x:v>
      </x:c>
    </x:row>
    <x:row r="467" ht="24" customHeight="1">
      <x:c r="A467" s="10" t="str">
        <x:v>S02-01</x:v>
      </x:c>
      <x:c r="B467" s="10" t="str">
        <x:v>B</x:v>
      </x:c>
      <x:c r="C467" s="18" t="n">
        <x:v>4.055333333</x:v>
      </x:c>
      <x:c r="D467" s="10" t="n">
        <x:v>560</x:v>
      </x:c>
      <x:c r="E467" s="10" t="n">
        <x:v>0</x:v>
      </x:c>
      <x:c r="F467" s="10" t="n">
        <x:v>0.004096</x:v>
      </x:c>
      <x:c r="G467" s="10" t="n">
        <x:f>SUM(D467:F467)</x:f>
        <x:v>560.004096</x:v>
      </x:c>
    </x:row>
    <x:row r="468" ht="24" customHeight="1">
      <x:c r="A468" s="10" t="str">
        <x:v>S02-01</x:v>
      </x:c>
      <x:c r="B468" s="10" t="str">
        <x:v>B</x:v>
      </x:c>
      <x:c r="C468" s="18" t="n">
        <x:v>4.055333433</x:v>
      </x:c>
      <x:c r="D468" s="10" t="n">
        <x:v>560</x:v>
      </x:c>
      <x:c r="E468" s="10" t="n">
        <x:v>0</x:v>
      </x:c>
      <x:c r="F468" s="10" t="n">
        <x:v>0</x:v>
      </x:c>
      <x:c r="G468" s="10" t="n">
        <x:f>SUM(D468:F468)</x:f>
        <x:v>560</x:v>
      </x:c>
    </x:row>
    <x:row r="469" ht="24" customHeight="1">
      <x:c r="A469" s="10" t="str">
        <x:v>S02-02</x:v>
      </x:c>
      <x:c r="B469" s="10" t="str">
        <x:v>A</x:v>
      </x:c>
      <x:c r="C469" s="18" t="n">
        <x:v>-6.0000001</x:v>
      </x:c>
      <x:c r="D469" s="10" t="n">
        <x:v>560</x:v>
      </x:c>
      <x:c r="E469" s="10" t="n">
        <x:v>0</x:v>
      </x:c>
      <x:c r="F469" s="10" t="n">
        <x:v>0</x:v>
      </x:c>
      <x:c r="G469" s="10" t="n">
        <x:f>SUM(D469:F469)</x:f>
        <x:v>560</x:v>
      </x:c>
    </x:row>
    <x:row r="470" ht="24" customHeight="1">
      <x:c r="A470" s="10" t="str">
        <x:v>S02-02</x:v>
      </x:c>
      <x:c r="B470" s="10" t="str">
        <x:v>A</x:v>
      </x:c>
      <x:c r="C470" s="18" t="n">
        <x:v>-6</x:v>
      </x:c>
      <x:c r="D470" s="10" t="n">
        <x:v>560</x:v>
      </x:c>
      <x:c r="E470" s="10" t="n">
        <x:v>0</x:v>
      </x:c>
      <x:c r="F470" s="10" t="n">
        <x:v>0</x:v>
      </x:c>
      <x:c r="G470" s="10" t="n">
        <x:f>SUM(D470:F470)</x:f>
        <x:v>560</x:v>
      </x:c>
    </x:row>
    <x:row r="471" ht="24" customHeight="1">
      <x:c r="A471" s="10" t="str">
        <x:v>S02-02</x:v>
      </x:c>
      <x:c r="B471" s="10" t="str">
        <x:v>A</x:v>
      </x:c>
      <x:c r="C471" s="18" t="n">
        <x:v>-5.9999999</x:v>
      </x:c>
      <x:c r="D471" s="10" t="n">
        <x:v>560</x:v>
      </x:c>
      <x:c r="E471" s="10" t="n">
        <x:v>0</x:v>
      </x:c>
      <x:c r="F471" s="10" t="n">
        <x:v>0</x:v>
      </x:c>
      <x:c r="G471" s="10" t="n">
        <x:f>SUM(D471:F471)</x:f>
        <x:v>560</x:v>
      </x:c>
    </x:row>
    <x:row r="472" ht="24" customHeight="1">
      <x:c r="A472" s="10" t="str">
        <x:v>S02-02</x:v>
      </x:c>
      <x:c r="B472" s="10" t="str">
        <x:v>A</x:v>
      </x:c>
      <x:c r="C472" s="18" t="n">
        <x:v>-1.4000001</x:v>
      </x:c>
      <x:c r="D472" s="10" t="n">
        <x:v>560</x:v>
      </x:c>
      <x:c r="E472" s="10" t="n">
        <x:v>0</x:v>
      </x:c>
      <x:c r="F472" s="10" t="n">
        <x:v>0</x:v>
      </x:c>
      <x:c r="G472" s="10" t="n">
        <x:f>SUM(D472:F472)</x:f>
        <x:v>560</x:v>
      </x:c>
    </x:row>
    <x:row r="473" ht="24" customHeight="1">
      <x:c r="A473" s="10" t="str">
        <x:v>S02-02</x:v>
      </x:c>
      <x:c r="B473" s="10" t="str">
        <x:v>A</x:v>
      </x:c>
      <x:c r="C473" s="18" t="n">
        <x:v>-1.4</x:v>
      </x:c>
      <x:c r="D473" s="10" t="n">
        <x:v>560</x:v>
      </x:c>
      <x:c r="E473" s="10" t="n">
        <x:v>0</x:v>
      </x:c>
      <x:c r="F473" s="10" t="n">
        <x:v>0.004096</x:v>
      </x:c>
      <x:c r="G473" s="10" t="n">
        <x:f>SUM(D473:F473)</x:f>
        <x:v>560.004096</x:v>
      </x:c>
    </x:row>
    <x:row r="474" ht="24" customHeight="1">
      <x:c r="A474" s="10" t="str">
        <x:v>S02-02</x:v>
      </x:c>
      <x:c r="B474" s="10" t="str">
        <x:v>A</x:v>
      </x:c>
      <x:c r="C474" s="18" t="n">
        <x:v>-1.3999999</x:v>
      </x:c>
      <x:c r="D474" s="10" t="n">
        <x:v>560</x:v>
      </x:c>
      <x:c r="E474" s="10" t="n">
        <x:v>0</x:v>
      </x:c>
      <x:c r="F474" s="10" t="n">
        <x:v>0.004096</x:v>
      </x:c>
      <x:c r="G474" s="10" t="n">
        <x:f>SUM(D474:F474)</x:f>
        <x:v>560.004096</x:v>
      </x:c>
    </x:row>
    <x:row r="475" ht="24" customHeight="1">
      <x:c r="A475" s="10" t="str">
        <x:v>S02-02</x:v>
      </x:c>
      <x:c r="B475" s="10" t="str">
        <x:v>A</x:v>
      </x:c>
      <x:c r="C475" s="18" t="n">
        <x:v>-0.9990001</x:v>
      </x:c>
      <x:c r="D475" s="10" t="n">
        <x:v>560</x:v>
      </x:c>
      <x:c r="E475" s="10" t="n">
        <x:v>0</x:v>
      </x:c>
      <x:c r="F475" s="10" t="n">
        <x:v>0.004096</x:v>
      </x:c>
      <x:c r="G475" s="10" t="n">
        <x:f>SUM(D475:F475)</x:f>
        <x:v>560.004096</x:v>
      </x:c>
    </x:row>
    <x:row r="476" ht="24" customHeight="1">
      <x:c r="A476" s="10" t="str">
        <x:v>S02-02</x:v>
      </x:c>
      <x:c r="B476" s="10" t="str">
        <x:v>A</x:v>
      </x:c>
      <x:c r="C476" s="18" t="n">
        <x:v>-0.999</x:v>
      </x:c>
      <x:c r="D476" s="10" t="n">
        <x:v>560</x:v>
      </x:c>
      <x:c r="E476" s="10" t="n">
        <x:v>0.0096</x:v>
      </x:c>
      <x:c r="F476" s="10" t="n">
        <x:v>0.004096</x:v>
      </x:c>
      <x:c r="G476" s="10" t="n">
        <x:f>SUM(D476:F476)</x:f>
        <x:v>560.013696</x:v>
      </x:c>
    </x:row>
    <x:row r="477" ht="24" customHeight="1">
      <x:c r="A477" s="10" t="str">
        <x:v>S02-02</x:v>
      </x:c>
      <x:c r="B477" s="10" t="str">
        <x:v>A</x:v>
      </x:c>
      <x:c r="C477" s="18" t="n">
        <x:v>-0.9989999</x:v>
      </x:c>
      <x:c r="D477" s="10" t="n">
        <x:v>560</x:v>
      </x:c>
      <x:c r="E477" s="10" t="n">
        <x:v>0.009600019</x:v>
      </x:c>
      <x:c r="F477" s="10" t="n">
        <x:v>0.004096</x:v>
      </x:c>
      <x:c r="G477" s="10" t="n">
        <x:f>SUM(D477:F477)</x:f>
        <x:v>560.013696019</x:v>
      </x:c>
    </x:row>
    <x:row r="478" ht="24" customHeight="1">
      <x:c r="A478" s="10" t="str">
        <x:v>S02-02</x:v>
      </x:c>
      <x:c r="B478" s="10" t="str">
        <x:v>A</x:v>
      </x:c>
      <x:c r="C478" s="18" t="n">
        <x:v>-0.3595001</x:v>
      </x:c>
      <x:c r="D478" s="10" t="n">
        <x:v>560</x:v>
      </x:c>
      <x:c r="E478" s="10" t="n">
        <x:v>0.132383981</x:v>
      </x:c>
      <x:c r="F478" s="10" t="n">
        <x:v>0.004096</x:v>
      </x:c>
      <x:c r="G478" s="10" t="n">
        <x:f>SUM(D478:F478)</x:f>
        <x:v>560.136479981</x:v>
      </x:c>
    </x:row>
    <x:row r="479" ht="24" customHeight="1">
      <x:c r="A479" s="10" t="str">
        <x:v>S02-02</x:v>
      </x:c>
      <x:c r="B479" s="10" t="str">
        <x:v>A</x:v>
      </x:c>
      <x:c r="C479" s="18" t="n">
        <x:v>-0.3595</x:v>
      </x:c>
      <x:c r="D479" s="10" t="n">
        <x:v>560</x:v>
      </x:c>
      <x:c r="E479" s="10" t="n">
        <x:v>0.132384</x:v>
      </x:c>
      <x:c r="F479" s="10" t="n">
        <x:v>0.004096</x:v>
      </x:c>
      <x:c r="G479" s="10" t="n">
        <x:f>SUM(D479:F479)</x:f>
        <x:v>560.13648</x:v>
      </x:c>
    </x:row>
    <x:row r="480" ht="24" customHeight="1">
      <x:c r="A480" s="10" t="str">
        <x:v>S02-02</x:v>
      </x:c>
      <x:c r="B480" s="10" t="str">
        <x:v>A</x:v>
      </x:c>
      <x:c r="C480" s="18" t="n">
        <x:v>-0.3594999</x:v>
      </x:c>
      <x:c r="D480" s="10" t="n">
        <x:v>560</x:v>
      </x:c>
      <x:c r="E480" s="10" t="n">
        <x:v>0.132384</x:v>
      </x:c>
      <x:c r="F480" s="10" t="n">
        <x:v>0.004096</x:v>
      </x:c>
      <x:c r="G480" s="10" t="n">
        <x:f>SUM(D480:F480)</x:f>
        <x:v>560.13648</x:v>
      </x:c>
    </x:row>
    <x:row r="481" ht="24" customHeight="1">
      <x:c r="A481" s="10" t="str">
        <x:v>S02-02</x:v>
      </x:c>
      <x:c r="B481" s="10" t="str">
        <x:v>A</x:v>
      </x:c>
      <x:c r="C481" s="18" t="n">
        <x:v>-1e-7</x:v>
      </x:c>
      <x:c r="D481" s="10" t="n">
        <x:v>560</x:v>
      </x:c>
      <x:c r="E481" s="10" t="n">
        <x:v>0.132384</x:v>
      </x:c>
      <x:c r="F481" s="10" t="n">
        <x:v>0.004096</x:v>
      </x:c>
      <x:c r="G481" s="10" t="n">
        <x:f>SUM(D481:F481)</x:f>
        <x:v>560.13648</x:v>
      </x:c>
    </x:row>
    <x:row r="482" ht="24" customHeight="1">
      <x:c r="A482" s="10" t="str">
        <x:v>S02-02</x:v>
      </x:c>
      <x:c r="B482" s="10" t="str">
        <x:v>A</x:v>
      </x:c>
      <x:c r="C482" s="18" t="n">
        <x:v>0</x:v>
      </x:c>
      <x:c r="D482" s="10" t="n">
        <x:v>560</x:v>
      </x:c>
      <x:c r="E482" s="10" t="n">
        <x:v>0.132384</x:v>
      </x:c>
      <x:c r="F482" s="10" t="n">
        <x:v>0.004096</x:v>
      </x:c>
      <x:c r="G482" s="10" t="n">
        <x:f>SUM(D482:F482)</x:f>
        <x:v>560.13648</x:v>
      </x:c>
    </x:row>
    <x:row r="483" ht="24" customHeight="1">
      <x:c r="A483" s="10" t="str">
        <x:v>S02-02</x:v>
      </x:c>
      <x:c r="B483" s="10" t="str">
        <x:v>A</x:v>
      </x:c>
      <x:c r="C483" s="18" t="n">
        <x:v>1e-7</x:v>
      </x:c>
      <x:c r="D483" s="10" t="n">
        <x:v>560</x:v>
      </x:c>
      <x:c r="E483" s="10" t="n">
        <x:v>0.132384</x:v>
      </x:c>
      <x:c r="F483" s="10" t="n">
        <x:v>0.004096</x:v>
      </x:c>
      <x:c r="G483" s="10" t="n">
        <x:f>SUM(D483:F483)</x:f>
        <x:v>560.13648</x:v>
      </x:c>
    </x:row>
    <x:row r="484" ht="24" customHeight="1">
      <x:c r="A484" s="10" t="str">
        <x:v>S02-02</x:v>
      </x:c>
      <x:c r="B484" s="10" t="str">
        <x:v>A</x:v>
      </x:c>
      <x:c r="C484" s="18" t="n">
        <x:v>0.896666567</x:v>
      </x:c>
      <x:c r="D484" s="10" t="n">
        <x:v>560</x:v>
      </x:c>
      <x:c r="E484" s="10" t="n">
        <x:v>0.132384</x:v>
      </x:c>
      <x:c r="F484" s="10" t="n">
        <x:v>0.004096</x:v>
      </x:c>
      <x:c r="G484" s="10" t="n">
        <x:f>SUM(D484:F484)</x:f>
        <x:v>560.13648</x:v>
      </x:c>
    </x:row>
    <x:row r="485" ht="24" customHeight="1">
      <x:c r="A485" s="10" t="str">
        <x:v>S02-02</x:v>
      </x:c>
      <x:c r="B485" s="10" t="str">
        <x:v>A</x:v>
      </x:c>
      <x:c r="C485" s="18" t="n">
        <x:v>0.896666667</x:v>
      </x:c>
      <x:c r="D485" s="10" t="n">
        <x:v>560</x:v>
      </x:c>
      <x:c r="E485" s="10" t="n">
        <x:v>0.132384</x:v>
      </x:c>
      <x:c r="F485" s="10" t="n">
        <x:v>0.004096</x:v>
      </x:c>
      <x:c r="G485" s="10" t="n">
        <x:f>SUM(D485:F485)</x:f>
        <x:v>560.13648</x:v>
      </x:c>
    </x:row>
    <x:row r="486" ht="24" customHeight="1">
      <x:c r="A486" s="10" t="str">
        <x:v>S02-02</x:v>
      </x:c>
      <x:c r="B486" s="10" t="str">
        <x:v>A</x:v>
      </x:c>
      <x:c r="C486" s="18" t="n">
        <x:v>0.896666767</x:v>
      </x:c>
      <x:c r="D486" s="10" t="n">
        <x:v>560</x:v>
      </x:c>
      <x:c r="E486" s="10" t="n">
        <x:v>0.132384</x:v>
      </x:c>
      <x:c r="F486" s="10" t="n">
        <x:v>0.004096</x:v>
      </x:c>
      <x:c r="G486" s="10" t="n">
        <x:f>SUM(D486:F486)</x:f>
        <x:v>560.13648</x:v>
      </x:c>
    </x:row>
    <x:row r="487" ht="24" customHeight="1">
      <x:c r="A487" s="10" t="str">
        <x:v>S02-02</x:v>
      </x:c>
      <x:c r="B487" s="10" t="str">
        <x:v>A</x:v>
      </x:c>
      <x:c r="C487" s="18" t="n">
        <x:v>0.936666567</x:v>
      </x:c>
      <x:c r="D487" s="10" t="n">
        <x:v>560</x:v>
      </x:c>
      <x:c r="E487" s="10" t="n">
        <x:v>0.132384</x:v>
      </x:c>
      <x:c r="F487" s="10" t="n">
        <x:v>0.004096</x:v>
      </x:c>
      <x:c r="G487" s="10" t="n">
        <x:f>SUM(D487:F487)</x:f>
        <x:v>560.13648</x:v>
      </x:c>
    </x:row>
    <x:row r="488" ht="24" customHeight="1">
      <x:c r="A488" s="10" t="str">
        <x:v>S02-02</x:v>
      </x:c>
      <x:c r="B488" s="10" t="str">
        <x:v>A</x:v>
      </x:c>
      <x:c r="C488" s="18" t="n">
        <x:v>0.936666667</x:v>
      </x:c>
      <x:c r="D488" s="10" t="n">
        <x:v>560</x:v>
      </x:c>
      <x:c r="E488" s="10" t="n">
        <x:v>0.132384</x:v>
      </x:c>
      <x:c r="F488" s="10" t="n">
        <x:v>0.004096</x:v>
      </x:c>
      <x:c r="G488" s="10" t="n">
        <x:f>SUM(D488:F488)</x:f>
        <x:v>560.13648</x:v>
      </x:c>
    </x:row>
    <x:row r="489" ht="24" customHeight="1">
      <x:c r="A489" s="10" t="str">
        <x:v>S02-02</x:v>
      </x:c>
      <x:c r="B489" s="10" t="str">
        <x:v>A</x:v>
      </x:c>
      <x:c r="C489" s="18" t="n">
        <x:v>0.936666767</x:v>
      </x:c>
      <x:c r="D489" s="10" t="n">
        <x:v>560</x:v>
      </x:c>
      <x:c r="E489" s="10" t="n">
        <x:v>0.132383995</x:v>
      </x:c>
      <x:c r="F489" s="10" t="n">
        <x:v>0.004096</x:v>
      </x:c>
      <x:c r="G489" s="10" t="n">
        <x:f>SUM(D489:F489)</x:f>
        <x:v>560.1364799950001</x:v>
      </x:c>
    </x:row>
    <x:row r="490" ht="24" customHeight="1">
      <x:c r="A490" s="10" t="str">
        <x:v>S02-02</x:v>
      </x:c>
      <x:c r="B490" s="10" t="str">
        <x:v>A</x:v>
      </x:c>
      <x:c r="C490" s="18" t="n">
        <x:v>3.694666567</x:v>
      </x:c>
      <x:c r="D490" s="10" t="n">
        <x:v>560</x:v>
      </x:c>
      <x:c r="E490" s="10" t="n">
        <x:v>5e-9</x:v>
      </x:c>
      <x:c r="F490" s="10" t="n">
        <x:v>0.004096</x:v>
      </x:c>
      <x:c r="G490" s="10" t="n">
        <x:f>SUM(D490:F490)</x:f>
        <x:v>560.004096005</x:v>
      </x:c>
    </x:row>
    <x:row r="491" ht="24" customHeight="1">
      <x:c r="A491" s="10" t="str">
        <x:v>S02-02</x:v>
      </x:c>
      <x:c r="B491" s="10" t="str">
        <x:v>A</x:v>
      </x:c>
      <x:c r="C491" s="18" t="n">
        <x:v>3.694666667</x:v>
      </x:c>
      <x:c r="D491" s="10" t="n">
        <x:v>560</x:v>
      </x:c>
      <x:c r="E491" s="10" t="n">
        <x:v>0</x:v>
      </x:c>
      <x:c r="F491" s="10" t="n">
        <x:v>0.004096</x:v>
      </x:c>
      <x:c r="G491" s="10" t="n">
        <x:f>SUM(D491:F491)</x:f>
        <x:v>560.004096</x:v>
      </x:c>
    </x:row>
    <x:row r="492" ht="24" customHeight="1">
      <x:c r="A492" s="10" t="str">
        <x:v>S02-02</x:v>
      </x:c>
      <x:c r="B492" s="10" t="str">
        <x:v>A</x:v>
      </x:c>
      <x:c r="C492" s="18" t="n">
        <x:v>3.694666767</x:v>
      </x:c>
      <x:c r="D492" s="10" t="n">
        <x:v>560</x:v>
      </x:c>
      <x:c r="E492" s="10" t="n">
        <x:v>0</x:v>
      </x:c>
      <x:c r="F492" s="10" t="n">
        <x:v>0</x:v>
      </x:c>
      <x:c r="G492" s="10" t="n">
        <x:f>SUM(D492:F492)</x:f>
        <x:v>560</x:v>
      </x:c>
    </x:row>
    <x:row r="493" ht="24" customHeight="1">
      <x:c r="A493" s="10" t="str">
        <x:v>S02-02</x:v>
      </x:c>
      <x:c r="B493" s="10" t="str">
        <x:v>B</x:v>
      </x:c>
      <x:c r="C493" s="18" t="n">
        <x:v>-6.0000001</x:v>
      </x:c>
      <x:c r="D493" s="10" t="n">
        <x:v>560</x:v>
      </x:c>
      <x:c r="E493" s="10" t="n">
        <x:v>0</x:v>
      </x:c>
      <x:c r="F493" s="10" t="n">
        <x:v>0</x:v>
      </x:c>
      <x:c r="G493" s="10" t="n">
        <x:f>SUM(D493:F493)</x:f>
        <x:v>560</x:v>
      </x:c>
    </x:row>
    <x:row r="494" ht="24" customHeight="1">
      <x:c r="A494" s="10" t="str">
        <x:v>S02-02</x:v>
      </x:c>
      <x:c r="B494" s="10" t="str">
        <x:v>B</x:v>
      </x:c>
      <x:c r="C494" s="18" t="n">
        <x:v>-6</x:v>
      </x:c>
      <x:c r="D494" s="10" t="n">
        <x:v>560</x:v>
      </x:c>
      <x:c r="E494" s="10" t="n">
        <x:v>0</x:v>
      </x:c>
      <x:c r="F494" s="10" t="n">
        <x:v>0</x:v>
      </x:c>
      <x:c r="G494" s="10" t="n">
        <x:f>SUM(D494:F494)</x:f>
        <x:v>560</x:v>
      </x:c>
    </x:row>
    <x:row r="495" ht="24" customHeight="1">
      <x:c r="A495" s="10" t="str">
        <x:v>S02-02</x:v>
      </x:c>
      <x:c r="B495" s="10" t="str">
        <x:v>B</x:v>
      </x:c>
      <x:c r="C495" s="18" t="n">
        <x:v>-5.9999999</x:v>
      </x:c>
      <x:c r="D495" s="10" t="n">
        <x:v>560</x:v>
      </x:c>
      <x:c r="E495" s="10" t="n">
        <x:v>0</x:v>
      </x:c>
      <x:c r="F495" s="10" t="n">
        <x:v>0</x:v>
      </x:c>
      <x:c r="G495" s="10" t="n">
        <x:f>SUM(D495:F495)</x:f>
        <x:v>560</x:v>
      </x:c>
    </x:row>
    <x:row r="496" ht="24" customHeight="1">
      <x:c r="A496" s="10" t="str">
        <x:v>S02-02</x:v>
      </x:c>
      <x:c r="B496" s="10" t="str">
        <x:v>B</x:v>
      </x:c>
      <x:c r="C496" s="18" t="n">
        <x:v>-1e-7</x:v>
      </x:c>
      <x:c r="D496" s="10" t="n">
        <x:v>560</x:v>
      </x:c>
      <x:c r="E496" s="10" t="n">
        <x:v>0</x:v>
      </x:c>
      <x:c r="F496" s="10" t="n">
        <x:v>0</x:v>
      </x:c>
      <x:c r="G496" s="10" t="n">
        <x:f>SUM(D496:F496)</x:f>
        <x:v>560</x:v>
      </x:c>
    </x:row>
    <x:row r="497" ht="24" customHeight="1">
      <x:c r="A497" s="10" t="str">
        <x:v>S02-02</x:v>
      </x:c>
      <x:c r="B497" s="10" t="str">
        <x:v>B</x:v>
      </x:c>
      <x:c r="C497" s="18" t="n">
        <x:v>0</x:v>
      </x:c>
      <x:c r="D497" s="10" t="n">
        <x:v>560</x:v>
      </x:c>
      <x:c r="E497" s="10" t="n">
        <x:v>0</x:v>
      </x:c>
      <x:c r="F497" s="10" t="n">
        <x:v>0</x:v>
      </x:c>
      <x:c r="G497" s="10" t="n">
        <x:f>SUM(D497:F497)</x:f>
        <x:v>560</x:v>
      </x:c>
    </x:row>
    <x:row r="498" ht="24" customHeight="1">
      <x:c r="A498" s="10" t="str">
        <x:v>S02-02</x:v>
      </x:c>
      <x:c r="B498" s="10" t="str">
        <x:v>B</x:v>
      </x:c>
      <x:c r="C498" s="18" t="n">
        <x:v>1e-7</x:v>
      </x:c>
      <x:c r="D498" s="10" t="n">
        <x:v>560</x:v>
      </x:c>
      <x:c r="E498" s="10" t="n">
        <x:v>0</x:v>
      </x:c>
      <x:c r="F498" s="10" t="n">
        <x:v>0</x:v>
      </x:c>
      <x:c r="G498" s="10" t="n">
        <x:f>SUM(D498:F498)</x:f>
        <x:v>560</x:v>
      </x:c>
    </x:row>
    <x:row r="499" ht="24" customHeight="1">
      <x:c r="A499" s="10" t="str">
        <x:v>S02-02</x:v>
      </x:c>
      <x:c r="B499" s="10" t="str">
        <x:v>B</x:v>
      </x:c>
      <x:c r="C499" s="18" t="n">
        <x:v>0.896666567</x:v>
      </x:c>
      <x:c r="D499" s="10" t="n">
        <x:v>560</x:v>
      </x:c>
      <x:c r="E499" s="10" t="n">
        <x:v>0</x:v>
      </x:c>
      <x:c r="F499" s="10" t="n">
        <x:v>0</x:v>
      </x:c>
      <x:c r="G499" s="10" t="n">
        <x:f>SUM(D499:F499)</x:f>
        <x:v>560</x:v>
      </x:c>
    </x:row>
    <x:row r="500" ht="24" customHeight="1">
      <x:c r="A500" s="10" t="str">
        <x:v>S02-02</x:v>
      </x:c>
      <x:c r="B500" s="10" t="str">
        <x:v>B</x:v>
      </x:c>
      <x:c r="C500" s="18" t="n">
        <x:v>0.896666667</x:v>
      </x:c>
      <x:c r="D500" s="10" t="n">
        <x:v>560</x:v>
      </x:c>
      <x:c r="E500" s="10" t="n">
        <x:v>0</x:v>
      </x:c>
      <x:c r="F500" s="10" t="n">
        <x:v>0.004096</x:v>
      </x:c>
      <x:c r="G500" s="10" t="n">
        <x:f>SUM(D500:F500)</x:f>
        <x:v>560.004096</x:v>
      </x:c>
    </x:row>
    <x:row r="501" ht="24" customHeight="1">
      <x:c r="A501" s="10" t="str">
        <x:v>S02-02</x:v>
      </x:c>
      <x:c r="B501" s="10" t="str">
        <x:v>B</x:v>
      </x:c>
      <x:c r="C501" s="18" t="n">
        <x:v>0.896666767</x:v>
      </x:c>
      <x:c r="D501" s="10" t="n">
        <x:v>560</x:v>
      </x:c>
      <x:c r="E501" s="10" t="n">
        <x:v>0</x:v>
      </x:c>
      <x:c r="F501" s="10" t="n">
        <x:v>0.004096</x:v>
      </x:c>
      <x:c r="G501" s="10" t="n">
        <x:f>SUM(D501:F501)</x:f>
        <x:v>560.004096</x:v>
      </x:c>
    </x:row>
    <x:row r="502" ht="24" customHeight="1">
      <x:c r="A502" s="10" t="str">
        <x:v>S02-02</x:v>
      </x:c>
      <x:c r="B502" s="10" t="str">
        <x:v>B</x:v>
      </x:c>
      <x:c r="C502" s="18" t="n">
        <x:v>1.297666567</x:v>
      </x:c>
      <x:c r="D502" s="10" t="n">
        <x:v>560</x:v>
      </x:c>
      <x:c r="E502" s="10" t="n">
        <x:v>0</x:v>
      </x:c>
      <x:c r="F502" s="10" t="n">
        <x:v>0.004096</x:v>
      </x:c>
      <x:c r="G502" s="10" t="n">
        <x:f>SUM(D502:F502)</x:f>
        <x:v>560.004096</x:v>
      </x:c>
    </x:row>
    <x:row r="503" ht="24" customHeight="1">
      <x:c r="A503" s="10" t="str">
        <x:v>S02-02</x:v>
      </x:c>
      <x:c r="B503" s="10" t="str">
        <x:v>B</x:v>
      </x:c>
      <x:c r="C503" s="18" t="n">
        <x:v>1.297666667</x:v>
      </x:c>
      <x:c r="D503" s="10" t="n">
        <x:v>560</x:v>
      </x:c>
      <x:c r="E503" s="10" t="n">
        <x:v>0.0096</x:v>
      </x:c>
      <x:c r="F503" s="10" t="n">
        <x:v>0.004096</x:v>
      </x:c>
      <x:c r="G503" s="10" t="n">
        <x:f>SUM(D503:F503)</x:f>
        <x:v>560.013696</x:v>
      </x:c>
    </x:row>
    <x:row r="504" ht="24" customHeight="1">
      <x:c r="A504" s="10" t="str">
        <x:v>S02-02</x:v>
      </x:c>
      <x:c r="B504" s="10" t="str">
        <x:v>B</x:v>
      </x:c>
      <x:c r="C504" s="18" t="n">
        <x:v>1.297666767</x:v>
      </x:c>
      <x:c r="D504" s="10" t="n">
        <x:v>560</x:v>
      </x:c>
      <x:c r="E504" s="10" t="n">
        <x:v>0.009600019</x:v>
      </x:c>
      <x:c r="F504" s="10" t="n">
        <x:v>0.004096</x:v>
      </x:c>
      <x:c r="G504" s="10" t="n">
        <x:f>SUM(D504:F504)</x:f>
        <x:v>560.013696019</x:v>
      </x:c>
    </x:row>
    <x:row r="505" ht="24" customHeight="1">
      <x:c r="A505" s="10" t="str">
        <x:v>S02-02</x:v>
      </x:c>
      <x:c r="B505" s="10" t="str">
        <x:v>B</x:v>
      </x:c>
      <x:c r="C505" s="18" t="n">
        <x:v>1.337666567</x:v>
      </x:c>
      <x:c r="D505" s="10" t="n">
        <x:v>560</x:v>
      </x:c>
      <x:c r="E505" s="10" t="n">
        <x:v>0.017279981</x:v>
      </x:c>
      <x:c r="F505" s="10" t="n">
        <x:v>0.004096</x:v>
      </x:c>
      <x:c r="G505" s="10" t="n">
        <x:f>SUM(D505:F505)</x:f>
        <x:v>560.021375981</x:v>
      </x:c>
    </x:row>
    <x:row r="506" ht="24" customHeight="1">
      <x:c r="A506" s="10" t="str">
        <x:v>S02-02</x:v>
      </x:c>
      <x:c r="B506" s="10" t="str">
        <x:v>B</x:v>
      </x:c>
      <x:c r="C506" s="18" t="n">
        <x:v>1.337666667</x:v>
      </x:c>
      <x:c r="D506" s="10" t="n">
        <x:v>560</x:v>
      </x:c>
      <x:c r="E506" s="10" t="n">
        <x:v>0.01728</x:v>
      </x:c>
      <x:c r="F506" s="10" t="n">
        <x:v>0.004096</x:v>
      </x:c>
      <x:c r="G506" s="10" t="n">
        <x:f>SUM(D506:F506)</x:f>
        <x:v>560.021376</x:v>
      </x:c>
    </x:row>
    <x:row r="507" ht="24" customHeight="1">
      <x:c r="A507" s="10" t="str">
        <x:v>S02-02</x:v>
      </x:c>
      <x:c r="B507" s="10" t="str">
        <x:v>B</x:v>
      </x:c>
      <x:c r="C507" s="18" t="n">
        <x:v>1.337666767</x:v>
      </x:c>
      <x:c r="D507" s="10" t="n">
        <x:v>560</x:v>
      </x:c>
      <x:c r="E507" s="10" t="n">
        <x:v>0.017280014</x:v>
      </x:c>
      <x:c r="F507" s="10" t="n">
        <x:v>0.004096</x:v>
      </x:c>
      <x:c r="G507" s="10" t="n">
        <x:f>SUM(D507:F507)</x:f>
        <x:v>560.021376014</x:v>
      </x:c>
    </x:row>
    <x:row r="508" ht="24" customHeight="1">
      <x:c r="A508" s="10" t="str">
        <x:v>S02-02</x:v>
      </x:c>
      <x:c r="B508" s="10" t="str">
        <x:v>B</x:v>
      </x:c>
      <x:c r="C508" s="18" t="n">
        <x:v>1.937166567</x:v>
      </x:c>
      <x:c r="D508" s="10" t="n">
        <x:v>560</x:v>
      </x:c>
      <x:c r="E508" s="10" t="n">
        <x:v>0.103607986</x:v>
      </x:c>
      <x:c r="F508" s="10" t="n">
        <x:v>0.004096</x:v>
      </x:c>
      <x:c r="G508" s="10" t="n">
        <x:f>SUM(D508:F508)</x:f>
        <x:v>560.107703986</x:v>
      </x:c>
    </x:row>
    <x:row r="509" ht="24" customHeight="1">
      <x:c r="A509" s="10" t="str">
        <x:v>S02-02</x:v>
      </x:c>
      <x:c r="B509" s="10" t="str">
        <x:v>B</x:v>
      </x:c>
      <x:c r="C509" s="18" t="n">
        <x:v>1.937166667</x:v>
      </x:c>
      <x:c r="D509" s="10" t="n">
        <x:v>560</x:v>
      </x:c>
      <x:c r="E509" s="10" t="n">
        <x:v>0.103608</x:v>
      </x:c>
      <x:c r="F509" s="10" t="n">
        <x:v>0.004096</x:v>
      </x:c>
      <x:c r="G509" s="10" t="n">
        <x:f>SUM(D509:F509)</x:f>
        <x:v>560.107704</x:v>
      </x:c>
    </x:row>
    <x:row r="510" ht="24" customHeight="1">
      <x:c r="A510" s="10" t="str">
        <x:v>S02-02</x:v>
      </x:c>
      <x:c r="B510" s="10" t="str">
        <x:v>B</x:v>
      </x:c>
      <x:c r="C510" s="18" t="n">
        <x:v>1.937166767</x:v>
      </x:c>
      <x:c r="D510" s="10" t="n">
        <x:v>560</x:v>
      </x:c>
      <x:c r="E510" s="10" t="n">
        <x:v>0.103607995</x:v>
      </x:c>
      <x:c r="F510" s="10" t="n">
        <x:v>0.004096</x:v>
      </x:c>
      <x:c r="G510" s="10" t="n">
        <x:f>SUM(D510:F510)</x:f>
        <x:v>560.107703995</x:v>
      </x:c>
    </x:row>
    <x:row r="511" ht="24" customHeight="1">
      <x:c r="A511" s="10" t="str">
        <x:v>S02-02</x:v>
      </x:c>
      <x:c r="B511" s="10" t="str">
        <x:v>B</x:v>
      </x:c>
      <x:c r="C511" s="18" t="n">
        <x:v>4.095666567</x:v>
      </x:c>
      <x:c r="D511" s="10" t="n">
        <x:v>560</x:v>
      </x:c>
      <x:c r="E511" s="10" t="n">
        <x:v>5e-9</x:v>
      </x:c>
      <x:c r="F511" s="10" t="n">
        <x:v>0.004096</x:v>
      </x:c>
      <x:c r="G511" s="10" t="n">
        <x:f>SUM(D511:F511)</x:f>
        <x:v>560.004096005</x:v>
      </x:c>
    </x:row>
    <x:row r="512" ht="24" customHeight="1">
      <x:c r="A512" s="10" t="str">
        <x:v>S02-02</x:v>
      </x:c>
      <x:c r="B512" s="10" t="str">
        <x:v>B</x:v>
      </x:c>
      <x:c r="C512" s="18" t="n">
        <x:v>4.095666667</x:v>
      </x:c>
      <x:c r="D512" s="10" t="n">
        <x:v>560</x:v>
      </x:c>
      <x:c r="E512" s="10" t="n">
        <x:v>0</x:v>
      </x:c>
      <x:c r="F512" s="10" t="n">
        <x:v>0.004096</x:v>
      </x:c>
      <x:c r="G512" s="10" t="n">
        <x:f>SUM(D512:F512)</x:f>
        <x:v>560.004096</x:v>
      </x:c>
    </x:row>
    <x:row r="513" ht="24" customHeight="1">
      <x:c r="A513" s="10" t="str">
        <x:v>S02-02</x:v>
      </x:c>
      <x:c r="B513" s="10" t="str">
        <x:v>B</x:v>
      </x:c>
      <x:c r="C513" s="18" t="n">
        <x:v>4.095666767</x:v>
      </x:c>
      <x:c r="D513" s="10" t="n">
        <x:v>560</x:v>
      </x:c>
      <x:c r="E513" s="10" t="n">
        <x:v>0</x:v>
      </x:c>
      <x:c r="F513" s="10" t="n">
        <x:v>0</x:v>
      </x:c>
      <x:c r="G513" s="10" t="n">
        <x:f>SUM(D513:F513)</x:f>
        <x:v>560</x:v>
      </x:c>
    </x:row>
    <x:row r="514" ht="24" customHeight="1">
      <x:c r="A514" s="10" t="str">
        <x:v>S02-03</x:v>
      </x:c>
      <x:c r="B514" s="10" t="str">
        <x:v>A</x:v>
      </x:c>
      <x:c r="C514" s="18" t="n">
        <x:v>-6.0000001</x:v>
      </x:c>
      <x:c r="D514" s="10" t="n">
        <x:v>560</x:v>
      </x:c>
      <x:c r="E514" s="10" t="n">
        <x:v>0</x:v>
      </x:c>
      <x:c r="F514" s="10" t="n">
        <x:v>0</x:v>
      </x:c>
      <x:c r="G514" s="10" t="n">
        <x:f>SUM(D514:F514)</x:f>
        <x:v>560</x:v>
      </x:c>
    </x:row>
    <x:row r="515" ht="24" customHeight="1">
      <x:c r="A515" s="10" t="str">
        <x:v>S02-03</x:v>
      </x:c>
      <x:c r="B515" s="10" t="str">
        <x:v>A</x:v>
      </x:c>
      <x:c r="C515" s="18" t="n">
        <x:v>-6</x:v>
      </x:c>
      <x:c r="D515" s="10" t="n">
        <x:v>560</x:v>
      </x:c>
      <x:c r="E515" s="10" t="n">
        <x:v>0</x:v>
      </x:c>
      <x:c r="F515" s="10" t="n">
        <x:v>0</x:v>
      </x:c>
      <x:c r="G515" s="10" t="n">
        <x:f>SUM(D515:F515)</x:f>
        <x:v>560</x:v>
      </x:c>
    </x:row>
    <x:row r="516" ht="24" customHeight="1">
      <x:c r="A516" s="10" t="str">
        <x:v>S02-03</x:v>
      </x:c>
      <x:c r="B516" s="10" t="str">
        <x:v>A</x:v>
      </x:c>
      <x:c r="C516" s="18" t="n">
        <x:v>-5.9999999</x:v>
      </x:c>
      <x:c r="D516" s="10" t="n">
        <x:v>560</x:v>
      </x:c>
      <x:c r="E516" s="10" t="n">
        <x:v>0</x:v>
      </x:c>
      <x:c r="F516" s="10" t="n">
        <x:v>0</x:v>
      </x:c>
      <x:c r="G516" s="10" t="n">
        <x:f>SUM(D516:F516)</x:f>
        <x:v>560</x:v>
      </x:c>
    </x:row>
    <x:row r="517" ht="24" customHeight="1">
      <x:c r="A517" s="10" t="str">
        <x:v>S02-03</x:v>
      </x:c>
      <x:c r="B517" s="10" t="str">
        <x:v>A</x:v>
      </x:c>
      <x:c r="C517" s="18" t="n">
        <x:v>-1.4000001</x:v>
      </x:c>
      <x:c r="D517" s="10" t="n">
        <x:v>560</x:v>
      </x:c>
      <x:c r="E517" s="10" t="n">
        <x:v>0</x:v>
      </x:c>
      <x:c r="F517" s="10" t="n">
        <x:v>0</x:v>
      </x:c>
      <x:c r="G517" s="10" t="n">
        <x:f>SUM(D517:F517)</x:f>
        <x:v>560</x:v>
      </x:c>
    </x:row>
    <x:row r="518" ht="24" customHeight="1">
      <x:c r="A518" s="10" t="str">
        <x:v>S02-03</x:v>
      </x:c>
      <x:c r="B518" s="10" t="str">
        <x:v>A</x:v>
      </x:c>
      <x:c r="C518" s="18" t="n">
        <x:v>-1.4</x:v>
      </x:c>
      <x:c r="D518" s="10" t="n">
        <x:v>560</x:v>
      </x:c>
      <x:c r="E518" s="10" t="n">
        <x:v>0</x:v>
      </x:c>
      <x:c r="F518" s="10" t="n">
        <x:v>0.004096</x:v>
      </x:c>
      <x:c r="G518" s="10" t="n">
        <x:f>SUM(D518:F518)</x:f>
        <x:v>560.004096</x:v>
      </x:c>
    </x:row>
    <x:row r="519" ht="24" customHeight="1">
      <x:c r="A519" s="10" t="str">
        <x:v>S02-03</x:v>
      </x:c>
      <x:c r="B519" s="10" t="str">
        <x:v>A</x:v>
      </x:c>
      <x:c r="C519" s="18" t="n">
        <x:v>-1.3999999</x:v>
      </x:c>
      <x:c r="D519" s="10" t="n">
        <x:v>560</x:v>
      </x:c>
      <x:c r="E519" s="10" t="n">
        <x:v>0</x:v>
      </x:c>
      <x:c r="F519" s="10" t="n">
        <x:v>0.004096</x:v>
      </x:c>
      <x:c r="G519" s="10" t="n">
        <x:f>SUM(D519:F519)</x:f>
        <x:v>560.004096</x:v>
      </x:c>
    </x:row>
    <x:row r="520" ht="24" customHeight="1">
      <x:c r="A520" s="10" t="str">
        <x:v>S02-03</x:v>
      </x:c>
      <x:c r="B520" s="10" t="str">
        <x:v>A</x:v>
      </x:c>
      <x:c r="C520" s="18" t="n">
        <x:v>-0.9990001</x:v>
      </x:c>
      <x:c r="D520" s="10" t="n">
        <x:v>560</x:v>
      </x:c>
      <x:c r="E520" s="10" t="n">
        <x:v>0</x:v>
      </x:c>
      <x:c r="F520" s="10" t="n">
        <x:v>0.004096</x:v>
      </x:c>
      <x:c r="G520" s="10" t="n">
        <x:f>SUM(D520:F520)</x:f>
        <x:v>560.004096</x:v>
      </x:c>
    </x:row>
    <x:row r="521" ht="24" customHeight="1">
      <x:c r="A521" s="10" t="str">
        <x:v>S02-03</x:v>
      </x:c>
      <x:c r="B521" s="10" t="str">
        <x:v>A</x:v>
      </x:c>
      <x:c r="C521" s="18" t="n">
        <x:v>-0.999</x:v>
      </x:c>
      <x:c r="D521" s="10" t="n">
        <x:v>560</x:v>
      </x:c>
      <x:c r="E521" s="10" t="n">
        <x:v>0.0096</x:v>
      </x:c>
      <x:c r="F521" s="10" t="n">
        <x:v>0.004096</x:v>
      </x:c>
      <x:c r="G521" s="10" t="n">
        <x:f>SUM(D521:F521)</x:f>
        <x:v>560.013696</x:v>
      </x:c>
    </x:row>
    <x:row r="522" ht="24" customHeight="1">
      <x:c r="A522" s="10" t="str">
        <x:v>S02-03</x:v>
      </x:c>
      <x:c r="B522" s="10" t="str">
        <x:v>A</x:v>
      </x:c>
      <x:c r="C522" s="18" t="n">
        <x:v>-0.9989999</x:v>
      </x:c>
      <x:c r="D522" s="10" t="n">
        <x:v>560</x:v>
      </x:c>
      <x:c r="E522" s="10" t="n">
        <x:v>0.009600019</x:v>
      </x:c>
      <x:c r="F522" s="10" t="n">
        <x:v>0.004096</x:v>
      </x:c>
      <x:c r="G522" s="10" t="n">
        <x:f>SUM(D522:F522)</x:f>
        <x:v>560.013696019</x:v>
      </x:c>
    </x:row>
    <x:row r="523" ht="24" customHeight="1">
      <x:c r="A523" s="10" t="str">
        <x:v>S02-03</x:v>
      </x:c>
      <x:c r="B523" s="10" t="str">
        <x:v>A</x:v>
      </x:c>
      <x:c r="C523" s="18" t="n">
        <x:v>-0.3565001</x:v>
      </x:c>
      <x:c r="D523" s="10" t="n">
        <x:v>560</x:v>
      </x:c>
      <x:c r="E523" s="10" t="n">
        <x:v>0.132959981</x:v>
      </x:c>
      <x:c r="F523" s="10" t="n">
        <x:v>0.004096</x:v>
      </x:c>
      <x:c r="G523" s="10" t="n">
        <x:f>SUM(D523:F523)</x:f>
        <x:v>560.137055981</x:v>
      </x:c>
    </x:row>
    <x:row r="524" ht="24" customHeight="1">
      <x:c r="A524" s="10" t="str">
        <x:v>S02-03</x:v>
      </x:c>
      <x:c r="B524" s="10" t="str">
        <x:v>A</x:v>
      </x:c>
      <x:c r="C524" s="18" t="n">
        <x:v>-0.3565</x:v>
      </x:c>
      <x:c r="D524" s="10" t="n">
        <x:v>560</x:v>
      </x:c>
      <x:c r="E524" s="10" t="n">
        <x:v>0.13296</x:v>
      </x:c>
      <x:c r="F524" s="10" t="n">
        <x:v>0.004096</x:v>
      </x:c>
      <x:c r="G524" s="10" t="n">
        <x:f>SUM(D524:F524)</x:f>
        <x:v>560.137056</x:v>
      </x:c>
    </x:row>
    <x:row r="525" ht="24" customHeight="1">
      <x:c r="A525" s="10" t="str">
        <x:v>S02-03</x:v>
      </x:c>
      <x:c r="B525" s="10" t="str">
        <x:v>A</x:v>
      </x:c>
      <x:c r="C525" s="18" t="n">
        <x:v>-0.3564999</x:v>
      </x:c>
      <x:c r="D525" s="10" t="n">
        <x:v>560</x:v>
      </x:c>
      <x:c r="E525" s="10" t="n">
        <x:v>0.13296</x:v>
      </x:c>
      <x:c r="F525" s="10" t="n">
        <x:v>0.004096</x:v>
      </x:c>
      <x:c r="G525" s="10" t="n">
        <x:f>SUM(D525:F525)</x:f>
        <x:v>560.137056</x:v>
      </x:c>
    </x:row>
    <x:row r="526" ht="24" customHeight="1">
      <x:c r="A526" s="10" t="str">
        <x:v>S02-03</x:v>
      </x:c>
      <x:c r="B526" s="10" t="str">
        <x:v>A</x:v>
      </x:c>
      <x:c r="C526" s="18" t="n">
        <x:v>-1e-7</x:v>
      </x:c>
      <x:c r="D526" s="10" t="n">
        <x:v>560</x:v>
      </x:c>
      <x:c r="E526" s="10" t="n">
        <x:v>0.13296</x:v>
      </x:c>
      <x:c r="F526" s="10" t="n">
        <x:v>0.004096</x:v>
      </x:c>
      <x:c r="G526" s="10" t="n">
        <x:f>SUM(D526:F526)</x:f>
        <x:v>560.137056</x:v>
      </x:c>
    </x:row>
    <x:row r="527" ht="24" customHeight="1">
      <x:c r="A527" s="10" t="str">
        <x:v>S02-03</x:v>
      </x:c>
      <x:c r="B527" s="10" t="str">
        <x:v>A</x:v>
      </x:c>
      <x:c r="C527" s="18" t="n">
        <x:v>0</x:v>
      </x:c>
      <x:c r="D527" s="10" t="n">
        <x:v>560</x:v>
      </x:c>
      <x:c r="E527" s="10" t="n">
        <x:v>0.13296</x:v>
      </x:c>
      <x:c r="F527" s="10" t="n">
        <x:v>0.004096</x:v>
      </x:c>
      <x:c r="G527" s="10" t="n">
        <x:f>SUM(D527:F527)</x:f>
        <x:v>560.137056</x:v>
      </x:c>
    </x:row>
    <x:row r="528" ht="24" customHeight="1">
      <x:c r="A528" s="10" t="str">
        <x:v>S02-03</x:v>
      </x:c>
      <x:c r="B528" s="10" t="str">
        <x:v>A</x:v>
      </x:c>
      <x:c r="C528" s="18" t="n">
        <x:v>1e-7</x:v>
      </x:c>
      <x:c r="D528" s="10" t="n">
        <x:v>560</x:v>
      </x:c>
      <x:c r="E528" s="10" t="n">
        <x:v>0.13296</x:v>
      </x:c>
      <x:c r="F528" s="10" t="n">
        <x:v>0.004096</x:v>
      </x:c>
      <x:c r="G528" s="10" t="n">
        <x:f>SUM(D528:F528)</x:f>
        <x:v>560.137056</x:v>
      </x:c>
    </x:row>
    <x:row r="529" ht="24" customHeight="1">
      <x:c r="A529" s="10" t="str">
        <x:v>S02-03</x:v>
      </x:c>
      <x:c r="B529" s="10" t="str">
        <x:v>A</x:v>
      </x:c>
      <x:c r="C529" s="18" t="n">
        <x:v>0.8499999</x:v>
      </x:c>
      <x:c r="D529" s="10" t="n">
        <x:v>560</x:v>
      </x:c>
      <x:c r="E529" s="10" t="n">
        <x:v>0.13296</x:v>
      </x:c>
      <x:c r="F529" s="10" t="n">
        <x:v>0.004096</x:v>
      </x:c>
      <x:c r="G529" s="10" t="n">
        <x:f>SUM(D529:F529)</x:f>
        <x:v>560.137056</x:v>
      </x:c>
    </x:row>
    <x:row r="530" ht="24" customHeight="1">
      <x:c r="A530" s="10" t="str">
        <x:v>S02-03</x:v>
      </x:c>
      <x:c r="B530" s="10" t="str">
        <x:v>A</x:v>
      </x:c>
      <x:c r="C530" s="18" t="n">
        <x:v>0.85</x:v>
      </x:c>
      <x:c r="D530" s="10" t="n">
        <x:v>560</x:v>
      </x:c>
      <x:c r="E530" s="10" t="n">
        <x:v>0.13296</x:v>
      </x:c>
      <x:c r="F530" s="10" t="n">
        <x:v>0.004096</x:v>
      </x:c>
      <x:c r="G530" s="10" t="n">
        <x:f>SUM(D530:F530)</x:f>
        <x:v>560.137056</x:v>
      </x:c>
    </x:row>
    <x:row r="531" ht="24" customHeight="1">
      <x:c r="A531" s="10" t="str">
        <x:v>S02-03</x:v>
      </x:c>
      <x:c r="B531" s="10" t="str">
        <x:v>A</x:v>
      </x:c>
      <x:c r="C531" s="18" t="n">
        <x:v>0.8500001</x:v>
      </x:c>
      <x:c r="D531" s="10" t="n">
        <x:v>560</x:v>
      </x:c>
      <x:c r="E531" s="10" t="n">
        <x:v>0.13296</x:v>
      </x:c>
      <x:c r="F531" s="10" t="n">
        <x:v>0.004096</x:v>
      </x:c>
      <x:c r="G531" s="10" t="n">
        <x:f>SUM(D531:F531)</x:f>
        <x:v>560.137056</x:v>
      </x:c>
    </x:row>
    <x:row r="532" ht="24" customHeight="1">
      <x:c r="A532" s="10" t="str">
        <x:v>S02-03</x:v>
      </x:c>
      <x:c r="B532" s="10" t="str">
        <x:v>A</x:v>
      </x:c>
      <x:c r="C532" s="18" t="n">
        <x:v>0.8899999</x:v>
      </x:c>
      <x:c r="D532" s="10" t="n">
        <x:v>560</x:v>
      </x:c>
      <x:c r="E532" s="10" t="n">
        <x:v>0.13296</x:v>
      </x:c>
      <x:c r="F532" s="10" t="n">
        <x:v>0.004096</x:v>
      </x:c>
      <x:c r="G532" s="10" t="n">
        <x:f>SUM(D532:F532)</x:f>
        <x:v>560.137056</x:v>
      </x:c>
    </x:row>
    <x:row r="533" ht="24" customHeight="1">
      <x:c r="A533" s="10" t="str">
        <x:v>S02-03</x:v>
      </x:c>
      <x:c r="B533" s="10" t="str">
        <x:v>A</x:v>
      </x:c>
      <x:c r="C533" s="18" t="n">
        <x:v>0.89</x:v>
      </x:c>
      <x:c r="D533" s="10" t="n">
        <x:v>560</x:v>
      </x:c>
      <x:c r="E533" s="10" t="n">
        <x:v>0.13296</x:v>
      </x:c>
      <x:c r="F533" s="10" t="n">
        <x:v>0.004096</x:v>
      </x:c>
      <x:c r="G533" s="10" t="n">
        <x:f>SUM(D533:F533)</x:f>
        <x:v>560.137056</x:v>
      </x:c>
    </x:row>
    <x:row r="534" ht="24" customHeight="1">
      <x:c r="A534" s="10" t="str">
        <x:v>S02-03</x:v>
      </x:c>
      <x:c r="B534" s="10" t="str">
        <x:v>A</x:v>
      </x:c>
      <x:c r="C534" s="18" t="n">
        <x:v>0.8900001</x:v>
      </x:c>
      <x:c r="D534" s="10" t="n">
        <x:v>560</x:v>
      </x:c>
      <x:c r="E534" s="10" t="n">
        <x:v>0.132959995</x:v>
      </x:c>
      <x:c r="F534" s="10" t="n">
        <x:v>0.004096</x:v>
      </x:c>
      <x:c r="G534" s="10" t="n">
        <x:f>SUM(D534:F534)</x:f>
        <x:v>560.137055995</x:v>
      </x:c>
    </x:row>
    <x:row r="535" ht="24" customHeight="1">
      <x:c r="A535" s="10" t="str">
        <x:v>S02-03</x:v>
      </x:c>
      <x:c r="B535" s="10" t="str">
        <x:v>A</x:v>
      </x:c>
      <x:c r="C535" s="18" t="n">
        <x:v>3.6599999</x:v>
      </x:c>
      <x:c r="D535" s="10" t="n">
        <x:v>560</x:v>
      </x:c>
      <x:c r="E535" s="10" t="n">
        <x:v>5e-9</x:v>
      </x:c>
      <x:c r="F535" s="10" t="n">
        <x:v>0.004096</x:v>
      </x:c>
      <x:c r="G535" s="10" t="n">
        <x:f>SUM(D535:F535)</x:f>
        <x:v>560.004096005</x:v>
      </x:c>
    </x:row>
    <x:row r="536" ht="24" customHeight="1">
      <x:c r="A536" s="10" t="str">
        <x:v>S02-03</x:v>
      </x:c>
      <x:c r="B536" s="10" t="str">
        <x:v>A</x:v>
      </x:c>
      <x:c r="C536" s="18" t="n">
        <x:v>3.66</x:v>
      </x:c>
      <x:c r="D536" s="10" t="n">
        <x:v>560</x:v>
      </x:c>
      <x:c r="E536" s="10" t="n">
        <x:v>0</x:v>
      </x:c>
      <x:c r="F536" s="10" t="n">
        <x:v>0.004096</x:v>
      </x:c>
      <x:c r="G536" s="10" t="n">
        <x:f>SUM(D536:F536)</x:f>
        <x:v>560.004096</x:v>
      </x:c>
    </x:row>
    <x:row r="537" ht="24" customHeight="1">
      <x:c r="A537" s="10" t="str">
        <x:v>S02-03</x:v>
      </x:c>
      <x:c r="B537" s="10" t="str">
        <x:v>A</x:v>
      </x:c>
      <x:c r="C537" s="18" t="n">
        <x:v>3.6600001</x:v>
      </x:c>
      <x:c r="D537" s="10" t="n">
        <x:v>560</x:v>
      </x:c>
      <x:c r="E537" s="10" t="n">
        <x:v>0</x:v>
      </x:c>
      <x:c r="F537" s="10" t="n">
        <x:v>0</x:v>
      </x:c>
      <x:c r="G537" s="10" t="n">
        <x:f>SUM(D537:F537)</x:f>
        <x:v>560</x:v>
      </x:c>
    </x:row>
    <x:row r="538" ht="24" customHeight="1">
      <x:c r="A538" s="10" t="str">
        <x:v>S02-03</x:v>
      </x:c>
      <x:c r="B538" s="10" t="str">
        <x:v>B</x:v>
      </x:c>
      <x:c r="C538" s="18" t="n">
        <x:v>-6.0000001</x:v>
      </x:c>
      <x:c r="D538" s="10" t="n">
        <x:v>560</x:v>
      </x:c>
      <x:c r="E538" s="10" t="n">
        <x:v>0</x:v>
      </x:c>
      <x:c r="F538" s="10" t="n">
        <x:v>0</x:v>
      </x:c>
      <x:c r="G538" s="10" t="n">
        <x:f>SUM(D538:F538)</x:f>
        <x:v>560</x:v>
      </x:c>
    </x:row>
    <x:row r="539" ht="24" customHeight="1">
      <x:c r="A539" s="10" t="str">
        <x:v>S02-03</x:v>
      </x:c>
      <x:c r="B539" s="10" t="str">
        <x:v>B</x:v>
      </x:c>
      <x:c r="C539" s="18" t="n">
        <x:v>-6</x:v>
      </x:c>
      <x:c r="D539" s="10" t="n">
        <x:v>560</x:v>
      </x:c>
      <x:c r="E539" s="10" t="n">
        <x:v>0</x:v>
      </x:c>
      <x:c r="F539" s="10" t="n">
        <x:v>0</x:v>
      </x:c>
      <x:c r="G539" s="10" t="n">
        <x:f>SUM(D539:F539)</x:f>
        <x:v>560</x:v>
      </x:c>
    </x:row>
    <x:row r="540" ht="24" customHeight="1">
      <x:c r="A540" s="10" t="str">
        <x:v>S02-03</x:v>
      </x:c>
      <x:c r="B540" s="10" t="str">
        <x:v>B</x:v>
      </x:c>
      <x:c r="C540" s="18" t="n">
        <x:v>-5.9999999</x:v>
      </x:c>
      <x:c r="D540" s="10" t="n">
        <x:v>560</x:v>
      </x:c>
      <x:c r="E540" s="10" t="n">
        <x:v>0</x:v>
      </x:c>
      <x:c r="F540" s="10" t="n">
        <x:v>0</x:v>
      </x:c>
      <x:c r="G540" s="10" t="n">
        <x:f>SUM(D540:F540)</x:f>
        <x:v>560</x:v>
      </x:c>
    </x:row>
    <x:row r="541" ht="24" customHeight="1">
      <x:c r="A541" s="10" t="str">
        <x:v>S02-03</x:v>
      </x:c>
      <x:c r="B541" s="10" t="str">
        <x:v>B</x:v>
      </x:c>
      <x:c r="C541" s="18" t="n">
        <x:v>-1e-7</x:v>
      </x:c>
      <x:c r="D541" s="10" t="n">
        <x:v>560</x:v>
      </x:c>
      <x:c r="E541" s="10" t="n">
        <x:v>0</x:v>
      </x:c>
      <x:c r="F541" s="10" t="n">
        <x:v>0</x:v>
      </x:c>
      <x:c r="G541" s="10" t="n">
        <x:f>SUM(D541:F541)</x:f>
        <x:v>560</x:v>
      </x:c>
    </x:row>
    <x:row r="542" ht="24" customHeight="1">
      <x:c r="A542" s="10" t="str">
        <x:v>S02-03</x:v>
      </x:c>
      <x:c r="B542" s="10" t="str">
        <x:v>B</x:v>
      </x:c>
      <x:c r="C542" s="18" t="n">
        <x:v>0</x:v>
      </x:c>
      <x:c r="D542" s="10" t="n">
        <x:v>560</x:v>
      </x:c>
      <x:c r="E542" s="10" t="n">
        <x:v>0</x:v>
      </x:c>
      <x:c r="F542" s="10" t="n">
        <x:v>0</x:v>
      </x:c>
      <x:c r="G542" s="10" t="n">
        <x:f>SUM(D542:F542)</x:f>
        <x:v>560</x:v>
      </x:c>
    </x:row>
    <x:row r="543" ht="24" customHeight="1">
      <x:c r="A543" s="10" t="str">
        <x:v>S02-03</x:v>
      </x:c>
      <x:c r="B543" s="10" t="str">
        <x:v>B</x:v>
      </x:c>
      <x:c r="C543" s="18" t="n">
        <x:v>1e-7</x:v>
      </x:c>
      <x:c r="D543" s="10" t="n">
        <x:v>560</x:v>
      </x:c>
      <x:c r="E543" s="10" t="n">
        <x:v>0</x:v>
      </x:c>
      <x:c r="F543" s="10" t="n">
        <x:v>0</x:v>
      </x:c>
      <x:c r="G543" s="10" t="n">
        <x:f>SUM(D543:F543)</x:f>
        <x:v>560</x:v>
      </x:c>
    </x:row>
    <x:row r="544" ht="24" customHeight="1">
      <x:c r="A544" s="10" t="str">
        <x:v>S02-03</x:v>
      </x:c>
      <x:c r="B544" s="10" t="str">
        <x:v>B</x:v>
      </x:c>
      <x:c r="C544" s="18" t="n">
        <x:v>0.8499999</x:v>
      </x:c>
      <x:c r="D544" s="10" t="n">
        <x:v>560</x:v>
      </x:c>
      <x:c r="E544" s="10" t="n">
        <x:v>0</x:v>
      </x:c>
      <x:c r="F544" s="10" t="n">
        <x:v>0</x:v>
      </x:c>
      <x:c r="G544" s="10" t="n">
        <x:f>SUM(D544:F544)</x:f>
        <x:v>560</x:v>
      </x:c>
    </x:row>
    <x:row r="545" ht="24" customHeight="1">
      <x:c r="A545" s="10" t="str">
        <x:v>S02-03</x:v>
      </x:c>
      <x:c r="B545" s="10" t="str">
        <x:v>B</x:v>
      </x:c>
      <x:c r="C545" s="18" t="n">
        <x:v>0.85</x:v>
      </x:c>
      <x:c r="D545" s="10" t="n">
        <x:v>560</x:v>
      </x:c>
      <x:c r="E545" s="10" t="n">
        <x:v>0</x:v>
      </x:c>
      <x:c r="F545" s="10" t="n">
        <x:v>0.004096</x:v>
      </x:c>
      <x:c r="G545" s="10" t="n">
        <x:f>SUM(D545:F545)</x:f>
        <x:v>560.004096</x:v>
      </x:c>
    </x:row>
    <x:row r="546" ht="24" customHeight="1">
      <x:c r="A546" s="10" t="str">
        <x:v>S02-03</x:v>
      </x:c>
      <x:c r="B546" s="10" t="str">
        <x:v>B</x:v>
      </x:c>
      <x:c r="C546" s="18" t="n">
        <x:v>0.8500001</x:v>
      </x:c>
      <x:c r="D546" s="10" t="n">
        <x:v>560</x:v>
      </x:c>
      <x:c r="E546" s="10" t="n">
        <x:v>0</x:v>
      </x:c>
      <x:c r="F546" s="10" t="n">
        <x:v>0.004096</x:v>
      </x:c>
      <x:c r="G546" s="10" t="n">
        <x:f>SUM(D546:F546)</x:f>
        <x:v>560.004096</x:v>
      </x:c>
    </x:row>
    <x:row r="547" ht="24" customHeight="1">
      <x:c r="A547" s="10" t="str">
        <x:v>S02-03</x:v>
      </x:c>
      <x:c r="B547" s="10" t="str">
        <x:v>B</x:v>
      </x:c>
      <x:c r="C547" s="18" t="n">
        <x:v>1.2509999</x:v>
      </x:c>
      <x:c r="D547" s="10" t="n">
        <x:v>560</x:v>
      </x:c>
      <x:c r="E547" s="10" t="n">
        <x:v>0</x:v>
      </x:c>
      <x:c r="F547" s="10" t="n">
        <x:v>0.004096</x:v>
      </x:c>
      <x:c r="G547" s="10" t="n">
        <x:f>SUM(D547:F547)</x:f>
        <x:v>560.004096</x:v>
      </x:c>
    </x:row>
    <x:row r="548" ht="24" customHeight="1">
      <x:c r="A548" s="10" t="str">
        <x:v>S02-03</x:v>
      </x:c>
      <x:c r="B548" s="10" t="str">
        <x:v>B</x:v>
      </x:c>
      <x:c r="C548" s="18" t="n">
        <x:v>1.251</x:v>
      </x:c>
      <x:c r="D548" s="10" t="n">
        <x:v>560</x:v>
      </x:c>
      <x:c r="E548" s="10" t="n">
        <x:v>0.0096</x:v>
      </x:c>
      <x:c r="F548" s="10" t="n">
        <x:v>0.004096</x:v>
      </x:c>
      <x:c r="G548" s="10" t="n">
        <x:f>SUM(D548:F548)</x:f>
        <x:v>560.013696</x:v>
      </x:c>
    </x:row>
    <x:row r="549" ht="24" customHeight="1">
      <x:c r="A549" s="10" t="str">
        <x:v>S02-03</x:v>
      </x:c>
      <x:c r="B549" s="10" t="str">
        <x:v>B</x:v>
      </x:c>
      <x:c r="C549" s="18" t="n">
        <x:v>1.2510001</x:v>
      </x:c>
      <x:c r="D549" s="10" t="n">
        <x:v>560</x:v>
      </x:c>
      <x:c r="E549" s="10" t="n">
        <x:v>0.009600019</x:v>
      </x:c>
      <x:c r="F549" s="10" t="n">
        <x:v>0.004096</x:v>
      </x:c>
      <x:c r="G549" s="10" t="n">
        <x:f>SUM(D549:F549)</x:f>
        <x:v>560.013696019</x:v>
      </x:c>
    </x:row>
    <x:row r="550" ht="24" customHeight="1">
      <x:c r="A550" s="10" t="str">
        <x:v>S02-03</x:v>
      </x:c>
      <x:c r="B550" s="10" t="str">
        <x:v>B</x:v>
      </x:c>
      <x:c r="C550" s="18" t="n">
        <x:v>1.2909999</x:v>
      </x:c>
      <x:c r="D550" s="10" t="n">
        <x:v>560</x:v>
      </x:c>
      <x:c r="E550" s="10" t="n">
        <x:v>0.017279981</x:v>
      </x:c>
      <x:c r="F550" s="10" t="n">
        <x:v>0.004096</x:v>
      </x:c>
      <x:c r="G550" s="10" t="n">
        <x:f>SUM(D550:F550)</x:f>
        <x:v>560.021375981</x:v>
      </x:c>
    </x:row>
    <x:row r="551" ht="24" customHeight="1">
      <x:c r="A551" s="10" t="str">
        <x:v>S02-03</x:v>
      </x:c>
      <x:c r="B551" s="10" t="str">
        <x:v>B</x:v>
      </x:c>
      <x:c r="C551" s="18" t="n">
        <x:v>1.291</x:v>
      </x:c>
      <x:c r="D551" s="10" t="n">
        <x:v>560</x:v>
      </x:c>
      <x:c r="E551" s="10" t="n">
        <x:v>0.01728</x:v>
      </x:c>
      <x:c r="F551" s="10" t="n">
        <x:v>0.004096</x:v>
      </x:c>
      <x:c r="G551" s="10" t="n">
        <x:f>SUM(D551:F551)</x:f>
        <x:v>560.021376</x:v>
      </x:c>
    </x:row>
    <x:row r="552" ht="24" customHeight="1">
      <x:c r="A552" s="10" t="str">
        <x:v>S02-03</x:v>
      </x:c>
      <x:c r="B552" s="10" t="str">
        <x:v>B</x:v>
      </x:c>
      <x:c r="C552" s="18" t="n">
        <x:v>1.2910001</x:v>
      </x:c>
      <x:c r="D552" s="10" t="n">
        <x:v>560</x:v>
      </x:c>
      <x:c r="E552" s="10" t="n">
        <x:v>0.017280014</x:v>
      </x:c>
      <x:c r="F552" s="10" t="n">
        <x:v>0.004096</x:v>
      </x:c>
      <x:c r="G552" s="10" t="n">
        <x:f>SUM(D552:F552)</x:f>
        <x:v>560.021376014</x:v>
      </x:c>
    </x:row>
    <x:row r="553" ht="24" customHeight="1">
      <x:c r="A553" s="10" t="str">
        <x:v>S02-03</x:v>
      </x:c>
      <x:c r="B553" s="10" t="str">
        <x:v>B</x:v>
      </x:c>
      <x:c r="C553" s="18" t="n">
        <x:v>1.8934999</x:v>
      </x:c>
      <x:c r="D553" s="10" t="n">
        <x:v>560</x:v>
      </x:c>
      <x:c r="E553" s="10" t="n">
        <x:v>0.104039986</x:v>
      </x:c>
      <x:c r="F553" s="10" t="n">
        <x:v>0.004096</x:v>
      </x:c>
      <x:c r="G553" s="10" t="n">
        <x:f>SUM(D553:F553)</x:f>
        <x:v>560.108135986</x:v>
      </x:c>
    </x:row>
    <x:row r="554" ht="24" customHeight="1">
      <x:c r="A554" s="10" t="str">
        <x:v>S02-03</x:v>
      </x:c>
      <x:c r="B554" s="10" t="str">
        <x:v>B</x:v>
      </x:c>
      <x:c r="C554" s="18" t="n">
        <x:v>1.8935</x:v>
      </x:c>
      <x:c r="D554" s="10" t="n">
        <x:v>560</x:v>
      </x:c>
      <x:c r="E554" s="10" t="n">
        <x:v>0.10404</x:v>
      </x:c>
      <x:c r="F554" s="10" t="n">
        <x:v>0.004096</x:v>
      </x:c>
      <x:c r="G554" s="10" t="n">
        <x:f>SUM(D554:F554)</x:f>
        <x:v>560.1081360000001</x:v>
      </x:c>
    </x:row>
    <x:row r="555" ht="24" customHeight="1">
      <x:c r="A555" s="10" t="str">
        <x:v>S02-03</x:v>
      </x:c>
      <x:c r="B555" s="10" t="str">
        <x:v>B</x:v>
      </x:c>
      <x:c r="C555" s="18" t="n">
        <x:v>1.8935001</x:v>
      </x:c>
      <x:c r="D555" s="10" t="n">
        <x:v>560</x:v>
      </x:c>
      <x:c r="E555" s="10" t="n">
        <x:v>0.104039995</x:v>
      </x:c>
      <x:c r="F555" s="10" t="n">
        <x:v>0.004096</x:v>
      </x:c>
      <x:c r="G555" s="10" t="n">
        <x:f>SUM(D555:F555)</x:f>
        <x:v>560.108135995</x:v>
      </x:c>
    </x:row>
    <x:row r="556" ht="24" customHeight="1">
      <x:c r="A556" s="10" t="str">
        <x:v>S02-03</x:v>
      </x:c>
      <x:c r="B556" s="10" t="str">
        <x:v>B</x:v>
      </x:c>
      <x:c r="C556" s="18" t="n">
        <x:v>4.0609999</x:v>
      </x:c>
      <x:c r="D556" s="10" t="n">
        <x:v>560</x:v>
      </x:c>
      <x:c r="E556" s="10" t="n">
        <x:v>5e-9</x:v>
      </x:c>
      <x:c r="F556" s="10" t="n">
        <x:v>0.004096</x:v>
      </x:c>
      <x:c r="G556" s="10" t="n">
        <x:f>SUM(D556:F556)</x:f>
        <x:v>560.004096005</x:v>
      </x:c>
    </x:row>
    <x:row r="557" ht="24" customHeight="1">
      <x:c r="A557" s="10" t="str">
        <x:v>S02-03</x:v>
      </x:c>
      <x:c r="B557" s="10" t="str">
        <x:v>B</x:v>
      </x:c>
      <x:c r="C557" s="18" t="n">
        <x:v>4.061</x:v>
      </x:c>
      <x:c r="D557" s="10" t="n">
        <x:v>560</x:v>
      </x:c>
      <x:c r="E557" s="10" t="n">
        <x:v>0</x:v>
      </x:c>
      <x:c r="F557" s="10" t="n">
        <x:v>0.004096</x:v>
      </x:c>
      <x:c r="G557" s="10" t="n">
        <x:f>SUM(D557:F557)</x:f>
        <x:v>560.004096</x:v>
      </x:c>
    </x:row>
    <x:row r="558" ht="24" customHeight="1">
      <x:c r="A558" s="10" t="str">
        <x:v>S02-03</x:v>
      </x:c>
      <x:c r="B558" s="10" t="str">
        <x:v>B</x:v>
      </x:c>
      <x:c r="C558" s="18" t="n">
        <x:v>4.0610001</x:v>
      </x:c>
      <x:c r="D558" s="10" t="n">
        <x:v>560</x:v>
      </x:c>
      <x:c r="E558" s="10" t="n">
        <x:v>0</x:v>
      </x:c>
      <x:c r="F558" s="10" t="n">
        <x:v>0</x:v>
      </x:c>
      <x:c r="G558" s="10" t="n">
        <x:f>SUM(D558:F558)</x:f>
        <x:v>560</x:v>
      </x:c>
    </x:row>
    <x:row r="559" ht="24" customHeight="1">
      <x:c r="A559" s="10" t="str">
        <x:v>S02-04</x:v>
      </x:c>
      <x:c r="B559" s="10" t="str">
        <x:v>A</x:v>
      </x:c>
      <x:c r="C559" s="18" t="n">
        <x:v>-6.0000001</x:v>
      </x:c>
      <x:c r="D559" s="10" t="n">
        <x:v>560</x:v>
      </x:c>
      <x:c r="E559" s="10" t="n">
        <x:v>0</x:v>
      </x:c>
      <x:c r="F559" s="10" t="n">
        <x:v>0</x:v>
      </x:c>
      <x:c r="G559" s="10" t="n">
        <x:f>SUM(D559:F559)</x:f>
        <x:v>560</x:v>
      </x:c>
    </x:row>
    <x:row r="560" ht="24" customHeight="1">
      <x:c r="A560" s="10" t="str">
        <x:v>S02-04</x:v>
      </x:c>
      <x:c r="B560" s="10" t="str">
        <x:v>A</x:v>
      </x:c>
      <x:c r="C560" s="18" t="n">
        <x:v>-6</x:v>
      </x:c>
      <x:c r="D560" s="10" t="n">
        <x:v>560</x:v>
      </x:c>
      <x:c r="E560" s="10" t="n">
        <x:v>0</x:v>
      </x:c>
      <x:c r="F560" s="10" t="n">
        <x:v>0</x:v>
      </x:c>
      <x:c r="G560" s="10" t="n">
        <x:f>SUM(D560:F560)</x:f>
        <x:v>560</x:v>
      </x:c>
    </x:row>
    <x:row r="561" ht="24" customHeight="1">
      <x:c r="A561" s="10" t="str">
        <x:v>S02-04</x:v>
      </x:c>
      <x:c r="B561" s="10" t="str">
        <x:v>A</x:v>
      </x:c>
      <x:c r="C561" s="18" t="n">
        <x:v>-5.9999999</x:v>
      </x:c>
      <x:c r="D561" s="10" t="n">
        <x:v>560</x:v>
      </x:c>
      <x:c r="E561" s="10" t="n">
        <x:v>0</x:v>
      </x:c>
      <x:c r="F561" s="10" t="n">
        <x:v>0</x:v>
      </x:c>
      <x:c r="G561" s="10" t="n">
        <x:f>SUM(D561:F561)</x:f>
        <x:v>560</x:v>
      </x:c>
    </x:row>
    <x:row r="562" ht="24" customHeight="1">
      <x:c r="A562" s="10" t="str">
        <x:v>S02-04</x:v>
      </x:c>
      <x:c r="B562" s="10" t="str">
        <x:v>A</x:v>
      </x:c>
      <x:c r="C562" s="18" t="n">
        <x:v>-1.4000001</x:v>
      </x:c>
      <x:c r="D562" s="10" t="n">
        <x:v>560</x:v>
      </x:c>
      <x:c r="E562" s="10" t="n">
        <x:v>0</x:v>
      </x:c>
      <x:c r="F562" s="10" t="n">
        <x:v>0</x:v>
      </x:c>
      <x:c r="G562" s="10" t="n">
        <x:f>SUM(D562:F562)</x:f>
        <x:v>560</x:v>
      </x:c>
    </x:row>
    <x:row r="563" ht="24" customHeight="1">
      <x:c r="A563" s="10" t="str">
        <x:v>S02-04</x:v>
      </x:c>
      <x:c r="B563" s="10" t="str">
        <x:v>A</x:v>
      </x:c>
      <x:c r="C563" s="18" t="n">
        <x:v>-1.4</x:v>
      </x:c>
      <x:c r="D563" s="10" t="n">
        <x:v>560</x:v>
      </x:c>
      <x:c r="E563" s="10" t="n">
        <x:v>0</x:v>
      </x:c>
      <x:c r="F563" s="10" t="n">
        <x:v>0.004096</x:v>
      </x:c>
      <x:c r="G563" s="10" t="n">
        <x:f>SUM(D563:F563)</x:f>
        <x:v>560.004096</x:v>
      </x:c>
    </x:row>
    <x:row r="564" ht="24" customHeight="1">
      <x:c r="A564" s="10" t="str">
        <x:v>S02-04</x:v>
      </x:c>
      <x:c r="B564" s="10" t="str">
        <x:v>A</x:v>
      </x:c>
      <x:c r="C564" s="18" t="n">
        <x:v>-1.3999999</x:v>
      </x:c>
      <x:c r="D564" s="10" t="n">
        <x:v>560</x:v>
      </x:c>
      <x:c r="E564" s="10" t="n">
        <x:v>0</x:v>
      </x:c>
      <x:c r="F564" s="10" t="n">
        <x:v>0.004096</x:v>
      </x:c>
      <x:c r="G564" s="10" t="n">
        <x:f>SUM(D564:F564)</x:f>
        <x:v>560.004096</x:v>
      </x:c>
    </x:row>
    <x:row r="565" ht="24" customHeight="1">
      <x:c r="A565" s="10" t="str">
        <x:v>S02-04</x:v>
      </x:c>
      <x:c r="B565" s="10" t="str">
        <x:v>A</x:v>
      </x:c>
      <x:c r="C565" s="18" t="n">
        <x:v>-0.9990001</x:v>
      </x:c>
      <x:c r="D565" s="10" t="n">
        <x:v>560</x:v>
      </x:c>
      <x:c r="E565" s="10" t="n">
        <x:v>0</x:v>
      </x:c>
      <x:c r="F565" s="10" t="n">
        <x:v>0.004096</x:v>
      </x:c>
      <x:c r="G565" s="10" t="n">
        <x:f>SUM(D565:F565)</x:f>
        <x:v>560.004096</x:v>
      </x:c>
    </x:row>
    <x:row r="566" ht="24" customHeight="1">
      <x:c r="A566" s="10" t="str">
        <x:v>S02-04</x:v>
      </x:c>
      <x:c r="B566" s="10" t="str">
        <x:v>A</x:v>
      </x:c>
      <x:c r="C566" s="18" t="n">
        <x:v>-0.999</x:v>
      </x:c>
      <x:c r="D566" s="10" t="n">
        <x:v>560</x:v>
      </x:c>
      <x:c r="E566" s="10" t="n">
        <x:v>0.0096</x:v>
      </x:c>
      <x:c r="F566" s="10" t="n">
        <x:v>0.004096</x:v>
      </x:c>
      <x:c r="G566" s="10" t="n">
        <x:f>SUM(D566:F566)</x:f>
        <x:v>560.013696</x:v>
      </x:c>
    </x:row>
    <x:row r="567" ht="24" customHeight="1">
      <x:c r="A567" s="10" t="str">
        <x:v>S02-04</x:v>
      </x:c>
      <x:c r="B567" s="10" t="str">
        <x:v>A</x:v>
      </x:c>
      <x:c r="C567" s="18" t="n">
        <x:v>-0.9989999</x:v>
      </x:c>
      <x:c r="D567" s="10" t="n">
        <x:v>560</x:v>
      </x:c>
      <x:c r="E567" s="10" t="n">
        <x:v>0.009600019</x:v>
      </x:c>
      <x:c r="F567" s="10" t="n">
        <x:v>0.004096</x:v>
      </x:c>
      <x:c r="G567" s="10" t="n">
        <x:f>SUM(D567:F567)</x:f>
        <x:v>560.013696019</x:v>
      </x:c>
    </x:row>
    <x:row r="568" ht="24" customHeight="1">
      <x:c r="A568" s="10" t="str">
        <x:v>S02-04</x:v>
      </x:c>
      <x:c r="B568" s="10" t="str">
        <x:v>A</x:v>
      </x:c>
      <x:c r="C568" s="18" t="n">
        <x:v>-0.3535001</x:v>
      </x:c>
      <x:c r="D568" s="10" t="n">
        <x:v>560</x:v>
      </x:c>
      <x:c r="E568" s="10" t="n">
        <x:v>0.133535981</x:v>
      </x:c>
      <x:c r="F568" s="10" t="n">
        <x:v>0.004096</x:v>
      </x:c>
      <x:c r="G568" s="10" t="n">
        <x:f>SUM(D568:F568)</x:f>
        <x:v>560.137631981</x:v>
      </x:c>
    </x:row>
    <x:row r="569" ht="24" customHeight="1">
      <x:c r="A569" s="10" t="str">
        <x:v>S02-04</x:v>
      </x:c>
      <x:c r="B569" s="10" t="str">
        <x:v>A</x:v>
      </x:c>
      <x:c r="C569" s="18" t="n">
        <x:v>-0.3535</x:v>
      </x:c>
      <x:c r="D569" s="10" t="n">
        <x:v>560</x:v>
      </x:c>
      <x:c r="E569" s="10" t="n">
        <x:v>0.133536</x:v>
      </x:c>
      <x:c r="F569" s="10" t="n">
        <x:v>0.004096</x:v>
      </x:c>
      <x:c r="G569" s="10" t="n">
        <x:f>SUM(D569:F569)</x:f>
        <x:v>560.137632</x:v>
      </x:c>
    </x:row>
    <x:row r="570" ht="24" customHeight="1">
      <x:c r="A570" s="10" t="str">
        <x:v>S02-04</x:v>
      </x:c>
      <x:c r="B570" s="10" t="str">
        <x:v>A</x:v>
      </x:c>
      <x:c r="C570" s="18" t="n">
        <x:v>-0.3534999</x:v>
      </x:c>
      <x:c r="D570" s="10" t="n">
        <x:v>560</x:v>
      </x:c>
      <x:c r="E570" s="10" t="n">
        <x:v>0.133536</x:v>
      </x:c>
      <x:c r="F570" s="10" t="n">
        <x:v>0.004096</x:v>
      </x:c>
      <x:c r="G570" s="10" t="n">
        <x:f>SUM(D570:F570)</x:f>
        <x:v>560.137632</x:v>
      </x:c>
    </x:row>
    <x:row r="571" ht="24" customHeight="1">
      <x:c r="A571" s="10" t="str">
        <x:v>S02-04</x:v>
      </x:c>
      <x:c r="B571" s="10" t="str">
        <x:v>A</x:v>
      </x:c>
      <x:c r="C571" s="18" t="n">
        <x:v>-1e-7</x:v>
      </x:c>
      <x:c r="D571" s="10" t="n">
        <x:v>560</x:v>
      </x:c>
      <x:c r="E571" s="10" t="n">
        <x:v>0.133536</x:v>
      </x:c>
      <x:c r="F571" s="10" t="n">
        <x:v>0.004096</x:v>
      </x:c>
      <x:c r="G571" s="10" t="n">
        <x:f>SUM(D571:F571)</x:f>
        <x:v>560.137632</x:v>
      </x:c>
    </x:row>
    <x:row r="572" ht="24" customHeight="1">
      <x:c r="A572" s="10" t="str">
        <x:v>S02-04</x:v>
      </x:c>
      <x:c r="B572" s="10" t="str">
        <x:v>A</x:v>
      </x:c>
      <x:c r="C572" s="18" t="n">
        <x:v>0</x:v>
      </x:c>
      <x:c r="D572" s="10" t="n">
        <x:v>560</x:v>
      </x:c>
      <x:c r="E572" s="10" t="n">
        <x:v>0.133536</x:v>
      </x:c>
      <x:c r="F572" s="10" t="n">
        <x:v>0.004096</x:v>
      </x:c>
      <x:c r="G572" s="10" t="n">
        <x:f>SUM(D572:F572)</x:f>
        <x:v>560.137632</x:v>
      </x:c>
    </x:row>
    <x:row r="573" ht="24" customHeight="1">
      <x:c r="A573" s="10" t="str">
        <x:v>S02-04</x:v>
      </x:c>
      <x:c r="B573" s="10" t="str">
        <x:v>A</x:v>
      </x:c>
      <x:c r="C573" s="18" t="n">
        <x:v>1e-7</x:v>
      </x:c>
      <x:c r="D573" s="10" t="n">
        <x:v>560</x:v>
      </x:c>
      <x:c r="E573" s="10" t="n">
        <x:v>0.133536</x:v>
      </x:c>
      <x:c r="F573" s="10" t="n">
        <x:v>0.004096</x:v>
      </x:c>
      <x:c r="G573" s="10" t="n">
        <x:f>SUM(D573:F573)</x:f>
        <x:v>560.137632</x:v>
      </x:c>
    </x:row>
    <x:row r="574" ht="24" customHeight="1">
      <x:c r="A574" s="10" t="str">
        <x:v>S02-04</x:v>
      </x:c>
      <x:c r="B574" s="10" t="str">
        <x:v>A</x:v>
      </x:c>
      <x:c r="C574" s="18" t="n">
        <x:v>0.878333233</x:v>
      </x:c>
      <x:c r="D574" s="10" t="n">
        <x:v>560</x:v>
      </x:c>
      <x:c r="E574" s="10" t="n">
        <x:v>0.133536</x:v>
      </x:c>
      <x:c r="F574" s="10" t="n">
        <x:v>0.004096</x:v>
      </x:c>
      <x:c r="G574" s="10" t="n">
        <x:f>SUM(D574:F574)</x:f>
        <x:v>560.137632</x:v>
      </x:c>
    </x:row>
    <x:row r="575" ht="24" customHeight="1">
      <x:c r="A575" s="10" t="str">
        <x:v>S02-04</x:v>
      </x:c>
      <x:c r="B575" s="10" t="str">
        <x:v>A</x:v>
      </x:c>
      <x:c r="C575" s="18" t="n">
        <x:v>0.878333333</x:v>
      </x:c>
      <x:c r="D575" s="10" t="n">
        <x:v>560</x:v>
      </x:c>
      <x:c r="E575" s="10" t="n">
        <x:v>0.133536</x:v>
      </x:c>
      <x:c r="F575" s="10" t="n">
        <x:v>0.004096</x:v>
      </x:c>
      <x:c r="G575" s="10" t="n">
        <x:f>SUM(D575:F575)</x:f>
        <x:v>560.137632</x:v>
      </x:c>
    </x:row>
    <x:row r="576" ht="24" customHeight="1">
      <x:c r="A576" s="10" t="str">
        <x:v>S02-04</x:v>
      </x:c>
      <x:c r="B576" s="10" t="str">
        <x:v>A</x:v>
      </x:c>
      <x:c r="C576" s="18" t="n">
        <x:v>0.878333433</x:v>
      </x:c>
      <x:c r="D576" s="10" t="n">
        <x:v>560</x:v>
      </x:c>
      <x:c r="E576" s="10" t="n">
        <x:v>0.133536</x:v>
      </x:c>
      <x:c r="F576" s="10" t="n">
        <x:v>0.004096</x:v>
      </x:c>
      <x:c r="G576" s="10" t="n">
        <x:f>SUM(D576:F576)</x:f>
        <x:v>560.137632</x:v>
      </x:c>
    </x:row>
    <x:row r="577" ht="24" customHeight="1">
      <x:c r="A577" s="10" t="str">
        <x:v>S02-04</x:v>
      </x:c>
      <x:c r="B577" s="10" t="str">
        <x:v>A</x:v>
      </x:c>
      <x:c r="C577" s="18" t="n">
        <x:v>0.918333233</x:v>
      </x:c>
      <x:c r="D577" s="10" t="n">
        <x:v>560</x:v>
      </x:c>
      <x:c r="E577" s="10" t="n">
        <x:v>0.133536</x:v>
      </x:c>
      <x:c r="F577" s="10" t="n">
        <x:v>0.004096</x:v>
      </x:c>
      <x:c r="G577" s="10" t="n">
        <x:f>SUM(D577:F577)</x:f>
        <x:v>560.137632</x:v>
      </x:c>
    </x:row>
    <x:row r="578" ht="24" customHeight="1">
      <x:c r="A578" s="10" t="str">
        <x:v>S02-04</x:v>
      </x:c>
      <x:c r="B578" s="10" t="str">
        <x:v>A</x:v>
      </x:c>
      <x:c r="C578" s="18" t="n">
        <x:v>0.918333333</x:v>
      </x:c>
      <x:c r="D578" s="10" t="n">
        <x:v>560</x:v>
      </x:c>
      <x:c r="E578" s="10" t="n">
        <x:v>0.133536</x:v>
      </x:c>
      <x:c r="F578" s="10" t="n">
        <x:v>0.004096</x:v>
      </x:c>
      <x:c r="G578" s="10" t="n">
        <x:f>SUM(D578:F578)</x:f>
        <x:v>560.137632</x:v>
      </x:c>
    </x:row>
    <x:row r="579" ht="24" customHeight="1">
      <x:c r="A579" s="10" t="str">
        <x:v>S02-04</x:v>
      </x:c>
      <x:c r="B579" s="10" t="str">
        <x:v>A</x:v>
      </x:c>
      <x:c r="C579" s="18" t="n">
        <x:v>0.918333433</x:v>
      </x:c>
      <x:c r="D579" s="10" t="n">
        <x:v>560</x:v>
      </x:c>
      <x:c r="E579" s="10" t="n">
        <x:v>0.133535995</x:v>
      </x:c>
      <x:c r="F579" s="10" t="n">
        <x:v>0.004096</x:v>
      </x:c>
      <x:c r="G579" s="10" t="n">
        <x:f>SUM(D579:F579)</x:f>
        <x:v>560.137631995</x:v>
      </x:c>
    </x:row>
    <x:row r="580" ht="24" customHeight="1">
      <x:c r="A580" s="10" t="str">
        <x:v>S02-04</x:v>
      </x:c>
      <x:c r="B580" s="10" t="str">
        <x:v>A</x:v>
      </x:c>
      <x:c r="C580" s="18" t="n">
        <x:v>3.700333233</x:v>
      </x:c>
      <x:c r="D580" s="10" t="n">
        <x:v>560</x:v>
      </x:c>
      <x:c r="E580" s="10" t="n">
        <x:v>5e-9</x:v>
      </x:c>
      <x:c r="F580" s="10" t="n">
        <x:v>0.004096</x:v>
      </x:c>
      <x:c r="G580" s="10" t="n">
        <x:f>SUM(D580:F580)</x:f>
        <x:v>560.004096005</x:v>
      </x:c>
    </x:row>
    <x:row r="581" ht="24" customHeight="1">
      <x:c r="A581" s="10" t="str">
        <x:v>S02-04</x:v>
      </x:c>
      <x:c r="B581" s="10" t="str">
        <x:v>A</x:v>
      </x:c>
      <x:c r="C581" s="18" t="n">
        <x:v>3.700333333</x:v>
      </x:c>
      <x:c r="D581" s="10" t="n">
        <x:v>560</x:v>
      </x:c>
      <x:c r="E581" s="10" t="n">
        <x:v>0</x:v>
      </x:c>
      <x:c r="F581" s="10" t="n">
        <x:v>0.004096</x:v>
      </x:c>
      <x:c r="G581" s="10" t="n">
        <x:f>SUM(D581:F581)</x:f>
        <x:v>560.004096</x:v>
      </x:c>
    </x:row>
    <x:row r="582" ht="24" customHeight="1">
      <x:c r="A582" s="10" t="str">
        <x:v>S02-04</x:v>
      </x:c>
      <x:c r="B582" s="10" t="str">
        <x:v>A</x:v>
      </x:c>
      <x:c r="C582" s="18" t="n">
        <x:v>3.700333433</x:v>
      </x:c>
      <x:c r="D582" s="10" t="n">
        <x:v>560</x:v>
      </x:c>
      <x:c r="E582" s="10" t="n">
        <x:v>0</x:v>
      </x:c>
      <x:c r="F582" s="10" t="n">
        <x:v>0</x:v>
      </x:c>
      <x:c r="G582" s="10" t="n">
        <x:f>SUM(D582:F582)</x:f>
        <x:v>560</x:v>
      </x:c>
    </x:row>
    <x:row r="583" ht="24" customHeight="1">
      <x:c r="A583" s="10" t="str">
        <x:v>S02-04</x:v>
      </x:c>
      <x:c r="B583" s="10" t="str">
        <x:v>B</x:v>
      </x:c>
      <x:c r="C583" s="18" t="n">
        <x:v>-6.0000001</x:v>
      </x:c>
      <x:c r="D583" s="10" t="n">
        <x:v>560</x:v>
      </x:c>
      <x:c r="E583" s="10" t="n">
        <x:v>0</x:v>
      </x:c>
      <x:c r="F583" s="10" t="n">
        <x:v>0</x:v>
      </x:c>
      <x:c r="G583" s="10" t="n">
        <x:f>SUM(D583:F583)</x:f>
        <x:v>560</x:v>
      </x:c>
    </x:row>
    <x:row r="584" ht="24" customHeight="1">
      <x:c r="A584" s="10" t="str">
        <x:v>S02-04</x:v>
      </x:c>
      <x:c r="B584" s="10" t="str">
        <x:v>B</x:v>
      </x:c>
      <x:c r="C584" s="18" t="n">
        <x:v>-6</x:v>
      </x:c>
      <x:c r="D584" s="10" t="n">
        <x:v>560</x:v>
      </x:c>
      <x:c r="E584" s="10" t="n">
        <x:v>0</x:v>
      </x:c>
      <x:c r="F584" s="10" t="n">
        <x:v>0</x:v>
      </x:c>
      <x:c r="G584" s="10" t="n">
        <x:f>SUM(D584:F584)</x:f>
        <x:v>560</x:v>
      </x:c>
    </x:row>
    <x:row r="585" ht="24" customHeight="1">
      <x:c r="A585" s="10" t="str">
        <x:v>S02-04</x:v>
      </x:c>
      <x:c r="B585" s="10" t="str">
        <x:v>B</x:v>
      </x:c>
      <x:c r="C585" s="18" t="n">
        <x:v>-5.9999999</x:v>
      </x:c>
      <x:c r="D585" s="10" t="n">
        <x:v>560</x:v>
      </x:c>
      <x:c r="E585" s="10" t="n">
        <x:v>0</x:v>
      </x:c>
      <x:c r="F585" s="10" t="n">
        <x:v>0</x:v>
      </x:c>
      <x:c r="G585" s="10" t="n">
        <x:f>SUM(D585:F585)</x:f>
        <x:v>560</x:v>
      </x:c>
    </x:row>
    <x:row r="586" ht="24" customHeight="1">
      <x:c r="A586" s="10" t="str">
        <x:v>S02-04</x:v>
      </x:c>
      <x:c r="B586" s="10" t="str">
        <x:v>B</x:v>
      </x:c>
      <x:c r="C586" s="18" t="n">
        <x:v>-1e-7</x:v>
      </x:c>
      <x:c r="D586" s="10" t="n">
        <x:v>560</x:v>
      </x:c>
      <x:c r="E586" s="10" t="n">
        <x:v>0</x:v>
      </x:c>
      <x:c r="F586" s="10" t="n">
        <x:v>0</x:v>
      </x:c>
      <x:c r="G586" s="10" t="n">
        <x:f>SUM(D586:F586)</x:f>
        <x:v>560</x:v>
      </x:c>
    </x:row>
    <x:row r="587" ht="24" customHeight="1">
      <x:c r="A587" s="10" t="str">
        <x:v>S02-04</x:v>
      </x:c>
      <x:c r="B587" s="10" t="str">
        <x:v>B</x:v>
      </x:c>
      <x:c r="C587" s="18" t="n">
        <x:v>0</x:v>
      </x:c>
      <x:c r="D587" s="10" t="n">
        <x:v>560</x:v>
      </x:c>
      <x:c r="E587" s="10" t="n">
        <x:v>0</x:v>
      </x:c>
      <x:c r="F587" s="10" t="n">
        <x:v>0</x:v>
      </x:c>
      <x:c r="G587" s="10" t="n">
        <x:f>SUM(D587:F587)</x:f>
        <x:v>560</x:v>
      </x:c>
    </x:row>
    <x:row r="588" ht="24" customHeight="1">
      <x:c r="A588" s="10" t="str">
        <x:v>S02-04</x:v>
      </x:c>
      <x:c r="B588" s="10" t="str">
        <x:v>B</x:v>
      </x:c>
      <x:c r="C588" s="18" t="n">
        <x:v>1e-7</x:v>
      </x:c>
      <x:c r="D588" s="10" t="n">
        <x:v>560</x:v>
      </x:c>
      <x:c r="E588" s="10" t="n">
        <x:v>0</x:v>
      </x:c>
      <x:c r="F588" s="10" t="n">
        <x:v>0</x:v>
      </x:c>
      <x:c r="G588" s="10" t="n">
        <x:f>SUM(D588:F588)</x:f>
        <x:v>560</x:v>
      </x:c>
    </x:row>
    <x:row r="589" ht="24" customHeight="1">
      <x:c r="A589" s="10" t="str">
        <x:v>S02-04</x:v>
      </x:c>
      <x:c r="B589" s="10" t="str">
        <x:v>B</x:v>
      </x:c>
      <x:c r="C589" s="18" t="n">
        <x:v>0.878333233</x:v>
      </x:c>
      <x:c r="D589" s="10" t="n">
        <x:v>560</x:v>
      </x:c>
      <x:c r="E589" s="10" t="n">
        <x:v>0</x:v>
      </x:c>
      <x:c r="F589" s="10" t="n">
        <x:v>0</x:v>
      </x:c>
      <x:c r="G589" s="10" t="n">
        <x:f>SUM(D589:F589)</x:f>
        <x:v>560</x:v>
      </x:c>
    </x:row>
    <x:row r="590" ht="24" customHeight="1">
      <x:c r="A590" s="10" t="str">
        <x:v>S02-04</x:v>
      </x:c>
      <x:c r="B590" s="10" t="str">
        <x:v>B</x:v>
      </x:c>
      <x:c r="C590" s="18" t="n">
        <x:v>0.878333333</x:v>
      </x:c>
      <x:c r="D590" s="10" t="n">
        <x:v>560</x:v>
      </x:c>
      <x:c r="E590" s="10" t="n">
        <x:v>0</x:v>
      </x:c>
      <x:c r="F590" s="10" t="n">
        <x:v>0.004096</x:v>
      </x:c>
      <x:c r="G590" s="10" t="n">
        <x:f>SUM(D590:F590)</x:f>
        <x:v>560.004096</x:v>
      </x:c>
    </x:row>
    <x:row r="591" ht="24" customHeight="1">
      <x:c r="A591" s="10" t="str">
        <x:v>S02-04</x:v>
      </x:c>
      <x:c r="B591" s="10" t="str">
        <x:v>B</x:v>
      </x:c>
      <x:c r="C591" s="18" t="n">
        <x:v>0.878333433</x:v>
      </x:c>
      <x:c r="D591" s="10" t="n">
        <x:v>560</x:v>
      </x:c>
      <x:c r="E591" s="10" t="n">
        <x:v>0</x:v>
      </x:c>
      <x:c r="F591" s="10" t="n">
        <x:v>0.004096</x:v>
      </x:c>
      <x:c r="G591" s="10" t="n">
        <x:f>SUM(D591:F591)</x:f>
        <x:v>560.004096</x:v>
      </x:c>
    </x:row>
    <x:row r="592" ht="24" customHeight="1">
      <x:c r="A592" s="10" t="str">
        <x:v>S02-04</x:v>
      </x:c>
      <x:c r="B592" s="10" t="str">
        <x:v>B</x:v>
      </x:c>
      <x:c r="C592" s="18" t="n">
        <x:v>1.279333233</x:v>
      </x:c>
      <x:c r="D592" s="10" t="n">
        <x:v>560</x:v>
      </x:c>
      <x:c r="E592" s="10" t="n">
        <x:v>0</x:v>
      </x:c>
      <x:c r="F592" s="10" t="n">
        <x:v>0.004096</x:v>
      </x:c>
      <x:c r="G592" s="10" t="n">
        <x:f>SUM(D592:F592)</x:f>
        <x:v>560.004096</x:v>
      </x:c>
    </x:row>
    <x:row r="593" ht="24" customHeight="1">
      <x:c r="A593" s="10" t="str">
        <x:v>S02-04</x:v>
      </x:c>
      <x:c r="B593" s="10" t="str">
        <x:v>B</x:v>
      </x:c>
      <x:c r="C593" s="18" t="n">
        <x:v>1.279333333</x:v>
      </x:c>
      <x:c r="D593" s="10" t="n">
        <x:v>560</x:v>
      </x:c>
      <x:c r="E593" s="10" t="n">
        <x:v>0.0096</x:v>
      </x:c>
      <x:c r="F593" s="10" t="n">
        <x:v>0.004096</x:v>
      </x:c>
      <x:c r="G593" s="10" t="n">
        <x:f>SUM(D593:F593)</x:f>
        <x:v>560.013696</x:v>
      </x:c>
    </x:row>
    <x:row r="594" ht="24" customHeight="1">
      <x:c r="A594" s="10" t="str">
        <x:v>S02-04</x:v>
      </x:c>
      <x:c r="B594" s="10" t="str">
        <x:v>B</x:v>
      </x:c>
      <x:c r="C594" s="18" t="n">
        <x:v>1.279333433</x:v>
      </x:c>
      <x:c r="D594" s="10" t="n">
        <x:v>560</x:v>
      </x:c>
      <x:c r="E594" s="10" t="n">
        <x:v>0.009600019</x:v>
      </x:c>
      <x:c r="F594" s="10" t="n">
        <x:v>0.004096</x:v>
      </x:c>
      <x:c r="G594" s="10" t="n">
        <x:f>SUM(D594:F594)</x:f>
        <x:v>560.013696019</x:v>
      </x:c>
    </x:row>
    <x:row r="595" ht="24" customHeight="1">
      <x:c r="A595" s="10" t="str">
        <x:v>S02-04</x:v>
      </x:c>
      <x:c r="B595" s="10" t="str">
        <x:v>B</x:v>
      </x:c>
      <x:c r="C595" s="18" t="n">
        <x:v>1.319333233</x:v>
      </x:c>
      <x:c r="D595" s="10" t="n">
        <x:v>560</x:v>
      </x:c>
      <x:c r="E595" s="10" t="n">
        <x:v>0.017279981</x:v>
      </x:c>
      <x:c r="F595" s="10" t="n">
        <x:v>0.004096</x:v>
      </x:c>
      <x:c r="G595" s="10" t="n">
        <x:f>SUM(D595:F595)</x:f>
        <x:v>560.021375981</x:v>
      </x:c>
    </x:row>
    <x:row r="596" ht="24" customHeight="1">
      <x:c r="A596" s="10" t="str">
        <x:v>S02-04</x:v>
      </x:c>
      <x:c r="B596" s="10" t="str">
        <x:v>B</x:v>
      </x:c>
      <x:c r="C596" s="18" t="n">
        <x:v>1.319333333</x:v>
      </x:c>
      <x:c r="D596" s="10" t="n">
        <x:v>560</x:v>
      </x:c>
      <x:c r="E596" s="10" t="n">
        <x:v>0.01728</x:v>
      </x:c>
      <x:c r="F596" s="10" t="n">
        <x:v>0.004096</x:v>
      </x:c>
      <x:c r="G596" s="10" t="n">
        <x:f>SUM(D596:F596)</x:f>
        <x:v>560.021376</x:v>
      </x:c>
    </x:row>
    <x:row r="597" ht="24" customHeight="1">
      <x:c r="A597" s="10" t="str">
        <x:v>S02-04</x:v>
      </x:c>
      <x:c r="B597" s="10" t="str">
        <x:v>B</x:v>
      </x:c>
      <x:c r="C597" s="18" t="n">
        <x:v>1.319333433</x:v>
      </x:c>
      <x:c r="D597" s="10" t="n">
        <x:v>560</x:v>
      </x:c>
      <x:c r="E597" s="10" t="n">
        <x:v>0.017280014</x:v>
      </x:c>
      <x:c r="F597" s="10" t="n">
        <x:v>0.004096</x:v>
      </x:c>
      <x:c r="G597" s="10" t="n">
        <x:f>SUM(D597:F597)</x:f>
        <x:v>560.021376014</x:v>
      </x:c>
    </x:row>
    <x:row r="598" ht="24" customHeight="1">
      <x:c r="A598" s="10" t="str">
        <x:v>S02-04</x:v>
      </x:c>
      <x:c r="B598" s="10" t="str">
        <x:v>B</x:v>
      </x:c>
      <x:c r="C598" s="18" t="n">
        <x:v>1.924833233</x:v>
      </x:c>
      <x:c r="D598" s="10" t="n">
        <x:v>560</x:v>
      </x:c>
      <x:c r="E598" s="10" t="n">
        <x:v>0.104471986</x:v>
      </x:c>
      <x:c r="F598" s="10" t="n">
        <x:v>0.004096</x:v>
      </x:c>
      <x:c r="G598" s="10" t="n">
        <x:f>SUM(D598:F598)</x:f>
        <x:v>560.108567986</x:v>
      </x:c>
    </x:row>
    <x:row r="599" ht="24" customHeight="1">
      <x:c r="A599" s="10" t="str">
        <x:v>S02-04</x:v>
      </x:c>
      <x:c r="B599" s="10" t="str">
        <x:v>B</x:v>
      </x:c>
      <x:c r="C599" s="18" t="n">
        <x:v>1.924833333</x:v>
      </x:c>
      <x:c r="D599" s="10" t="n">
        <x:v>560</x:v>
      </x:c>
      <x:c r="E599" s="10" t="n">
        <x:v>0.104472</x:v>
      </x:c>
      <x:c r="F599" s="10" t="n">
        <x:v>0.004096</x:v>
      </x:c>
      <x:c r="G599" s="10" t="n">
        <x:f>SUM(D599:F599)</x:f>
        <x:v>560.108568</x:v>
      </x:c>
    </x:row>
    <x:row r="600" ht="24" customHeight="1">
      <x:c r="A600" s="10" t="str">
        <x:v>S02-04</x:v>
      </x:c>
      <x:c r="B600" s="10" t="str">
        <x:v>B</x:v>
      </x:c>
      <x:c r="C600" s="18" t="n">
        <x:v>1.924833433</x:v>
      </x:c>
      <x:c r="D600" s="10" t="n">
        <x:v>560</x:v>
      </x:c>
      <x:c r="E600" s="10" t="n">
        <x:v>0.104471995</x:v>
      </x:c>
      <x:c r="F600" s="10" t="n">
        <x:v>0.004096</x:v>
      </x:c>
      <x:c r="G600" s="10" t="n">
        <x:f>SUM(D600:F600)</x:f>
        <x:v>560.108567995</x:v>
      </x:c>
    </x:row>
    <x:row r="601" ht="24" customHeight="1">
      <x:c r="A601" s="10" t="str">
        <x:v>S02-04</x:v>
      </x:c>
      <x:c r="B601" s="10" t="str">
        <x:v>B</x:v>
      </x:c>
      <x:c r="C601" s="18" t="n">
        <x:v>4.101333233</x:v>
      </x:c>
      <x:c r="D601" s="10" t="n">
        <x:v>560</x:v>
      </x:c>
      <x:c r="E601" s="10" t="n">
        <x:v>5e-9</x:v>
      </x:c>
      <x:c r="F601" s="10" t="n">
        <x:v>0.004096</x:v>
      </x:c>
      <x:c r="G601" s="10" t="n">
        <x:f>SUM(D601:F601)</x:f>
        <x:v>560.004096005</x:v>
      </x:c>
    </x:row>
    <x:row r="602" ht="24" customHeight="1">
      <x:c r="A602" s="10" t="str">
        <x:v>S02-04</x:v>
      </x:c>
      <x:c r="B602" s="10" t="str">
        <x:v>B</x:v>
      </x:c>
      <x:c r="C602" s="18" t="n">
        <x:v>4.101333333</x:v>
      </x:c>
      <x:c r="D602" s="10" t="n">
        <x:v>560</x:v>
      </x:c>
      <x:c r="E602" s="10" t="n">
        <x:v>0</x:v>
      </x:c>
      <x:c r="F602" s="10" t="n">
        <x:v>0.004096</x:v>
      </x:c>
      <x:c r="G602" s="10" t="n">
        <x:f>SUM(D602:F602)</x:f>
        <x:v>560.004096</x:v>
      </x:c>
    </x:row>
    <x:row r="603" ht="24" customHeight="1">
      <x:c r="A603" s="10" t="str">
        <x:v>S02-04</x:v>
      </x:c>
      <x:c r="B603" s="10" t="str">
        <x:v>B</x:v>
      </x:c>
      <x:c r="C603" s="18" t="n">
        <x:v>4.101333433</x:v>
      </x:c>
      <x:c r="D603" s="10" t="n">
        <x:v>560</x:v>
      </x:c>
      <x:c r="E603" s="10" t="n">
        <x:v>0</x:v>
      </x:c>
      <x:c r="F603" s="10" t="n">
        <x:v>0</x:v>
      </x:c>
      <x:c r="G603" s="10" t="n">
        <x:f>SUM(D603:F603)</x:f>
        <x:v>560</x:v>
      </x:c>
    </x:row>
    <x:row r="604" ht="24" customHeight="1">
      <x:c r="A604" s="10" t="str">
        <x:v>S02-05</x:v>
      </x:c>
      <x:c r="B604" s="10" t="str">
        <x:v>A</x:v>
      </x:c>
      <x:c r="C604" s="18" t="n">
        <x:v>-6.0000001</x:v>
      </x:c>
      <x:c r="D604" s="10" t="n">
        <x:v>560</x:v>
      </x:c>
      <x:c r="E604" s="10" t="n">
        <x:v>0</x:v>
      </x:c>
      <x:c r="F604" s="10" t="n">
        <x:v>0</x:v>
      </x:c>
      <x:c r="G604" s="10" t="n">
        <x:f>SUM(D604:F604)</x:f>
        <x:v>560</x:v>
      </x:c>
    </x:row>
    <x:row r="605" ht="24" customHeight="1">
      <x:c r="A605" s="10" t="str">
        <x:v>S02-05</x:v>
      </x:c>
      <x:c r="B605" s="10" t="str">
        <x:v>A</x:v>
      </x:c>
      <x:c r="C605" s="18" t="n">
        <x:v>-6</x:v>
      </x:c>
      <x:c r="D605" s="10" t="n">
        <x:v>560</x:v>
      </x:c>
      <x:c r="E605" s="10" t="n">
        <x:v>0</x:v>
      </x:c>
      <x:c r="F605" s="10" t="n">
        <x:v>0</x:v>
      </x:c>
      <x:c r="G605" s="10" t="n">
        <x:f>SUM(D605:F605)</x:f>
        <x:v>560</x:v>
      </x:c>
    </x:row>
    <x:row r="606" ht="24" customHeight="1">
      <x:c r="A606" s="10" t="str">
        <x:v>S02-05</x:v>
      </x:c>
      <x:c r="B606" s="10" t="str">
        <x:v>A</x:v>
      </x:c>
      <x:c r="C606" s="18" t="n">
        <x:v>-5.9999999</x:v>
      </x:c>
      <x:c r="D606" s="10" t="n">
        <x:v>560</x:v>
      </x:c>
      <x:c r="E606" s="10" t="n">
        <x:v>0</x:v>
      </x:c>
      <x:c r="F606" s="10" t="n">
        <x:v>0</x:v>
      </x:c>
      <x:c r="G606" s="10" t="n">
        <x:f>SUM(D606:F606)</x:f>
        <x:v>560</x:v>
      </x:c>
    </x:row>
    <x:row r="607" ht="24" customHeight="1">
      <x:c r="A607" s="10" t="str">
        <x:v>S02-05</x:v>
      </x:c>
      <x:c r="B607" s="10" t="str">
        <x:v>A</x:v>
      </x:c>
      <x:c r="C607" s="18" t="n">
        <x:v>-1.4000001</x:v>
      </x:c>
      <x:c r="D607" s="10" t="n">
        <x:v>560</x:v>
      </x:c>
      <x:c r="E607" s="10" t="n">
        <x:v>0</x:v>
      </x:c>
      <x:c r="F607" s="10" t="n">
        <x:v>0</x:v>
      </x:c>
      <x:c r="G607" s="10" t="n">
        <x:f>SUM(D607:F607)</x:f>
        <x:v>560</x:v>
      </x:c>
    </x:row>
    <x:row r="608" ht="24" customHeight="1">
      <x:c r="A608" s="10" t="str">
        <x:v>S02-05</x:v>
      </x:c>
      <x:c r="B608" s="10" t="str">
        <x:v>A</x:v>
      </x:c>
      <x:c r="C608" s="18" t="n">
        <x:v>-1.4</x:v>
      </x:c>
      <x:c r="D608" s="10" t="n">
        <x:v>560</x:v>
      </x:c>
      <x:c r="E608" s="10" t="n">
        <x:v>0</x:v>
      </x:c>
      <x:c r="F608" s="10" t="n">
        <x:v>0.004096</x:v>
      </x:c>
      <x:c r="G608" s="10" t="n">
        <x:f>SUM(D608:F608)</x:f>
        <x:v>560.004096</x:v>
      </x:c>
    </x:row>
    <x:row r="609" ht="24" customHeight="1">
      <x:c r="A609" s="10" t="str">
        <x:v>S02-05</x:v>
      </x:c>
      <x:c r="B609" s="10" t="str">
        <x:v>A</x:v>
      </x:c>
      <x:c r="C609" s="18" t="n">
        <x:v>-1.3999999</x:v>
      </x:c>
      <x:c r="D609" s="10" t="n">
        <x:v>560</x:v>
      </x:c>
      <x:c r="E609" s="10" t="n">
        <x:v>0</x:v>
      </x:c>
      <x:c r="F609" s="10" t="n">
        <x:v>0.004096</x:v>
      </x:c>
      <x:c r="G609" s="10" t="n">
        <x:f>SUM(D609:F609)</x:f>
        <x:v>560.004096</x:v>
      </x:c>
    </x:row>
    <x:row r="610" ht="24" customHeight="1">
      <x:c r="A610" s="10" t="str">
        <x:v>S02-05</x:v>
      </x:c>
      <x:c r="B610" s="10" t="str">
        <x:v>A</x:v>
      </x:c>
      <x:c r="C610" s="18" t="n">
        <x:v>-0.9990001</x:v>
      </x:c>
      <x:c r="D610" s="10" t="n">
        <x:v>560</x:v>
      </x:c>
      <x:c r="E610" s="10" t="n">
        <x:v>0</x:v>
      </x:c>
      <x:c r="F610" s="10" t="n">
        <x:v>0.004096</x:v>
      </x:c>
      <x:c r="G610" s="10" t="n">
        <x:f>SUM(D610:F610)</x:f>
        <x:v>560.004096</x:v>
      </x:c>
    </x:row>
    <x:row r="611" ht="24" customHeight="1">
      <x:c r="A611" s="10" t="str">
        <x:v>S02-05</x:v>
      </x:c>
      <x:c r="B611" s="10" t="str">
        <x:v>A</x:v>
      </x:c>
      <x:c r="C611" s="18" t="n">
        <x:v>-0.999</x:v>
      </x:c>
      <x:c r="D611" s="10" t="n">
        <x:v>560</x:v>
      </x:c>
      <x:c r="E611" s="10" t="n">
        <x:v>0.0096</x:v>
      </x:c>
      <x:c r="F611" s="10" t="n">
        <x:v>0.004096</x:v>
      </x:c>
      <x:c r="G611" s="10" t="n">
        <x:f>SUM(D611:F611)</x:f>
        <x:v>560.013696</x:v>
      </x:c>
    </x:row>
    <x:row r="612" ht="24" customHeight="1">
      <x:c r="A612" s="10" t="str">
        <x:v>S02-05</x:v>
      </x:c>
      <x:c r="B612" s="10" t="str">
        <x:v>A</x:v>
      </x:c>
      <x:c r="C612" s="18" t="n">
        <x:v>-0.9989999</x:v>
      </x:c>
      <x:c r="D612" s="10" t="n">
        <x:v>560</x:v>
      </x:c>
      <x:c r="E612" s="10" t="n">
        <x:v>0.009600019</x:v>
      </x:c>
      <x:c r="F612" s="10" t="n">
        <x:v>0.004096</x:v>
      </x:c>
      <x:c r="G612" s="10" t="n">
        <x:f>SUM(D612:F612)</x:f>
        <x:v>560.013696019</x:v>
      </x:c>
    </x:row>
    <x:row r="613" ht="24" customHeight="1">
      <x:c r="A613" s="10" t="str">
        <x:v>S02-05</x:v>
      </x:c>
      <x:c r="B613" s="10" t="str">
        <x:v>A</x:v>
      </x:c>
      <x:c r="C613" s="18" t="n">
        <x:v>-0.3505001</x:v>
      </x:c>
      <x:c r="D613" s="10" t="n">
        <x:v>560</x:v>
      </x:c>
      <x:c r="E613" s="10" t="n">
        <x:v>0.134111981</x:v>
      </x:c>
      <x:c r="F613" s="10" t="n">
        <x:v>0.004096</x:v>
      </x:c>
      <x:c r="G613" s="10" t="n">
        <x:f>SUM(D613:F613)</x:f>
        <x:v>560.138207981</x:v>
      </x:c>
    </x:row>
    <x:row r="614" ht="24" customHeight="1">
      <x:c r="A614" s="10" t="str">
        <x:v>S02-05</x:v>
      </x:c>
      <x:c r="B614" s="10" t="str">
        <x:v>A</x:v>
      </x:c>
      <x:c r="C614" s="18" t="n">
        <x:v>-0.3505</x:v>
      </x:c>
      <x:c r="D614" s="10" t="n">
        <x:v>560</x:v>
      </x:c>
      <x:c r="E614" s="10" t="n">
        <x:v>0.134112</x:v>
      </x:c>
      <x:c r="F614" s="10" t="n">
        <x:v>0.004096</x:v>
      </x:c>
      <x:c r="G614" s="10" t="n">
        <x:f>SUM(D614:F614)</x:f>
        <x:v>560.138208</x:v>
      </x:c>
    </x:row>
    <x:row r="615" ht="24" customHeight="1">
      <x:c r="A615" s="10" t="str">
        <x:v>S02-05</x:v>
      </x:c>
      <x:c r="B615" s="10" t="str">
        <x:v>A</x:v>
      </x:c>
      <x:c r="C615" s="18" t="n">
        <x:v>-0.3504999</x:v>
      </x:c>
      <x:c r="D615" s="10" t="n">
        <x:v>560</x:v>
      </x:c>
      <x:c r="E615" s="10" t="n">
        <x:v>0.134112</x:v>
      </x:c>
      <x:c r="F615" s="10" t="n">
        <x:v>0.004096</x:v>
      </x:c>
      <x:c r="G615" s="10" t="n">
        <x:f>SUM(D615:F615)</x:f>
        <x:v>560.138208</x:v>
      </x:c>
    </x:row>
    <x:row r="616" ht="24" customHeight="1">
      <x:c r="A616" s="10" t="str">
        <x:v>S02-05</x:v>
      </x:c>
      <x:c r="B616" s="10" t="str">
        <x:v>A</x:v>
      </x:c>
      <x:c r="C616" s="18" t="n">
        <x:v>-1e-7</x:v>
      </x:c>
      <x:c r="D616" s="10" t="n">
        <x:v>560</x:v>
      </x:c>
      <x:c r="E616" s="10" t="n">
        <x:v>0.134112</x:v>
      </x:c>
      <x:c r="F616" s="10" t="n">
        <x:v>0.004096</x:v>
      </x:c>
      <x:c r="G616" s="10" t="n">
        <x:f>SUM(D616:F616)</x:f>
        <x:v>560.138208</x:v>
      </x:c>
    </x:row>
    <x:row r="617" ht="24" customHeight="1">
      <x:c r="A617" s="10" t="str">
        <x:v>S02-05</x:v>
      </x:c>
      <x:c r="B617" s="10" t="str">
        <x:v>A</x:v>
      </x:c>
      <x:c r="C617" s="18" t="n">
        <x:v>0</x:v>
      </x:c>
      <x:c r="D617" s="10" t="n">
        <x:v>560</x:v>
      </x:c>
      <x:c r="E617" s="10" t="n">
        <x:v>0.134112</x:v>
      </x:c>
      <x:c r="F617" s="10" t="n">
        <x:v>0.004096</x:v>
      </x:c>
      <x:c r="G617" s="10" t="n">
        <x:f>SUM(D617:F617)</x:f>
        <x:v>560.138208</x:v>
      </x:c>
    </x:row>
    <x:row r="618" ht="24" customHeight="1">
      <x:c r="A618" s="10" t="str">
        <x:v>S02-05</x:v>
      </x:c>
      <x:c r="B618" s="10" t="str">
        <x:v>A</x:v>
      </x:c>
      <x:c r="C618" s="18" t="n">
        <x:v>1e-7</x:v>
      </x:c>
      <x:c r="D618" s="10" t="n">
        <x:v>560</x:v>
      </x:c>
      <x:c r="E618" s="10" t="n">
        <x:v>0.134112</x:v>
      </x:c>
      <x:c r="F618" s="10" t="n">
        <x:v>0.004096</x:v>
      </x:c>
      <x:c r="G618" s="10" t="n">
        <x:f>SUM(D618:F618)</x:f>
        <x:v>560.138208</x:v>
      </x:c>
    </x:row>
    <x:row r="619" ht="24" customHeight="1">
      <x:c r="A619" s="10" t="str">
        <x:v>S02-05</x:v>
      </x:c>
      <x:c r="B619" s="10" t="str">
        <x:v>A</x:v>
      </x:c>
      <x:c r="C619" s="18" t="n">
        <x:v>0.906666567</x:v>
      </x:c>
      <x:c r="D619" s="10" t="n">
        <x:v>560</x:v>
      </x:c>
      <x:c r="E619" s="10" t="n">
        <x:v>0.134112</x:v>
      </x:c>
      <x:c r="F619" s="10" t="n">
        <x:v>0.004096</x:v>
      </x:c>
      <x:c r="G619" s="10" t="n">
        <x:f>SUM(D619:F619)</x:f>
        <x:v>560.138208</x:v>
      </x:c>
    </x:row>
    <x:row r="620" ht="24" customHeight="1">
      <x:c r="A620" s="10" t="str">
        <x:v>S02-05</x:v>
      </x:c>
      <x:c r="B620" s="10" t="str">
        <x:v>A</x:v>
      </x:c>
      <x:c r="C620" s="18" t="n">
        <x:v>0.906666667</x:v>
      </x:c>
      <x:c r="D620" s="10" t="n">
        <x:v>560</x:v>
      </x:c>
      <x:c r="E620" s="10" t="n">
        <x:v>0.134112</x:v>
      </x:c>
      <x:c r="F620" s="10" t="n">
        <x:v>0.004096</x:v>
      </x:c>
      <x:c r="G620" s="10" t="n">
        <x:f>SUM(D620:F620)</x:f>
        <x:v>560.138208</x:v>
      </x:c>
    </x:row>
    <x:row r="621" ht="24" customHeight="1">
      <x:c r="A621" s="10" t="str">
        <x:v>S02-05</x:v>
      </x:c>
      <x:c r="B621" s="10" t="str">
        <x:v>A</x:v>
      </x:c>
      <x:c r="C621" s="18" t="n">
        <x:v>0.906666767</x:v>
      </x:c>
      <x:c r="D621" s="10" t="n">
        <x:v>560</x:v>
      </x:c>
      <x:c r="E621" s="10" t="n">
        <x:v>0.134112</x:v>
      </x:c>
      <x:c r="F621" s="10" t="n">
        <x:v>0.004096</x:v>
      </x:c>
      <x:c r="G621" s="10" t="n">
        <x:f>SUM(D621:F621)</x:f>
        <x:v>560.138208</x:v>
      </x:c>
    </x:row>
    <x:row r="622" ht="24" customHeight="1">
      <x:c r="A622" s="10" t="str">
        <x:v>S02-05</x:v>
      </x:c>
      <x:c r="B622" s="10" t="str">
        <x:v>A</x:v>
      </x:c>
      <x:c r="C622" s="18" t="n">
        <x:v>0.946666567</x:v>
      </x:c>
      <x:c r="D622" s="10" t="n">
        <x:v>560</x:v>
      </x:c>
      <x:c r="E622" s="10" t="n">
        <x:v>0.134112</x:v>
      </x:c>
      <x:c r="F622" s="10" t="n">
        <x:v>0.004096</x:v>
      </x:c>
      <x:c r="G622" s="10" t="n">
        <x:f>SUM(D622:F622)</x:f>
        <x:v>560.138208</x:v>
      </x:c>
    </x:row>
    <x:row r="623" ht="24" customHeight="1">
      <x:c r="A623" s="10" t="str">
        <x:v>S02-05</x:v>
      </x:c>
      <x:c r="B623" s="10" t="str">
        <x:v>A</x:v>
      </x:c>
      <x:c r="C623" s="18" t="n">
        <x:v>0.946666667</x:v>
      </x:c>
      <x:c r="D623" s="10" t="n">
        <x:v>560</x:v>
      </x:c>
      <x:c r="E623" s="10" t="n">
        <x:v>0.134112</x:v>
      </x:c>
      <x:c r="F623" s="10" t="n">
        <x:v>0.004096</x:v>
      </x:c>
      <x:c r="G623" s="10" t="n">
        <x:f>SUM(D623:F623)</x:f>
        <x:v>560.138208</x:v>
      </x:c>
    </x:row>
    <x:row r="624" ht="24" customHeight="1">
      <x:c r="A624" s="10" t="str">
        <x:v>S02-05</x:v>
      </x:c>
      <x:c r="B624" s="10" t="str">
        <x:v>A</x:v>
      </x:c>
      <x:c r="C624" s="18" t="n">
        <x:v>0.946666767</x:v>
      </x:c>
      <x:c r="D624" s="10" t="n">
        <x:v>560</x:v>
      </x:c>
      <x:c r="E624" s="10" t="n">
        <x:v>0.134111995</x:v>
      </x:c>
      <x:c r="F624" s="10" t="n">
        <x:v>0.004096</x:v>
      </x:c>
      <x:c r="G624" s="10" t="n">
        <x:f>SUM(D624:F624)</x:f>
        <x:v>560.138207995</x:v>
      </x:c>
    </x:row>
    <x:row r="625" ht="24" customHeight="1">
      <x:c r="A625" s="10" t="str">
        <x:v>S02-05</x:v>
      </x:c>
      <x:c r="B625" s="10" t="str">
        <x:v>A</x:v>
      </x:c>
      <x:c r="C625" s="18" t="n">
        <x:v>3.740666567</x:v>
      </x:c>
      <x:c r="D625" s="10" t="n">
        <x:v>560</x:v>
      </x:c>
      <x:c r="E625" s="10" t="n">
        <x:v>5e-9</x:v>
      </x:c>
      <x:c r="F625" s="10" t="n">
        <x:v>0.004096</x:v>
      </x:c>
      <x:c r="G625" s="10" t="n">
        <x:f>SUM(D625:F625)</x:f>
        <x:v>560.004096005</x:v>
      </x:c>
    </x:row>
    <x:row r="626" ht="24" customHeight="1">
      <x:c r="A626" s="10" t="str">
        <x:v>S02-05</x:v>
      </x:c>
      <x:c r="B626" s="10" t="str">
        <x:v>A</x:v>
      </x:c>
      <x:c r="C626" s="18" t="n">
        <x:v>3.740666667</x:v>
      </x:c>
      <x:c r="D626" s="10" t="n">
        <x:v>560</x:v>
      </x:c>
      <x:c r="E626" s="10" t="n">
        <x:v>0</x:v>
      </x:c>
      <x:c r="F626" s="10" t="n">
        <x:v>0.004096</x:v>
      </x:c>
      <x:c r="G626" s="10" t="n">
        <x:f>SUM(D626:F626)</x:f>
        <x:v>560.004096</x:v>
      </x:c>
    </x:row>
    <x:row r="627" ht="24" customHeight="1">
      <x:c r="A627" s="10" t="str">
        <x:v>S02-05</x:v>
      </x:c>
      <x:c r="B627" s="10" t="str">
        <x:v>A</x:v>
      </x:c>
      <x:c r="C627" s="18" t="n">
        <x:v>3.740666767</x:v>
      </x:c>
      <x:c r="D627" s="10" t="n">
        <x:v>560</x:v>
      </x:c>
      <x:c r="E627" s="10" t="n">
        <x:v>0</x:v>
      </x:c>
      <x:c r="F627" s="10" t="n">
        <x:v>0</x:v>
      </x:c>
      <x:c r="G627" s="10" t="n">
        <x:f>SUM(D627:F627)</x:f>
        <x:v>560</x:v>
      </x:c>
    </x:row>
    <x:row r="628" ht="24" customHeight="1">
      <x:c r="A628" s="10" t="str">
        <x:v>S02-05</x:v>
      </x:c>
      <x:c r="B628" s="10" t="str">
        <x:v>B</x:v>
      </x:c>
      <x:c r="C628" s="18" t="n">
        <x:v>-6.0000001</x:v>
      </x:c>
      <x:c r="D628" s="10" t="n">
        <x:v>560</x:v>
      </x:c>
      <x:c r="E628" s="10" t="n">
        <x:v>0</x:v>
      </x:c>
      <x:c r="F628" s="10" t="n">
        <x:v>0</x:v>
      </x:c>
      <x:c r="G628" s="10" t="n">
        <x:f>SUM(D628:F628)</x:f>
        <x:v>560</x:v>
      </x:c>
    </x:row>
    <x:row r="629" ht="24" customHeight="1">
      <x:c r="A629" s="10" t="str">
        <x:v>S02-05</x:v>
      </x:c>
      <x:c r="B629" s="10" t="str">
        <x:v>B</x:v>
      </x:c>
      <x:c r="C629" s="18" t="n">
        <x:v>-6</x:v>
      </x:c>
      <x:c r="D629" s="10" t="n">
        <x:v>560</x:v>
      </x:c>
      <x:c r="E629" s="10" t="n">
        <x:v>0</x:v>
      </x:c>
      <x:c r="F629" s="10" t="n">
        <x:v>0</x:v>
      </x:c>
      <x:c r="G629" s="10" t="n">
        <x:f>SUM(D629:F629)</x:f>
        <x:v>560</x:v>
      </x:c>
    </x:row>
    <x:row r="630" ht="24" customHeight="1">
      <x:c r="A630" s="10" t="str">
        <x:v>S02-05</x:v>
      </x:c>
      <x:c r="B630" s="10" t="str">
        <x:v>B</x:v>
      </x:c>
      <x:c r="C630" s="18" t="n">
        <x:v>-5.9999999</x:v>
      </x:c>
      <x:c r="D630" s="10" t="n">
        <x:v>560</x:v>
      </x:c>
      <x:c r="E630" s="10" t="n">
        <x:v>0</x:v>
      </x:c>
      <x:c r="F630" s="10" t="n">
        <x:v>0</x:v>
      </x:c>
      <x:c r="G630" s="10" t="n">
        <x:f>SUM(D630:F630)</x:f>
        <x:v>560</x:v>
      </x:c>
    </x:row>
    <x:row r="631" ht="24" customHeight="1">
      <x:c r="A631" s="10" t="str">
        <x:v>S02-05</x:v>
      </x:c>
      <x:c r="B631" s="10" t="str">
        <x:v>B</x:v>
      </x:c>
      <x:c r="C631" s="18" t="n">
        <x:v>-1e-7</x:v>
      </x:c>
      <x:c r="D631" s="10" t="n">
        <x:v>560</x:v>
      </x:c>
      <x:c r="E631" s="10" t="n">
        <x:v>0</x:v>
      </x:c>
      <x:c r="F631" s="10" t="n">
        <x:v>0</x:v>
      </x:c>
      <x:c r="G631" s="10" t="n">
        <x:f>SUM(D631:F631)</x:f>
        <x:v>560</x:v>
      </x:c>
    </x:row>
    <x:row r="632" ht="24" customHeight="1">
      <x:c r="A632" s="10" t="str">
        <x:v>S02-05</x:v>
      </x:c>
      <x:c r="B632" s="10" t="str">
        <x:v>B</x:v>
      </x:c>
      <x:c r="C632" s="18" t="n">
        <x:v>0</x:v>
      </x:c>
      <x:c r="D632" s="10" t="n">
        <x:v>560</x:v>
      </x:c>
      <x:c r="E632" s="10" t="n">
        <x:v>0</x:v>
      </x:c>
      <x:c r="F632" s="10" t="n">
        <x:v>0</x:v>
      </x:c>
      <x:c r="G632" s="10" t="n">
        <x:f>SUM(D632:F632)</x:f>
        <x:v>560</x:v>
      </x:c>
    </x:row>
    <x:row r="633" ht="24" customHeight="1">
      <x:c r="A633" s="10" t="str">
        <x:v>S02-05</x:v>
      </x:c>
      <x:c r="B633" s="10" t="str">
        <x:v>B</x:v>
      </x:c>
      <x:c r="C633" s="18" t="n">
        <x:v>1e-7</x:v>
      </x:c>
      <x:c r="D633" s="10" t="n">
        <x:v>560</x:v>
      </x:c>
      <x:c r="E633" s="10" t="n">
        <x:v>0</x:v>
      </x:c>
      <x:c r="F633" s="10" t="n">
        <x:v>0</x:v>
      </x:c>
      <x:c r="G633" s="10" t="n">
        <x:f>SUM(D633:F633)</x:f>
        <x:v>560</x:v>
      </x:c>
    </x:row>
    <x:row r="634" ht="24" customHeight="1">
      <x:c r="A634" s="10" t="str">
        <x:v>S02-05</x:v>
      </x:c>
      <x:c r="B634" s="10" t="str">
        <x:v>B</x:v>
      </x:c>
      <x:c r="C634" s="18" t="n">
        <x:v>0.906666567</x:v>
      </x:c>
      <x:c r="D634" s="10" t="n">
        <x:v>560</x:v>
      </x:c>
      <x:c r="E634" s="10" t="n">
        <x:v>0</x:v>
      </x:c>
      <x:c r="F634" s="10" t="n">
        <x:v>0</x:v>
      </x:c>
      <x:c r="G634" s="10" t="n">
        <x:f>SUM(D634:F634)</x:f>
        <x:v>560</x:v>
      </x:c>
    </x:row>
    <x:row r="635" ht="24" customHeight="1">
      <x:c r="A635" s="10" t="str">
        <x:v>S02-05</x:v>
      </x:c>
      <x:c r="B635" s="10" t="str">
        <x:v>B</x:v>
      </x:c>
      <x:c r="C635" s="18" t="n">
        <x:v>0.906666667</x:v>
      </x:c>
      <x:c r="D635" s="10" t="n">
        <x:v>560</x:v>
      </x:c>
      <x:c r="E635" s="10" t="n">
        <x:v>0</x:v>
      </x:c>
      <x:c r="F635" s="10" t="n">
        <x:v>0.004096</x:v>
      </x:c>
      <x:c r="G635" s="10" t="n">
        <x:f>SUM(D635:F635)</x:f>
        <x:v>560.004096</x:v>
      </x:c>
    </x:row>
    <x:row r="636" ht="24" customHeight="1">
      <x:c r="A636" s="10" t="str">
        <x:v>S02-05</x:v>
      </x:c>
      <x:c r="B636" s="10" t="str">
        <x:v>B</x:v>
      </x:c>
      <x:c r="C636" s="18" t="n">
        <x:v>0.906666767</x:v>
      </x:c>
      <x:c r="D636" s="10" t="n">
        <x:v>560</x:v>
      </x:c>
      <x:c r="E636" s="10" t="n">
        <x:v>0</x:v>
      </x:c>
      <x:c r="F636" s="10" t="n">
        <x:v>0.004096</x:v>
      </x:c>
      <x:c r="G636" s="10" t="n">
        <x:f>SUM(D636:F636)</x:f>
        <x:v>560.004096</x:v>
      </x:c>
    </x:row>
    <x:row r="637" ht="24" customHeight="1">
      <x:c r="A637" s="10" t="str">
        <x:v>S02-05</x:v>
      </x:c>
      <x:c r="B637" s="10" t="str">
        <x:v>B</x:v>
      </x:c>
      <x:c r="C637" s="18" t="n">
        <x:v>1.307666567</x:v>
      </x:c>
      <x:c r="D637" s="10" t="n">
        <x:v>560</x:v>
      </x:c>
      <x:c r="E637" s="10" t="n">
        <x:v>0</x:v>
      </x:c>
      <x:c r="F637" s="10" t="n">
        <x:v>0.004096</x:v>
      </x:c>
      <x:c r="G637" s="10" t="n">
        <x:f>SUM(D637:F637)</x:f>
        <x:v>560.004096</x:v>
      </x:c>
    </x:row>
    <x:row r="638" ht="24" customHeight="1">
      <x:c r="A638" s="10" t="str">
        <x:v>S02-05</x:v>
      </x:c>
      <x:c r="B638" s="10" t="str">
        <x:v>B</x:v>
      </x:c>
      <x:c r="C638" s="18" t="n">
        <x:v>1.307666667</x:v>
      </x:c>
      <x:c r="D638" s="10" t="n">
        <x:v>560</x:v>
      </x:c>
      <x:c r="E638" s="10" t="n">
        <x:v>0.0096</x:v>
      </x:c>
      <x:c r="F638" s="10" t="n">
        <x:v>0.004096</x:v>
      </x:c>
      <x:c r="G638" s="10" t="n">
        <x:f>SUM(D638:F638)</x:f>
        <x:v>560.013696</x:v>
      </x:c>
    </x:row>
    <x:row r="639" ht="24" customHeight="1">
      <x:c r="A639" s="10" t="str">
        <x:v>S02-05</x:v>
      </x:c>
      <x:c r="B639" s="10" t="str">
        <x:v>B</x:v>
      </x:c>
      <x:c r="C639" s="18" t="n">
        <x:v>1.307666767</x:v>
      </x:c>
      <x:c r="D639" s="10" t="n">
        <x:v>560</x:v>
      </x:c>
      <x:c r="E639" s="10" t="n">
        <x:v>0.009600019</x:v>
      </x:c>
      <x:c r="F639" s="10" t="n">
        <x:v>0.004096</x:v>
      </x:c>
      <x:c r="G639" s="10" t="n">
        <x:f>SUM(D639:F639)</x:f>
        <x:v>560.013696019</x:v>
      </x:c>
    </x:row>
    <x:row r="640" ht="24" customHeight="1">
      <x:c r="A640" s="10" t="str">
        <x:v>S02-05</x:v>
      </x:c>
      <x:c r="B640" s="10" t="str">
        <x:v>B</x:v>
      </x:c>
      <x:c r="C640" s="18" t="n">
        <x:v>1.347666567</x:v>
      </x:c>
      <x:c r="D640" s="10" t="n">
        <x:v>560</x:v>
      </x:c>
      <x:c r="E640" s="10" t="n">
        <x:v>0.017279981</x:v>
      </x:c>
      <x:c r="F640" s="10" t="n">
        <x:v>0.004096</x:v>
      </x:c>
      <x:c r="G640" s="10" t="n">
        <x:f>SUM(D640:F640)</x:f>
        <x:v>560.021375981</x:v>
      </x:c>
    </x:row>
    <x:row r="641" ht="24" customHeight="1">
      <x:c r="A641" s="10" t="str">
        <x:v>S02-05</x:v>
      </x:c>
      <x:c r="B641" s="10" t="str">
        <x:v>B</x:v>
      </x:c>
      <x:c r="C641" s="18" t="n">
        <x:v>1.347666667</x:v>
      </x:c>
      <x:c r="D641" s="10" t="n">
        <x:v>560</x:v>
      </x:c>
      <x:c r="E641" s="10" t="n">
        <x:v>0.01728</x:v>
      </x:c>
      <x:c r="F641" s="10" t="n">
        <x:v>0.004096</x:v>
      </x:c>
      <x:c r="G641" s="10" t="n">
        <x:f>SUM(D641:F641)</x:f>
        <x:v>560.021376</x:v>
      </x:c>
    </x:row>
    <x:row r="642" ht="24" customHeight="1">
      <x:c r="A642" s="10" t="str">
        <x:v>S02-05</x:v>
      </x:c>
      <x:c r="B642" s="10" t="str">
        <x:v>B</x:v>
      </x:c>
      <x:c r="C642" s="18" t="n">
        <x:v>1.347666767</x:v>
      </x:c>
      <x:c r="D642" s="10" t="n">
        <x:v>560</x:v>
      </x:c>
      <x:c r="E642" s="10" t="n">
        <x:v>0.017280014</x:v>
      </x:c>
      <x:c r="F642" s="10" t="n">
        <x:v>0.004096</x:v>
      </x:c>
      <x:c r="G642" s="10" t="n">
        <x:f>SUM(D642:F642)</x:f>
        <x:v>560.021376014</x:v>
      </x:c>
    </x:row>
    <x:row r="643" ht="24" customHeight="1">
      <x:c r="A643" s="10" t="str">
        <x:v>S02-05</x:v>
      </x:c>
      <x:c r="B643" s="10" t="str">
        <x:v>B</x:v>
      </x:c>
      <x:c r="C643" s="18" t="n">
        <x:v>1.956166567</x:v>
      </x:c>
      <x:c r="D643" s="10" t="n">
        <x:v>560</x:v>
      </x:c>
      <x:c r="E643" s="10" t="n">
        <x:v>0.104903986</x:v>
      </x:c>
      <x:c r="F643" s="10" t="n">
        <x:v>0.004096</x:v>
      </x:c>
      <x:c r="G643" s="10" t="n">
        <x:f>SUM(D643:F643)</x:f>
        <x:v>560.108999986</x:v>
      </x:c>
    </x:row>
    <x:row r="644" ht="24" customHeight="1">
      <x:c r="A644" s="10" t="str">
        <x:v>S02-05</x:v>
      </x:c>
      <x:c r="B644" s="10" t="str">
        <x:v>B</x:v>
      </x:c>
      <x:c r="C644" s="18" t="n">
        <x:v>1.956166667</x:v>
      </x:c>
      <x:c r="D644" s="10" t="n">
        <x:v>560</x:v>
      </x:c>
      <x:c r="E644" s="10" t="n">
        <x:v>0.104904</x:v>
      </x:c>
      <x:c r="F644" s="10" t="n">
        <x:v>0.004096</x:v>
      </x:c>
      <x:c r="G644" s="10" t="n">
        <x:f>SUM(D644:F644)</x:f>
        <x:v>560.109</x:v>
      </x:c>
    </x:row>
    <x:row r="645" ht="24" customHeight="1">
      <x:c r="A645" s="10" t="str">
        <x:v>S02-05</x:v>
      </x:c>
      <x:c r="B645" s="10" t="str">
        <x:v>B</x:v>
      </x:c>
      <x:c r="C645" s="18" t="n">
        <x:v>1.956166767</x:v>
      </x:c>
      <x:c r="D645" s="10" t="n">
        <x:v>560</x:v>
      </x:c>
      <x:c r="E645" s="10" t="n">
        <x:v>0.104903995</x:v>
      </x:c>
      <x:c r="F645" s="10" t="n">
        <x:v>0.004096</x:v>
      </x:c>
      <x:c r="G645" s="10" t="n">
        <x:f>SUM(D645:F645)</x:f>
        <x:v>560.108999995</x:v>
      </x:c>
    </x:row>
    <x:row r="646" ht="24" customHeight="1">
      <x:c r="A646" s="10" t="str">
        <x:v>S02-05</x:v>
      </x:c>
      <x:c r="B646" s="10" t="str">
        <x:v>B</x:v>
      </x:c>
      <x:c r="C646" s="18" t="n">
        <x:v>4.141666567</x:v>
      </x:c>
      <x:c r="D646" s="10" t="n">
        <x:v>560</x:v>
      </x:c>
      <x:c r="E646" s="10" t="n">
        <x:v>5e-9</x:v>
      </x:c>
      <x:c r="F646" s="10" t="n">
        <x:v>0.004096</x:v>
      </x:c>
      <x:c r="G646" s="10" t="n">
        <x:f>SUM(D646:F646)</x:f>
        <x:v>560.004096005</x:v>
      </x:c>
    </x:row>
    <x:row r="647" ht="24" customHeight="1">
      <x:c r="A647" s="10" t="str">
        <x:v>S02-05</x:v>
      </x:c>
      <x:c r="B647" s="10" t="str">
        <x:v>B</x:v>
      </x:c>
      <x:c r="C647" s="18" t="n">
        <x:v>4.141666667</x:v>
      </x:c>
      <x:c r="D647" s="10" t="n">
        <x:v>560</x:v>
      </x:c>
      <x:c r="E647" s="10" t="n">
        <x:v>0</x:v>
      </x:c>
      <x:c r="F647" s="10" t="n">
        <x:v>0.004096</x:v>
      </x:c>
      <x:c r="G647" s="10" t="n">
        <x:f>SUM(D647:F647)</x:f>
        <x:v>560.004096</x:v>
      </x:c>
    </x:row>
    <x:row r="648" ht="24" customHeight="1">
      <x:c r="A648" s="10" t="str">
        <x:v>S02-05</x:v>
      </x:c>
      <x:c r="B648" s="10" t="str">
        <x:v>B</x:v>
      </x:c>
      <x:c r="C648" s="18" t="n">
        <x:v>4.141666767</x:v>
      </x:c>
      <x:c r="D648" s="10" t="n">
        <x:v>560</x:v>
      </x:c>
      <x:c r="E648" s="10" t="n">
        <x:v>0</x:v>
      </x:c>
      <x:c r="F648" s="10" t="n">
        <x:v>0</x:v>
      </x:c>
      <x:c r="G648" s="10" t="n">
        <x:f>SUM(D648:F648)</x:f>
        <x:v>560</x:v>
      </x:c>
    </x:row>
    <x:row r="649" ht="24" customHeight="1">
      <x:c r="A649" s="10" t="str">
        <x:v>S02-06</x:v>
      </x:c>
      <x:c r="B649" s="10" t="str">
        <x:v>A</x:v>
      </x:c>
      <x:c r="C649" s="18" t="n">
        <x:v>-6.0000001</x:v>
      </x:c>
      <x:c r="D649" s="10" t="n">
        <x:v>560</x:v>
      </x:c>
      <x:c r="E649" s="10" t="n">
        <x:v>0</x:v>
      </x:c>
      <x:c r="F649" s="10" t="n">
        <x:v>0</x:v>
      </x:c>
      <x:c r="G649" s="10" t="n">
        <x:f>SUM(D649:F649)</x:f>
        <x:v>560</x:v>
      </x:c>
    </x:row>
    <x:row r="650" ht="24" customHeight="1">
      <x:c r="A650" s="10" t="str">
        <x:v>S02-06</x:v>
      </x:c>
      <x:c r="B650" s="10" t="str">
        <x:v>A</x:v>
      </x:c>
      <x:c r="C650" s="18" t="n">
        <x:v>-6</x:v>
      </x:c>
      <x:c r="D650" s="10" t="n">
        <x:v>560</x:v>
      </x:c>
      <x:c r="E650" s="10" t="n">
        <x:v>0</x:v>
      </x:c>
      <x:c r="F650" s="10" t="n">
        <x:v>0</x:v>
      </x:c>
      <x:c r="G650" s="10" t="n">
        <x:f>SUM(D650:F650)</x:f>
        <x:v>560</x:v>
      </x:c>
    </x:row>
    <x:row r="651" ht="24" customHeight="1">
      <x:c r="A651" s="10" t="str">
        <x:v>S02-06</x:v>
      </x:c>
      <x:c r="B651" s="10" t="str">
        <x:v>A</x:v>
      </x:c>
      <x:c r="C651" s="18" t="n">
        <x:v>-5.9999999</x:v>
      </x:c>
      <x:c r="D651" s="10" t="n">
        <x:v>560</x:v>
      </x:c>
      <x:c r="E651" s="10" t="n">
        <x:v>0</x:v>
      </x:c>
      <x:c r="F651" s="10" t="n">
        <x:v>0</x:v>
      </x:c>
      <x:c r="G651" s="10" t="n">
        <x:f>SUM(D651:F651)</x:f>
        <x:v>560</x:v>
      </x:c>
    </x:row>
    <x:row r="652" ht="24" customHeight="1">
      <x:c r="A652" s="10" t="str">
        <x:v>S02-06</x:v>
      </x:c>
      <x:c r="B652" s="10" t="str">
        <x:v>A</x:v>
      </x:c>
      <x:c r="C652" s="18" t="n">
        <x:v>-1.4000001</x:v>
      </x:c>
      <x:c r="D652" s="10" t="n">
        <x:v>560</x:v>
      </x:c>
      <x:c r="E652" s="10" t="n">
        <x:v>0</x:v>
      </x:c>
      <x:c r="F652" s="10" t="n">
        <x:v>0</x:v>
      </x:c>
      <x:c r="G652" s="10" t="n">
        <x:f>SUM(D652:F652)</x:f>
        <x:v>560</x:v>
      </x:c>
    </x:row>
    <x:row r="653" ht="24" customHeight="1">
      <x:c r="A653" s="10" t="str">
        <x:v>S02-06</x:v>
      </x:c>
      <x:c r="B653" s="10" t="str">
        <x:v>A</x:v>
      </x:c>
      <x:c r="C653" s="18" t="n">
        <x:v>-1.4</x:v>
      </x:c>
      <x:c r="D653" s="10" t="n">
        <x:v>560</x:v>
      </x:c>
      <x:c r="E653" s="10" t="n">
        <x:v>0</x:v>
      </x:c>
      <x:c r="F653" s="10" t="n">
        <x:v>0.004096</x:v>
      </x:c>
      <x:c r="G653" s="10" t="n">
        <x:f>SUM(D653:F653)</x:f>
        <x:v>560.004096</x:v>
      </x:c>
    </x:row>
    <x:row r="654" ht="24" customHeight="1">
      <x:c r="A654" s="10" t="str">
        <x:v>S02-06</x:v>
      </x:c>
      <x:c r="B654" s="10" t="str">
        <x:v>A</x:v>
      </x:c>
      <x:c r="C654" s="18" t="n">
        <x:v>-1.3999999</x:v>
      </x:c>
      <x:c r="D654" s="10" t="n">
        <x:v>560</x:v>
      </x:c>
      <x:c r="E654" s="10" t="n">
        <x:v>0</x:v>
      </x:c>
      <x:c r="F654" s="10" t="n">
        <x:v>0.004096</x:v>
      </x:c>
      <x:c r="G654" s="10" t="n">
        <x:f>SUM(D654:F654)</x:f>
        <x:v>560.004096</x:v>
      </x:c>
    </x:row>
    <x:row r="655" ht="24" customHeight="1">
      <x:c r="A655" s="10" t="str">
        <x:v>S02-06</x:v>
      </x:c>
      <x:c r="B655" s="10" t="str">
        <x:v>A</x:v>
      </x:c>
      <x:c r="C655" s="18" t="n">
        <x:v>-0.9990001</x:v>
      </x:c>
      <x:c r="D655" s="10" t="n">
        <x:v>560</x:v>
      </x:c>
      <x:c r="E655" s="10" t="n">
        <x:v>0</x:v>
      </x:c>
      <x:c r="F655" s="10" t="n">
        <x:v>0.004096</x:v>
      </x:c>
      <x:c r="G655" s="10" t="n">
        <x:f>SUM(D655:F655)</x:f>
        <x:v>560.004096</x:v>
      </x:c>
    </x:row>
    <x:row r="656" ht="24" customHeight="1">
      <x:c r="A656" s="10" t="str">
        <x:v>S02-06</x:v>
      </x:c>
      <x:c r="B656" s="10" t="str">
        <x:v>A</x:v>
      </x:c>
      <x:c r="C656" s="18" t="n">
        <x:v>-0.999</x:v>
      </x:c>
      <x:c r="D656" s="10" t="n">
        <x:v>560</x:v>
      </x:c>
      <x:c r="E656" s="10" t="n">
        <x:v>0.0096</x:v>
      </x:c>
      <x:c r="F656" s="10" t="n">
        <x:v>0.004096</x:v>
      </x:c>
      <x:c r="G656" s="10" t="n">
        <x:f>SUM(D656:F656)</x:f>
        <x:v>560.013696</x:v>
      </x:c>
    </x:row>
    <x:row r="657" ht="24" customHeight="1">
      <x:c r="A657" s="10" t="str">
        <x:v>S02-06</x:v>
      </x:c>
      <x:c r="B657" s="10" t="str">
        <x:v>A</x:v>
      </x:c>
      <x:c r="C657" s="18" t="n">
        <x:v>-0.9989999</x:v>
      </x:c>
      <x:c r="D657" s="10" t="n">
        <x:v>560</x:v>
      </x:c>
      <x:c r="E657" s="10" t="n">
        <x:v>0.009600019</x:v>
      </x:c>
      <x:c r="F657" s="10" t="n">
        <x:v>0.004096</x:v>
      </x:c>
      <x:c r="G657" s="10" t="n">
        <x:f>SUM(D657:F657)</x:f>
        <x:v>560.013696019</x:v>
      </x:c>
    </x:row>
    <x:row r="658" ht="24" customHeight="1">
      <x:c r="A658" s="10" t="str">
        <x:v>S02-06</x:v>
      </x:c>
      <x:c r="B658" s="10" t="str">
        <x:v>A</x:v>
      </x:c>
      <x:c r="C658" s="18" t="n">
        <x:v>-0.3475001</x:v>
      </x:c>
      <x:c r="D658" s="10" t="n">
        <x:v>560</x:v>
      </x:c>
      <x:c r="E658" s="10" t="n">
        <x:v>0.134687981</x:v>
      </x:c>
      <x:c r="F658" s="10" t="n">
        <x:v>0.004096</x:v>
      </x:c>
      <x:c r="G658" s="10" t="n">
        <x:f>SUM(D658:F658)</x:f>
        <x:v>560.138783981</x:v>
      </x:c>
    </x:row>
    <x:row r="659" ht="24" customHeight="1">
      <x:c r="A659" s="10" t="str">
        <x:v>S02-06</x:v>
      </x:c>
      <x:c r="B659" s="10" t="str">
        <x:v>A</x:v>
      </x:c>
      <x:c r="C659" s="18" t="n">
        <x:v>-0.3475</x:v>
      </x:c>
      <x:c r="D659" s="10" t="n">
        <x:v>560</x:v>
      </x:c>
      <x:c r="E659" s="10" t="n">
        <x:v>0.134688</x:v>
      </x:c>
      <x:c r="F659" s="10" t="n">
        <x:v>0.004096</x:v>
      </x:c>
      <x:c r="G659" s="10" t="n">
        <x:f>SUM(D659:F659)</x:f>
        <x:v>560.138784</x:v>
      </x:c>
    </x:row>
    <x:row r="660" ht="24" customHeight="1">
      <x:c r="A660" s="10" t="str">
        <x:v>S02-06</x:v>
      </x:c>
      <x:c r="B660" s="10" t="str">
        <x:v>A</x:v>
      </x:c>
      <x:c r="C660" s="18" t="n">
        <x:v>-0.3474999</x:v>
      </x:c>
      <x:c r="D660" s="10" t="n">
        <x:v>560</x:v>
      </x:c>
      <x:c r="E660" s="10" t="n">
        <x:v>0.134688</x:v>
      </x:c>
      <x:c r="F660" s="10" t="n">
        <x:v>0.004096</x:v>
      </x:c>
      <x:c r="G660" s="10" t="n">
        <x:f>SUM(D660:F660)</x:f>
        <x:v>560.138784</x:v>
      </x:c>
    </x:row>
    <x:row r="661" ht="24" customHeight="1">
      <x:c r="A661" s="10" t="str">
        <x:v>S02-06</x:v>
      </x:c>
      <x:c r="B661" s="10" t="str">
        <x:v>A</x:v>
      </x:c>
      <x:c r="C661" s="18" t="n">
        <x:v>-1e-7</x:v>
      </x:c>
      <x:c r="D661" s="10" t="n">
        <x:v>560</x:v>
      </x:c>
      <x:c r="E661" s="10" t="n">
        <x:v>0.134688</x:v>
      </x:c>
      <x:c r="F661" s="10" t="n">
        <x:v>0.004096</x:v>
      </x:c>
      <x:c r="G661" s="10" t="n">
        <x:f>SUM(D661:F661)</x:f>
        <x:v>560.138784</x:v>
      </x:c>
    </x:row>
    <x:row r="662" ht="24" customHeight="1">
      <x:c r="A662" s="10" t="str">
        <x:v>S02-06</x:v>
      </x:c>
      <x:c r="B662" s="10" t="str">
        <x:v>A</x:v>
      </x:c>
      <x:c r="C662" s="18" t="n">
        <x:v>0</x:v>
      </x:c>
      <x:c r="D662" s="10" t="n">
        <x:v>560</x:v>
      </x:c>
      <x:c r="E662" s="10" t="n">
        <x:v>0.134688</x:v>
      </x:c>
      <x:c r="F662" s="10" t="n">
        <x:v>0.004096</x:v>
      </x:c>
      <x:c r="G662" s="10" t="n">
        <x:f>SUM(D662:F662)</x:f>
        <x:v>560.138784</x:v>
      </x:c>
    </x:row>
    <x:row r="663" ht="24" customHeight="1">
      <x:c r="A663" s="10" t="str">
        <x:v>S02-06</x:v>
      </x:c>
      <x:c r="B663" s="10" t="str">
        <x:v>A</x:v>
      </x:c>
      <x:c r="C663" s="18" t="n">
        <x:v>1e-7</x:v>
      </x:c>
      <x:c r="D663" s="10" t="n">
        <x:v>560</x:v>
      </x:c>
      <x:c r="E663" s="10" t="n">
        <x:v>0.134688</x:v>
      </x:c>
      <x:c r="F663" s="10" t="n">
        <x:v>0.004096</x:v>
      </x:c>
      <x:c r="G663" s="10" t="n">
        <x:f>SUM(D663:F663)</x:f>
        <x:v>560.138784</x:v>
      </x:c>
    </x:row>
    <x:row r="664" ht="24" customHeight="1">
      <x:c r="A664" s="10" t="str">
        <x:v>S02-06</x:v>
      </x:c>
      <x:c r="B664" s="10" t="str">
        <x:v>A</x:v>
      </x:c>
      <x:c r="C664" s="18" t="n">
        <x:v>0.8599999</x:v>
      </x:c>
      <x:c r="D664" s="10" t="n">
        <x:v>560</x:v>
      </x:c>
      <x:c r="E664" s="10" t="n">
        <x:v>0.134688</x:v>
      </x:c>
      <x:c r="F664" s="10" t="n">
        <x:v>0.004096</x:v>
      </x:c>
      <x:c r="G664" s="10" t="n">
        <x:f>SUM(D664:F664)</x:f>
        <x:v>560.138784</x:v>
      </x:c>
    </x:row>
    <x:row r="665" ht="24" customHeight="1">
      <x:c r="A665" s="10" t="str">
        <x:v>S02-06</x:v>
      </x:c>
      <x:c r="B665" s="10" t="str">
        <x:v>A</x:v>
      </x:c>
      <x:c r="C665" s="18" t="n">
        <x:v>0.86</x:v>
      </x:c>
      <x:c r="D665" s="10" t="n">
        <x:v>560</x:v>
      </x:c>
      <x:c r="E665" s="10" t="n">
        <x:v>0.134688</x:v>
      </x:c>
      <x:c r="F665" s="10" t="n">
        <x:v>0.004096</x:v>
      </x:c>
      <x:c r="G665" s="10" t="n">
        <x:f>SUM(D665:F665)</x:f>
        <x:v>560.138784</x:v>
      </x:c>
    </x:row>
    <x:row r="666" ht="24" customHeight="1">
      <x:c r="A666" s="10" t="str">
        <x:v>S02-06</x:v>
      </x:c>
      <x:c r="B666" s="10" t="str">
        <x:v>A</x:v>
      </x:c>
      <x:c r="C666" s="18" t="n">
        <x:v>0.8600001</x:v>
      </x:c>
      <x:c r="D666" s="10" t="n">
        <x:v>560</x:v>
      </x:c>
      <x:c r="E666" s="10" t="n">
        <x:v>0.134688</x:v>
      </x:c>
      <x:c r="F666" s="10" t="n">
        <x:v>0.004096</x:v>
      </x:c>
      <x:c r="G666" s="10" t="n">
        <x:f>SUM(D666:F666)</x:f>
        <x:v>560.138784</x:v>
      </x:c>
    </x:row>
    <x:row r="667" ht="24" customHeight="1">
      <x:c r="A667" s="10" t="str">
        <x:v>S02-06</x:v>
      </x:c>
      <x:c r="B667" s="10" t="str">
        <x:v>A</x:v>
      </x:c>
      <x:c r="C667" s="18" t="n">
        <x:v>0.8999999</x:v>
      </x:c>
      <x:c r="D667" s="10" t="n">
        <x:v>560</x:v>
      </x:c>
      <x:c r="E667" s="10" t="n">
        <x:v>0.134688</x:v>
      </x:c>
      <x:c r="F667" s="10" t="n">
        <x:v>0.004096</x:v>
      </x:c>
      <x:c r="G667" s="10" t="n">
        <x:f>SUM(D667:F667)</x:f>
        <x:v>560.138784</x:v>
      </x:c>
    </x:row>
    <x:row r="668" ht="24" customHeight="1">
      <x:c r="A668" s="10" t="str">
        <x:v>S02-06</x:v>
      </x:c>
      <x:c r="B668" s="10" t="str">
        <x:v>A</x:v>
      </x:c>
      <x:c r="C668" s="18" t="n">
        <x:v>0.9</x:v>
      </x:c>
      <x:c r="D668" s="10" t="n">
        <x:v>560</x:v>
      </x:c>
      <x:c r="E668" s="10" t="n">
        <x:v>0.134688</x:v>
      </x:c>
      <x:c r="F668" s="10" t="n">
        <x:v>0.004096</x:v>
      </x:c>
      <x:c r="G668" s="10" t="n">
        <x:f>SUM(D668:F668)</x:f>
        <x:v>560.138784</x:v>
      </x:c>
    </x:row>
    <x:row r="669" ht="24" customHeight="1">
      <x:c r="A669" s="10" t="str">
        <x:v>S02-06</x:v>
      </x:c>
      <x:c r="B669" s="10" t="str">
        <x:v>A</x:v>
      </x:c>
      <x:c r="C669" s="18" t="n">
        <x:v>0.9000001</x:v>
      </x:c>
      <x:c r="D669" s="10" t="n">
        <x:v>560</x:v>
      </x:c>
      <x:c r="E669" s="10" t="n">
        <x:v>0.134687995</x:v>
      </x:c>
      <x:c r="F669" s="10" t="n">
        <x:v>0.004096</x:v>
      </x:c>
      <x:c r="G669" s="10" t="n">
        <x:f>SUM(D669:F669)</x:f>
        <x:v>560.138783995</x:v>
      </x:c>
    </x:row>
    <x:row r="670" ht="24" customHeight="1">
      <x:c r="A670" s="10" t="str">
        <x:v>S02-06</x:v>
      </x:c>
      <x:c r="B670" s="10" t="str">
        <x:v>A</x:v>
      </x:c>
      <x:c r="C670" s="18" t="n">
        <x:v>3.7059999</x:v>
      </x:c>
      <x:c r="D670" s="10" t="n">
        <x:v>560</x:v>
      </x:c>
      <x:c r="E670" s="10" t="n">
        <x:v>5e-9</x:v>
      </x:c>
      <x:c r="F670" s="10" t="n">
        <x:v>0.004096</x:v>
      </x:c>
      <x:c r="G670" s="10" t="n">
        <x:f>SUM(D670:F670)</x:f>
        <x:v>560.004096005</x:v>
      </x:c>
    </x:row>
    <x:row r="671" ht="24" customHeight="1">
      <x:c r="A671" s="10" t="str">
        <x:v>S02-06</x:v>
      </x:c>
      <x:c r="B671" s="10" t="str">
        <x:v>A</x:v>
      </x:c>
      <x:c r="C671" s="18" t="n">
        <x:v>3.706</x:v>
      </x:c>
      <x:c r="D671" s="10" t="n">
        <x:v>560</x:v>
      </x:c>
      <x:c r="E671" s="10" t="n">
        <x:v>0</x:v>
      </x:c>
      <x:c r="F671" s="10" t="n">
        <x:v>0.004096</x:v>
      </x:c>
      <x:c r="G671" s="10" t="n">
        <x:f>SUM(D671:F671)</x:f>
        <x:v>560.004096</x:v>
      </x:c>
    </x:row>
    <x:row r="672" ht="24" customHeight="1">
      <x:c r="A672" s="10" t="str">
        <x:v>S02-06</x:v>
      </x:c>
      <x:c r="B672" s="10" t="str">
        <x:v>A</x:v>
      </x:c>
      <x:c r="C672" s="18" t="n">
        <x:v>3.7060001</x:v>
      </x:c>
      <x:c r="D672" s="10" t="n">
        <x:v>560</x:v>
      </x:c>
      <x:c r="E672" s="10" t="n">
        <x:v>0</x:v>
      </x:c>
      <x:c r="F672" s="10" t="n">
        <x:v>0</x:v>
      </x:c>
      <x:c r="G672" s="10" t="n">
        <x:f>SUM(D672:F672)</x:f>
        <x:v>560</x:v>
      </x:c>
    </x:row>
    <x:row r="673" ht="24" customHeight="1">
      <x:c r="A673" s="10" t="str">
        <x:v>S02-06</x:v>
      </x:c>
      <x:c r="B673" s="10" t="str">
        <x:v>B</x:v>
      </x:c>
      <x:c r="C673" s="18" t="n">
        <x:v>-6.0000001</x:v>
      </x:c>
      <x:c r="D673" s="10" t="n">
        <x:v>560</x:v>
      </x:c>
      <x:c r="E673" s="10" t="n">
        <x:v>0</x:v>
      </x:c>
      <x:c r="F673" s="10" t="n">
        <x:v>0</x:v>
      </x:c>
      <x:c r="G673" s="10" t="n">
        <x:f>SUM(D673:F673)</x:f>
        <x:v>560</x:v>
      </x:c>
    </x:row>
    <x:row r="674" ht="24" customHeight="1">
      <x:c r="A674" s="10" t="str">
        <x:v>S02-06</x:v>
      </x:c>
      <x:c r="B674" s="10" t="str">
        <x:v>B</x:v>
      </x:c>
      <x:c r="C674" s="18" t="n">
        <x:v>-6</x:v>
      </x:c>
      <x:c r="D674" s="10" t="n">
        <x:v>560</x:v>
      </x:c>
      <x:c r="E674" s="10" t="n">
        <x:v>0</x:v>
      </x:c>
      <x:c r="F674" s="10" t="n">
        <x:v>0</x:v>
      </x:c>
      <x:c r="G674" s="10" t="n">
        <x:f>SUM(D674:F674)</x:f>
        <x:v>560</x:v>
      </x:c>
    </x:row>
    <x:row r="675" ht="24" customHeight="1">
      <x:c r="A675" s="10" t="str">
        <x:v>S02-06</x:v>
      </x:c>
      <x:c r="B675" s="10" t="str">
        <x:v>B</x:v>
      </x:c>
      <x:c r="C675" s="18" t="n">
        <x:v>-5.9999999</x:v>
      </x:c>
      <x:c r="D675" s="10" t="n">
        <x:v>560</x:v>
      </x:c>
      <x:c r="E675" s="10" t="n">
        <x:v>0</x:v>
      </x:c>
      <x:c r="F675" s="10" t="n">
        <x:v>0</x:v>
      </x:c>
      <x:c r="G675" s="10" t="n">
        <x:f>SUM(D675:F675)</x:f>
        <x:v>560</x:v>
      </x:c>
    </x:row>
    <x:row r="676" ht="24" customHeight="1">
      <x:c r="A676" s="10" t="str">
        <x:v>S02-06</x:v>
      </x:c>
      <x:c r="B676" s="10" t="str">
        <x:v>B</x:v>
      </x:c>
      <x:c r="C676" s="18" t="n">
        <x:v>-1e-7</x:v>
      </x:c>
      <x:c r="D676" s="10" t="n">
        <x:v>560</x:v>
      </x:c>
      <x:c r="E676" s="10" t="n">
        <x:v>0</x:v>
      </x:c>
      <x:c r="F676" s="10" t="n">
        <x:v>0</x:v>
      </x:c>
      <x:c r="G676" s="10" t="n">
        <x:f>SUM(D676:F676)</x:f>
        <x:v>560</x:v>
      </x:c>
    </x:row>
    <x:row r="677" ht="24" customHeight="1">
      <x:c r="A677" s="10" t="str">
        <x:v>S02-06</x:v>
      </x:c>
      <x:c r="B677" s="10" t="str">
        <x:v>B</x:v>
      </x:c>
      <x:c r="C677" s="18" t="n">
        <x:v>0</x:v>
      </x:c>
      <x:c r="D677" s="10" t="n">
        <x:v>560</x:v>
      </x:c>
      <x:c r="E677" s="10" t="n">
        <x:v>0</x:v>
      </x:c>
      <x:c r="F677" s="10" t="n">
        <x:v>0</x:v>
      </x:c>
      <x:c r="G677" s="10" t="n">
        <x:f>SUM(D677:F677)</x:f>
        <x:v>560</x:v>
      </x:c>
    </x:row>
    <x:row r="678" ht="24" customHeight="1">
      <x:c r="A678" s="10" t="str">
        <x:v>S02-06</x:v>
      </x:c>
      <x:c r="B678" s="10" t="str">
        <x:v>B</x:v>
      </x:c>
      <x:c r="C678" s="18" t="n">
        <x:v>1e-7</x:v>
      </x:c>
      <x:c r="D678" s="10" t="n">
        <x:v>560</x:v>
      </x:c>
      <x:c r="E678" s="10" t="n">
        <x:v>0</x:v>
      </x:c>
      <x:c r="F678" s="10" t="n">
        <x:v>0</x:v>
      </x:c>
      <x:c r="G678" s="10" t="n">
        <x:f>SUM(D678:F678)</x:f>
        <x:v>560</x:v>
      </x:c>
    </x:row>
    <x:row r="679" ht="24" customHeight="1">
      <x:c r="A679" s="10" t="str">
        <x:v>S02-06</x:v>
      </x:c>
      <x:c r="B679" s="10" t="str">
        <x:v>B</x:v>
      </x:c>
      <x:c r="C679" s="18" t="n">
        <x:v>0.8599999</x:v>
      </x:c>
      <x:c r="D679" s="10" t="n">
        <x:v>560</x:v>
      </x:c>
      <x:c r="E679" s="10" t="n">
        <x:v>0</x:v>
      </x:c>
      <x:c r="F679" s="10" t="n">
        <x:v>0</x:v>
      </x:c>
      <x:c r="G679" s="10" t="n">
        <x:f>SUM(D679:F679)</x:f>
        <x:v>560</x:v>
      </x:c>
    </x:row>
    <x:row r="680" ht="24" customHeight="1">
      <x:c r="A680" s="10" t="str">
        <x:v>S02-06</x:v>
      </x:c>
      <x:c r="B680" s="10" t="str">
        <x:v>B</x:v>
      </x:c>
      <x:c r="C680" s="18" t="n">
        <x:v>0.86</x:v>
      </x:c>
      <x:c r="D680" s="10" t="n">
        <x:v>560</x:v>
      </x:c>
      <x:c r="E680" s="10" t="n">
        <x:v>0</x:v>
      </x:c>
      <x:c r="F680" s="10" t="n">
        <x:v>0.004096</x:v>
      </x:c>
      <x:c r="G680" s="10" t="n">
        <x:f>SUM(D680:F680)</x:f>
        <x:v>560.004096</x:v>
      </x:c>
    </x:row>
    <x:row r="681" ht="24" customHeight="1">
      <x:c r="A681" s="10" t="str">
        <x:v>S02-06</x:v>
      </x:c>
      <x:c r="B681" s="10" t="str">
        <x:v>B</x:v>
      </x:c>
      <x:c r="C681" s="18" t="n">
        <x:v>0.8600001</x:v>
      </x:c>
      <x:c r="D681" s="10" t="n">
        <x:v>560</x:v>
      </x:c>
      <x:c r="E681" s="10" t="n">
        <x:v>0</x:v>
      </x:c>
      <x:c r="F681" s="10" t="n">
        <x:v>0.004096</x:v>
      </x:c>
      <x:c r="G681" s="10" t="n">
        <x:f>SUM(D681:F681)</x:f>
        <x:v>560.004096</x:v>
      </x:c>
    </x:row>
    <x:row r="682" ht="24" customHeight="1">
      <x:c r="A682" s="10" t="str">
        <x:v>S02-06</x:v>
      </x:c>
      <x:c r="B682" s="10" t="str">
        <x:v>B</x:v>
      </x:c>
      <x:c r="C682" s="18" t="n">
        <x:v>1.2609999</x:v>
      </x:c>
      <x:c r="D682" s="10" t="n">
        <x:v>560</x:v>
      </x:c>
      <x:c r="E682" s="10" t="n">
        <x:v>0</x:v>
      </x:c>
      <x:c r="F682" s="10" t="n">
        <x:v>0.004096</x:v>
      </x:c>
      <x:c r="G682" s="10" t="n">
        <x:f>SUM(D682:F682)</x:f>
        <x:v>560.004096</x:v>
      </x:c>
    </x:row>
    <x:row r="683" ht="24" customHeight="1">
      <x:c r="A683" s="10" t="str">
        <x:v>S02-06</x:v>
      </x:c>
      <x:c r="B683" s="10" t="str">
        <x:v>B</x:v>
      </x:c>
      <x:c r="C683" s="18" t="n">
        <x:v>1.261</x:v>
      </x:c>
      <x:c r="D683" s="10" t="n">
        <x:v>560</x:v>
      </x:c>
      <x:c r="E683" s="10" t="n">
        <x:v>0.0096</x:v>
      </x:c>
      <x:c r="F683" s="10" t="n">
        <x:v>0.004096</x:v>
      </x:c>
      <x:c r="G683" s="10" t="n">
        <x:f>SUM(D683:F683)</x:f>
        <x:v>560.013696</x:v>
      </x:c>
    </x:row>
    <x:row r="684" ht="24" customHeight="1">
      <x:c r="A684" s="10" t="str">
        <x:v>S02-06</x:v>
      </x:c>
      <x:c r="B684" s="10" t="str">
        <x:v>B</x:v>
      </x:c>
      <x:c r="C684" s="18" t="n">
        <x:v>1.2610001</x:v>
      </x:c>
      <x:c r="D684" s="10" t="n">
        <x:v>560</x:v>
      </x:c>
      <x:c r="E684" s="10" t="n">
        <x:v>0.009600019</x:v>
      </x:c>
      <x:c r="F684" s="10" t="n">
        <x:v>0.004096</x:v>
      </x:c>
      <x:c r="G684" s="10" t="n">
        <x:f>SUM(D684:F684)</x:f>
        <x:v>560.013696019</x:v>
      </x:c>
    </x:row>
    <x:row r="685" ht="24" customHeight="1">
      <x:c r="A685" s="10" t="str">
        <x:v>S02-06</x:v>
      </x:c>
      <x:c r="B685" s="10" t="str">
        <x:v>B</x:v>
      </x:c>
      <x:c r="C685" s="18" t="n">
        <x:v>1.3009999</x:v>
      </x:c>
      <x:c r="D685" s="10" t="n">
        <x:v>560</x:v>
      </x:c>
      <x:c r="E685" s="10" t="n">
        <x:v>0.017279981</x:v>
      </x:c>
      <x:c r="F685" s="10" t="n">
        <x:v>0.004096</x:v>
      </x:c>
      <x:c r="G685" s="10" t="n">
        <x:f>SUM(D685:F685)</x:f>
        <x:v>560.021375981</x:v>
      </x:c>
    </x:row>
    <x:row r="686" ht="24" customHeight="1">
      <x:c r="A686" s="10" t="str">
        <x:v>S02-06</x:v>
      </x:c>
      <x:c r="B686" s="10" t="str">
        <x:v>B</x:v>
      </x:c>
      <x:c r="C686" s="18" t="n">
        <x:v>1.301</x:v>
      </x:c>
      <x:c r="D686" s="10" t="n">
        <x:v>560</x:v>
      </x:c>
      <x:c r="E686" s="10" t="n">
        <x:v>0.01728</x:v>
      </x:c>
      <x:c r="F686" s="10" t="n">
        <x:v>0.004096</x:v>
      </x:c>
      <x:c r="G686" s="10" t="n">
        <x:f>SUM(D686:F686)</x:f>
        <x:v>560.021376</x:v>
      </x:c>
    </x:row>
    <x:row r="687" ht="24" customHeight="1">
      <x:c r="A687" s="10" t="str">
        <x:v>S02-06</x:v>
      </x:c>
      <x:c r="B687" s="10" t="str">
        <x:v>B</x:v>
      </x:c>
      <x:c r="C687" s="18" t="n">
        <x:v>1.3010001</x:v>
      </x:c>
      <x:c r="D687" s="10" t="n">
        <x:v>560</x:v>
      </x:c>
      <x:c r="E687" s="10" t="n">
        <x:v>0.017280014</x:v>
      </x:c>
      <x:c r="F687" s="10" t="n">
        <x:v>0.004096</x:v>
      </x:c>
      <x:c r="G687" s="10" t="n">
        <x:f>SUM(D687:F687)</x:f>
        <x:v>560.021376014</x:v>
      </x:c>
    </x:row>
    <x:row r="688" ht="24" customHeight="1">
      <x:c r="A688" s="10" t="str">
        <x:v>S02-06</x:v>
      </x:c>
      <x:c r="B688" s="10" t="str">
        <x:v>B</x:v>
      </x:c>
      <x:c r="C688" s="18" t="n">
        <x:v>1.9124999</x:v>
      </x:c>
      <x:c r="D688" s="10" t="n">
        <x:v>560</x:v>
      </x:c>
      <x:c r="E688" s="10" t="n">
        <x:v>0.105335986</x:v>
      </x:c>
      <x:c r="F688" s="10" t="n">
        <x:v>0.004096</x:v>
      </x:c>
      <x:c r="G688" s="10" t="n">
        <x:f>SUM(D688:F688)</x:f>
        <x:v>560.109431986</x:v>
      </x:c>
    </x:row>
    <x:row r="689" ht="24" customHeight="1">
      <x:c r="A689" s="10" t="str">
        <x:v>S02-06</x:v>
      </x:c>
      <x:c r="B689" s="10" t="str">
        <x:v>B</x:v>
      </x:c>
      <x:c r="C689" s="18" t="n">
        <x:v>1.9125</x:v>
      </x:c>
      <x:c r="D689" s="10" t="n">
        <x:v>560</x:v>
      </x:c>
      <x:c r="E689" s="10" t="n">
        <x:v>0.105336</x:v>
      </x:c>
      <x:c r="F689" s="10" t="n">
        <x:v>0.004096</x:v>
      </x:c>
      <x:c r="G689" s="10" t="n">
        <x:f>SUM(D689:F689)</x:f>
        <x:v>560.109432</x:v>
      </x:c>
    </x:row>
    <x:row r="690" ht="24" customHeight="1">
      <x:c r="A690" s="10" t="str">
        <x:v>S02-06</x:v>
      </x:c>
      <x:c r="B690" s="10" t="str">
        <x:v>B</x:v>
      </x:c>
      <x:c r="C690" s="18" t="n">
        <x:v>1.9125001</x:v>
      </x:c>
      <x:c r="D690" s="10" t="n">
        <x:v>560</x:v>
      </x:c>
      <x:c r="E690" s="10" t="n">
        <x:v>0.105335995</x:v>
      </x:c>
      <x:c r="F690" s="10" t="n">
        <x:v>0.004096</x:v>
      </x:c>
      <x:c r="G690" s="10" t="n">
        <x:f>SUM(D690:F690)</x:f>
        <x:v>560.109431995</x:v>
      </x:c>
    </x:row>
    <x:row r="691" ht="24" customHeight="1">
      <x:c r="A691" s="10" t="str">
        <x:v>S02-06</x:v>
      </x:c>
      <x:c r="B691" s="10" t="str">
        <x:v>B</x:v>
      </x:c>
      <x:c r="C691" s="18" t="n">
        <x:v>4.1069999</x:v>
      </x:c>
      <x:c r="D691" s="10" t="n">
        <x:v>560</x:v>
      </x:c>
      <x:c r="E691" s="10" t="n">
        <x:v>5e-9</x:v>
      </x:c>
      <x:c r="F691" s="10" t="n">
        <x:v>0.004096</x:v>
      </x:c>
      <x:c r="G691" s="10" t="n">
        <x:f>SUM(D691:F691)</x:f>
        <x:v>560.004096005</x:v>
      </x:c>
    </x:row>
    <x:row r="692" ht="24" customHeight="1">
      <x:c r="A692" s="10" t="str">
        <x:v>S02-06</x:v>
      </x:c>
      <x:c r="B692" s="10" t="str">
        <x:v>B</x:v>
      </x:c>
      <x:c r="C692" s="18" t="n">
        <x:v>4.107</x:v>
      </x:c>
      <x:c r="D692" s="10" t="n">
        <x:v>560</x:v>
      </x:c>
      <x:c r="E692" s="10" t="n">
        <x:v>0</x:v>
      </x:c>
      <x:c r="F692" s="10" t="n">
        <x:v>0.004096</x:v>
      </x:c>
      <x:c r="G692" s="10" t="n">
        <x:f>SUM(D692:F692)</x:f>
        <x:v>560.004096</x:v>
      </x:c>
    </x:row>
    <x:row r="693" ht="24" customHeight="1">
      <x:c r="A693" s="10" t="str">
        <x:v>S02-06</x:v>
      </x:c>
      <x:c r="B693" s="10" t="str">
        <x:v>B</x:v>
      </x:c>
      <x:c r="C693" s="18" t="n">
        <x:v>4.1070001</x:v>
      </x:c>
      <x:c r="D693" s="10" t="n">
        <x:v>560</x:v>
      </x:c>
      <x:c r="E693" s="10" t="n">
        <x:v>0</x:v>
      </x:c>
      <x:c r="F693" s="10" t="n">
        <x:v>0</x:v>
      </x:c>
      <x:c r="G693" s="10" t="n">
        <x:f>SUM(D693:F693)</x:f>
        <x:v>560</x:v>
      </x:c>
    </x:row>
    <x:row r="694" ht="24" customHeight="1">
      <x:c r="A694" s="10" t="str">
        <x:v>S02-07</x:v>
      </x:c>
      <x:c r="B694" s="10" t="str">
        <x:v>A</x:v>
      </x:c>
      <x:c r="C694" s="18" t="n">
        <x:v>-6.0000001</x:v>
      </x:c>
      <x:c r="D694" s="10" t="n">
        <x:v>560</x:v>
      </x:c>
      <x:c r="E694" s="10" t="n">
        <x:v>0</x:v>
      </x:c>
      <x:c r="F694" s="10" t="n">
        <x:v>0</x:v>
      </x:c>
      <x:c r="G694" s="10" t="n">
        <x:f>SUM(D694:F694)</x:f>
        <x:v>560</x:v>
      </x:c>
    </x:row>
    <x:row r="695" ht="24" customHeight="1">
      <x:c r="A695" s="10" t="str">
        <x:v>S02-07</x:v>
      </x:c>
      <x:c r="B695" s="10" t="str">
        <x:v>A</x:v>
      </x:c>
      <x:c r="C695" s="18" t="n">
        <x:v>-6</x:v>
      </x:c>
      <x:c r="D695" s="10" t="n">
        <x:v>560</x:v>
      </x:c>
      <x:c r="E695" s="10" t="n">
        <x:v>0</x:v>
      </x:c>
      <x:c r="F695" s="10" t="n">
        <x:v>0</x:v>
      </x:c>
      <x:c r="G695" s="10" t="n">
        <x:f>SUM(D695:F695)</x:f>
        <x:v>560</x:v>
      </x:c>
    </x:row>
    <x:row r="696" ht="24" customHeight="1">
      <x:c r="A696" s="10" t="str">
        <x:v>S02-07</x:v>
      </x:c>
      <x:c r="B696" s="10" t="str">
        <x:v>A</x:v>
      </x:c>
      <x:c r="C696" s="18" t="n">
        <x:v>-5.9999999</x:v>
      </x:c>
      <x:c r="D696" s="10" t="n">
        <x:v>560</x:v>
      </x:c>
      <x:c r="E696" s="10" t="n">
        <x:v>0</x:v>
      </x:c>
      <x:c r="F696" s="10" t="n">
        <x:v>0</x:v>
      </x:c>
      <x:c r="G696" s="10" t="n">
        <x:f>SUM(D696:F696)</x:f>
        <x:v>560</x:v>
      </x:c>
    </x:row>
    <x:row r="697" ht="24" customHeight="1">
      <x:c r="A697" s="10" t="str">
        <x:v>S02-07</x:v>
      </x:c>
      <x:c r="B697" s="10" t="str">
        <x:v>A</x:v>
      </x:c>
      <x:c r="C697" s="18" t="n">
        <x:v>-1.4000001</x:v>
      </x:c>
      <x:c r="D697" s="10" t="n">
        <x:v>560</x:v>
      </x:c>
      <x:c r="E697" s="10" t="n">
        <x:v>0</x:v>
      </x:c>
      <x:c r="F697" s="10" t="n">
        <x:v>0</x:v>
      </x:c>
      <x:c r="G697" s="10" t="n">
        <x:f>SUM(D697:F697)</x:f>
        <x:v>560</x:v>
      </x:c>
    </x:row>
    <x:row r="698" ht="24" customHeight="1">
      <x:c r="A698" s="10" t="str">
        <x:v>S02-07</x:v>
      </x:c>
      <x:c r="B698" s="10" t="str">
        <x:v>A</x:v>
      </x:c>
      <x:c r="C698" s="18" t="n">
        <x:v>-1.4</x:v>
      </x:c>
      <x:c r="D698" s="10" t="n">
        <x:v>560</x:v>
      </x:c>
      <x:c r="E698" s="10" t="n">
        <x:v>0</x:v>
      </x:c>
      <x:c r="F698" s="10" t="n">
        <x:v>0.004096</x:v>
      </x:c>
      <x:c r="G698" s="10" t="n">
        <x:f>SUM(D698:F698)</x:f>
        <x:v>560.004096</x:v>
      </x:c>
    </x:row>
    <x:row r="699" ht="24" customHeight="1">
      <x:c r="A699" s="10" t="str">
        <x:v>S02-07</x:v>
      </x:c>
      <x:c r="B699" s="10" t="str">
        <x:v>A</x:v>
      </x:c>
      <x:c r="C699" s="18" t="n">
        <x:v>-1.3999999</x:v>
      </x:c>
      <x:c r="D699" s="10" t="n">
        <x:v>560</x:v>
      </x:c>
      <x:c r="E699" s="10" t="n">
        <x:v>0</x:v>
      </x:c>
      <x:c r="F699" s="10" t="n">
        <x:v>0.004096</x:v>
      </x:c>
      <x:c r="G699" s="10" t="n">
        <x:f>SUM(D699:F699)</x:f>
        <x:v>560.004096</x:v>
      </x:c>
    </x:row>
    <x:row r="700" ht="24" customHeight="1">
      <x:c r="A700" s="10" t="str">
        <x:v>S02-07</x:v>
      </x:c>
      <x:c r="B700" s="10" t="str">
        <x:v>A</x:v>
      </x:c>
      <x:c r="C700" s="18" t="n">
        <x:v>-0.9990001</x:v>
      </x:c>
      <x:c r="D700" s="10" t="n">
        <x:v>560</x:v>
      </x:c>
      <x:c r="E700" s="10" t="n">
        <x:v>0</x:v>
      </x:c>
      <x:c r="F700" s="10" t="n">
        <x:v>0.004096</x:v>
      </x:c>
      <x:c r="G700" s="10" t="n">
        <x:f>SUM(D700:F700)</x:f>
        <x:v>560.004096</x:v>
      </x:c>
    </x:row>
    <x:row r="701" ht="24" customHeight="1">
      <x:c r="A701" s="10" t="str">
        <x:v>S02-07</x:v>
      </x:c>
      <x:c r="B701" s="10" t="str">
        <x:v>A</x:v>
      </x:c>
      <x:c r="C701" s="18" t="n">
        <x:v>-0.999</x:v>
      </x:c>
      <x:c r="D701" s="10" t="n">
        <x:v>560</x:v>
      </x:c>
      <x:c r="E701" s="10" t="n">
        <x:v>0.0096</x:v>
      </x:c>
      <x:c r="F701" s="10" t="n">
        <x:v>0.004096</x:v>
      </x:c>
      <x:c r="G701" s="10" t="n">
        <x:f>SUM(D701:F701)</x:f>
        <x:v>560.013696</x:v>
      </x:c>
    </x:row>
    <x:row r="702" ht="24" customHeight="1">
      <x:c r="A702" s="10" t="str">
        <x:v>S02-07</x:v>
      </x:c>
      <x:c r="B702" s="10" t="str">
        <x:v>A</x:v>
      </x:c>
      <x:c r="C702" s="18" t="n">
        <x:v>-0.9989999</x:v>
      </x:c>
      <x:c r="D702" s="10" t="n">
        <x:v>560</x:v>
      </x:c>
      <x:c r="E702" s="10" t="n">
        <x:v>0.009600019</x:v>
      </x:c>
      <x:c r="F702" s="10" t="n">
        <x:v>0.004096</x:v>
      </x:c>
      <x:c r="G702" s="10" t="n">
        <x:f>SUM(D702:F702)</x:f>
        <x:v>560.013696019</x:v>
      </x:c>
    </x:row>
    <x:row r="703" ht="24" customHeight="1">
      <x:c r="A703" s="10" t="str">
        <x:v>S02-07</x:v>
      </x:c>
      <x:c r="B703" s="10" t="str">
        <x:v>A</x:v>
      </x:c>
      <x:c r="C703" s="18" t="n">
        <x:v>-0.3445001</x:v>
      </x:c>
      <x:c r="D703" s="10" t="n">
        <x:v>560</x:v>
      </x:c>
      <x:c r="E703" s="10" t="n">
        <x:v>0.135263981</x:v>
      </x:c>
      <x:c r="F703" s="10" t="n">
        <x:v>0.004096</x:v>
      </x:c>
      <x:c r="G703" s="10" t="n">
        <x:f>SUM(D703:F703)</x:f>
        <x:v>560.139359981</x:v>
      </x:c>
    </x:row>
    <x:row r="704" ht="24" customHeight="1">
      <x:c r="A704" s="10" t="str">
        <x:v>S02-07</x:v>
      </x:c>
      <x:c r="B704" s="10" t="str">
        <x:v>A</x:v>
      </x:c>
      <x:c r="C704" s="18" t="n">
        <x:v>-0.3445</x:v>
      </x:c>
      <x:c r="D704" s="10" t="n">
        <x:v>560</x:v>
      </x:c>
      <x:c r="E704" s="10" t="n">
        <x:v>0.135264</x:v>
      </x:c>
      <x:c r="F704" s="10" t="n">
        <x:v>0.004096</x:v>
      </x:c>
      <x:c r="G704" s="10" t="n">
        <x:f>SUM(D704:F704)</x:f>
        <x:v>560.13936</x:v>
      </x:c>
    </x:row>
    <x:row r="705" ht="24" customHeight="1">
      <x:c r="A705" s="10" t="str">
        <x:v>S02-07</x:v>
      </x:c>
      <x:c r="B705" s="10" t="str">
        <x:v>A</x:v>
      </x:c>
      <x:c r="C705" s="18" t="n">
        <x:v>-0.3444999</x:v>
      </x:c>
      <x:c r="D705" s="10" t="n">
        <x:v>560</x:v>
      </x:c>
      <x:c r="E705" s="10" t="n">
        <x:v>0.135264</x:v>
      </x:c>
      <x:c r="F705" s="10" t="n">
        <x:v>0.004096</x:v>
      </x:c>
      <x:c r="G705" s="10" t="n">
        <x:f>SUM(D705:F705)</x:f>
        <x:v>560.13936</x:v>
      </x:c>
    </x:row>
    <x:row r="706" ht="24" customHeight="1">
      <x:c r="A706" s="10" t="str">
        <x:v>S02-07</x:v>
      </x:c>
      <x:c r="B706" s="10" t="str">
        <x:v>A</x:v>
      </x:c>
      <x:c r="C706" s="18" t="n">
        <x:v>-1e-7</x:v>
      </x:c>
      <x:c r="D706" s="10" t="n">
        <x:v>560</x:v>
      </x:c>
      <x:c r="E706" s="10" t="n">
        <x:v>0.135264</x:v>
      </x:c>
      <x:c r="F706" s="10" t="n">
        <x:v>0.004096</x:v>
      </x:c>
      <x:c r="G706" s="10" t="n">
        <x:f>SUM(D706:F706)</x:f>
        <x:v>560.13936</x:v>
      </x:c>
    </x:row>
    <x:row r="707" ht="24" customHeight="1">
      <x:c r="A707" s="10" t="str">
        <x:v>S02-07</x:v>
      </x:c>
      <x:c r="B707" s="10" t="str">
        <x:v>A</x:v>
      </x:c>
      <x:c r="C707" s="18" t="n">
        <x:v>0</x:v>
      </x:c>
      <x:c r="D707" s="10" t="n">
        <x:v>560</x:v>
      </x:c>
      <x:c r="E707" s="10" t="n">
        <x:v>0.135264</x:v>
      </x:c>
      <x:c r="F707" s="10" t="n">
        <x:v>0.004096</x:v>
      </x:c>
      <x:c r="G707" s="10" t="n">
        <x:f>SUM(D707:F707)</x:f>
        <x:v>560.13936</x:v>
      </x:c>
    </x:row>
    <x:row r="708" ht="24" customHeight="1">
      <x:c r="A708" s="10" t="str">
        <x:v>S02-07</x:v>
      </x:c>
      <x:c r="B708" s="10" t="str">
        <x:v>A</x:v>
      </x:c>
      <x:c r="C708" s="18" t="n">
        <x:v>1e-7</x:v>
      </x:c>
      <x:c r="D708" s="10" t="n">
        <x:v>560</x:v>
      </x:c>
      <x:c r="E708" s="10" t="n">
        <x:v>0.135264</x:v>
      </x:c>
      <x:c r="F708" s="10" t="n">
        <x:v>0.004096</x:v>
      </x:c>
      <x:c r="G708" s="10" t="n">
        <x:f>SUM(D708:F708)</x:f>
        <x:v>560.13936</x:v>
      </x:c>
    </x:row>
    <x:row r="709" ht="24" customHeight="1">
      <x:c r="A709" s="10" t="str">
        <x:v>S02-07</x:v>
      </x:c>
      <x:c r="B709" s="10" t="str">
        <x:v>A</x:v>
      </x:c>
      <x:c r="C709" s="18" t="n">
        <x:v>0.888333233</x:v>
      </x:c>
      <x:c r="D709" s="10" t="n">
        <x:v>560</x:v>
      </x:c>
      <x:c r="E709" s="10" t="n">
        <x:v>0.135264</x:v>
      </x:c>
      <x:c r="F709" s="10" t="n">
        <x:v>0.004096</x:v>
      </x:c>
      <x:c r="G709" s="10" t="n">
        <x:f>SUM(D709:F709)</x:f>
        <x:v>560.13936</x:v>
      </x:c>
    </x:row>
    <x:row r="710" ht="24" customHeight="1">
      <x:c r="A710" s="10" t="str">
        <x:v>S02-07</x:v>
      </x:c>
      <x:c r="B710" s="10" t="str">
        <x:v>A</x:v>
      </x:c>
      <x:c r="C710" s="18" t="n">
        <x:v>0.888333333</x:v>
      </x:c>
      <x:c r="D710" s="10" t="n">
        <x:v>560</x:v>
      </x:c>
      <x:c r="E710" s="10" t="n">
        <x:v>0.135264</x:v>
      </x:c>
      <x:c r="F710" s="10" t="n">
        <x:v>0.004096</x:v>
      </x:c>
      <x:c r="G710" s="10" t="n">
        <x:f>SUM(D710:F710)</x:f>
        <x:v>560.13936</x:v>
      </x:c>
    </x:row>
    <x:row r="711" ht="24" customHeight="1">
      <x:c r="A711" s="10" t="str">
        <x:v>S02-07</x:v>
      </x:c>
      <x:c r="B711" s="10" t="str">
        <x:v>A</x:v>
      </x:c>
      <x:c r="C711" s="18" t="n">
        <x:v>0.888333433</x:v>
      </x:c>
      <x:c r="D711" s="10" t="n">
        <x:v>560</x:v>
      </x:c>
      <x:c r="E711" s="10" t="n">
        <x:v>0.135264</x:v>
      </x:c>
      <x:c r="F711" s="10" t="n">
        <x:v>0.004096</x:v>
      </x:c>
      <x:c r="G711" s="10" t="n">
        <x:f>SUM(D711:F711)</x:f>
        <x:v>560.13936</x:v>
      </x:c>
    </x:row>
    <x:row r="712" ht="24" customHeight="1">
      <x:c r="A712" s="10" t="str">
        <x:v>S02-07</x:v>
      </x:c>
      <x:c r="B712" s="10" t="str">
        <x:v>A</x:v>
      </x:c>
      <x:c r="C712" s="18" t="n">
        <x:v>0.928333233</x:v>
      </x:c>
      <x:c r="D712" s="10" t="n">
        <x:v>560</x:v>
      </x:c>
      <x:c r="E712" s="10" t="n">
        <x:v>0.135264</x:v>
      </x:c>
      <x:c r="F712" s="10" t="n">
        <x:v>0.004096</x:v>
      </x:c>
      <x:c r="G712" s="10" t="n">
        <x:f>SUM(D712:F712)</x:f>
        <x:v>560.13936</x:v>
      </x:c>
    </x:row>
    <x:row r="713" ht="24" customHeight="1">
      <x:c r="A713" s="10" t="str">
        <x:v>S02-07</x:v>
      </x:c>
      <x:c r="B713" s="10" t="str">
        <x:v>A</x:v>
      </x:c>
      <x:c r="C713" s="18" t="n">
        <x:v>0.928333333</x:v>
      </x:c>
      <x:c r="D713" s="10" t="n">
        <x:v>560</x:v>
      </x:c>
      <x:c r="E713" s="10" t="n">
        <x:v>0.135264</x:v>
      </x:c>
      <x:c r="F713" s="10" t="n">
        <x:v>0.004096</x:v>
      </x:c>
      <x:c r="G713" s="10" t="n">
        <x:f>SUM(D713:F713)</x:f>
        <x:v>560.13936</x:v>
      </x:c>
    </x:row>
    <x:row r="714" ht="24" customHeight="1">
      <x:c r="A714" s="10" t="str">
        <x:v>S02-07</x:v>
      </x:c>
      <x:c r="B714" s="10" t="str">
        <x:v>A</x:v>
      </x:c>
      <x:c r="C714" s="18" t="n">
        <x:v>0.928333433</x:v>
      </x:c>
      <x:c r="D714" s="10" t="n">
        <x:v>560</x:v>
      </x:c>
      <x:c r="E714" s="10" t="n">
        <x:v>0.135263995</x:v>
      </x:c>
      <x:c r="F714" s="10" t="n">
        <x:v>0.004096</x:v>
      </x:c>
      <x:c r="G714" s="10" t="n">
        <x:f>SUM(D714:F714)</x:f>
        <x:v>560.139359995</x:v>
      </x:c>
    </x:row>
    <x:row r="715" ht="24" customHeight="1">
      <x:c r="A715" s="10" t="str">
        <x:v>S02-07</x:v>
      </x:c>
      <x:c r="B715" s="10" t="str">
        <x:v>A</x:v>
      </x:c>
      <x:c r="C715" s="18" t="n">
        <x:v>3.746333233</x:v>
      </x:c>
      <x:c r="D715" s="10" t="n">
        <x:v>560</x:v>
      </x:c>
      <x:c r="E715" s="10" t="n">
        <x:v>5e-9</x:v>
      </x:c>
      <x:c r="F715" s="10" t="n">
        <x:v>0.004096</x:v>
      </x:c>
      <x:c r="G715" s="10" t="n">
        <x:f>SUM(D715:F715)</x:f>
        <x:v>560.004096005</x:v>
      </x:c>
    </x:row>
    <x:row r="716" ht="24" customHeight="1">
      <x:c r="A716" s="10" t="str">
        <x:v>S02-07</x:v>
      </x:c>
      <x:c r="B716" s="10" t="str">
        <x:v>A</x:v>
      </x:c>
      <x:c r="C716" s="18" t="n">
        <x:v>3.746333333</x:v>
      </x:c>
      <x:c r="D716" s="10" t="n">
        <x:v>560</x:v>
      </x:c>
      <x:c r="E716" s="10" t="n">
        <x:v>0</x:v>
      </x:c>
      <x:c r="F716" s="10" t="n">
        <x:v>0.004096</x:v>
      </x:c>
      <x:c r="G716" s="10" t="n">
        <x:f>SUM(D716:F716)</x:f>
        <x:v>560.004096</x:v>
      </x:c>
    </x:row>
    <x:row r="717" ht="24" customHeight="1">
      <x:c r="A717" s="10" t="str">
        <x:v>S02-07</x:v>
      </x:c>
      <x:c r="B717" s="10" t="str">
        <x:v>A</x:v>
      </x:c>
      <x:c r="C717" s="18" t="n">
        <x:v>3.746333433</x:v>
      </x:c>
      <x:c r="D717" s="10" t="n">
        <x:v>560</x:v>
      </x:c>
      <x:c r="E717" s="10" t="n">
        <x:v>0</x:v>
      </x:c>
      <x:c r="F717" s="10" t="n">
        <x:v>0</x:v>
      </x:c>
      <x:c r="G717" s="10" t="n">
        <x:f>SUM(D717:F717)</x:f>
        <x:v>560</x:v>
      </x:c>
    </x:row>
    <x:row r="718" ht="24" customHeight="1">
      <x:c r="A718" s="10" t="str">
        <x:v>S02-07</x:v>
      </x:c>
      <x:c r="B718" s="10" t="str">
        <x:v>B</x:v>
      </x:c>
      <x:c r="C718" s="18" t="n">
        <x:v>-6.0000001</x:v>
      </x:c>
      <x:c r="D718" s="10" t="n">
        <x:v>560</x:v>
      </x:c>
      <x:c r="E718" s="10" t="n">
        <x:v>0</x:v>
      </x:c>
      <x:c r="F718" s="10" t="n">
        <x:v>0</x:v>
      </x:c>
      <x:c r="G718" s="10" t="n">
        <x:f>SUM(D718:F718)</x:f>
        <x:v>560</x:v>
      </x:c>
    </x:row>
    <x:row r="719" ht="24" customHeight="1">
      <x:c r="A719" s="10" t="str">
        <x:v>S02-07</x:v>
      </x:c>
      <x:c r="B719" s="10" t="str">
        <x:v>B</x:v>
      </x:c>
      <x:c r="C719" s="18" t="n">
        <x:v>-6</x:v>
      </x:c>
      <x:c r="D719" s="10" t="n">
        <x:v>560</x:v>
      </x:c>
      <x:c r="E719" s="10" t="n">
        <x:v>0</x:v>
      </x:c>
      <x:c r="F719" s="10" t="n">
        <x:v>0</x:v>
      </x:c>
      <x:c r="G719" s="10" t="n">
        <x:f>SUM(D719:F719)</x:f>
        <x:v>560</x:v>
      </x:c>
    </x:row>
    <x:row r="720" ht="24" customHeight="1">
      <x:c r="A720" s="10" t="str">
        <x:v>S02-07</x:v>
      </x:c>
      <x:c r="B720" s="10" t="str">
        <x:v>B</x:v>
      </x:c>
      <x:c r="C720" s="18" t="n">
        <x:v>-5.9999999</x:v>
      </x:c>
      <x:c r="D720" s="10" t="n">
        <x:v>560</x:v>
      </x:c>
      <x:c r="E720" s="10" t="n">
        <x:v>0</x:v>
      </x:c>
      <x:c r="F720" s="10" t="n">
        <x:v>0</x:v>
      </x:c>
      <x:c r="G720" s="10" t="n">
        <x:f>SUM(D720:F720)</x:f>
        <x:v>560</x:v>
      </x:c>
    </x:row>
    <x:row r="721" ht="24" customHeight="1">
      <x:c r="A721" s="10" t="str">
        <x:v>S02-07</x:v>
      </x:c>
      <x:c r="B721" s="10" t="str">
        <x:v>B</x:v>
      </x:c>
      <x:c r="C721" s="18" t="n">
        <x:v>-1e-7</x:v>
      </x:c>
      <x:c r="D721" s="10" t="n">
        <x:v>560</x:v>
      </x:c>
      <x:c r="E721" s="10" t="n">
        <x:v>0</x:v>
      </x:c>
      <x:c r="F721" s="10" t="n">
        <x:v>0</x:v>
      </x:c>
      <x:c r="G721" s="10" t="n">
        <x:f>SUM(D721:F721)</x:f>
        <x:v>560</x:v>
      </x:c>
    </x:row>
    <x:row r="722" ht="24" customHeight="1">
      <x:c r="A722" s="10" t="str">
        <x:v>S02-07</x:v>
      </x:c>
      <x:c r="B722" s="10" t="str">
        <x:v>B</x:v>
      </x:c>
      <x:c r="C722" s="18" t="n">
        <x:v>0</x:v>
      </x:c>
      <x:c r="D722" s="10" t="n">
        <x:v>560</x:v>
      </x:c>
      <x:c r="E722" s="10" t="n">
        <x:v>0</x:v>
      </x:c>
      <x:c r="F722" s="10" t="n">
        <x:v>0</x:v>
      </x:c>
      <x:c r="G722" s="10" t="n">
        <x:f>SUM(D722:F722)</x:f>
        <x:v>560</x:v>
      </x:c>
    </x:row>
    <x:row r="723" ht="24" customHeight="1">
      <x:c r="A723" s="10" t="str">
        <x:v>S02-07</x:v>
      </x:c>
      <x:c r="B723" s="10" t="str">
        <x:v>B</x:v>
      </x:c>
      <x:c r="C723" s="18" t="n">
        <x:v>1e-7</x:v>
      </x:c>
      <x:c r="D723" s="10" t="n">
        <x:v>560</x:v>
      </x:c>
      <x:c r="E723" s="10" t="n">
        <x:v>0</x:v>
      </x:c>
      <x:c r="F723" s="10" t="n">
        <x:v>0</x:v>
      </x:c>
      <x:c r="G723" s="10" t="n">
        <x:f>SUM(D723:F723)</x:f>
        <x:v>560</x:v>
      </x:c>
    </x:row>
    <x:row r="724" ht="24" customHeight="1">
      <x:c r="A724" s="10" t="str">
        <x:v>S02-07</x:v>
      </x:c>
      <x:c r="B724" s="10" t="str">
        <x:v>B</x:v>
      </x:c>
      <x:c r="C724" s="18" t="n">
        <x:v>0.888333233</x:v>
      </x:c>
      <x:c r="D724" s="10" t="n">
        <x:v>560</x:v>
      </x:c>
      <x:c r="E724" s="10" t="n">
        <x:v>0</x:v>
      </x:c>
      <x:c r="F724" s="10" t="n">
        <x:v>0</x:v>
      </x:c>
      <x:c r="G724" s="10" t="n">
        <x:f>SUM(D724:F724)</x:f>
        <x:v>560</x:v>
      </x:c>
    </x:row>
    <x:row r="725" ht="24" customHeight="1">
      <x:c r="A725" s="10" t="str">
        <x:v>S02-07</x:v>
      </x:c>
      <x:c r="B725" s="10" t="str">
        <x:v>B</x:v>
      </x:c>
      <x:c r="C725" s="18" t="n">
        <x:v>0.888333333</x:v>
      </x:c>
      <x:c r="D725" s="10" t="n">
        <x:v>560</x:v>
      </x:c>
      <x:c r="E725" s="10" t="n">
        <x:v>0</x:v>
      </x:c>
      <x:c r="F725" s="10" t="n">
        <x:v>0.004096</x:v>
      </x:c>
      <x:c r="G725" s="10" t="n">
        <x:f>SUM(D725:F725)</x:f>
        <x:v>560.004096</x:v>
      </x:c>
    </x:row>
    <x:row r="726" ht="24" customHeight="1">
      <x:c r="A726" s="10" t="str">
        <x:v>S02-07</x:v>
      </x:c>
      <x:c r="B726" s="10" t="str">
        <x:v>B</x:v>
      </x:c>
      <x:c r="C726" s="18" t="n">
        <x:v>0.888333433</x:v>
      </x:c>
      <x:c r="D726" s="10" t="n">
        <x:v>560</x:v>
      </x:c>
      <x:c r="E726" s="10" t="n">
        <x:v>0</x:v>
      </x:c>
      <x:c r="F726" s="10" t="n">
        <x:v>0.004096</x:v>
      </x:c>
      <x:c r="G726" s="10" t="n">
        <x:f>SUM(D726:F726)</x:f>
        <x:v>560.004096</x:v>
      </x:c>
    </x:row>
    <x:row r="727" ht="24" customHeight="1">
      <x:c r="A727" s="10" t="str">
        <x:v>S02-07</x:v>
      </x:c>
      <x:c r="B727" s="10" t="str">
        <x:v>B</x:v>
      </x:c>
      <x:c r="C727" s="18" t="n">
        <x:v>1.289333233</x:v>
      </x:c>
      <x:c r="D727" s="10" t="n">
        <x:v>560</x:v>
      </x:c>
      <x:c r="E727" s="10" t="n">
        <x:v>0</x:v>
      </x:c>
      <x:c r="F727" s="10" t="n">
        <x:v>0.004096</x:v>
      </x:c>
      <x:c r="G727" s="10" t="n">
        <x:f>SUM(D727:F727)</x:f>
        <x:v>560.004096</x:v>
      </x:c>
    </x:row>
    <x:row r="728" ht="24" customHeight="1">
      <x:c r="A728" s="10" t="str">
        <x:v>S02-07</x:v>
      </x:c>
      <x:c r="B728" s="10" t="str">
        <x:v>B</x:v>
      </x:c>
      <x:c r="C728" s="18" t="n">
        <x:v>1.289333333</x:v>
      </x:c>
      <x:c r="D728" s="10" t="n">
        <x:v>560</x:v>
      </x:c>
      <x:c r="E728" s="10" t="n">
        <x:v>0.0096</x:v>
      </x:c>
      <x:c r="F728" s="10" t="n">
        <x:v>0.004096</x:v>
      </x:c>
      <x:c r="G728" s="10" t="n">
        <x:f>SUM(D728:F728)</x:f>
        <x:v>560.013696</x:v>
      </x:c>
    </x:row>
    <x:row r="729" ht="24" customHeight="1">
      <x:c r="A729" s="10" t="str">
        <x:v>S02-07</x:v>
      </x:c>
      <x:c r="B729" s="10" t="str">
        <x:v>B</x:v>
      </x:c>
      <x:c r="C729" s="18" t="n">
        <x:v>1.289333433</x:v>
      </x:c>
      <x:c r="D729" s="10" t="n">
        <x:v>560</x:v>
      </x:c>
      <x:c r="E729" s="10" t="n">
        <x:v>0.009600019</x:v>
      </x:c>
      <x:c r="F729" s="10" t="n">
        <x:v>0.004096</x:v>
      </x:c>
      <x:c r="G729" s="10" t="n">
        <x:f>SUM(D729:F729)</x:f>
        <x:v>560.013696019</x:v>
      </x:c>
    </x:row>
    <x:row r="730" ht="24" customHeight="1">
      <x:c r="A730" s="10" t="str">
        <x:v>S02-07</x:v>
      </x:c>
      <x:c r="B730" s="10" t="str">
        <x:v>B</x:v>
      </x:c>
      <x:c r="C730" s="18" t="n">
        <x:v>1.329333233</x:v>
      </x:c>
      <x:c r="D730" s="10" t="n">
        <x:v>560</x:v>
      </x:c>
      <x:c r="E730" s="10" t="n">
        <x:v>0.017279981</x:v>
      </x:c>
      <x:c r="F730" s="10" t="n">
        <x:v>0.004096</x:v>
      </x:c>
      <x:c r="G730" s="10" t="n">
        <x:f>SUM(D730:F730)</x:f>
        <x:v>560.021375981</x:v>
      </x:c>
    </x:row>
    <x:row r="731" ht="24" customHeight="1">
      <x:c r="A731" s="10" t="str">
        <x:v>S02-07</x:v>
      </x:c>
      <x:c r="B731" s="10" t="str">
        <x:v>B</x:v>
      </x:c>
      <x:c r="C731" s="18" t="n">
        <x:v>1.329333333</x:v>
      </x:c>
      <x:c r="D731" s="10" t="n">
        <x:v>560</x:v>
      </x:c>
      <x:c r="E731" s="10" t="n">
        <x:v>0.01728</x:v>
      </x:c>
      <x:c r="F731" s="10" t="n">
        <x:v>0.004096</x:v>
      </x:c>
      <x:c r="G731" s="10" t="n">
        <x:f>SUM(D731:F731)</x:f>
        <x:v>560.021376</x:v>
      </x:c>
    </x:row>
    <x:row r="732" ht="24" customHeight="1">
      <x:c r="A732" s="10" t="str">
        <x:v>S02-07</x:v>
      </x:c>
      <x:c r="B732" s="10" t="str">
        <x:v>B</x:v>
      </x:c>
      <x:c r="C732" s="18" t="n">
        <x:v>1.329333433</x:v>
      </x:c>
      <x:c r="D732" s="10" t="n">
        <x:v>560</x:v>
      </x:c>
      <x:c r="E732" s="10" t="n">
        <x:v>0.017280014</x:v>
      </x:c>
      <x:c r="F732" s="10" t="n">
        <x:v>0.004096</x:v>
      </x:c>
      <x:c r="G732" s="10" t="n">
        <x:f>SUM(D732:F732)</x:f>
        <x:v>560.021376014</x:v>
      </x:c>
    </x:row>
    <x:row r="733" ht="24" customHeight="1">
      <x:c r="A733" s="10" t="str">
        <x:v>S02-07</x:v>
      </x:c>
      <x:c r="B733" s="10" t="str">
        <x:v>B</x:v>
      </x:c>
      <x:c r="C733" s="18" t="n">
        <x:v>1.943833233</x:v>
      </x:c>
      <x:c r="D733" s="10" t="n">
        <x:v>560</x:v>
      </x:c>
      <x:c r="E733" s="10" t="n">
        <x:v>0.105767986</x:v>
      </x:c>
      <x:c r="F733" s="10" t="n">
        <x:v>0.004096</x:v>
      </x:c>
      <x:c r="G733" s="10" t="n">
        <x:f>SUM(D733:F733)</x:f>
        <x:v>560.109863986</x:v>
      </x:c>
    </x:row>
    <x:row r="734" ht="24" customHeight="1">
      <x:c r="A734" s="10" t="str">
        <x:v>S02-07</x:v>
      </x:c>
      <x:c r="B734" s="10" t="str">
        <x:v>B</x:v>
      </x:c>
      <x:c r="C734" s="18" t="n">
        <x:v>1.943833333</x:v>
      </x:c>
      <x:c r="D734" s="10" t="n">
        <x:v>560</x:v>
      </x:c>
      <x:c r="E734" s="10" t="n">
        <x:v>0.105768</x:v>
      </x:c>
      <x:c r="F734" s="10" t="n">
        <x:v>0.004096</x:v>
      </x:c>
      <x:c r="G734" s="10" t="n">
        <x:f>SUM(D734:F734)</x:f>
        <x:v>560.109864</x:v>
      </x:c>
    </x:row>
    <x:row r="735" ht="24" customHeight="1">
      <x:c r="A735" s="10" t="str">
        <x:v>S02-07</x:v>
      </x:c>
      <x:c r="B735" s="10" t="str">
        <x:v>B</x:v>
      </x:c>
      <x:c r="C735" s="18" t="n">
        <x:v>1.943833433</x:v>
      </x:c>
      <x:c r="D735" s="10" t="n">
        <x:v>560</x:v>
      </x:c>
      <x:c r="E735" s="10" t="n">
        <x:v>0.105767995</x:v>
      </x:c>
      <x:c r="F735" s="10" t="n">
        <x:v>0.004096</x:v>
      </x:c>
      <x:c r="G735" s="10" t="n">
        <x:f>SUM(D735:F735)</x:f>
        <x:v>560.109863995</x:v>
      </x:c>
    </x:row>
    <x:row r="736" ht="24" customHeight="1">
      <x:c r="A736" s="10" t="str">
        <x:v>S02-07</x:v>
      </x:c>
      <x:c r="B736" s="10" t="str">
        <x:v>B</x:v>
      </x:c>
      <x:c r="C736" s="18" t="n">
        <x:v>4.147333233</x:v>
      </x:c>
      <x:c r="D736" s="10" t="n">
        <x:v>560</x:v>
      </x:c>
      <x:c r="E736" s="10" t="n">
        <x:v>5e-9</x:v>
      </x:c>
      <x:c r="F736" s="10" t="n">
        <x:v>0.004096</x:v>
      </x:c>
      <x:c r="G736" s="10" t="n">
        <x:f>SUM(D736:F736)</x:f>
        <x:v>560.004096005</x:v>
      </x:c>
    </x:row>
    <x:row r="737" ht="24" customHeight="1">
      <x:c r="A737" s="10" t="str">
        <x:v>S02-07</x:v>
      </x:c>
      <x:c r="B737" s="10" t="str">
        <x:v>B</x:v>
      </x:c>
      <x:c r="C737" s="18" t="n">
        <x:v>4.147333333</x:v>
      </x:c>
      <x:c r="D737" s="10" t="n">
        <x:v>560</x:v>
      </x:c>
      <x:c r="E737" s="10" t="n">
        <x:v>0</x:v>
      </x:c>
      <x:c r="F737" s="10" t="n">
        <x:v>0.004096</x:v>
      </x:c>
      <x:c r="G737" s="10" t="n">
        <x:f>SUM(D737:F737)</x:f>
        <x:v>560.004096</x:v>
      </x:c>
    </x:row>
    <x:row r="738" ht="24" customHeight="1">
      <x:c r="A738" s="10" t="str">
        <x:v>S02-07</x:v>
      </x:c>
      <x:c r="B738" s="10" t="str">
        <x:v>B</x:v>
      </x:c>
      <x:c r="C738" s="18" t="n">
        <x:v>4.147333433</x:v>
      </x:c>
      <x:c r="D738" s="10" t="n">
        <x:v>560</x:v>
      </x:c>
      <x:c r="E738" s="10" t="n">
        <x:v>0</x:v>
      </x:c>
      <x:c r="F738" s="10" t="n">
        <x:v>0</x:v>
      </x:c>
      <x:c r="G738" s="10" t="n">
        <x:f>SUM(D738:F738)</x:f>
        <x:v>560</x:v>
      </x:c>
    </x:row>
    <x:row r="739" ht="24" customHeight="1">
      <x:c r="A739" s="10" t="str">
        <x:v>S02-08</x:v>
      </x:c>
      <x:c r="B739" s="10" t="str">
        <x:v>A</x:v>
      </x:c>
      <x:c r="C739" s="18" t="n">
        <x:v>-6.0000001</x:v>
      </x:c>
      <x:c r="D739" s="10" t="n">
        <x:v>560</x:v>
      </x:c>
      <x:c r="E739" s="10" t="n">
        <x:v>0</x:v>
      </x:c>
      <x:c r="F739" s="10" t="n">
        <x:v>0</x:v>
      </x:c>
      <x:c r="G739" s="10" t="n">
        <x:f>SUM(D739:F739)</x:f>
        <x:v>560</x:v>
      </x:c>
    </x:row>
    <x:row r="740" ht="24" customHeight="1">
      <x:c r="A740" s="10" t="str">
        <x:v>S02-08</x:v>
      </x:c>
      <x:c r="B740" s="10" t="str">
        <x:v>A</x:v>
      </x:c>
      <x:c r="C740" s="18" t="n">
        <x:v>-6</x:v>
      </x:c>
      <x:c r="D740" s="10" t="n">
        <x:v>560</x:v>
      </x:c>
      <x:c r="E740" s="10" t="n">
        <x:v>0</x:v>
      </x:c>
      <x:c r="F740" s="10" t="n">
        <x:v>0</x:v>
      </x:c>
      <x:c r="G740" s="10" t="n">
        <x:f>SUM(D740:F740)</x:f>
        <x:v>560</x:v>
      </x:c>
    </x:row>
    <x:row r="741" ht="24" customHeight="1">
      <x:c r="A741" s="10" t="str">
        <x:v>S02-08</x:v>
      </x:c>
      <x:c r="B741" s="10" t="str">
        <x:v>A</x:v>
      </x:c>
      <x:c r="C741" s="18" t="n">
        <x:v>-5.9999999</x:v>
      </x:c>
      <x:c r="D741" s="10" t="n">
        <x:v>560</x:v>
      </x:c>
      <x:c r="E741" s="10" t="n">
        <x:v>0</x:v>
      </x:c>
      <x:c r="F741" s="10" t="n">
        <x:v>0</x:v>
      </x:c>
      <x:c r="G741" s="10" t="n">
        <x:f>SUM(D741:F741)</x:f>
        <x:v>560</x:v>
      </x:c>
    </x:row>
    <x:row r="742" ht="24" customHeight="1">
      <x:c r="A742" s="10" t="str">
        <x:v>S02-08</x:v>
      </x:c>
      <x:c r="B742" s="10" t="str">
        <x:v>A</x:v>
      </x:c>
      <x:c r="C742" s="18" t="n">
        <x:v>-1.4000001</x:v>
      </x:c>
      <x:c r="D742" s="10" t="n">
        <x:v>560</x:v>
      </x:c>
      <x:c r="E742" s="10" t="n">
        <x:v>0</x:v>
      </x:c>
      <x:c r="F742" s="10" t="n">
        <x:v>0</x:v>
      </x:c>
      <x:c r="G742" s="10" t="n">
        <x:f>SUM(D742:F742)</x:f>
        <x:v>560</x:v>
      </x:c>
    </x:row>
    <x:row r="743" ht="24" customHeight="1">
      <x:c r="A743" s="10" t="str">
        <x:v>S02-08</x:v>
      </x:c>
      <x:c r="B743" s="10" t="str">
        <x:v>A</x:v>
      </x:c>
      <x:c r="C743" s="18" t="n">
        <x:v>-1.4</x:v>
      </x:c>
      <x:c r="D743" s="10" t="n">
        <x:v>560</x:v>
      </x:c>
      <x:c r="E743" s="10" t="n">
        <x:v>0</x:v>
      </x:c>
      <x:c r="F743" s="10" t="n">
        <x:v>0.004096</x:v>
      </x:c>
      <x:c r="G743" s="10" t="n">
        <x:f>SUM(D743:F743)</x:f>
        <x:v>560.004096</x:v>
      </x:c>
    </x:row>
    <x:row r="744" ht="24" customHeight="1">
      <x:c r="A744" s="10" t="str">
        <x:v>S02-08</x:v>
      </x:c>
      <x:c r="B744" s="10" t="str">
        <x:v>A</x:v>
      </x:c>
      <x:c r="C744" s="18" t="n">
        <x:v>-1.3999999</x:v>
      </x:c>
      <x:c r="D744" s="10" t="n">
        <x:v>560</x:v>
      </x:c>
      <x:c r="E744" s="10" t="n">
        <x:v>0</x:v>
      </x:c>
      <x:c r="F744" s="10" t="n">
        <x:v>0.004096</x:v>
      </x:c>
      <x:c r="G744" s="10" t="n">
        <x:f>SUM(D744:F744)</x:f>
        <x:v>560.004096</x:v>
      </x:c>
    </x:row>
    <x:row r="745" ht="24" customHeight="1">
      <x:c r="A745" s="10" t="str">
        <x:v>S02-08</x:v>
      </x:c>
      <x:c r="B745" s="10" t="str">
        <x:v>A</x:v>
      </x:c>
      <x:c r="C745" s="18" t="n">
        <x:v>-0.9990001</x:v>
      </x:c>
      <x:c r="D745" s="10" t="n">
        <x:v>560</x:v>
      </x:c>
      <x:c r="E745" s="10" t="n">
        <x:v>0</x:v>
      </x:c>
      <x:c r="F745" s="10" t="n">
        <x:v>0.004096</x:v>
      </x:c>
      <x:c r="G745" s="10" t="n">
        <x:f>SUM(D745:F745)</x:f>
        <x:v>560.004096</x:v>
      </x:c>
    </x:row>
    <x:row r="746" ht="24" customHeight="1">
      <x:c r="A746" s="10" t="str">
        <x:v>S02-08</x:v>
      </x:c>
      <x:c r="B746" s="10" t="str">
        <x:v>A</x:v>
      </x:c>
      <x:c r="C746" s="18" t="n">
        <x:v>-0.999</x:v>
      </x:c>
      <x:c r="D746" s="10" t="n">
        <x:v>560</x:v>
      </x:c>
      <x:c r="E746" s="10" t="n">
        <x:v>0.0096</x:v>
      </x:c>
      <x:c r="F746" s="10" t="n">
        <x:v>0.004096</x:v>
      </x:c>
      <x:c r="G746" s="10" t="n">
        <x:f>SUM(D746:F746)</x:f>
        <x:v>560.013696</x:v>
      </x:c>
    </x:row>
    <x:row r="747" ht="24" customHeight="1">
      <x:c r="A747" s="10" t="str">
        <x:v>S02-08</x:v>
      </x:c>
      <x:c r="B747" s="10" t="str">
        <x:v>A</x:v>
      </x:c>
      <x:c r="C747" s="18" t="n">
        <x:v>-0.9989999</x:v>
      </x:c>
      <x:c r="D747" s="10" t="n">
        <x:v>560</x:v>
      </x:c>
      <x:c r="E747" s="10" t="n">
        <x:v>0.009600019</x:v>
      </x:c>
      <x:c r="F747" s="10" t="n">
        <x:v>0.004096</x:v>
      </x:c>
      <x:c r="G747" s="10" t="n">
        <x:f>SUM(D747:F747)</x:f>
        <x:v>560.013696019</x:v>
      </x:c>
    </x:row>
    <x:row r="748" ht="24" customHeight="1">
      <x:c r="A748" s="10" t="str">
        <x:v>S02-08</x:v>
      </x:c>
      <x:c r="B748" s="10" t="str">
        <x:v>A</x:v>
      </x:c>
      <x:c r="C748" s="18" t="n">
        <x:v>-0.3415001</x:v>
      </x:c>
      <x:c r="D748" s="10" t="n">
        <x:v>560</x:v>
      </x:c>
      <x:c r="E748" s="10" t="n">
        <x:v>0.135839981</x:v>
      </x:c>
      <x:c r="F748" s="10" t="n">
        <x:v>0.004096</x:v>
      </x:c>
      <x:c r="G748" s="10" t="n">
        <x:f>SUM(D748:F748)</x:f>
        <x:v>560.139935981</x:v>
      </x:c>
    </x:row>
    <x:row r="749" ht="24" customHeight="1">
      <x:c r="A749" s="10" t="str">
        <x:v>S02-08</x:v>
      </x:c>
      <x:c r="B749" s="10" t="str">
        <x:v>A</x:v>
      </x:c>
      <x:c r="C749" s="18" t="n">
        <x:v>-0.3415</x:v>
      </x:c>
      <x:c r="D749" s="10" t="n">
        <x:v>560</x:v>
      </x:c>
      <x:c r="E749" s="10" t="n">
        <x:v>0.13584</x:v>
      </x:c>
      <x:c r="F749" s="10" t="n">
        <x:v>0.004096</x:v>
      </x:c>
      <x:c r="G749" s="10" t="n">
        <x:f>SUM(D749:F749)</x:f>
        <x:v>560.139936</x:v>
      </x:c>
    </x:row>
    <x:row r="750" ht="24" customHeight="1">
      <x:c r="A750" s="10" t="str">
        <x:v>S02-08</x:v>
      </x:c>
      <x:c r="B750" s="10" t="str">
        <x:v>A</x:v>
      </x:c>
      <x:c r="C750" s="18" t="n">
        <x:v>-0.3414999</x:v>
      </x:c>
      <x:c r="D750" s="10" t="n">
        <x:v>560</x:v>
      </x:c>
      <x:c r="E750" s="10" t="n">
        <x:v>0.13584</x:v>
      </x:c>
      <x:c r="F750" s="10" t="n">
        <x:v>0.004096</x:v>
      </x:c>
      <x:c r="G750" s="10" t="n">
        <x:f>SUM(D750:F750)</x:f>
        <x:v>560.139936</x:v>
      </x:c>
    </x:row>
    <x:row r="751" ht="24" customHeight="1">
      <x:c r="A751" s="10" t="str">
        <x:v>S02-08</x:v>
      </x:c>
      <x:c r="B751" s="10" t="str">
        <x:v>A</x:v>
      </x:c>
      <x:c r="C751" s="18" t="n">
        <x:v>-1e-7</x:v>
      </x:c>
      <x:c r="D751" s="10" t="n">
        <x:v>560</x:v>
      </x:c>
      <x:c r="E751" s="10" t="n">
        <x:v>0.13584</x:v>
      </x:c>
      <x:c r="F751" s="10" t="n">
        <x:v>0.004096</x:v>
      </x:c>
      <x:c r="G751" s="10" t="n">
        <x:f>SUM(D751:F751)</x:f>
        <x:v>560.139936</x:v>
      </x:c>
    </x:row>
    <x:row r="752" ht="24" customHeight="1">
      <x:c r="A752" s="10" t="str">
        <x:v>S02-08</x:v>
      </x:c>
      <x:c r="B752" s="10" t="str">
        <x:v>A</x:v>
      </x:c>
      <x:c r="C752" s="18" t="n">
        <x:v>0</x:v>
      </x:c>
      <x:c r="D752" s="10" t="n">
        <x:v>560</x:v>
      </x:c>
      <x:c r="E752" s="10" t="n">
        <x:v>0.13584</x:v>
      </x:c>
      <x:c r="F752" s="10" t="n">
        <x:v>0.004096</x:v>
      </x:c>
      <x:c r="G752" s="10" t="n">
        <x:f>SUM(D752:F752)</x:f>
        <x:v>560.139936</x:v>
      </x:c>
    </x:row>
    <x:row r="753" ht="24" customHeight="1">
      <x:c r="A753" s="10" t="str">
        <x:v>S02-08</x:v>
      </x:c>
      <x:c r="B753" s="10" t="str">
        <x:v>A</x:v>
      </x:c>
      <x:c r="C753" s="18" t="n">
        <x:v>1e-7</x:v>
      </x:c>
      <x:c r="D753" s="10" t="n">
        <x:v>560</x:v>
      </x:c>
      <x:c r="E753" s="10" t="n">
        <x:v>0.13584</x:v>
      </x:c>
      <x:c r="F753" s="10" t="n">
        <x:v>0.004096</x:v>
      </x:c>
      <x:c r="G753" s="10" t="n">
        <x:f>SUM(D753:F753)</x:f>
        <x:v>560.139936</x:v>
      </x:c>
    </x:row>
    <x:row r="754" ht="24" customHeight="1">
      <x:c r="A754" s="10" t="str">
        <x:v>S02-08</x:v>
      </x:c>
      <x:c r="B754" s="10" t="str">
        <x:v>A</x:v>
      </x:c>
      <x:c r="C754" s="18" t="n">
        <x:v>0.916666567</x:v>
      </x:c>
      <x:c r="D754" s="10" t="n">
        <x:v>560</x:v>
      </x:c>
      <x:c r="E754" s="10" t="n">
        <x:v>0.13584</x:v>
      </x:c>
      <x:c r="F754" s="10" t="n">
        <x:v>0.004096</x:v>
      </x:c>
      <x:c r="G754" s="10" t="n">
        <x:f>SUM(D754:F754)</x:f>
        <x:v>560.139936</x:v>
      </x:c>
    </x:row>
    <x:row r="755" ht="24" customHeight="1">
      <x:c r="A755" s="10" t="str">
        <x:v>S02-08</x:v>
      </x:c>
      <x:c r="B755" s="10" t="str">
        <x:v>A</x:v>
      </x:c>
      <x:c r="C755" s="18" t="n">
        <x:v>0.916666667</x:v>
      </x:c>
      <x:c r="D755" s="10" t="n">
        <x:v>560</x:v>
      </x:c>
      <x:c r="E755" s="10" t="n">
        <x:v>0.13584</x:v>
      </x:c>
      <x:c r="F755" s="10" t="n">
        <x:v>0.004096</x:v>
      </x:c>
      <x:c r="G755" s="10" t="n">
        <x:f>SUM(D755:F755)</x:f>
        <x:v>560.139936</x:v>
      </x:c>
    </x:row>
    <x:row r="756" ht="24" customHeight="1">
      <x:c r="A756" s="10" t="str">
        <x:v>S02-08</x:v>
      </x:c>
      <x:c r="B756" s="10" t="str">
        <x:v>A</x:v>
      </x:c>
      <x:c r="C756" s="18" t="n">
        <x:v>0.916666767</x:v>
      </x:c>
      <x:c r="D756" s="10" t="n">
        <x:v>560</x:v>
      </x:c>
      <x:c r="E756" s="10" t="n">
        <x:v>0.13584</x:v>
      </x:c>
      <x:c r="F756" s="10" t="n">
        <x:v>0.004096</x:v>
      </x:c>
      <x:c r="G756" s="10" t="n">
        <x:f>SUM(D756:F756)</x:f>
        <x:v>560.139936</x:v>
      </x:c>
    </x:row>
    <x:row r="757" ht="24" customHeight="1">
      <x:c r="A757" s="10" t="str">
        <x:v>S02-08</x:v>
      </x:c>
      <x:c r="B757" s="10" t="str">
        <x:v>A</x:v>
      </x:c>
      <x:c r="C757" s="18" t="n">
        <x:v>0.956666567</x:v>
      </x:c>
      <x:c r="D757" s="10" t="n">
        <x:v>560</x:v>
      </x:c>
      <x:c r="E757" s="10" t="n">
        <x:v>0.13584</x:v>
      </x:c>
      <x:c r="F757" s="10" t="n">
        <x:v>0.004096</x:v>
      </x:c>
      <x:c r="G757" s="10" t="n">
        <x:f>SUM(D757:F757)</x:f>
        <x:v>560.139936</x:v>
      </x:c>
    </x:row>
    <x:row r="758" ht="24" customHeight="1">
      <x:c r="A758" s="10" t="str">
        <x:v>S02-08</x:v>
      </x:c>
      <x:c r="B758" s="10" t="str">
        <x:v>A</x:v>
      </x:c>
      <x:c r="C758" s="18" t="n">
        <x:v>0.956666667</x:v>
      </x:c>
      <x:c r="D758" s="10" t="n">
        <x:v>560</x:v>
      </x:c>
      <x:c r="E758" s="10" t="n">
        <x:v>0.13584</x:v>
      </x:c>
      <x:c r="F758" s="10" t="n">
        <x:v>0.004096</x:v>
      </x:c>
      <x:c r="G758" s="10" t="n">
        <x:f>SUM(D758:F758)</x:f>
        <x:v>560.139936</x:v>
      </x:c>
    </x:row>
    <x:row r="759" ht="24" customHeight="1">
      <x:c r="A759" s="10" t="str">
        <x:v>S02-08</x:v>
      </x:c>
      <x:c r="B759" s="10" t="str">
        <x:v>A</x:v>
      </x:c>
      <x:c r="C759" s="18" t="n">
        <x:v>0.956666767</x:v>
      </x:c>
      <x:c r="D759" s="10" t="n">
        <x:v>560</x:v>
      </x:c>
      <x:c r="E759" s="10" t="n">
        <x:v>0.135839995</x:v>
      </x:c>
      <x:c r="F759" s="10" t="n">
        <x:v>0.004096</x:v>
      </x:c>
      <x:c r="G759" s="10" t="n">
        <x:f>SUM(D759:F759)</x:f>
        <x:v>560.139935995</x:v>
      </x:c>
    </x:row>
    <x:row r="760" ht="24" customHeight="1">
      <x:c r="A760" s="10" t="str">
        <x:v>S02-08</x:v>
      </x:c>
      <x:c r="B760" s="10" t="str">
        <x:v>A</x:v>
      </x:c>
      <x:c r="C760" s="18" t="n">
        <x:v>3.786666567</x:v>
      </x:c>
      <x:c r="D760" s="10" t="n">
        <x:v>560</x:v>
      </x:c>
      <x:c r="E760" s="10" t="n">
        <x:v>5e-9</x:v>
      </x:c>
      <x:c r="F760" s="10" t="n">
        <x:v>0.004096</x:v>
      </x:c>
      <x:c r="G760" s="10" t="n">
        <x:f>SUM(D760:F760)</x:f>
        <x:v>560.004096005</x:v>
      </x:c>
    </x:row>
    <x:row r="761" ht="24" customHeight="1">
      <x:c r="A761" s="10" t="str">
        <x:v>S02-08</x:v>
      </x:c>
      <x:c r="B761" s="10" t="str">
        <x:v>A</x:v>
      </x:c>
      <x:c r="C761" s="18" t="n">
        <x:v>3.786666667</x:v>
      </x:c>
      <x:c r="D761" s="10" t="n">
        <x:v>560</x:v>
      </x:c>
      <x:c r="E761" s="10" t="n">
        <x:v>0</x:v>
      </x:c>
      <x:c r="F761" s="10" t="n">
        <x:v>0.004096</x:v>
      </x:c>
      <x:c r="G761" s="10" t="n">
        <x:f>SUM(D761:F761)</x:f>
        <x:v>560.004096</x:v>
      </x:c>
    </x:row>
    <x:row r="762" ht="24" customHeight="1">
      <x:c r="A762" s="10" t="str">
        <x:v>S02-08</x:v>
      </x:c>
      <x:c r="B762" s="10" t="str">
        <x:v>A</x:v>
      </x:c>
      <x:c r="C762" s="18" t="n">
        <x:v>3.786666767</x:v>
      </x:c>
      <x:c r="D762" s="10" t="n">
        <x:v>560</x:v>
      </x:c>
      <x:c r="E762" s="10" t="n">
        <x:v>0</x:v>
      </x:c>
      <x:c r="F762" s="10" t="n">
        <x:v>0</x:v>
      </x:c>
      <x:c r="G762" s="10" t="n">
        <x:f>SUM(D762:F762)</x:f>
        <x:v>560</x:v>
      </x:c>
    </x:row>
    <x:row r="763" ht="24" customHeight="1">
      <x:c r="A763" s="10" t="str">
        <x:v>S02-08</x:v>
      </x:c>
      <x:c r="B763" s="10" t="str">
        <x:v>B</x:v>
      </x:c>
      <x:c r="C763" s="18" t="n">
        <x:v>-6.0000001</x:v>
      </x:c>
      <x:c r="D763" s="10" t="n">
        <x:v>560</x:v>
      </x:c>
      <x:c r="E763" s="10" t="n">
        <x:v>0</x:v>
      </x:c>
      <x:c r="F763" s="10" t="n">
        <x:v>0</x:v>
      </x:c>
      <x:c r="G763" s="10" t="n">
        <x:f>SUM(D763:F763)</x:f>
        <x:v>560</x:v>
      </x:c>
    </x:row>
    <x:row r="764" ht="24" customHeight="1">
      <x:c r="A764" s="10" t="str">
        <x:v>S02-08</x:v>
      </x:c>
      <x:c r="B764" s="10" t="str">
        <x:v>B</x:v>
      </x:c>
      <x:c r="C764" s="18" t="n">
        <x:v>-6</x:v>
      </x:c>
      <x:c r="D764" s="10" t="n">
        <x:v>560</x:v>
      </x:c>
      <x:c r="E764" s="10" t="n">
        <x:v>0</x:v>
      </x:c>
      <x:c r="F764" s="10" t="n">
        <x:v>0</x:v>
      </x:c>
      <x:c r="G764" s="10" t="n">
        <x:f>SUM(D764:F764)</x:f>
        <x:v>560</x:v>
      </x:c>
    </x:row>
    <x:row r="765" ht="24" customHeight="1">
      <x:c r="A765" s="10" t="str">
        <x:v>S02-08</x:v>
      </x:c>
      <x:c r="B765" s="10" t="str">
        <x:v>B</x:v>
      </x:c>
      <x:c r="C765" s="18" t="n">
        <x:v>-5.9999999</x:v>
      </x:c>
      <x:c r="D765" s="10" t="n">
        <x:v>560</x:v>
      </x:c>
      <x:c r="E765" s="10" t="n">
        <x:v>0</x:v>
      </x:c>
      <x:c r="F765" s="10" t="n">
        <x:v>0</x:v>
      </x:c>
      <x:c r="G765" s="10" t="n">
        <x:f>SUM(D765:F765)</x:f>
        <x:v>560</x:v>
      </x:c>
    </x:row>
    <x:row r="766" ht="24" customHeight="1">
      <x:c r="A766" s="10" t="str">
        <x:v>S02-08</x:v>
      </x:c>
      <x:c r="B766" s="10" t="str">
        <x:v>B</x:v>
      </x:c>
      <x:c r="C766" s="18" t="n">
        <x:v>-1e-7</x:v>
      </x:c>
      <x:c r="D766" s="10" t="n">
        <x:v>560</x:v>
      </x:c>
      <x:c r="E766" s="10" t="n">
        <x:v>0</x:v>
      </x:c>
      <x:c r="F766" s="10" t="n">
        <x:v>0</x:v>
      </x:c>
      <x:c r="G766" s="10" t="n">
        <x:f>SUM(D766:F766)</x:f>
        <x:v>560</x:v>
      </x:c>
    </x:row>
    <x:row r="767" ht="24" customHeight="1">
      <x:c r="A767" s="10" t="str">
        <x:v>S02-08</x:v>
      </x:c>
      <x:c r="B767" s="10" t="str">
        <x:v>B</x:v>
      </x:c>
      <x:c r="C767" s="18" t="n">
        <x:v>0</x:v>
      </x:c>
      <x:c r="D767" s="10" t="n">
        <x:v>560</x:v>
      </x:c>
      <x:c r="E767" s="10" t="n">
        <x:v>0</x:v>
      </x:c>
      <x:c r="F767" s="10" t="n">
        <x:v>0</x:v>
      </x:c>
      <x:c r="G767" s="10" t="n">
        <x:f>SUM(D767:F767)</x:f>
        <x:v>560</x:v>
      </x:c>
    </x:row>
    <x:row r="768" ht="24" customHeight="1">
      <x:c r="A768" s="10" t="str">
        <x:v>S02-08</x:v>
      </x:c>
      <x:c r="B768" s="10" t="str">
        <x:v>B</x:v>
      </x:c>
      <x:c r="C768" s="18" t="n">
        <x:v>1e-7</x:v>
      </x:c>
      <x:c r="D768" s="10" t="n">
        <x:v>560</x:v>
      </x:c>
      <x:c r="E768" s="10" t="n">
        <x:v>0</x:v>
      </x:c>
      <x:c r="F768" s="10" t="n">
        <x:v>0</x:v>
      </x:c>
      <x:c r="G768" s="10" t="n">
        <x:f>SUM(D768:F768)</x:f>
        <x:v>560</x:v>
      </x:c>
    </x:row>
    <x:row r="769" ht="24" customHeight="1">
      <x:c r="A769" s="10" t="str">
        <x:v>S02-08</x:v>
      </x:c>
      <x:c r="B769" s="10" t="str">
        <x:v>B</x:v>
      </x:c>
      <x:c r="C769" s="18" t="n">
        <x:v>0.916666567</x:v>
      </x:c>
      <x:c r="D769" s="10" t="n">
        <x:v>560</x:v>
      </x:c>
      <x:c r="E769" s="10" t="n">
        <x:v>0</x:v>
      </x:c>
      <x:c r="F769" s="10" t="n">
        <x:v>0</x:v>
      </x:c>
      <x:c r="G769" s="10" t="n">
        <x:f>SUM(D769:F769)</x:f>
        <x:v>560</x:v>
      </x:c>
    </x:row>
    <x:row r="770" ht="24" customHeight="1">
      <x:c r="A770" s="10" t="str">
        <x:v>S02-08</x:v>
      </x:c>
      <x:c r="B770" s="10" t="str">
        <x:v>B</x:v>
      </x:c>
      <x:c r="C770" s="18" t="n">
        <x:v>0.916666667</x:v>
      </x:c>
      <x:c r="D770" s="10" t="n">
        <x:v>560</x:v>
      </x:c>
      <x:c r="E770" s="10" t="n">
        <x:v>0</x:v>
      </x:c>
      <x:c r="F770" s="10" t="n">
        <x:v>0.004096</x:v>
      </x:c>
      <x:c r="G770" s="10" t="n">
        <x:f>SUM(D770:F770)</x:f>
        <x:v>560.004096</x:v>
      </x:c>
    </x:row>
    <x:row r="771" ht="24" customHeight="1">
      <x:c r="A771" s="10" t="str">
        <x:v>S02-08</x:v>
      </x:c>
      <x:c r="B771" s="10" t="str">
        <x:v>B</x:v>
      </x:c>
      <x:c r="C771" s="18" t="n">
        <x:v>0.916666767</x:v>
      </x:c>
      <x:c r="D771" s="10" t="n">
        <x:v>560</x:v>
      </x:c>
      <x:c r="E771" s="10" t="n">
        <x:v>0</x:v>
      </x:c>
      <x:c r="F771" s="10" t="n">
        <x:v>0.004096</x:v>
      </x:c>
      <x:c r="G771" s="10" t="n">
        <x:f>SUM(D771:F771)</x:f>
        <x:v>560.004096</x:v>
      </x:c>
    </x:row>
    <x:row r="772" ht="24" customHeight="1">
      <x:c r="A772" s="10" t="str">
        <x:v>S02-08</x:v>
      </x:c>
      <x:c r="B772" s="10" t="str">
        <x:v>B</x:v>
      </x:c>
      <x:c r="C772" s="18" t="n">
        <x:v>1.317666567</x:v>
      </x:c>
      <x:c r="D772" s="10" t="n">
        <x:v>560</x:v>
      </x:c>
      <x:c r="E772" s="10" t="n">
        <x:v>0</x:v>
      </x:c>
      <x:c r="F772" s="10" t="n">
        <x:v>0.004096</x:v>
      </x:c>
      <x:c r="G772" s="10" t="n">
        <x:f>SUM(D772:F772)</x:f>
        <x:v>560.004096</x:v>
      </x:c>
    </x:row>
    <x:row r="773" ht="24" customHeight="1">
      <x:c r="A773" s="10" t="str">
        <x:v>S02-08</x:v>
      </x:c>
      <x:c r="B773" s="10" t="str">
        <x:v>B</x:v>
      </x:c>
      <x:c r="C773" s="18" t="n">
        <x:v>1.317666667</x:v>
      </x:c>
      <x:c r="D773" s="10" t="n">
        <x:v>560</x:v>
      </x:c>
      <x:c r="E773" s="10" t="n">
        <x:v>0.0096</x:v>
      </x:c>
      <x:c r="F773" s="10" t="n">
        <x:v>0.004096</x:v>
      </x:c>
      <x:c r="G773" s="10" t="n">
        <x:f>SUM(D773:F773)</x:f>
        <x:v>560.013696</x:v>
      </x:c>
    </x:row>
    <x:row r="774" ht="24" customHeight="1">
      <x:c r="A774" s="10" t="str">
        <x:v>S02-08</x:v>
      </x:c>
      <x:c r="B774" s="10" t="str">
        <x:v>B</x:v>
      </x:c>
      <x:c r="C774" s="18" t="n">
        <x:v>1.317666767</x:v>
      </x:c>
      <x:c r="D774" s="10" t="n">
        <x:v>560</x:v>
      </x:c>
      <x:c r="E774" s="10" t="n">
        <x:v>0.009600019</x:v>
      </x:c>
      <x:c r="F774" s="10" t="n">
        <x:v>0.004096</x:v>
      </x:c>
      <x:c r="G774" s="10" t="n">
        <x:f>SUM(D774:F774)</x:f>
        <x:v>560.013696019</x:v>
      </x:c>
    </x:row>
    <x:row r="775" ht="24" customHeight="1">
      <x:c r="A775" s="10" t="str">
        <x:v>S02-08</x:v>
      </x:c>
      <x:c r="B775" s="10" t="str">
        <x:v>B</x:v>
      </x:c>
      <x:c r="C775" s="18" t="n">
        <x:v>1.357666567</x:v>
      </x:c>
      <x:c r="D775" s="10" t="n">
        <x:v>560</x:v>
      </x:c>
      <x:c r="E775" s="10" t="n">
        <x:v>0.017279981</x:v>
      </x:c>
      <x:c r="F775" s="10" t="n">
        <x:v>0.004096</x:v>
      </x:c>
      <x:c r="G775" s="10" t="n">
        <x:f>SUM(D775:F775)</x:f>
        <x:v>560.021375981</x:v>
      </x:c>
    </x:row>
    <x:row r="776" ht="24" customHeight="1">
      <x:c r="A776" s="10" t="str">
        <x:v>S02-08</x:v>
      </x:c>
      <x:c r="B776" s="10" t="str">
        <x:v>B</x:v>
      </x:c>
      <x:c r="C776" s="18" t="n">
        <x:v>1.357666667</x:v>
      </x:c>
      <x:c r="D776" s="10" t="n">
        <x:v>560</x:v>
      </x:c>
      <x:c r="E776" s="10" t="n">
        <x:v>0.01728</x:v>
      </x:c>
      <x:c r="F776" s="10" t="n">
        <x:v>0.004096</x:v>
      </x:c>
      <x:c r="G776" s="10" t="n">
        <x:f>SUM(D776:F776)</x:f>
        <x:v>560.021376</x:v>
      </x:c>
    </x:row>
    <x:row r="777" ht="24" customHeight="1">
      <x:c r="A777" s="10" t="str">
        <x:v>S02-08</x:v>
      </x:c>
      <x:c r="B777" s="10" t="str">
        <x:v>B</x:v>
      </x:c>
      <x:c r="C777" s="18" t="n">
        <x:v>1.357666767</x:v>
      </x:c>
      <x:c r="D777" s="10" t="n">
        <x:v>560</x:v>
      </x:c>
      <x:c r="E777" s="10" t="n">
        <x:v>0.017280014</x:v>
      </x:c>
      <x:c r="F777" s="10" t="n">
        <x:v>0.004096</x:v>
      </x:c>
      <x:c r="G777" s="10" t="n">
        <x:f>SUM(D777:F777)</x:f>
        <x:v>560.021376014</x:v>
      </x:c>
    </x:row>
    <x:row r="778" ht="24" customHeight="1">
      <x:c r="A778" s="10" t="str">
        <x:v>S02-08</x:v>
      </x:c>
      <x:c r="B778" s="10" t="str">
        <x:v>B</x:v>
      </x:c>
      <x:c r="C778" s="18" t="n">
        <x:v>1.975166567</x:v>
      </x:c>
      <x:c r="D778" s="10" t="n">
        <x:v>560</x:v>
      </x:c>
      <x:c r="E778" s="10" t="n">
        <x:v>0.106199986</x:v>
      </x:c>
      <x:c r="F778" s="10" t="n">
        <x:v>0.004096</x:v>
      </x:c>
      <x:c r="G778" s="10" t="n">
        <x:f>SUM(D778:F778)</x:f>
        <x:v>560.110295986</x:v>
      </x:c>
    </x:row>
    <x:row r="779" ht="24" customHeight="1">
      <x:c r="A779" s="10" t="str">
        <x:v>S02-08</x:v>
      </x:c>
      <x:c r="B779" s="10" t="str">
        <x:v>B</x:v>
      </x:c>
      <x:c r="C779" s="18" t="n">
        <x:v>1.975166667</x:v>
      </x:c>
      <x:c r="D779" s="10" t="n">
        <x:v>560</x:v>
      </x:c>
      <x:c r="E779" s="10" t="n">
        <x:v>0.1062</x:v>
      </x:c>
      <x:c r="F779" s="10" t="n">
        <x:v>0.004096</x:v>
      </x:c>
      <x:c r="G779" s="10" t="n">
        <x:f>SUM(D779:F779)</x:f>
        <x:v>560.110296</x:v>
      </x:c>
    </x:row>
    <x:row r="780" ht="24" customHeight="1">
      <x:c r="A780" s="10" t="str">
        <x:v>S02-08</x:v>
      </x:c>
      <x:c r="B780" s="10" t="str">
        <x:v>B</x:v>
      </x:c>
      <x:c r="C780" s="18" t="n">
        <x:v>1.975166767</x:v>
      </x:c>
      <x:c r="D780" s="10" t="n">
        <x:v>560</x:v>
      </x:c>
      <x:c r="E780" s="10" t="n">
        <x:v>0.106199995</x:v>
      </x:c>
      <x:c r="F780" s="10" t="n">
        <x:v>0.004096</x:v>
      </x:c>
      <x:c r="G780" s="10" t="n">
        <x:f>SUM(D780:F780)</x:f>
        <x:v>560.110295995</x:v>
      </x:c>
    </x:row>
    <x:row r="781" ht="24" customHeight="1">
      <x:c r="A781" s="10" t="str">
        <x:v>S02-08</x:v>
      </x:c>
      <x:c r="B781" s="10" t="str">
        <x:v>B</x:v>
      </x:c>
      <x:c r="C781" s="18" t="n">
        <x:v>4.187666567</x:v>
      </x:c>
      <x:c r="D781" s="10" t="n">
        <x:v>560</x:v>
      </x:c>
      <x:c r="E781" s="10" t="n">
        <x:v>5e-9</x:v>
      </x:c>
      <x:c r="F781" s="10" t="n">
        <x:v>0.004096</x:v>
      </x:c>
      <x:c r="G781" s="10" t="n">
        <x:f>SUM(D781:F781)</x:f>
        <x:v>560.004096005</x:v>
      </x:c>
    </x:row>
    <x:row r="782" ht="24" customHeight="1">
      <x:c r="A782" s="10" t="str">
        <x:v>S02-08</x:v>
      </x:c>
      <x:c r="B782" s="10" t="str">
        <x:v>B</x:v>
      </x:c>
      <x:c r="C782" s="18" t="n">
        <x:v>4.187666667</x:v>
      </x:c>
      <x:c r="D782" s="10" t="n">
        <x:v>560</x:v>
      </x:c>
      <x:c r="E782" s="10" t="n">
        <x:v>0</x:v>
      </x:c>
      <x:c r="F782" s="10" t="n">
        <x:v>0.004096</x:v>
      </x:c>
      <x:c r="G782" s="10" t="n">
        <x:f>SUM(D782:F782)</x:f>
        <x:v>560.004096</x:v>
      </x:c>
    </x:row>
    <x:row r="783" ht="24" customHeight="1">
      <x:c r="A783" s="10" t="str">
        <x:v>S02-08</x:v>
      </x:c>
      <x:c r="B783" s="10" t="str">
        <x:v>B</x:v>
      </x:c>
      <x:c r="C783" s="18" t="n">
        <x:v>4.187666767</x:v>
      </x:c>
      <x:c r="D783" s="10" t="n">
        <x:v>560</x:v>
      </x:c>
      <x:c r="E783" s="10" t="n">
        <x:v>0</x:v>
      </x:c>
      <x:c r="F783" s="10" t="n">
        <x:v>0</x:v>
      </x:c>
      <x:c r="G783" s="10" t="n">
        <x:f>SUM(D783:F783)</x:f>
        <x:v>560</x:v>
      </x:c>
    </x:row>
    <x:row r="784" ht="24" customHeight="1">
      <x:c r="A784" s="10" t="str">
        <x:v>S02-09</x:v>
      </x:c>
      <x:c r="B784" s="10" t="str">
        <x:v>A</x:v>
      </x:c>
      <x:c r="C784" s="18" t="n">
        <x:v>-6.0000001</x:v>
      </x:c>
      <x:c r="D784" s="10" t="n">
        <x:v>560</x:v>
      </x:c>
      <x:c r="E784" s="10" t="n">
        <x:v>0</x:v>
      </x:c>
      <x:c r="F784" s="10" t="n">
        <x:v>0</x:v>
      </x:c>
      <x:c r="G784" s="10" t="n">
        <x:f>SUM(D784:F784)</x:f>
        <x:v>560</x:v>
      </x:c>
    </x:row>
    <x:row r="785" ht="24" customHeight="1">
      <x:c r="A785" s="10" t="str">
        <x:v>S02-09</x:v>
      </x:c>
      <x:c r="B785" s="10" t="str">
        <x:v>A</x:v>
      </x:c>
      <x:c r="C785" s="18" t="n">
        <x:v>-6</x:v>
      </x:c>
      <x:c r="D785" s="10" t="n">
        <x:v>560</x:v>
      </x:c>
      <x:c r="E785" s="10" t="n">
        <x:v>0</x:v>
      </x:c>
      <x:c r="F785" s="10" t="n">
        <x:v>0</x:v>
      </x:c>
      <x:c r="G785" s="10" t="n">
        <x:f>SUM(D785:F785)</x:f>
        <x:v>560</x:v>
      </x:c>
    </x:row>
    <x:row r="786" ht="24" customHeight="1">
      <x:c r="A786" s="10" t="str">
        <x:v>S02-09</x:v>
      </x:c>
      <x:c r="B786" s="10" t="str">
        <x:v>A</x:v>
      </x:c>
      <x:c r="C786" s="18" t="n">
        <x:v>-5.9999999</x:v>
      </x:c>
      <x:c r="D786" s="10" t="n">
        <x:v>560</x:v>
      </x:c>
      <x:c r="E786" s="10" t="n">
        <x:v>0</x:v>
      </x:c>
      <x:c r="F786" s="10" t="n">
        <x:v>0</x:v>
      </x:c>
      <x:c r="G786" s="10" t="n">
        <x:f>SUM(D786:F786)</x:f>
        <x:v>560</x:v>
      </x:c>
    </x:row>
    <x:row r="787" ht="24" customHeight="1">
      <x:c r="A787" s="10" t="str">
        <x:v>S02-09</x:v>
      </x:c>
      <x:c r="B787" s="10" t="str">
        <x:v>A</x:v>
      </x:c>
      <x:c r="C787" s="18" t="n">
        <x:v>-1.4000001</x:v>
      </x:c>
      <x:c r="D787" s="10" t="n">
        <x:v>560</x:v>
      </x:c>
      <x:c r="E787" s="10" t="n">
        <x:v>0</x:v>
      </x:c>
      <x:c r="F787" s="10" t="n">
        <x:v>0</x:v>
      </x:c>
      <x:c r="G787" s="10" t="n">
        <x:f>SUM(D787:F787)</x:f>
        <x:v>560</x:v>
      </x:c>
    </x:row>
    <x:row r="788" ht="24" customHeight="1">
      <x:c r="A788" s="10" t="str">
        <x:v>S02-09</x:v>
      </x:c>
      <x:c r="B788" s="10" t="str">
        <x:v>A</x:v>
      </x:c>
      <x:c r="C788" s="18" t="n">
        <x:v>-1.4</x:v>
      </x:c>
      <x:c r="D788" s="10" t="n">
        <x:v>560</x:v>
      </x:c>
      <x:c r="E788" s="10" t="n">
        <x:v>0</x:v>
      </x:c>
      <x:c r="F788" s="10" t="n">
        <x:v>0.004096</x:v>
      </x:c>
      <x:c r="G788" s="10" t="n">
        <x:f>SUM(D788:F788)</x:f>
        <x:v>560.004096</x:v>
      </x:c>
    </x:row>
    <x:row r="789" ht="24" customHeight="1">
      <x:c r="A789" s="10" t="str">
        <x:v>S02-09</x:v>
      </x:c>
      <x:c r="B789" s="10" t="str">
        <x:v>A</x:v>
      </x:c>
      <x:c r="C789" s="18" t="n">
        <x:v>-1.3999999</x:v>
      </x:c>
      <x:c r="D789" s="10" t="n">
        <x:v>560</x:v>
      </x:c>
      <x:c r="E789" s="10" t="n">
        <x:v>0</x:v>
      </x:c>
      <x:c r="F789" s="10" t="n">
        <x:v>0.004096</x:v>
      </x:c>
      <x:c r="G789" s="10" t="n">
        <x:f>SUM(D789:F789)</x:f>
        <x:v>560.004096</x:v>
      </x:c>
    </x:row>
    <x:row r="790" ht="24" customHeight="1">
      <x:c r="A790" s="10" t="str">
        <x:v>S02-09</x:v>
      </x:c>
      <x:c r="B790" s="10" t="str">
        <x:v>A</x:v>
      </x:c>
      <x:c r="C790" s="18" t="n">
        <x:v>-0.9990001</x:v>
      </x:c>
      <x:c r="D790" s="10" t="n">
        <x:v>560</x:v>
      </x:c>
      <x:c r="E790" s="10" t="n">
        <x:v>0</x:v>
      </x:c>
      <x:c r="F790" s="10" t="n">
        <x:v>0.004096</x:v>
      </x:c>
      <x:c r="G790" s="10" t="n">
        <x:f>SUM(D790:F790)</x:f>
        <x:v>560.004096</x:v>
      </x:c>
    </x:row>
    <x:row r="791" ht="24" customHeight="1">
      <x:c r="A791" s="10" t="str">
        <x:v>S02-09</x:v>
      </x:c>
      <x:c r="B791" s="10" t="str">
        <x:v>A</x:v>
      </x:c>
      <x:c r="C791" s="18" t="n">
        <x:v>-0.999</x:v>
      </x:c>
      <x:c r="D791" s="10" t="n">
        <x:v>560</x:v>
      </x:c>
      <x:c r="E791" s="10" t="n">
        <x:v>0.0096</x:v>
      </x:c>
      <x:c r="F791" s="10" t="n">
        <x:v>0.004096</x:v>
      </x:c>
      <x:c r="G791" s="10" t="n">
        <x:f>SUM(D791:F791)</x:f>
        <x:v>560.013696</x:v>
      </x:c>
    </x:row>
    <x:row r="792" ht="24" customHeight="1">
      <x:c r="A792" s="10" t="str">
        <x:v>S02-09</x:v>
      </x:c>
      <x:c r="B792" s="10" t="str">
        <x:v>A</x:v>
      </x:c>
      <x:c r="C792" s="18" t="n">
        <x:v>-0.9989999</x:v>
      </x:c>
      <x:c r="D792" s="10" t="n">
        <x:v>560</x:v>
      </x:c>
      <x:c r="E792" s="10" t="n">
        <x:v>0.009600019</x:v>
      </x:c>
      <x:c r="F792" s="10" t="n">
        <x:v>0.004096</x:v>
      </x:c>
      <x:c r="G792" s="10" t="n">
        <x:f>SUM(D792:F792)</x:f>
        <x:v>560.013696019</x:v>
      </x:c>
    </x:row>
    <x:row r="793" ht="24" customHeight="1">
      <x:c r="A793" s="10" t="str">
        <x:v>S02-09</x:v>
      </x:c>
      <x:c r="B793" s="10" t="str">
        <x:v>A</x:v>
      </x:c>
      <x:c r="C793" s="18" t="n">
        <x:v>-0.3385001</x:v>
      </x:c>
      <x:c r="D793" s="10" t="n">
        <x:v>560</x:v>
      </x:c>
      <x:c r="E793" s="10" t="n">
        <x:v>0.136415981</x:v>
      </x:c>
      <x:c r="F793" s="10" t="n">
        <x:v>0.004096</x:v>
      </x:c>
      <x:c r="G793" s="10" t="n">
        <x:f>SUM(D793:F793)</x:f>
        <x:v>560.140511981</x:v>
      </x:c>
    </x:row>
    <x:row r="794" ht="24" customHeight="1">
      <x:c r="A794" s="10" t="str">
        <x:v>S02-09</x:v>
      </x:c>
      <x:c r="B794" s="10" t="str">
        <x:v>A</x:v>
      </x:c>
      <x:c r="C794" s="18" t="n">
        <x:v>-0.3385</x:v>
      </x:c>
      <x:c r="D794" s="10" t="n">
        <x:v>560</x:v>
      </x:c>
      <x:c r="E794" s="10" t="n">
        <x:v>0.136416</x:v>
      </x:c>
      <x:c r="F794" s="10" t="n">
        <x:v>0.004096</x:v>
      </x:c>
      <x:c r="G794" s="10" t="n">
        <x:f>SUM(D794:F794)</x:f>
        <x:v>560.1405120000001</x:v>
      </x:c>
    </x:row>
    <x:row r="795" ht="24" customHeight="1">
      <x:c r="A795" s="10" t="str">
        <x:v>S02-09</x:v>
      </x:c>
      <x:c r="B795" s="10" t="str">
        <x:v>A</x:v>
      </x:c>
      <x:c r="C795" s="18" t="n">
        <x:v>-0.3384999</x:v>
      </x:c>
      <x:c r="D795" s="10" t="n">
        <x:v>560</x:v>
      </x:c>
      <x:c r="E795" s="10" t="n">
        <x:v>0.136416</x:v>
      </x:c>
      <x:c r="F795" s="10" t="n">
        <x:v>0.004096</x:v>
      </x:c>
      <x:c r="G795" s="10" t="n">
        <x:f>SUM(D795:F795)</x:f>
        <x:v>560.1405120000001</x:v>
      </x:c>
    </x:row>
    <x:row r="796" ht="24" customHeight="1">
      <x:c r="A796" s="10" t="str">
        <x:v>S02-09</x:v>
      </x:c>
      <x:c r="B796" s="10" t="str">
        <x:v>A</x:v>
      </x:c>
      <x:c r="C796" s="18" t="n">
        <x:v>-1e-7</x:v>
      </x:c>
      <x:c r="D796" s="10" t="n">
        <x:v>560</x:v>
      </x:c>
      <x:c r="E796" s="10" t="n">
        <x:v>0.136416</x:v>
      </x:c>
      <x:c r="F796" s="10" t="n">
        <x:v>0.004096</x:v>
      </x:c>
      <x:c r="G796" s="10" t="n">
        <x:f>SUM(D796:F796)</x:f>
        <x:v>560.1405120000001</x:v>
      </x:c>
    </x:row>
    <x:row r="797" ht="24" customHeight="1">
      <x:c r="A797" s="10" t="str">
        <x:v>S02-09</x:v>
      </x:c>
      <x:c r="B797" s="10" t="str">
        <x:v>A</x:v>
      </x:c>
      <x:c r="C797" s="18" t="n">
        <x:v>0</x:v>
      </x:c>
      <x:c r="D797" s="10" t="n">
        <x:v>560</x:v>
      </x:c>
      <x:c r="E797" s="10" t="n">
        <x:v>0.136416</x:v>
      </x:c>
      <x:c r="F797" s="10" t="n">
        <x:v>0.004096</x:v>
      </x:c>
      <x:c r="G797" s="10" t="n">
        <x:f>SUM(D797:F797)</x:f>
        <x:v>560.1405120000001</x:v>
      </x:c>
    </x:row>
    <x:row r="798" ht="24" customHeight="1">
      <x:c r="A798" s="10" t="str">
        <x:v>S02-09</x:v>
      </x:c>
      <x:c r="B798" s="10" t="str">
        <x:v>A</x:v>
      </x:c>
      <x:c r="C798" s="18" t="n">
        <x:v>1e-7</x:v>
      </x:c>
      <x:c r="D798" s="10" t="n">
        <x:v>560</x:v>
      </x:c>
      <x:c r="E798" s="10" t="n">
        <x:v>0.136416</x:v>
      </x:c>
      <x:c r="F798" s="10" t="n">
        <x:v>0.004096</x:v>
      </x:c>
      <x:c r="G798" s="10" t="n">
        <x:f>SUM(D798:F798)</x:f>
        <x:v>560.1405120000001</x:v>
      </x:c>
    </x:row>
    <x:row r="799" ht="24" customHeight="1">
      <x:c r="A799" s="10" t="str">
        <x:v>S02-09</x:v>
      </x:c>
      <x:c r="B799" s="10" t="str">
        <x:v>A</x:v>
      </x:c>
      <x:c r="C799" s="18" t="n">
        <x:v>0.8699999</x:v>
      </x:c>
      <x:c r="D799" s="10" t="n">
        <x:v>560</x:v>
      </x:c>
      <x:c r="E799" s="10" t="n">
        <x:v>0.136416</x:v>
      </x:c>
      <x:c r="F799" s="10" t="n">
        <x:v>0.004096</x:v>
      </x:c>
      <x:c r="G799" s="10" t="n">
        <x:f>SUM(D799:F799)</x:f>
        <x:v>560.1405120000001</x:v>
      </x:c>
    </x:row>
    <x:row r="800" ht="24" customHeight="1">
      <x:c r="A800" s="10" t="str">
        <x:v>S02-09</x:v>
      </x:c>
      <x:c r="B800" s="10" t="str">
        <x:v>A</x:v>
      </x:c>
      <x:c r="C800" s="18" t="n">
        <x:v>0.87</x:v>
      </x:c>
      <x:c r="D800" s="10" t="n">
        <x:v>560</x:v>
      </x:c>
      <x:c r="E800" s="10" t="n">
        <x:v>0.136416</x:v>
      </x:c>
      <x:c r="F800" s="10" t="n">
        <x:v>0.004096</x:v>
      </x:c>
      <x:c r="G800" s="10" t="n">
        <x:f>SUM(D800:F800)</x:f>
        <x:v>560.1405120000001</x:v>
      </x:c>
    </x:row>
    <x:row r="801" ht="24" customHeight="1">
      <x:c r="A801" s="10" t="str">
        <x:v>S02-09</x:v>
      </x:c>
      <x:c r="B801" s="10" t="str">
        <x:v>A</x:v>
      </x:c>
      <x:c r="C801" s="18" t="n">
        <x:v>0.8700001</x:v>
      </x:c>
      <x:c r="D801" s="10" t="n">
        <x:v>560</x:v>
      </x:c>
      <x:c r="E801" s="10" t="n">
        <x:v>0.136416</x:v>
      </x:c>
      <x:c r="F801" s="10" t="n">
        <x:v>0.004096</x:v>
      </x:c>
      <x:c r="G801" s="10" t="n">
        <x:f>SUM(D801:F801)</x:f>
        <x:v>560.1405120000001</x:v>
      </x:c>
    </x:row>
    <x:row r="802" ht="24" customHeight="1">
      <x:c r="A802" s="10" t="str">
        <x:v>S02-09</x:v>
      </x:c>
      <x:c r="B802" s="10" t="str">
        <x:v>A</x:v>
      </x:c>
      <x:c r="C802" s="18" t="n">
        <x:v>0.9099999</x:v>
      </x:c>
      <x:c r="D802" s="10" t="n">
        <x:v>560</x:v>
      </x:c>
      <x:c r="E802" s="10" t="n">
        <x:v>0.136416</x:v>
      </x:c>
      <x:c r="F802" s="10" t="n">
        <x:v>0.004096</x:v>
      </x:c>
      <x:c r="G802" s="10" t="n">
        <x:f>SUM(D802:F802)</x:f>
        <x:v>560.1405120000001</x:v>
      </x:c>
    </x:row>
    <x:row r="803" ht="24" customHeight="1">
      <x:c r="A803" s="10" t="str">
        <x:v>S02-09</x:v>
      </x:c>
      <x:c r="B803" s="10" t="str">
        <x:v>A</x:v>
      </x:c>
      <x:c r="C803" s="18" t="n">
        <x:v>0.91</x:v>
      </x:c>
      <x:c r="D803" s="10" t="n">
        <x:v>560</x:v>
      </x:c>
      <x:c r="E803" s="10" t="n">
        <x:v>0.136416</x:v>
      </x:c>
      <x:c r="F803" s="10" t="n">
        <x:v>0.004096</x:v>
      </x:c>
      <x:c r="G803" s="10" t="n">
        <x:f>SUM(D803:F803)</x:f>
        <x:v>560.1405120000001</x:v>
      </x:c>
    </x:row>
    <x:row r="804" ht="24" customHeight="1">
      <x:c r="A804" s="10" t="str">
        <x:v>S02-09</x:v>
      </x:c>
      <x:c r="B804" s="10" t="str">
        <x:v>A</x:v>
      </x:c>
      <x:c r="C804" s="18" t="n">
        <x:v>0.9100001</x:v>
      </x:c>
      <x:c r="D804" s="10" t="n">
        <x:v>560</x:v>
      </x:c>
      <x:c r="E804" s="10" t="n">
        <x:v>0.136415995</x:v>
      </x:c>
      <x:c r="F804" s="10" t="n">
        <x:v>0.004096</x:v>
      </x:c>
      <x:c r="G804" s="10" t="n">
        <x:f>SUM(D804:F804)</x:f>
        <x:v>560.140511995</x:v>
      </x:c>
    </x:row>
    <x:row r="805" ht="24" customHeight="1">
      <x:c r="A805" s="10" t="str">
        <x:v>S02-09</x:v>
      </x:c>
      <x:c r="B805" s="10" t="str">
        <x:v>A</x:v>
      </x:c>
      <x:c r="C805" s="18" t="n">
        <x:v>3.7519999</x:v>
      </x:c>
      <x:c r="D805" s="10" t="n">
        <x:v>560</x:v>
      </x:c>
      <x:c r="E805" s="10" t="n">
        <x:v>5e-9</x:v>
      </x:c>
      <x:c r="F805" s="10" t="n">
        <x:v>0.004096</x:v>
      </x:c>
      <x:c r="G805" s="10" t="n">
        <x:f>SUM(D805:F805)</x:f>
        <x:v>560.004096005</x:v>
      </x:c>
    </x:row>
    <x:row r="806" ht="24" customHeight="1">
      <x:c r="A806" s="10" t="str">
        <x:v>S02-09</x:v>
      </x:c>
      <x:c r="B806" s="10" t="str">
        <x:v>A</x:v>
      </x:c>
      <x:c r="C806" s="18" t="n">
        <x:v>3.752</x:v>
      </x:c>
      <x:c r="D806" s="10" t="n">
        <x:v>560</x:v>
      </x:c>
      <x:c r="E806" s="10" t="n">
        <x:v>0</x:v>
      </x:c>
      <x:c r="F806" s="10" t="n">
        <x:v>0.004096</x:v>
      </x:c>
      <x:c r="G806" s="10" t="n">
        <x:f>SUM(D806:F806)</x:f>
        <x:v>560.004096</x:v>
      </x:c>
    </x:row>
    <x:row r="807" ht="24" customHeight="1">
      <x:c r="A807" s="10" t="str">
        <x:v>S02-09</x:v>
      </x:c>
      <x:c r="B807" s="10" t="str">
        <x:v>A</x:v>
      </x:c>
      <x:c r="C807" s="18" t="n">
        <x:v>3.7520001</x:v>
      </x:c>
      <x:c r="D807" s="10" t="n">
        <x:v>560</x:v>
      </x:c>
      <x:c r="E807" s="10" t="n">
        <x:v>0</x:v>
      </x:c>
      <x:c r="F807" s="10" t="n">
        <x:v>0</x:v>
      </x:c>
      <x:c r="G807" s="10" t="n">
        <x:f>SUM(D807:F807)</x:f>
        <x:v>560</x:v>
      </x:c>
    </x:row>
    <x:row r="808" ht="24" customHeight="1">
      <x:c r="A808" s="10" t="str">
        <x:v>S02-09</x:v>
      </x:c>
      <x:c r="B808" s="10" t="str">
        <x:v>B</x:v>
      </x:c>
      <x:c r="C808" s="18" t="n">
        <x:v>-6.0000001</x:v>
      </x:c>
      <x:c r="D808" s="10" t="n">
        <x:v>560</x:v>
      </x:c>
      <x:c r="E808" s="10" t="n">
        <x:v>0</x:v>
      </x:c>
      <x:c r="F808" s="10" t="n">
        <x:v>0</x:v>
      </x:c>
      <x:c r="G808" s="10" t="n">
        <x:f>SUM(D808:F808)</x:f>
        <x:v>560</x:v>
      </x:c>
    </x:row>
    <x:row r="809" ht="24" customHeight="1">
      <x:c r="A809" s="10" t="str">
        <x:v>S02-09</x:v>
      </x:c>
      <x:c r="B809" s="10" t="str">
        <x:v>B</x:v>
      </x:c>
      <x:c r="C809" s="18" t="n">
        <x:v>-6</x:v>
      </x:c>
      <x:c r="D809" s="10" t="n">
        <x:v>560</x:v>
      </x:c>
      <x:c r="E809" s="10" t="n">
        <x:v>0</x:v>
      </x:c>
      <x:c r="F809" s="10" t="n">
        <x:v>0</x:v>
      </x:c>
      <x:c r="G809" s="10" t="n">
        <x:f>SUM(D809:F809)</x:f>
        <x:v>560</x:v>
      </x:c>
    </x:row>
    <x:row r="810" ht="24" customHeight="1">
      <x:c r="A810" s="10" t="str">
        <x:v>S02-09</x:v>
      </x:c>
      <x:c r="B810" s="10" t="str">
        <x:v>B</x:v>
      </x:c>
      <x:c r="C810" s="18" t="n">
        <x:v>-5.9999999</x:v>
      </x:c>
      <x:c r="D810" s="10" t="n">
        <x:v>560</x:v>
      </x:c>
      <x:c r="E810" s="10" t="n">
        <x:v>0</x:v>
      </x:c>
      <x:c r="F810" s="10" t="n">
        <x:v>0</x:v>
      </x:c>
      <x:c r="G810" s="10" t="n">
        <x:f>SUM(D810:F810)</x:f>
        <x:v>560</x:v>
      </x:c>
    </x:row>
    <x:row r="811" ht="24" customHeight="1">
      <x:c r="A811" s="10" t="str">
        <x:v>S02-09</x:v>
      </x:c>
      <x:c r="B811" s="10" t="str">
        <x:v>B</x:v>
      </x:c>
      <x:c r="C811" s="18" t="n">
        <x:v>-1e-7</x:v>
      </x:c>
      <x:c r="D811" s="10" t="n">
        <x:v>560</x:v>
      </x:c>
      <x:c r="E811" s="10" t="n">
        <x:v>0</x:v>
      </x:c>
      <x:c r="F811" s="10" t="n">
        <x:v>0</x:v>
      </x:c>
      <x:c r="G811" s="10" t="n">
        <x:f>SUM(D811:F811)</x:f>
        <x:v>560</x:v>
      </x:c>
    </x:row>
    <x:row r="812" ht="24" customHeight="1">
      <x:c r="A812" s="10" t="str">
        <x:v>S02-09</x:v>
      </x:c>
      <x:c r="B812" s="10" t="str">
        <x:v>B</x:v>
      </x:c>
      <x:c r="C812" s="18" t="n">
        <x:v>0</x:v>
      </x:c>
      <x:c r="D812" s="10" t="n">
        <x:v>560</x:v>
      </x:c>
      <x:c r="E812" s="10" t="n">
        <x:v>0</x:v>
      </x:c>
      <x:c r="F812" s="10" t="n">
        <x:v>0</x:v>
      </x:c>
      <x:c r="G812" s="10" t="n">
        <x:f>SUM(D812:F812)</x:f>
        <x:v>560</x:v>
      </x:c>
    </x:row>
    <x:row r="813" ht="24" customHeight="1">
      <x:c r="A813" s="10" t="str">
        <x:v>S02-09</x:v>
      </x:c>
      <x:c r="B813" s="10" t="str">
        <x:v>B</x:v>
      </x:c>
      <x:c r="C813" s="18" t="n">
        <x:v>1e-7</x:v>
      </x:c>
      <x:c r="D813" s="10" t="n">
        <x:v>560</x:v>
      </x:c>
      <x:c r="E813" s="10" t="n">
        <x:v>0</x:v>
      </x:c>
      <x:c r="F813" s="10" t="n">
        <x:v>0</x:v>
      </x:c>
      <x:c r="G813" s="10" t="n">
        <x:f>SUM(D813:F813)</x:f>
        <x:v>560</x:v>
      </x:c>
    </x:row>
    <x:row r="814" ht="24" customHeight="1">
      <x:c r="A814" s="10" t="str">
        <x:v>S02-09</x:v>
      </x:c>
      <x:c r="B814" s="10" t="str">
        <x:v>B</x:v>
      </x:c>
      <x:c r="C814" s="18" t="n">
        <x:v>0.8699999</x:v>
      </x:c>
      <x:c r="D814" s="10" t="n">
        <x:v>560</x:v>
      </x:c>
      <x:c r="E814" s="10" t="n">
        <x:v>0</x:v>
      </x:c>
      <x:c r="F814" s="10" t="n">
        <x:v>0</x:v>
      </x:c>
      <x:c r="G814" s="10" t="n">
        <x:f>SUM(D814:F814)</x:f>
        <x:v>560</x:v>
      </x:c>
    </x:row>
    <x:row r="815" ht="24" customHeight="1">
      <x:c r="A815" s="10" t="str">
        <x:v>S02-09</x:v>
      </x:c>
      <x:c r="B815" s="10" t="str">
        <x:v>B</x:v>
      </x:c>
      <x:c r="C815" s="18" t="n">
        <x:v>0.87</x:v>
      </x:c>
      <x:c r="D815" s="10" t="n">
        <x:v>560</x:v>
      </x:c>
      <x:c r="E815" s="10" t="n">
        <x:v>0</x:v>
      </x:c>
      <x:c r="F815" s="10" t="n">
        <x:v>0.004096</x:v>
      </x:c>
      <x:c r="G815" s="10" t="n">
        <x:f>SUM(D815:F815)</x:f>
        <x:v>560.004096</x:v>
      </x:c>
    </x:row>
    <x:row r="816" ht="24" customHeight="1">
      <x:c r="A816" s="10" t="str">
        <x:v>S02-09</x:v>
      </x:c>
      <x:c r="B816" s="10" t="str">
        <x:v>B</x:v>
      </x:c>
      <x:c r="C816" s="18" t="n">
        <x:v>0.8700001</x:v>
      </x:c>
      <x:c r="D816" s="10" t="n">
        <x:v>560</x:v>
      </x:c>
      <x:c r="E816" s="10" t="n">
        <x:v>0</x:v>
      </x:c>
      <x:c r="F816" s="10" t="n">
        <x:v>0.004096</x:v>
      </x:c>
      <x:c r="G816" s="10" t="n">
        <x:f>SUM(D816:F816)</x:f>
        <x:v>560.004096</x:v>
      </x:c>
    </x:row>
    <x:row r="817" ht="24" customHeight="1">
      <x:c r="A817" s="10" t="str">
        <x:v>S02-09</x:v>
      </x:c>
      <x:c r="B817" s="10" t="str">
        <x:v>B</x:v>
      </x:c>
      <x:c r="C817" s="18" t="n">
        <x:v>1.2709999</x:v>
      </x:c>
      <x:c r="D817" s="10" t="n">
        <x:v>560</x:v>
      </x:c>
      <x:c r="E817" s="10" t="n">
        <x:v>0</x:v>
      </x:c>
      <x:c r="F817" s="10" t="n">
        <x:v>0.004096</x:v>
      </x:c>
      <x:c r="G817" s="10" t="n">
        <x:f>SUM(D817:F817)</x:f>
        <x:v>560.004096</x:v>
      </x:c>
    </x:row>
    <x:row r="818" ht="24" customHeight="1">
      <x:c r="A818" s="10" t="str">
        <x:v>S02-09</x:v>
      </x:c>
      <x:c r="B818" s="10" t="str">
        <x:v>B</x:v>
      </x:c>
      <x:c r="C818" s="18" t="n">
        <x:v>1.271</x:v>
      </x:c>
      <x:c r="D818" s="10" t="n">
        <x:v>560</x:v>
      </x:c>
      <x:c r="E818" s="10" t="n">
        <x:v>0.0096</x:v>
      </x:c>
      <x:c r="F818" s="10" t="n">
        <x:v>0.004096</x:v>
      </x:c>
      <x:c r="G818" s="10" t="n">
        <x:f>SUM(D818:F818)</x:f>
        <x:v>560.013696</x:v>
      </x:c>
    </x:row>
    <x:row r="819" ht="24" customHeight="1">
      <x:c r="A819" s="10" t="str">
        <x:v>S02-09</x:v>
      </x:c>
      <x:c r="B819" s="10" t="str">
        <x:v>B</x:v>
      </x:c>
      <x:c r="C819" s="18" t="n">
        <x:v>1.2710001</x:v>
      </x:c>
      <x:c r="D819" s="10" t="n">
        <x:v>560</x:v>
      </x:c>
      <x:c r="E819" s="10" t="n">
        <x:v>0.009600019</x:v>
      </x:c>
      <x:c r="F819" s="10" t="n">
        <x:v>0.004096</x:v>
      </x:c>
      <x:c r="G819" s="10" t="n">
        <x:f>SUM(D819:F819)</x:f>
        <x:v>560.013696019</x:v>
      </x:c>
    </x:row>
    <x:row r="820" ht="24" customHeight="1">
      <x:c r="A820" s="10" t="str">
        <x:v>S02-09</x:v>
      </x:c>
      <x:c r="B820" s="10" t="str">
        <x:v>B</x:v>
      </x:c>
      <x:c r="C820" s="18" t="n">
        <x:v>1.3109999</x:v>
      </x:c>
      <x:c r="D820" s="10" t="n">
        <x:v>560</x:v>
      </x:c>
      <x:c r="E820" s="10" t="n">
        <x:v>0.017279981</x:v>
      </x:c>
      <x:c r="F820" s="10" t="n">
        <x:v>0.004096</x:v>
      </x:c>
      <x:c r="G820" s="10" t="n">
        <x:f>SUM(D820:F820)</x:f>
        <x:v>560.021375981</x:v>
      </x:c>
    </x:row>
    <x:row r="821" ht="24" customHeight="1">
      <x:c r="A821" s="10" t="str">
        <x:v>S02-09</x:v>
      </x:c>
      <x:c r="B821" s="10" t="str">
        <x:v>B</x:v>
      </x:c>
      <x:c r="C821" s="18" t="n">
        <x:v>1.311</x:v>
      </x:c>
      <x:c r="D821" s="10" t="n">
        <x:v>560</x:v>
      </x:c>
      <x:c r="E821" s="10" t="n">
        <x:v>0.01728</x:v>
      </x:c>
      <x:c r="F821" s="10" t="n">
        <x:v>0.004096</x:v>
      </x:c>
      <x:c r="G821" s="10" t="n">
        <x:f>SUM(D821:F821)</x:f>
        <x:v>560.021376</x:v>
      </x:c>
    </x:row>
    <x:row r="822" ht="24" customHeight="1">
      <x:c r="A822" s="10" t="str">
        <x:v>S02-09</x:v>
      </x:c>
      <x:c r="B822" s="10" t="str">
        <x:v>B</x:v>
      </x:c>
      <x:c r="C822" s="18" t="n">
        <x:v>1.3110001</x:v>
      </x:c>
      <x:c r="D822" s="10" t="n">
        <x:v>560</x:v>
      </x:c>
      <x:c r="E822" s="10" t="n">
        <x:v>0.017280014</x:v>
      </x:c>
      <x:c r="F822" s="10" t="n">
        <x:v>0.004096</x:v>
      </x:c>
      <x:c r="G822" s="10" t="n">
        <x:f>SUM(D822:F822)</x:f>
        <x:v>560.021376014</x:v>
      </x:c>
    </x:row>
    <x:row r="823" ht="24" customHeight="1">
      <x:c r="A823" s="10" t="str">
        <x:v>S02-09</x:v>
      </x:c>
      <x:c r="B823" s="10" t="str">
        <x:v>B</x:v>
      </x:c>
      <x:c r="C823" s="18" t="n">
        <x:v>1.9314999</x:v>
      </x:c>
      <x:c r="D823" s="10" t="n">
        <x:v>560</x:v>
      </x:c>
      <x:c r="E823" s="10" t="n">
        <x:v>0.106631986</x:v>
      </x:c>
      <x:c r="F823" s="10" t="n">
        <x:v>0.004096</x:v>
      </x:c>
      <x:c r="G823" s="10" t="n">
        <x:f>SUM(D823:F823)</x:f>
        <x:v>560.110727986</x:v>
      </x:c>
    </x:row>
    <x:row r="824" ht="24" customHeight="1">
      <x:c r="A824" s="10" t="str">
        <x:v>S02-09</x:v>
      </x:c>
      <x:c r="B824" s="10" t="str">
        <x:v>B</x:v>
      </x:c>
      <x:c r="C824" s="18" t="n">
        <x:v>1.9315</x:v>
      </x:c>
      <x:c r="D824" s="10" t="n">
        <x:v>560</x:v>
      </x:c>
      <x:c r="E824" s="10" t="n">
        <x:v>0.106632</x:v>
      </x:c>
      <x:c r="F824" s="10" t="n">
        <x:v>0.004096</x:v>
      </x:c>
      <x:c r="G824" s="10" t="n">
        <x:f>SUM(D824:F824)</x:f>
        <x:v>560.110728</x:v>
      </x:c>
    </x:row>
    <x:row r="825" ht="24" customHeight="1">
      <x:c r="A825" s="10" t="str">
        <x:v>S02-09</x:v>
      </x:c>
      <x:c r="B825" s="10" t="str">
        <x:v>B</x:v>
      </x:c>
      <x:c r="C825" s="18" t="n">
        <x:v>1.9315001</x:v>
      </x:c>
      <x:c r="D825" s="10" t="n">
        <x:v>560</x:v>
      </x:c>
      <x:c r="E825" s="10" t="n">
        <x:v>0.106631995</x:v>
      </x:c>
      <x:c r="F825" s="10" t="n">
        <x:v>0.004096</x:v>
      </x:c>
      <x:c r="G825" s="10" t="n">
        <x:f>SUM(D825:F825)</x:f>
        <x:v>560.110727995</x:v>
      </x:c>
    </x:row>
    <x:row r="826" ht="24" customHeight="1">
      <x:c r="A826" s="10" t="str">
        <x:v>S02-09</x:v>
      </x:c>
      <x:c r="B826" s="10" t="str">
        <x:v>B</x:v>
      </x:c>
      <x:c r="C826" s="18" t="n">
        <x:v>4.1529999</x:v>
      </x:c>
      <x:c r="D826" s="10" t="n">
        <x:v>560</x:v>
      </x:c>
      <x:c r="E826" s="10" t="n">
        <x:v>5e-9</x:v>
      </x:c>
      <x:c r="F826" s="10" t="n">
        <x:v>0.004096</x:v>
      </x:c>
      <x:c r="G826" s="10" t="n">
        <x:f>SUM(D826:F826)</x:f>
        <x:v>560.004096005</x:v>
      </x:c>
    </x:row>
    <x:row r="827" ht="24" customHeight="1">
      <x:c r="A827" s="10" t="str">
        <x:v>S02-09</x:v>
      </x:c>
      <x:c r="B827" s="10" t="str">
        <x:v>B</x:v>
      </x:c>
      <x:c r="C827" s="18" t="n">
        <x:v>4.153</x:v>
      </x:c>
      <x:c r="D827" s="10" t="n">
        <x:v>560</x:v>
      </x:c>
      <x:c r="E827" s="10" t="n">
        <x:v>0</x:v>
      </x:c>
      <x:c r="F827" s="10" t="n">
        <x:v>0.004096</x:v>
      </x:c>
      <x:c r="G827" s="10" t="n">
        <x:f>SUM(D827:F827)</x:f>
        <x:v>560.004096</x:v>
      </x:c>
    </x:row>
    <x:row r="828" ht="24" customHeight="1">
      <x:c r="A828" s="10" t="str">
        <x:v>S02-09</x:v>
      </x:c>
      <x:c r="B828" s="10" t="str">
        <x:v>B</x:v>
      </x:c>
      <x:c r="C828" s="18" t="n">
        <x:v>4.1530001</x:v>
      </x:c>
      <x:c r="D828" s="10" t="n">
        <x:v>560</x:v>
      </x:c>
      <x:c r="E828" s="10" t="n">
        <x:v>0</x:v>
      </x:c>
      <x:c r="F828" s="10" t="n">
        <x:v>0</x:v>
      </x:c>
      <x:c r="G828" s="10" t="n">
        <x:f>SUM(D828:F828)</x:f>
        <x:v>560</x:v>
      </x:c>
    </x:row>
    <x:row r="829" ht="24" customHeight="1">
      <x:c r="A829" s="10" t="str">
        <x:v>S02-10</x:v>
      </x:c>
      <x:c r="B829" s="10" t="str">
        <x:v>A</x:v>
      </x:c>
      <x:c r="C829" s="18" t="n">
        <x:v>-6.0000001</x:v>
      </x:c>
      <x:c r="D829" s="10" t="n">
        <x:v>560</x:v>
      </x:c>
      <x:c r="E829" s="10" t="n">
        <x:v>0</x:v>
      </x:c>
      <x:c r="F829" s="10" t="n">
        <x:v>0</x:v>
      </x:c>
      <x:c r="G829" s="10" t="n">
        <x:f>SUM(D829:F829)</x:f>
        <x:v>560</x:v>
      </x:c>
    </x:row>
    <x:row r="830" ht="24" customHeight="1">
      <x:c r="A830" s="10" t="str">
        <x:v>S02-10</x:v>
      </x:c>
      <x:c r="B830" s="10" t="str">
        <x:v>A</x:v>
      </x:c>
      <x:c r="C830" s="18" t="n">
        <x:v>-6</x:v>
      </x:c>
      <x:c r="D830" s="10" t="n">
        <x:v>560</x:v>
      </x:c>
      <x:c r="E830" s="10" t="n">
        <x:v>0</x:v>
      </x:c>
      <x:c r="F830" s="10" t="n">
        <x:v>0</x:v>
      </x:c>
      <x:c r="G830" s="10" t="n">
        <x:f>SUM(D830:F830)</x:f>
        <x:v>560</x:v>
      </x:c>
    </x:row>
    <x:row r="831" ht="24" customHeight="1">
      <x:c r="A831" s="10" t="str">
        <x:v>S02-10</x:v>
      </x:c>
      <x:c r="B831" s="10" t="str">
        <x:v>A</x:v>
      </x:c>
      <x:c r="C831" s="18" t="n">
        <x:v>-5.9999999</x:v>
      </x:c>
      <x:c r="D831" s="10" t="n">
        <x:v>560</x:v>
      </x:c>
      <x:c r="E831" s="10" t="n">
        <x:v>0</x:v>
      </x:c>
      <x:c r="F831" s="10" t="n">
        <x:v>0</x:v>
      </x:c>
      <x:c r="G831" s="10" t="n">
        <x:f>SUM(D831:F831)</x:f>
        <x:v>560</x:v>
      </x:c>
    </x:row>
    <x:row r="832" ht="24" customHeight="1">
      <x:c r="A832" s="10" t="str">
        <x:v>S02-10</x:v>
      </x:c>
      <x:c r="B832" s="10" t="str">
        <x:v>A</x:v>
      </x:c>
      <x:c r="C832" s="18" t="n">
        <x:v>-1.4000001</x:v>
      </x:c>
      <x:c r="D832" s="10" t="n">
        <x:v>560</x:v>
      </x:c>
      <x:c r="E832" s="10" t="n">
        <x:v>0</x:v>
      </x:c>
      <x:c r="F832" s="10" t="n">
        <x:v>0</x:v>
      </x:c>
      <x:c r="G832" s="10" t="n">
        <x:f>SUM(D832:F832)</x:f>
        <x:v>560</x:v>
      </x:c>
    </x:row>
    <x:row r="833" ht="24" customHeight="1">
      <x:c r="A833" s="10" t="str">
        <x:v>S02-10</x:v>
      </x:c>
      <x:c r="B833" s="10" t="str">
        <x:v>A</x:v>
      </x:c>
      <x:c r="C833" s="18" t="n">
        <x:v>-1.4</x:v>
      </x:c>
      <x:c r="D833" s="10" t="n">
        <x:v>560</x:v>
      </x:c>
      <x:c r="E833" s="10" t="n">
        <x:v>0</x:v>
      </x:c>
      <x:c r="F833" s="10" t="n">
        <x:v>0.004096</x:v>
      </x:c>
      <x:c r="G833" s="10" t="n">
        <x:f>SUM(D833:F833)</x:f>
        <x:v>560.004096</x:v>
      </x:c>
    </x:row>
    <x:row r="834" ht="24" customHeight="1">
      <x:c r="A834" s="10" t="str">
        <x:v>S02-10</x:v>
      </x:c>
      <x:c r="B834" s="10" t="str">
        <x:v>A</x:v>
      </x:c>
      <x:c r="C834" s="18" t="n">
        <x:v>-1.3999999</x:v>
      </x:c>
      <x:c r="D834" s="10" t="n">
        <x:v>560</x:v>
      </x:c>
      <x:c r="E834" s="10" t="n">
        <x:v>0</x:v>
      </x:c>
      <x:c r="F834" s="10" t="n">
        <x:v>0.004096</x:v>
      </x:c>
      <x:c r="G834" s="10" t="n">
        <x:f>SUM(D834:F834)</x:f>
        <x:v>560.004096</x:v>
      </x:c>
    </x:row>
    <x:row r="835" ht="24" customHeight="1">
      <x:c r="A835" s="10" t="str">
        <x:v>S02-10</x:v>
      </x:c>
      <x:c r="B835" s="10" t="str">
        <x:v>A</x:v>
      </x:c>
      <x:c r="C835" s="18" t="n">
        <x:v>-0.9990001</x:v>
      </x:c>
      <x:c r="D835" s="10" t="n">
        <x:v>560</x:v>
      </x:c>
      <x:c r="E835" s="10" t="n">
        <x:v>0</x:v>
      </x:c>
      <x:c r="F835" s="10" t="n">
        <x:v>0.004096</x:v>
      </x:c>
      <x:c r="G835" s="10" t="n">
        <x:f>SUM(D835:F835)</x:f>
        <x:v>560.004096</x:v>
      </x:c>
    </x:row>
    <x:row r="836" ht="24" customHeight="1">
      <x:c r="A836" s="10" t="str">
        <x:v>S02-10</x:v>
      </x:c>
      <x:c r="B836" s="10" t="str">
        <x:v>A</x:v>
      </x:c>
      <x:c r="C836" s="18" t="n">
        <x:v>-0.999</x:v>
      </x:c>
      <x:c r="D836" s="10" t="n">
        <x:v>560</x:v>
      </x:c>
      <x:c r="E836" s="10" t="n">
        <x:v>0.0096</x:v>
      </x:c>
      <x:c r="F836" s="10" t="n">
        <x:v>0.004096</x:v>
      </x:c>
      <x:c r="G836" s="10" t="n">
        <x:f>SUM(D836:F836)</x:f>
        <x:v>560.013696</x:v>
      </x:c>
    </x:row>
    <x:row r="837" ht="24" customHeight="1">
      <x:c r="A837" s="10" t="str">
        <x:v>S02-10</x:v>
      </x:c>
      <x:c r="B837" s="10" t="str">
        <x:v>A</x:v>
      </x:c>
      <x:c r="C837" s="18" t="n">
        <x:v>-0.9989999</x:v>
      </x:c>
      <x:c r="D837" s="10" t="n">
        <x:v>560</x:v>
      </x:c>
      <x:c r="E837" s="10" t="n">
        <x:v>0.009600019</x:v>
      </x:c>
      <x:c r="F837" s="10" t="n">
        <x:v>0.004096</x:v>
      </x:c>
      <x:c r="G837" s="10" t="n">
        <x:f>SUM(D837:F837)</x:f>
        <x:v>560.013696019</x:v>
      </x:c>
    </x:row>
    <x:row r="838" ht="24" customHeight="1">
      <x:c r="A838" s="10" t="str">
        <x:v>S02-10</x:v>
      </x:c>
      <x:c r="B838" s="10" t="str">
        <x:v>A</x:v>
      </x:c>
      <x:c r="C838" s="18" t="n">
        <x:v>-0.3355001</x:v>
      </x:c>
      <x:c r="D838" s="10" t="n">
        <x:v>560</x:v>
      </x:c>
      <x:c r="E838" s="10" t="n">
        <x:v>0.136991981</x:v>
      </x:c>
      <x:c r="F838" s="10" t="n">
        <x:v>0.004096</x:v>
      </x:c>
      <x:c r="G838" s="10" t="n">
        <x:f>SUM(D838:F838)</x:f>
        <x:v>560.141087981</x:v>
      </x:c>
    </x:row>
    <x:row r="839" ht="24" customHeight="1">
      <x:c r="A839" s="10" t="str">
        <x:v>S02-10</x:v>
      </x:c>
      <x:c r="B839" s="10" t="str">
        <x:v>A</x:v>
      </x:c>
      <x:c r="C839" s="18" t="n">
        <x:v>-0.3355</x:v>
      </x:c>
      <x:c r="D839" s="10" t="n">
        <x:v>560</x:v>
      </x:c>
      <x:c r="E839" s="10" t="n">
        <x:v>0.136992</x:v>
      </x:c>
      <x:c r="F839" s="10" t="n">
        <x:v>0.004096</x:v>
      </x:c>
      <x:c r="G839" s="10" t="n">
        <x:f>SUM(D839:F839)</x:f>
        <x:v>560.141088</x:v>
      </x:c>
    </x:row>
    <x:row r="840" ht="24" customHeight="1">
      <x:c r="A840" s="10" t="str">
        <x:v>S02-10</x:v>
      </x:c>
      <x:c r="B840" s="10" t="str">
        <x:v>A</x:v>
      </x:c>
      <x:c r="C840" s="18" t="n">
        <x:v>-0.3354999</x:v>
      </x:c>
      <x:c r="D840" s="10" t="n">
        <x:v>560</x:v>
      </x:c>
      <x:c r="E840" s="10" t="n">
        <x:v>0.136992</x:v>
      </x:c>
      <x:c r="F840" s="10" t="n">
        <x:v>0.004096</x:v>
      </x:c>
      <x:c r="G840" s="10" t="n">
        <x:f>SUM(D840:F840)</x:f>
        <x:v>560.141088</x:v>
      </x:c>
    </x:row>
    <x:row r="841" ht="24" customHeight="1">
      <x:c r="A841" s="10" t="str">
        <x:v>S02-10</x:v>
      </x:c>
      <x:c r="B841" s="10" t="str">
        <x:v>A</x:v>
      </x:c>
      <x:c r="C841" s="18" t="n">
        <x:v>-1e-7</x:v>
      </x:c>
      <x:c r="D841" s="10" t="n">
        <x:v>560</x:v>
      </x:c>
      <x:c r="E841" s="10" t="n">
        <x:v>0.136992</x:v>
      </x:c>
      <x:c r="F841" s="10" t="n">
        <x:v>0.004096</x:v>
      </x:c>
      <x:c r="G841" s="10" t="n">
        <x:f>SUM(D841:F841)</x:f>
        <x:v>560.141088</x:v>
      </x:c>
    </x:row>
    <x:row r="842" ht="24" customHeight="1">
      <x:c r="A842" s="10" t="str">
        <x:v>S02-10</x:v>
      </x:c>
      <x:c r="B842" s="10" t="str">
        <x:v>A</x:v>
      </x:c>
      <x:c r="C842" s="18" t="n">
        <x:v>0</x:v>
      </x:c>
      <x:c r="D842" s="10" t="n">
        <x:v>560</x:v>
      </x:c>
      <x:c r="E842" s="10" t="n">
        <x:v>0.136992</x:v>
      </x:c>
      <x:c r="F842" s="10" t="n">
        <x:v>0.004096</x:v>
      </x:c>
      <x:c r="G842" s="10" t="n">
        <x:f>SUM(D842:F842)</x:f>
        <x:v>560.141088</x:v>
      </x:c>
    </x:row>
    <x:row r="843" ht="24" customHeight="1">
      <x:c r="A843" s="10" t="str">
        <x:v>S02-10</x:v>
      </x:c>
      <x:c r="B843" s="10" t="str">
        <x:v>A</x:v>
      </x:c>
      <x:c r="C843" s="18" t="n">
        <x:v>1e-7</x:v>
      </x:c>
      <x:c r="D843" s="10" t="n">
        <x:v>560</x:v>
      </x:c>
      <x:c r="E843" s="10" t="n">
        <x:v>0.136992</x:v>
      </x:c>
      <x:c r="F843" s="10" t="n">
        <x:v>0.004096</x:v>
      </x:c>
      <x:c r="G843" s="10" t="n">
        <x:f>SUM(D843:F843)</x:f>
        <x:v>560.141088</x:v>
      </x:c>
    </x:row>
    <x:row r="844" ht="24" customHeight="1">
      <x:c r="A844" s="10" t="str">
        <x:v>S02-10</x:v>
      </x:c>
      <x:c r="B844" s="10" t="str">
        <x:v>A</x:v>
      </x:c>
      <x:c r="C844" s="18" t="n">
        <x:v>0.898333233</x:v>
      </x:c>
      <x:c r="D844" s="10" t="n">
        <x:v>560</x:v>
      </x:c>
      <x:c r="E844" s="10" t="n">
        <x:v>0.136992</x:v>
      </x:c>
      <x:c r="F844" s="10" t="n">
        <x:v>0.004096</x:v>
      </x:c>
      <x:c r="G844" s="10" t="n">
        <x:f>SUM(D844:F844)</x:f>
        <x:v>560.141088</x:v>
      </x:c>
    </x:row>
    <x:row r="845" ht="24" customHeight="1">
      <x:c r="A845" s="10" t="str">
        <x:v>S02-10</x:v>
      </x:c>
      <x:c r="B845" s="10" t="str">
        <x:v>A</x:v>
      </x:c>
      <x:c r="C845" s="18" t="n">
        <x:v>0.898333333</x:v>
      </x:c>
      <x:c r="D845" s="10" t="n">
        <x:v>560</x:v>
      </x:c>
      <x:c r="E845" s="10" t="n">
        <x:v>0.136992</x:v>
      </x:c>
      <x:c r="F845" s="10" t="n">
        <x:v>0.004096</x:v>
      </x:c>
      <x:c r="G845" s="10" t="n">
        <x:f>SUM(D845:F845)</x:f>
        <x:v>560.141088</x:v>
      </x:c>
    </x:row>
    <x:row r="846" ht="24" customHeight="1">
      <x:c r="A846" s="10" t="str">
        <x:v>S02-10</x:v>
      </x:c>
      <x:c r="B846" s="10" t="str">
        <x:v>A</x:v>
      </x:c>
      <x:c r="C846" s="18" t="n">
        <x:v>0.898333433</x:v>
      </x:c>
      <x:c r="D846" s="10" t="n">
        <x:v>560</x:v>
      </x:c>
      <x:c r="E846" s="10" t="n">
        <x:v>0.136992</x:v>
      </x:c>
      <x:c r="F846" s="10" t="n">
        <x:v>0.004096</x:v>
      </x:c>
      <x:c r="G846" s="10" t="n">
        <x:f>SUM(D846:F846)</x:f>
        <x:v>560.141088</x:v>
      </x:c>
    </x:row>
    <x:row r="847" ht="24" customHeight="1">
      <x:c r="A847" s="10" t="str">
        <x:v>S02-10</x:v>
      </x:c>
      <x:c r="B847" s="10" t="str">
        <x:v>A</x:v>
      </x:c>
      <x:c r="C847" s="18" t="n">
        <x:v>0.938333233</x:v>
      </x:c>
      <x:c r="D847" s="10" t="n">
        <x:v>560</x:v>
      </x:c>
      <x:c r="E847" s="10" t="n">
        <x:v>0.136992</x:v>
      </x:c>
      <x:c r="F847" s="10" t="n">
        <x:v>0.004096</x:v>
      </x:c>
      <x:c r="G847" s="10" t="n">
        <x:f>SUM(D847:F847)</x:f>
        <x:v>560.141088</x:v>
      </x:c>
    </x:row>
    <x:row r="848" ht="24" customHeight="1">
      <x:c r="A848" s="10" t="str">
        <x:v>S02-10</x:v>
      </x:c>
      <x:c r="B848" s="10" t="str">
        <x:v>A</x:v>
      </x:c>
      <x:c r="C848" s="18" t="n">
        <x:v>0.938333333</x:v>
      </x:c>
      <x:c r="D848" s="10" t="n">
        <x:v>560</x:v>
      </x:c>
      <x:c r="E848" s="10" t="n">
        <x:v>0.136992</x:v>
      </x:c>
      <x:c r="F848" s="10" t="n">
        <x:v>0.004096</x:v>
      </x:c>
      <x:c r="G848" s="10" t="n">
        <x:f>SUM(D848:F848)</x:f>
        <x:v>560.141088</x:v>
      </x:c>
    </x:row>
    <x:row r="849" ht="24" customHeight="1">
      <x:c r="A849" s="10" t="str">
        <x:v>S02-10</x:v>
      </x:c>
      <x:c r="B849" s="10" t="str">
        <x:v>A</x:v>
      </x:c>
      <x:c r="C849" s="18" t="n">
        <x:v>0.938333433</x:v>
      </x:c>
      <x:c r="D849" s="10" t="n">
        <x:v>560</x:v>
      </x:c>
      <x:c r="E849" s="10" t="n">
        <x:v>0.136991995</x:v>
      </x:c>
      <x:c r="F849" s="10" t="n">
        <x:v>0.004096</x:v>
      </x:c>
      <x:c r="G849" s="10" t="n">
        <x:f>SUM(D849:F849)</x:f>
        <x:v>560.141087995</x:v>
      </x:c>
    </x:row>
    <x:row r="850" ht="24" customHeight="1">
      <x:c r="A850" s="10" t="str">
        <x:v>S02-10</x:v>
      </x:c>
      <x:c r="B850" s="10" t="str">
        <x:v>A</x:v>
      </x:c>
      <x:c r="C850" s="18" t="n">
        <x:v>3.792333233</x:v>
      </x:c>
      <x:c r="D850" s="10" t="n">
        <x:v>560</x:v>
      </x:c>
      <x:c r="E850" s="10" t="n">
        <x:v>5e-9</x:v>
      </x:c>
      <x:c r="F850" s="10" t="n">
        <x:v>0.004096</x:v>
      </x:c>
      <x:c r="G850" s="10" t="n">
        <x:f>SUM(D850:F850)</x:f>
        <x:v>560.004096005</x:v>
      </x:c>
    </x:row>
    <x:row r="851" ht="24" customHeight="1">
      <x:c r="A851" s="10" t="str">
        <x:v>S02-10</x:v>
      </x:c>
      <x:c r="B851" s="10" t="str">
        <x:v>A</x:v>
      </x:c>
      <x:c r="C851" s="18" t="n">
        <x:v>3.792333333</x:v>
      </x:c>
      <x:c r="D851" s="10" t="n">
        <x:v>560</x:v>
      </x:c>
      <x:c r="E851" s="10" t="n">
        <x:v>0</x:v>
      </x:c>
      <x:c r="F851" s="10" t="n">
        <x:v>0.004096</x:v>
      </x:c>
      <x:c r="G851" s="10" t="n">
        <x:f>SUM(D851:F851)</x:f>
        <x:v>560.004096</x:v>
      </x:c>
    </x:row>
    <x:row r="852" ht="24" customHeight="1">
      <x:c r="A852" s="10" t="str">
        <x:v>S02-10</x:v>
      </x:c>
      <x:c r="B852" s="10" t="str">
        <x:v>A</x:v>
      </x:c>
      <x:c r="C852" s="18" t="n">
        <x:v>3.792333433</x:v>
      </x:c>
      <x:c r="D852" s="10" t="n">
        <x:v>560</x:v>
      </x:c>
      <x:c r="E852" s="10" t="n">
        <x:v>0</x:v>
      </x:c>
      <x:c r="F852" s="10" t="n">
        <x:v>0</x:v>
      </x:c>
      <x:c r="G852" s="10" t="n">
        <x:f>SUM(D852:F852)</x:f>
        <x:v>560</x:v>
      </x:c>
    </x:row>
    <x:row r="853" ht="24" customHeight="1">
      <x:c r="A853" s="10" t="str">
        <x:v>S02-10</x:v>
      </x:c>
      <x:c r="B853" s="10" t="str">
        <x:v>B</x:v>
      </x:c>
      <x:c r="C853" s="18" t="n">
        <x:v>-6.0000001</x:v>
      </x:c>
      <x:c r="D853" s="10" t="n">
        <x:v>560</x:v>
      </x:c>
      <x:c r="E853" s="10" t="n">
        <x:v>0</x:v>
      </x:c>
      <x:c r="F853" s="10" t="n">
        <x:v>0</x:v>
      </x:c>
      <x:c r="G853" s="10" t="n">
        <x:f>SUM(D853:F853)</x:f>
        <x:v>560</x:v>
      </x:c>
    </x:row>
    <x:row r="854" ht="24" customHeight="1">
      <x:c r="A854" s="10" t="str">
        <x:v>S02-10</x:v>
      </x:c>
      <x:c r="B854" s="10" t="str">
        <x:v>B</x:v>
      </x:c>
      <x:c r="C854" s="18" t="n">
        <x:v>-6</x:v>
      </x:c>
      <x:c r="D854" s="10" t="n">
        <x:v>560</x:v>
      </x:c>
      <x:c r="E854" s="10" t="n">
        <x:v>0</x:v>
      </x:c>
      <x:c r="F854" s="10" t="n">
        <x:v>0</x:v>
      </x:c>
      <x:c r="G854" s="10" t="n">
        <x:f>SUM(D854:F854)</x:f>
        <x:v>560</x:v>
      </x:c>
    </x:row>
    <x:row r="855" ht="24" customHeight="1">
      <x:c r="A855" s="10" t="str">
        <x:v>S02-10</x:v>
      </x:c>
      <x:c r="B855" s="10" t="str">
        <x:v>B</x:v>
      </x:c>
      <x:c r="C855" s="18" t="n">
        <x:v>-5.9999999</x:v>
      </x:c>
      <x:c r="D855" s="10" t="n">
        <x:v>560</x:v>
      </x:c>
      <x:c r="E855" s="10" t="n">
        <x:v>0</x:v>
      </x:c>
      <x:c r="F855" s="10" t="n">
        <x:v>0</x:v>
      </x:c>
      <x:c r="G855" s="10" t="n">
        <x:f>SUM(D855:F855)</x:f>
        <x:v>560</x:v>
      </x:c>
    </x:row>
    <x:row r="856" ht="24" customHeight="1">
      <x:c r="A856" s="10" t="str">
        <x:v>S02-10</x:v>
      </x:c>
      <x:c r="B856" s="10" t="str">
        <x:v>B</x:v>
      </x:c>
      <x:c r="C856" s="18" t="n">
        <x:v>-1e-7</x:v>
      </x:c>
      <x:c r="D856" s="10" t="n">
        <x:v>560</x:v>
      </x:c>
      <x:c r="E856" s="10" t="n">
        <x:v>0</x:v>
      </x:c>
      <x:c r="F856" s="10" t="n">
        <x:v>0</x:v>
      </x:c>
      <x:c r="G856" s="10" t="n">
        <x:f>SUM(D856:F856)</x:f>
        <x:v>560</x:v>
      </x:c>
    </x:row>
    <x:row r="857" ht="24" customHeight="1">
      <x:c r="A857" s="10" t="str">
        <x:v>S02-10</x:v>
      </x:c>
      <x:c r="B857" s="10" t="str">
        <x:v>B</x:v>
      </x:c>
      <x:c r="C857" s="18" t="n">
        <x:v>0</x:v>
      </x:c>
      <x:c r="D857" s="10" t="n">
        <x:v>560</x:v>
      </x:c>
      <x:c r="E857" s="10" t="n">
        <x:v>0</x:v>
      </x:c>
      <x:c r="F857" s="10" t="n">
        <x:v>0</x:v>
      </x:c>
      <x:c r="G857" s="10" t="n">
        <x:f>SUM(D857:F857)</x:f>
        <x:v>560</x:v>
      </x:c>
    </x:row>
    <x:row r="858" ht="24" customHeight="1">
      <x:c r="A858" s="10" t="str">
        <x:v>S02-10</x:v>
      </x:c>
      <x:c r="B858" s="10" t="str">
        <x:v>B</x:v>
      </x:c>
      <x:c r="C858" s="18" t="n">
        <x:v>1e-7</x:v>
      </x:c>
      <x:c r="D858" s="10" t="n">
        <x:v>560</x:v>
      </x:c>
      <x:c r="E858" s="10" t="n">
        <x:v>0</x:v>
      </x:c>
      <x:c r="F858" s="10" t="n">
        <x:v>0</x:v>
      </x:c>
      <x:c r="G858" s="10" t="n">
        <x:f>SUM(D858:F858)</x:f>
        <x:v>560</x:v>
      </x:c>
    </x:row>
    <x:row r="859" ht="24" customHeight="1">
      <x:c r="A859" s="10" t="str">
        <x:v>S02-10</x:v>
      </x:c>
      <x:c r="B859" s="10" t="str">
        <x:v>B</x:v>
      </x:c>
      <x:c r="C859" s="18" t="n">
        <x:v>0.898333233</x:v>
      </x:c>
      <x:c r="D859" s="10" t="n">
        <x:v>560</x:v>
      </x:c>
      <x:c r="E859" s="10" t="n">
        <x:v>0</x:v>
      </x:c>
      <x:c r="F859" s="10" t="n">
        <x:v>0</x:v>
      </x:c>
      <x:c r="G859" s="10" t="n">
        <x:f>SUM(D859:F859)</x:f>
        <x:v>560</x:v>
      </x:c>
    </x:row>
    <x:row r="860" ht="24" customHeight="1">
      <x:c r="A860" s="10" t="str">
        <x:v>S02-10</x:v>
      </x:c>
      <x:c r="B860" s="10" t="str">
        <x:v>B</x:v>
      </x:c>
      <x:c r="C860" s="18" t="n">
        <x:v>0.898333333</x:v>
      </x:c>
      <x:c r="D860" s="10" t="n">
        <x:v>560</x:v>
      </x:c>
      <x:c r="E860" s="10" t="n">
        <x:v>0</x:v>
      </x:c>
      <x:c r="F860" s="10" t="n">
        <x:v>0.004096</x:v>
      </x:c>
      <x:c r="G860" s="10" t="n">
        <x:f>SUM(D860:F860)</x:f>
        <x:v>560.004096</x:v>
      </x:c>
    </x:row>
    <x:row r="861" ht="24" customHeight="1">
      <x:c r="A861" s="10" t="str">
        <x:v>S02-10</x:v>
      </x:c>
      <x:c r="B861" s="10" t="str">
        <x:v>B</x:v>
      </x:c>
      <x:c r="C861" s="18" t="n">
        <x:v>0.898333433</x:v>
      </x:c>
      <x:c r="D861" s="10" t="n">
        <x:v>560</x:v>
      </x:c>
      <x:c r="E861" s="10" t="n">
        <x:v>0</x:v>
      </x:c>
      <x:c r="F861" s="10" t="n">
        <x:v>0.004096</x:v>
      </x:c>
      <x:c r="G861" s="10" t="n">
        <x:f>SUM(D861:F861)</x:f>
        <x:v>560.004096</x:v>
      </x:c>
    </x:row>
    <x:row r="862" ht="24" customHeight="1">
      <x:c r="A862" s="10" t="str">
        <x:v>S02-10</x:v>
      </x:c>
      <x:c r="B862" s="10" t="str">
        <x:v>B</x:v>
      </x:c>
      <x:c r="C862" s="18" t="n">
        <x:v>1.299333233</x:v>
      </x:c>
      <x:c r="D862" s="10" t="n">
        <x:v>560</x:v>
      </x:c>
      <x:c r="E862" s="10" t="n">
        <x:v>0</x:v>
      </x:c>
      <x:c r="F862" s="10" t="n">
        <x:v>0.004096</x:v>
      </x:c>
      <x:c r="G862" s="10" t="n">
        <x:f>SUM(D862:F862)</x:f>
        <x:v>560.004096</x:v>
      </x:c>
    </x:row>
    <x:row r="863" ht="24" customHeight="1">
      <x:c r="A863" s="10" t="str">
        <x:v>S02-10</x:v>
      </x:c>
      <x:c r="B863" s="10" t="str">
        <x:v>B</x:v>
      </x:c>
      <x:c r="C863" s="18" t="n">
        <x:v>1.299333333</x:v>
      </x:c>
      <x:c r="D863" s="10" t="n">
        <x:v>560</x:v>
      </x:c>
      <x:c r="E863" s="10" t="n">
        <x:v>0.0096</x:v>
      </x:c>
      <x:c r="F863" s="10" t="n">
        <x:v>0.004096</x:v>
      </x:c>
      <x:c r="G863" s="10" t="n">
        <x:f>SUM(D863:F863)</x:f>
        <x:v>560.013696</x:v>
      </x:c>
    </x:row>
    <x:row r="864" ht="24" customHeight="1">
      <x:c r="A864" s="10" t="str">
        <x:v>S02-10</x:v>
      </x:c>
      <x:c r="B864" s="10" t="str">
        <x:v>B</x:v>
      </x:c>
      <x:c r="C864" s="18" t="n">
        <x:v>1.299333433</x:v>
      </x:c>
      <x:c r="D864" s="10" t="n">
        <x:v>560</x:v>
      </x:c>
      <x:c r="E864" s="10" t="n">
        <x:v>0.009600019</x:v>
      </x:c>
      <x:c r="F864" s="10" t="n">
        <x:v>0.004096</x:v>
      </x:c>
      <x:c r="G864" s="10" t="n">
        <x:f>SUM(D864:F864)</x:f>
        <x:v>560.013696019</x:v>
      </x:c>
    </x:row>
    <x:row r="865" ht="24" customHeight="1">
      <x:c r="A865" s="10" t="str">
        <x:v>S02-10</x:v>
      </x:c>
      <x:c r="B865" s="10" t="str">
        <x:v>B</x:v>
      </x:c>
      <x:c r="C865" s="18" t="n">
        <x:v>1.339333233</x:v>
      </x:c>
      <x:c r="D865" s="10" t="n">
        <x:v>560</x:v>
      </x:c>
      <x:c r="E865" s="10" t="n">
        <x:v>0.017279981</x:v>
      </x:c>
      <x:c r="F865" s="10" t="n">
        <x:v>0.004096</x:v>
      </x:c>
      <x:c r="G865" s="10" t="n">
        <x:f>SUM(D865:F865)</x:f>
        <x:v>560.021375981</x:v>
      </x:c>
    </x:row>
    <x:row r="866" ht="24" customHeight="1">
      <x:c r="A866" s="10" t="str">
        <x:v>S02-10</x:v>
      </x:c>
      <x:c r="B866" s="10" t="str">
        <x:v>B</x:v>
      </x:c>
      <x:c r="C866" s="18" t="n">
        <x:v>1.339333333</x:v>
      </x:c>
      <x:c r="D866" s="10" t="n">
        <x:v>560</x:v>
      </x:c>
      <x:c r="E866" s="10" t="n">
        <x:v>0.01728</x:v>
      </x:c>
      <x:c r="F866" s="10" t="n">
        <x:v>0.004096</x:v>
      </x:c>
      <x:c r="G866" s="10" t="n">
        <x:f>SUM(D866:F866)</x:f>
        <x:v>560.021376</x:v>
      </x:c>
    </x:row>
    <x:row r="867" ht="24" customHeight="1">
      <x:c r="A867" s="10" t="str">
        <x:v>S02-10</x:v>
      </x:c>
      <x:c r="B867" s="10" t="str">
        <x:v>B</x:v>
      </x:c>
      <x:c r="C867" s="18" t="n">
        <x:v>1.339333433</x:v>
      </x:c>
      <x:c r="D867" s="10" t="n">
        <x:v>560</x:v>
      </x:c>
      <x:c r="E867" s="10" t="n">
        <x:v>0.017280014</x:v>
      </x:c>
      <x:c r="F867" s="10" t="n">
        <x:v>0.004096</x:v>
      </x:c>
      <x:c r="G867" s="10" t="n">
        <x:f>SUM(D867:F867)</x:f>
        <x:v>560.021376014</x:v>
      </x:c>
    </x:row>
    <x:row r="868" ht="24" customHeight="1">
      <x:c r="A868" s="10" t="str">
        <x:v>S02-10</x:v>
      </x:c>
      <x:c r="B868" s="10" t="str">
        <x:v>B</x:v>
      </x:c>
      <x:c r="C868" s="18" t="n">
        <x:v>1.962833233</x:v>
      </x:c>
      <x:c r="D868" s="10" t="n">
        <x:v>560</x:v>
      </x:c>
      <x:c r="E868" s="10" t="n">
        <x:v>0.107063986</x:v>
      </x:c>
      <x:c r="F868" s="10" t="n">
        <x:v>0.004096</x:v>
      </x:c>
      <x:c r="G868" s="10" t="n">
        <x:f>SUM(D868:F868)</x:f>
        <x:v>560.111159986</x:v>
      </x:c>
    </x:row>
    <x:row r="869" ht="24" customHeight="1">
      <x:c r="A869" s="10" t="str">
        <x:v>S02-10</x:v>
      </x:c>
      <x:c r="B869" s="10" t="str">
        <x:v>B</x:v>
      </x:c>
      <x:c r="C869" s="18" t="n">
        <x:v>1.962833333</x:v>
      </x:c>
      <x:c r="D869" s="10" t="n">
        <x:v>560</x:v>
      </x:c>
      <x:c r="E869" s="10" t="n">
        <x:v>0.107064</x:v>
      </x:c>
      <x:c r="F869" s="10" t="n">
        <x:v>0.004096</x:v>
      </x:c>
      <x:c r="G869" s="10" t="n">
        <x:f>SUM(D869:F869)</x:f>
        <x:v>560.11116</x:v>
      </x:c>
    </x:row>
    <x:row r="870" ht="24" customHeight="1">
      <x:c r="A870" s="10" t="str">
        <x:v>S02-10</x:v>
      </x:c>
      <x:c r="B870" s="10" t="str">
        <x:v>B</x:v>
      </x:c>
      <x:c r="C870" s="18" t="n">
        <x:v>1.962833433</x:v>
      </x:c>
      <x:c r="D870" s="10" t="n">
        <x:v>560</x:v>
      </x:c>
      <x:c r="E870" s="10" t="n">
        <x:v>0.107063995</x:v>
      </x:c>
      <x:c r="F870" s="10" t="n">
        <x:v>0.004096</x:v>
      </x:c>
      <x:c r="G870" s="10" t="n">
        <x:f>SUM(D870:F870)</x:f>
        <x:v>560.111159995</x:v>
      </x:c>
    </x:row>
    <x:row r="871" ht="24" customHeight="1">
      <x:c r="A871" s="10" t="str">
        <x:v>S02-10</x:v>
      </x:c>
      <x:c r="B871" s="10" t="str">
        <x:v>B</x:v>
      </x:c>
      <x:c r="C871" s="18" t="n">
        <x:v>4.193333233</x:v>
      </x:c>
      <x:c r="D871" s="10" t="n">
        <x:v>560</x:v>
      </x:c>
      <x:c r="E871" s="10" t="n">
        <x:v>5e-9</x:v>
      </x:c>
      <x:c r="F871" s="10" t="n">
        <x:v>0.004096</x:v>
      </x:c>
      <x:c r="G871" s="10" t="n">
        <x:f>SUM(D871:F871)</x:f>
        <x:v>560.004096005</x:v>
      </x:c>
    </x:row>
    <x:row r="872" ht="24" customHeight="1">
      <x:c r="A872" s="10" t="str">
        <x:v>S02-10</x:v>
      </x:c>
      <x:c r="B872" s="10" t="str">
        <x:v>B</x:v>
      </x:c>
      <x:c r="C872" s="18" t="n">
        <x:v>4.193333333</x:v>
      </x:c>
      <x:c r="D872" s="10" t="n">
        <x:v>560</x:v>
      </x:c>
      <x:c r="E872" s="10" t="n">
        <x:v>0</x:v>
      </x:c>
      <x:c r="F872" s="10" t="n">
        <x:v>0.004096</x:v>
      </x:c>
      <x:c r="G872" s="10" t="n">
        <x:f>SUM(D872:F872)</x:f>
        <x:v>560.004096</x:v>
      </x:c>
    </x:row>
    <x:row r="873" ht="24" customHeight="1">
      <x:c r="A873" s="10" t="str">
        <x:v>S02-10</x:v>
      </x:c>
      <x:c r="B873" s="10" t="str">
        <x:v>B</x:v>
      </x:c>
      <x:c r="C873" s="18" t="n">
        <x:v>4.193333433</x:v>
      </x:c>
      <x:c r="D873" s="10" t="n">
        <x:v>560</x:v>
      </x:c>
      <x:c r="E873" s="10" t="n">
        <x:v>0</x:v>
      </x:c>
      <x:c r="F873" s="10" t="n">
        <x:v>0</x:v>
      </x:c>
      <x:c r="G873" s="10" t="n">
        <x:f>SUM(D873:F873)</x:f>
        <x:v>560</x:v>
      </x:c>
    </x:row>
    <x:row r="874" ht="24" customHeight="1">
      <x:c r="A874" s="10" t="str">
        <x:v>S03-01</x:v>
      </x:c>
      <x:c r="B874" s="10" t="str">
        <x:v>A</x:v>
      </x:c>
      <x:c r="C874" s="18" t="n">
        <x:v>-6.0000001</x:v>
      </x:c>
      <x:c r="D874" s="10" t="n">
        <x:v>560</x:v>
      </x:c>
      <x:c r="E874" s="10" t="n">
        <x:v>0</x:v>
      </x:c>
      <x:c r="F874" s="10" t="n">
        <x:v>0</x:v>
      </x:c>
      <x:c r="G874" s="10" t="n">
        <x:f>SUM(D874:F874)</x:f>
        <x:v>560</x:v>
      </x:c>
    </x:row>
    <x:row r="875" ht="24" customHeight="1">
      <x:c r="A875" s="10" t="str">
        <x:v>S03-01</x:v>
      </x:c>
      <x:c r="B875" s="10" t="str">
        <x:v>A</x:v>
      </x:c>
      <x:c r="C875" s="18" t="n">
        <x:v>-6</x:v>
      </x:c>
      <x:c r="D875" s="10" t="n">
        <x:v>560</x:v>
      </x:c>
      <x:c r="E875" s="10" t="n">
        <x:v>0</x:v>
      </x:c>
      <x:c r="F875" s="10" t="n">
        <x:v>0</x:v>
      </x:c>
      <x:c r="G875" s="10" t="n">
        <x:f>SUM(D875:F875)</x:f>
        <x:v>560</x:v>
      </x:c>
    </x:row>
    <x:row r="876" ht="24" customHeight="1">
      <x:c r="A876" s="10" t="str">
        <x:v>S03-01</x:v>
      </x:c>
      <x:c r="B876" s="10" t="str">
        <x:v>A</x:v>
      </x:c>
      <x:c r="C876" s="18" t="n">
        <x:v>-5.9999999</x:v>
      </x:c>
      <x:c r="D876" s="10" t="n">
        <x:v>560</x:v>
      </x:c>
      <x:c r="E876" s="10" t="n">
        <x:v>0</x:v>
      </x:c>
      <x:c r="F876" s="10" t="n">
        <x:v>0</x:v>
      </x:c>
      <x:c r="G876" s="10" t="n">
        <x:f>SUM(D876:F876)</x:f>
        <x:v>560</x:v>
      </x:c>
    </x:row>
    <x:row r="877" ht="24" customHeight="1">
      <x:c r="A877" s="10" t="str">
        <x:v>S03-01</x:v>
      </x:c>
      <x:c r="B877" s="10" t="str">
        <x:v>A</x:v>
      </x:c>
      <x:c r="C877" s="18" t="n">
        <x:v>-1.4000001</x:v>
      </x:c>
      <x:c r="D877" s="10" t="n">
        <x:v>560</x:v>
      </x:c>
      <x:c r="E877" s="10" t="n">
        <x:v>0</x:v>
      </x:c>
      <x:c r="F877" s="10" t="n">
        <x:v>0</x:v>
      </x:c>
      <x:c r="G877" s="10" t="n">
        <x:f>SUM(D877:F877)</x:f>
        <x:v>560</x:v>
      </x:c>
    </x:row>
    <x:row r="878" ht="24" customHeight="1">
      <x:c r="A878" s="10" t="str">
        <x:v>S03-01</x:v>
      </x:c>
      <x:c r="B878" s="10" t="str">
        <x:v>A</x:v>
      </x:c>
      <x:c r="C878" s="18" t="n">
        <x:v>-1.4</x:v>
      </x:c>
      <x:c r="D878" s="10" t="n">
        <x:v>560</x:v>
      </x:c>
      <x:c r="E878" s="10" t="n">
        <x:v>0</x:v>
      </x:c>
      <x:c r="F878" s="10" t="n">
        <x:v>0.004096</x:v>
      </x:c>
      <x:c r="G878" s="10" t="n">
        <x:f>SUM(D878:F878)</x:f>
        <x:v>560.004096</x:v>
      </x:c>
    </x:row>
    <x:row r="879" ht="24" customHeight="1">
      <x:c r="A879" s="10" t="str">
        <x:v>S03-01</x:v>
      </x:c>
      <x:c r="B879" s="10" t="str">
        <x:v>A</x:v>
      </x:c>
      <x:c r="C879" s="18" t="n">
        <x:v>-1.3999999</x:v>
      </x:c>
      <x:c r="D879" s="10" t="n">
        <x:v>560</x:v>
      </x:c>
      <x:c r="E879" s="10" t="n">
        <x:v>0</x:v>
      </x:c>
      <x:c r="F879" s="10" t="n">
        <x:v>0.004096</x:v>
      </x:c>
      <x:c r="G879" s="10" t="n">
        <x:f>SUM(D879:F879)</x:f>
        <x:v>560.004096</x:v>
      </x:c>
    </x:row>
    <x:row r="880" ht="24" customHeight="1">
      <x:c r="A880" s="10" t="str">
        <x:v>S03-01</x:v>
      </x:c>
      <x:c r="B880" s="10" t="str">
        <x:v>A</x:v>
      </x:c>
      <x:c r="C880" s="18" t="n">
        <x:v>-1.0000001</x:v>
      </x:c>
      <x:c r="D880" s="10" t="n">
        <x:v>560</x:v>
      </x:c>
      <x:c r="E880" s="10" t="n">
        <x:v>0</x:v>
      </x:c>
      <x:c r="F880" s="10" t="n">
        <x:v>0.004096</x:v>
      </x:c>
      <x:c r="G880" s="10" t="n">
        <x:f>SUM(D880:F880)</x:f>
        <x:v>560.004096</x:v>
      </x:c>
    </x:row>
    <x:row r="881" ht="24" customHeight="1">
      <x:c r="A881" s="10" t="str">
        <x:v>S03-01</x:v>
      </x:c>
      <x:c r="B881" s="10" t="str">
        <x:v>A</x:v>
      </x:c>
      <x:c r="C881" s="18" t="n">
        <x:v>-1</x:v>
      </x:c>
      <x:c r="D881" s="10" t="n">
        <x:v>560</x:v>
      </x:c>
      <x:c r="E881" s="10" t="n">
        <x:v>0</x:v>
      </x:c>
      <x:c r="F881" s="10" t="n">
        <x:v>0.008192</x:v>
      </x:c>
      <x:c r="G881" s="10" t="n">
        <x:f>SUM(D881:F881)</x:f>
        <x:v>560.008192</x:v>
      </x:c>
    </x:row>
    <x:row r="882" ht="24" customHeight="1">
      <x:c r="A882" s="10" t="str">
        <x:v>S03-01</x:v>
      </x:c>
      <x:c r="B882" s="10" t="str">
        <x:v>A</x:v>
      </x:c>
      <x:c r="C882" s="18" t="n">
        <x:v>-0.9999999</x:v>
      </x:c>
      <x:c r="D882" s="10" t="n">
        <x:v>560</x:v>
      </x:c>
      <x:c r="E882" s="10" t="n">
        <x:v>0</x:v>
      </x:c>
      <x:c r="F882" s="10" t="n">
        <x:v>0.008192</x:v>
      </x:c>
      <x:c r="G882" s="10" t="n">
        <x:f>SUM(D882:F882)</x:f>
        <x:v>560.008192</x:v>
      </x:c>
    </x:row>
    <x:row r="883" ht="24" customHeight="1">
      <x:c r="A883" s="10" t="str">
        <x:v>S03-01</x:v>
      </x:c>
      <x:c r="B883" s="10" t="str">
        <x:v>A</x:v>
      </x:c>
      <x:c r="C883" s="18" t="n">
        <x:v>-0.9990001</x:v>
      </x:c>
      <x:c r="D883" s="10" t="n">
        <x:v>560</x:v>
      </x:c>
      <x:c r="E883" s="10" t="n">
        <x:v>0</x:v>
      </x:c>
      <x:c r="F883" s="10" t="n">
        <x:v>0.008192</x:v>
      </x:c>
      <x:c r="G883" s="10" t="n">
        <x:f>SUM(D883:F883)</x:f>
        <x:v>560.008192</x:v>
      </x:c>
    </x:row>
    <x:row r="884" ht="24" customHeight="1">
      <x:c r="A884" s="10" t="str">
        <x:v>S03-01</x:v>
      </x:c>
      <x:c r="B884" s="10" t="str">
        <x:v>A</x:v>
      </x:c>
      <x:c r="C884" s="18" t="n">
        <x:v>-0.999</x:v>
      </x:c>
      <x:c r="D884" s="10" t="n">
        <x:v>560</x:v>
      </x:c>
      <x:c r="E884" s="10" t="n">
        <x:v>0.0096</x:v>
      </x:c>
      <x:c r="F884" s="10" t="n">
        <x:v>0.008192</x:v>
      </x:c>
      <x:c r="G884" s="10" t="n">
        <x:f>SUM(D884:F884)</x:f>
        <x:v>560.017792</x:v>
      </x:c>
    </x:row>
    <x:row r="885" ht="24" customHeight="1">
      <x:c r="A885" s="10" t="str">
        <x:v>S03-01</x:v>
      </x:c>
      <x:c r="B885" s="10" t="str">
        <x:v>A</x:v>
      </x:c>
      <x:c r="C885" s="18" t="n">
        <x:v>-0.9989999</x:v>
      </x:c>
      <x:c r="D885" s="10" t="n">
        <x:v>560</x:v>
      </x:c>
      <x:c r="E885" s="10" t="n">
        <x:v>0.009600019</x:v>
      </x:c>
      <x:c r="F885" s="10" t="n">
        <x:v>0.008192</x:v>
      </x:c>
      <x:c r="G885" s="10" t="n">
        <x:f>SUM(D885:F885)</x:f>
        <x:v>560.017792019</x:v>
      </x:c>
    </x:row>
    <x:row r="886" ht="24" customHeight="1">
      <x:c r="A886" s="10" t="str">
        <x:v>S03-01</x:v>
      </x:c>
      <x:c r="B886" s="10" t="str">
        <x:v>A</x:v>
      </x:c>
      <x:c r="C886" s="18" t="n">
        <x:v>-0.5900001</x:v>
      </x:c>
      <x:c r="D886" s="10" t="n">
        <x:v>560</x:v>
      </x:c>
      <x:c r="E886" s="10" t="n">
        <x:v>0.088127981</x:v>
      </x:c>
      <x:c r="F886" s="10" t="n">
        <x:v>0.008192</x:v>
      </x:c>
      <x:c r="G886" s="10" t="n">
        <x:f>SUM(D886:F886)</x:f>
        <x:v>560.096319981</x:v>
      </x:c>
    </x:row>
    <x:row r="887" ht="24" customHeight="1">
      <x:c r="A887" s="10" t="str">
        <x:v>S03-01</x:v>
      </x:c>
      <x:c r="B887" s="10" t="str">
        <x:v>A</x:v>
      </x:c>
      <x:c r="C887" s="18" t="n">
        <x:v>-0.59</x:v>
      </x:c>
      <x:c r="D887" s="10" t="n">
        <x:v>560</x:v>
      </x:c>
      <x:c r="E887" s="10" t="n">
        <x:v>0.097728</x:v>
      </x:c>
      <x:c r="F887" s="10" t="n">
        <x:v>0.008192</x:v>
      </x:c>
      <x:c r="G887" s="10" t="n">
        <x:f>SUM(D887:F887)</x:f>
        <x:v>560.10592</x:v>
      </x:c>
    </x:row>
    <x:row r="888" ht="24" customHeight="1">
      <x:c r="A888" s="10" t="str">
        <x:v>S03-01</x:v>
      </x:c>
      <x:c r="B888" s="10" t="str">
        <x:v>A</x:v>
      </x:c>
      <x:c r="C888" s="18" t="n">
        <x:v>-0.5899999</x:v>
      </x:c>
      <x:c r="D888" s="10" t="n">
        <x:v>560</x:v>
      </x:c>
      <x:c r="E888" s="10" t="n">
        <x:v>0.097728038</x:v>
      </x:c>
      <x:c r="F888" s="10" t="n">
        <x:v>0.008192</x:v>
      </x:c>
      <x:c r="G888" s="10" t="n">
        <x:f>SUM(D888:F888)</x:f>
        <x:v>560.105920038</x:v>
      </x:c>
    </x:row>
    <x:row r="889" ht="24" customHeight="1">
      <x:c r="A889" s="10" t="str">
        <x:v>S03-01</x:v>
      </x:c>
      <x:c r="B889" s="10" t="str">
        <x:v>A</x:v>
      </x:c>
      <x:c r="C889" s="18" t="n">
        <x:v>-0.3625001</x:v>
      </x:c>
      <x:c r="D889" s="10" t="n">
        <x:v>560</x:v>
      </x:c>
      <x:c r="E889" s="10" t="n">
        <x:v>0.185087962</x:v>
      </x:c>
      <x:c r="F889" s="10" t="n">
        <x:v>0.008192</x:v>
      </x:c>
      <x:c r="G889" s="10" t="n">
        <x:f>SUM(D889:F889)</x:f>
        <x:v>560.193279962</x:v>
      </x:c>
    </x:row>
    <x:row r="890" ht="24" customHeight="1">
      <x:c r="A890" s="10" t="str">
        <x:v>S03-01</x:v>
      </x:c>
      <x:c r="B890" s="10" t="str">
        <x:v>A</x:v>
      </x:c>
      <x:c r="C890" s="18" t="n">
        <x:v>-0.3625</x:v>
      </x:c>
      <x:c r="D890" s="10" t="n">
        <x:v>560</x:v>
      </x:c>
      <x:c r="E890" s="10" t="n">
        <x:v>0.185088</x:v>
      </x:c>
      <x:c r="F890" s="10" t="n">
        <x:v>0.008192</x:v>
      </x:c>
      <x:c r="G890" s="10" t="n">
        <x:f>SUM(D890:F890)</x:f>
        <x:v>560.19328</x:v>
      </x:c>
    </x:row>
    <x:row r="891" ht="24" customHeight="1">
      <x:c r="A891" s="10" t="str">
        <x:v>S03-01</x:v>
      </x:c>
      <x:c r="B891" s="10" t="str">
        <x:v>A</x:v>
      </x:c>
      <x:c r="C891" s="18" t="n">
        <x:v>-0.3624999</x:v>
      </x:c>
      <x:c r="D891" s="10" t="n">
        <x:v>560</x:v>
      </x:c>
      <x:c r="E891" s="10" t="n">
        <x:v>0.185088019</x:v>
      </x:c>
      <x:c r="F891" s="10" t="n">
        <x:v>0.008192</x:v>
      </x:c>
      <x:c r="G891" s="10" t="n">
        <x:f>SUM(D891:F891)</x:f>
        <x:v>560.193280019</x:v>
      </x:c>
    </x:row>
    <x:row r="892" ht="24" customHeight="1">
      <x:c r="A892" s="10" t="str">
        <x:v>S03-01</x:v>
      </x:c>
      <x:c r="B892" s="10" t="str">
        <x:v>A</x:v>
      </x:c>
      <x:c r="C892" s="18" t="n">
        <x:v>-1e-7</x:v>
      </x:c>
      <x:c r="D892" s="10" t="n">
        <x:v>560</x:v>
      </x:c>
      <x:c r="E892" s="10" t="n">
        <x:v>0.254687981</x:v>
      </x:c>
      <x:c r="F892" s="10" t="n">
        <x:v>0.008192</x:v>
      </x:c>
      <x:c r="G892" s="10" t="n">
        <x:f>SUM(D892:F892)</x:f>
        <x:v>560.262879981</x:v>
      </x:c>
    </x:row>
    <x:row r="893" ht="24" customHeight="1">
      <x:c r="A893" s="10" t="str">
        <x:v>S03-01</x:v>
      </x:c>
      <x:c r="B893" s="10" t="str">
        <x:v>A</x:v>
      </x:c>
      <x:c r="C893" s="18" t="n">
        <x:v>0</x:v>
      </x:c>
      <x:c r="D893" s="10" t="n">
        <x:v>560</x:v>
      </x:c>
      <x:c r="E893" s="10" t="n">
        <x:v>0.254688</x:v>
      </x:c>
      <x:c r="F893" s="10" t="n">
        <x:v>0.008192</x:v>
      </x:c>
      <x:c r="G893" s="10" t="n">
        <x:f>SUM(D893:F893)</x:f>
        <x:v>560.26288</x:v>
      </x:c>
    </x:row>
    <x:row r="894" ht="24" customHeight="1">
      <x:c r="A894" s="10" t="str">
        <x:v>S03-01</x:v>
      </x:c>
      <x:c r="B894" s="10" t="str">
        <x:v>A</x:v>
      </x:c>
      <x:c r="C894" s="18" t="n">
        <x:v>1e-7</x:v>
      </x:c>
      <x:c r="D894" s="10" t="n">
        <x:v>560</x:v>
      </x:c>
      <x:c r="E894" s="10" t="n">
        <x:v>0.254688019</x:v>
      </x:c>
      <x:c r="F894" s="10" t="n">
        <x:v>0.008192</x:v>
      </x:c>
      <x:c r="G894" s="10" t="n">
        <x:f>SUM(D894:F894)</x:f>
        <x:v>560.262880019</x:v>
      </x:c>
    </x:row>
    <x:row r="895" ht="24" customHeight="1">
      <x:c r="A895" s="10" t="str">
        <x:v>S03-01</x:v>
      </x:c>
      <x:c r="B895" s="10" t="str">
        <x:v>A</x:v>
      </x:c>
      <x:c r="C895" s="18" t="n">
        <x:v>0.868333233</x:v>
      </x:c>
      <x:c r="D895" s="10" t="n">
        <x:v>560</x:v>
      </x:c>
      <x:c r="E895" s="10" t="n">
        <x:v>0.421407981</x:v>
      </x:c>
      <x:c r="F895" s="10" t="n">
        <x:v>0.008192</x:v>
      </x:c>
      <x:c r="G895" s="10" t="n">
        <x:f>SUM(D895:F895)</x:f>
        <x:v>560.429599981</x:v>
      </x:c>
    </x:row>
    <x:row r="896" ht="24" customHeight="1">
      <x:c r="A896" s="10" t="str">
        <x:v>S03-01</x:v>
      </x:c>
      <x:c r="B896" s="10" t="str">
        <x:v>A</x:v>
      </x:c>
      <x:c r="C896" s="18" t="n">
        <x:v>0.868333333</x:v>
      </x:c>
      <x:c r="D896" s="10" t="n">
        <x:v>560</x:v>
      </x:c>
      <x:c r="E896" s="10" t="n">
        <x:v>0.421408</x:v>
      </x:c>
      <x:c r="F896" s="10" t="n">
        <x:v>0.008192</x:v>
      </x:c>
      <x:c r="G896" s="10" t="n">
        <x:f>SUM(D896:F896)</x:f>
        <x:v>560.4296</x:v>
      </x:c>
    </x:row>
    <x:row r="897" ht="24" customHeight="1">
      <x:c r="A897" s="10" t="str">
        <x:v>S03-01</x:v>
      </x:c>
      <x:c r="B897" s="10" t="str">
        <x:v>A</x:v>
      </x:c>
      <x:c r="C897" s="18" t="n">
        <x:v>0.868333433</x:v>
      </x:c>
      <x:c r="D897" s="10" t="n">
        <x:v>560</x:v>
      </x:c>
      <x:c r="E897" s="10" t="n">
        <x:v>0.421408019</x:v>
      </x:c>
      <x:c r="F897" s="10" t="n">
        <x:v>0.008192</x:v>
      </x:c>
      <x:c r="G897" s="10" t="n">
        <x:f>SUM(D897:F897)</x:f>
        <x:v>560.429600019</x:v>
      </x:c>
    </x:row>
    <x:row r="898" ht="24" customHeight="1">
      <x:c r="A898" s="10" t="str">
        <x:v>S03-01</x:v>
      </x:c>
      <x:c r="B898" s="10" t="str">
        <x:v>A</x:v>
      </x:c>
      <x:c r="C898" s="18" t="n">
        <x:v>0.908333233</x:v>
      </x:c>
      <x:c r="D898" s="10" t="n">
        <x:v>560</x:v>
      </x:c>
      <x:c r="E898" s="10" t="n">
        <x:v>0.429087981</x:v>
      </x:c>
      <x:c r="F898" s="10" t="n">
        <x:v>0.008192</x:v>
      </x:c>
      <x:c r="G898" s="10" t="n">
        <x:f>SUM(D898:F898)</x:f>
        <x:v>560.437279981</x:v>
      </x:c>
    </x:row>
    <x:row r="899" ht="24" customHeight="1">
      <x:c r="A899" s="10" t="str">
        <x:v>S03-01</x:v>
      </x:c>
      <x:c r="B899" s="10" t="str">
        <x:v>A</x:v>
      </x:c>
      <x:c r="C899" s="18" t="n">
        <x:v>0.908333333</x:v>
      </x:c>
      <x:c r="D899" s="10" t="n">
        <x:v>560</x:v>
      </x:c>
      <x:c r="E899" s="10" t="n">
        <x:v>0.429088</x:v>
      </x:c>
      <x:c r="F899" s="10" t="n">
        <x:v>0.008192</x:v>
      </x:c>
      <x:c r="G899" s="10" t="n">
        <x:f>SUM(D899:F899)</x:f>
        <x:v>560.43728</x:v>
      </x:c>
    </x:row>
    <x:row r="900" ht="24" customHeight="1">
      <x:c r="A900" s="10" t="str">
        <x:v>S03-01</x:v>
      </x:c>
      <x:c r="B900" s="10" t="str">
        <x:v>A</x:v>
      </x:c>
      <x:c r="C900" s="18" t="n">
        <x:v>0.908333433</x:v>
      </x:c>
      <x:c r="D900" s="10" t="n">
        <x:v>560</x:v>
      </x:c>
      <x:c r="E900" s="10" t="n">
        <x:v>0.429088014</x:v>
      </x:c>
      <x:c r="F900" s="10" t="n">
        <x:v>0.008192</x:v>
      </x:c>
      <x:c r="G900" s="10" t="n">
        <x:f>SUM(D900:F900)</x:f>
        <x:v>560.437280014</x:v>
      </x:c>
    </x:row>
    <x:row r="901" ht="24" customHeight="1">
      <x:c r="A901" s="10" t="str">
        <x:v>S03-01</x:v>
      </x:c>
      <x:c r="B901" s="10" t="str">
        <x:v>A</x:v>
      </x:c>
      <x:c r="C901" s="18" t="n">
        <x:v>0.968333233</x:v>
      </x:c>
      <x:c r="D901" s="10" t="n">
        <x:v>560</x:v>
      </x:c>
      <x:c r="E901" s="10" t="n">
        <x:v>0.437727986</x:v>
      </x:c>
      <x:c r="F901" s="10" t="n">
        <x:v>0.008192</x:v>
      </x:c>
      <x:c r="G901" s="10" t="n">
        <x:f>SUM(D901:F901)</x:f>
        <x:v>560.445919986</x:v>
      </x:c>
    </x:row>
    <x:row r="902" ht="24" customHeight="1">
      <x:c r="A902" s="10" t="str">
        <x:v>S03-01</x:v>
      </x:c>
      <x:c r="B902" s="10" t="str">
        <x:v>A</x:v>
      </x:c>
      <x:c r="C902" s="18" t="n">
        <x:v>0.968333333</x:v>
      </x:c>
      <x:c r="D902" s="10" t="n">
        <x:v>560</x:v>
      </x:c>
      <x:c r="E902" s="10" t="n">
        <x:v>0.437728</x:v>
      </x:c>
      <x:c r="F902" s="10" t="n">
        <x:v>0.008192</x:v>
      </x:c>
      <x:c r="G902" s="10" t="n">
        <x:f>SUM(D902:F902)</x:f>
        <x:v>560.44592</x:v>
      </x:c>
    </x:row>
    <x:row r="903" ht="24" customHeight="1">
      <x:c r="A903" s="10" t="str">
        <x:v>S03-01</x:v>
      </x:c>
      <x:c r="B903" s="10" t="str">
        <x:v>A</x:v>
      </x:c>
      <x:c r="C903" s="18" t="n">
        <x:v>0.968333433</x:v>
      </x:c>
      <x:c r="D903" s="10" t="n">
        <x:v>560</x:v>
      </x:c>
      <x:c r="E903" s="10" t="n">
        <x:v>0.128927995</x:v>
      </x:c>
      <x:c r="F903" s="10" t="n">
        <x:v>0.004096</x:v>
      </x:c>
      <x:c r="G903" s="10" t="n">
        <x:f>SUM(D903:F903)</x:f>
        <x:v>560.133023995</x:v>
      </x:c>
    </x:row>
    <x:row r="904" ht="24" customHeight="1">
      <x:c r="A904" s="10" t="str">
        <x:v>S03-01</x:v>
      </x:c>
      <x:c r="B904" s="10" t="str">
        <x:v>A</x:v>
      </x:c>
      <x:c r="C904" s="18" t="n">
        <x:v>3.388333233</x:v>
      </x:c>
      <x:c r="D904" s="10" t="n">
        <x:v>560</x:v>
      </x:c>
      <x:c r="E904" s="10" t="n">
        <x:v>0.012768005</x:v>
      </x:c>
      <x:c r="F904" s="10" t="n">
        <x:v>0.004096</x:v>
      </x:c>
      <x:c r="G904" s="10" t="n">
        <x:f>SUM(D904:F904)</x:f>
        <x:v>560.016864005</x:v>
      </x:c>
    </x:row>
    <x:row r="905" ht="24" customHeight="1">
      <x:c r="A905" s="10" t="str">
        <x:v>S03-01</x:v>
      </x:c>
      <x:c r="B905" s="10" t="str">
        <x:v>A</x:v>
      </x:c>
      <x:c r="C905" s="18" t="n">
        <x:v>3.388333333</x:v>
      </x:c>
      <x:c r="D905" s="10" t="n">
        <x:v>560</x:v>
      </x:c>
      <x:c r="E905" s="10" t="n">
        <x:v>0.012768</x:v>
      </x:c>
      <x:c r="F905" s="10" t="n">
        <x:v>0.008192</x:v>
      </x:c>
      <x:c r="G905" s="10" t="n">
        <x:f>SUM(D905:F905)</x:f>
        <x:v>560.0209600000001</x:v>
      </x:c>
    </x:row>
    <x:row r="906" ht="24" customHeight="1">
      <x:c r="A906" s="10" t="str">
        <x:v>S03-01</x:v>
      </x:c>
      <x:c r="B906" s="10" t="str">
        <x:v>A</x:v>
      </x:c>
      <x:c r="C906" s="18" t="n">
        <x:v>3.388333433</x:v>
      </x:c>
      <x:c r="D906" s="10" t="n">
        <x:v>560</x:v>
      </x:c>
      <x:c r="E906" s="10" t="n">
        <x:v>0.012767995</x:v>
      </x:c>
      <x:c r="F906" s="10" t="n">
        <x:v>0.008192</x:v>
      </x:c>
      <x:c r="G906" s="10" t="n">
        <x:f>SUM(D906:F906)</x:f>
        <x:v>560.020959995</x:v>
      </x:c>
    </x:row>
    <x:row r="907" ht="24" customHeight="1">
      <x:c r="A907" s="10" t="str">
        <x:v>S03-01</x:v>
      </x:c>
      <x:c r="B907" s="10" t="str">
        <x:v>A</x:v>
      </x:c>
      <x:c r="C907" s="18" t="n">
        <x:v>3.654333233</x:v>
      </x:c>
      <x:c r="D907" s="10" t="n">
        <x:v>560</x:v>
      </x:c>
      <x:c r="E907" s="10" t="n">
        <x:v>5e-9</x:v>
      </x:c>
      <x:c r="F907" s="10" t="n">
        <x:v>0.008192</x:v>
      </x:c>
      <x:c r="G907" s="10" t="n">
        <x:f>SUM(D907:F907)</x:f>
        <x:v>560.008192005</x:v>
      </x:c>
    </x:row>
    <x:row r="908" ht="24" customHeight="1">
      <x:c r="A908" s="10" t="str">
        <x:v>S03-01</x:v>
      </x:c>
      <x:c r="B908" s="10" t="str">
        <x:v>A</x:v>
      </x:c>
      <x:c r="C908" s="18" t="n">
        <x:v>3.654333333</x:v>
      </x:c>
      <x:c r="D908" s="10" t="n">
        <x:v>560</x:v>
      </x:c>
      <x:c r="E908" s="10" t="n">
        <x:v>0</x:v>
      </x:c>
      <x:c r="F908" s="10" t="n">
        <x:v>0.008192</x:v>
      </x:c>
      <x:c r="G908" s="10" t="n">
        <x:f>SUM(D908:F908)</x:f>
        <x:v>560.008192</x:v>
      </x:c>
    </x:row>
    <x:row r="909" ht="24" customHeight="1">
      <x:c r="A909" s="10" t="str">
        <x:v>S03-01</x:v>
      </x:c>
      <x:c r="B909" s="10" t="str">
        <x:v>A</x:v>
      </x:c>
      <x:c r="C909" s="18" t="n">
        <x:v>3.654333433</x:v>
      </x:c>
      <x:c r="D909" s="10" t="n">
        <x:v>560</x:v>
      </x:c>
      <x:c r="E909" s="10" t="n">
        <x:v>0</x:v>
      </x:c>
      <x:c r="F909" s="10" t="n">
        <x:v>0.004096</x:v>
      </x:c>
      <x:c r="G909" s="10" t="n">
        <x:f>SUM(D909:F909)</x:f>
        <x:v>560.004096</x:v>
      </x:c>
    </x:row>
    <x:row r="910" ht="24" customHeight="1">
      <x:c r="A910" s="10" t="str">
        <x:v>S03-01</x:v>
      </x:c>
      <x:c r="B910" s="10" t="str">
        <x:v>A</x:v>
      </x:c>
      <x:c r="C910" s="18" t="n">
        <x:v>3.797333233</x:v>
      </x:c>
      <x:c r="D910" s="10" t="n">
        <x:v>560</x:v>
      </x:c>
      <x:c r="E910" s="10" t="n">
        <x:v>0</x:v>
      </x:c>
      <x:c r="F910" s="10" t="n">
        <x:v>0.004096</x:v>
      </x:c>
      <x:c r="G910" s="10" t="n">
        <x:f>SUM(D910:F910)</x:f>
        <x:v>560.004096</x:v>
      </x:c>
    </x:row>
    <x:row r="911" ht="24" customHeight="1">
      <x:c r="A911" s="10" t="str">
        <x:v>S03-01</x:v>
      </x:c>
      <x:c r="B911" s="10" t="str">
        <x:v>A</x:v>
      </x:c>
      <x:c r="C911" s="18" t="n">
        <x:v>3.797333333</x:v>
      </x:c>
      <x:c r="D911" s="10" t="n">
        <x:v>560</x:v>
      </x:c>
      <x:c r="E911" s="10" t="n">
        <x:v>0.0096</x:v>
      </x:c>
      <x:c r="F911" s="10" t="n">
        <x:v>0.004096</x:v>
      </x:c>
      <x:c r="G911" s="10" t="n">
        <x:f>SUM(D911:F911)</x:f>
        <x:v>560.013696</x:v>
      </x:c>
    </x:row>
    <x:row r="912" ht="24" customHeight="1">
      <x:c r="A912" s="10" t="str">
        <x:v>S03-01</x:v>
      </x:c>
      <x:c r="B912" s="10" t="str">
        <x:v>A</x:v>
      </x:c>
      <x:c r="C912" s="18" t="n">
        <x:v>3.797333433</x:v>
      </x:c>
      <x:c r="D912" s="10" t="n">
        <x:v>560</x:v>
      </x:c>
      <x:c r="E912" s="10" t="n">
        <x:v>0.009600019</x:v>
      </x:c>
      <x:c r="F912" s="10" t="n">
        <x:v>0.004096</x:v>
      </x:c>
      <x:c r="G912" s="10" t="n">
        <x:f>SUM(D912:F912)</x:f>
        <x:v>560.013696019</x:v>
      </x:c>
    </x:row>
    <x:row r="913" ht="24" customHeight="1">
      <x:c r="A913" s="10" t="str">
        <x:v>S03-01</x:v>
      </x:c>
      <x:c r="B913" s="10" t="str">
        <x:v>A</x:v>
      </x:c>
      <x:c r="C913" s="18" t="n">
        <x:v>3.837333233</x:v>
      </x:c>
      <x:c r="D913" s="10" t="n">
        <x:v>560</x:v>
      </x:c>
      <x:c r="E913" s="10" t="n">
        <x:v>0.017279981</x:v>
      </x:c>
      <x:c r="F913" s="10" t="n">
        <x:v>0.004096</x:v>
      </x:c>
      <x:c r="G913" s="10" t="n">
        <x:f>SUM(D913:F913)</x:f>
        <x:v>560.021375981</x:v>
      </x:c>
    </x:row>
    <x:row r="914" ht="24" customHeight="1">
      <x:c r="A914" s="10" t="str">
        <x:v>S03-01</x:v>
      </x:c>
      <x:c r="B914" s="10" t="str">
        <x:v>A</x:v>
      </x:c>
      <x:c r="C914" s="18" t="n">
        <x:v>3.837333333</x:v>
      </x:c>
      <x:c r="D914" s="10" t="n">
        <x:v>560</x:v>
      </x:c>
      <x:c r="E914" s="10" t="n">
        <x:v>0.01728</x:v>
      </x:c>
      <x:c r="F914" s="10" t="n">
        <x:v>0.004096</x:v>
      </x:c>
      <x:c r="G914" s="10" t="n">
        <x:f>SUM(D914:F914)</x:f>
        <x:v>560.021376</x:v>
      </x:c>
    </x:row>
    <x:row r="915" ht="24" customHeight="1">
      <x:c r="A915" s="10" t="str">
        <x:v>S03-01</x:v>
      </x:c>
      <x:c r="B915" s="10" t="str">
        <x:v>A</x:v>
      </x:c>
      <x:c r="C915" s="18" t="n">
        <x:v>3.837333433</x:v>
      </x:c>
      <x:c r="D915" s="10" t="n">
        <x:v>560</x:v>
      </x:c>
      <x:c r="E915" s="10" t="n">
        <x:v>0.017280014</x:v>
      </x:c>
      <x:c r="F915" s="10" t="n">
        <x:v>0.004096</x:v>
      </x:c>
      <x:c r="G915" s="10" t="n">
        <x:f>SUM(D915:F915)</x:f>
        <x:v>560.021376014</x:v>
      </x:c>
    </x:row>
    <x:row r="916" ht="24" customHeight="1">
      <x:c r="A916" s="10" t="str">
        <x:v>S03-01</x:v>
      </x:c>
      <x:c r="B916" s="10" t="str">
        <x:v>A</x:v>
      </x:c>
      <x:c r="C916" s="18" t="n">
        <x:v>5.733833233</x:v>
      </x:c>
      <x:c r="D916" s="10" t="n">
        <x:v>560</x:v>
      </x:c>
      <x:c r="E916" s="10" t="n">
        <x:v>0.290375986</x:v>
      </x:c>
      <x:c r="F916" s="10" t="n">
        <x:v>0.004096</x:v>
      </x:c>
      <x:c r="G916" s="10" t="n">
        <x:f>SUM(D916:F916)</x:f>
        <x:v>560.294471986</x:v>
      </x:c>
    </x:row>
    <x:row r="917" ht="24" customHeight="1">
      <x:c r="A917" s="10" t="str">
        <x:v>S03-01</x:v>
      </x:c>
      <x:c r="B917" s="10" t="str">
        <x:v>A</x:v>
      </x:c>
      <x:c r="C917" s="18" t="n">
        <x:v>5.733833333</x:v>
      </x:c>
      <x:c r="D917" s="10" t="n">
        <x:v>560</x:v>
      </x:c>
      <x:c r="E917" s="10" t="n">
        <x:v>0.290376</x:v>
      </x:c>
      <x:c r="F917" s="10" t="n">
        <x:v>0.004096</x:v>
      </x:c>
      <x:c r="G917" s="10" t="n">
        <x:f>SUM(D917:F917)</x:f>
        <x:v>560.294472</x:v>
      </x:c>
    </x:row>
    <x:row r="918" ht="24" customHeight="1">
      <x:c r="A918" s="10" t="str">
        <x:v>S03-01</x:v>
      </x:c>
      <x:c r="B918" s="10" t="str">
        <x:v>A</x:v>
      </x:c>
      <x:c r="C918" s="18" t="n">
        <x:v>5.733833433</x:v>
      </x:c>
      <x:c r="D918" s="10" t="n">
        <x:v>560</x:v>
      </x:c>
      <x:c r="E918" s="10" t="n">
        <x:v>0.290375995</x:v>
      </x:c>
      <x:c r="F918" s="10" t="n">
        <x:v>0.004096</x:v>
      </x:c>
      <x:c r="G918" s="10" t="n">
        <x:f>SUM(D918:F918)</x:f>
        <x:v>560.294471995</x:v>
      </x:c>
    </x:row>
    <x:row r="919" ht="24" customHeight="1">
      <x:c r="A919" s="10" t="str">
        <x:v>S03-01</x:v>
      </x:c>
      <x:c r="B919" s="10" t="str">
        <x:v>A</x:v>
      </x:c>
      <x:c r="C919" s="18" t="n">
        <x:v>11.783333233</x:v>
      </x:c>
      <x:c r="D919" s="10" t="n">
        <x:v>560</x:v>
      </x:c>
      <x:c r="E919" s="10" t="n">
        <x:v>5e-9</x:v>
      </x:c>
      <x:c r="F919" s="10" t="n">
        <x:v>0.004096</x:v>
      </x:c>
      <x:c r="G919" s="10" t="n">
        <x:f>SUM(D919:F919)</x:f>
        <x:v>560.004096005</x:v>
      </x:c>
    </x:row>
    <x:row r="920" ht="24" customHeight="1">
      <x:c r="A920" s="10" t="str">
        <x:v>S03-01</x:v>
      </x:c>
      <x:c r="B920" s="10" t="str">
        <x:v>A</x:v>
      </x:c>
      <x:c r="C920" s="18" t="n">
        <x:v>11.783333333</x:v>
      </x:c>
      <x:c r="D920" s="10" t="n">
        <x:v>560</x:v>
      </x:c>
      <x:c r="E920" s="10" t="n">
        <x:v>0</x:v>
      </x:c>
      <x:c r="F920" s="10" t="n">
        <x:v>0.004096</x:v>
      </x:c>
      <x:c r="G920" s="10" t="n">
        <x:f>SUM(D920:F920)</x:f>
        <x:v>560.004096</x:v>
      </x:c>
    </x:row>
    <x:row r="921" ht="24" customHeight="1">
      <x:c r="A921" s="10" t="str">
        <x:v>S03-01</x:v>
      </x:c>
      <x:c r="B921" s="10" t="str">
        <x:v>A</x:v>
      </x:c>
      <x:c r="C921" s="18" t="n">
        <x:v>11.783333433</x:v>
      </x:c>
      <x:c r="D921" s="10" t="n">
        <x:v>560</x:v>
      </x:c>
      <x:c r="E921" s="10" t="n">
        <x:v>0</x:v>
      </x:c>
      <x:c r="F921" s="10" t="n">
        <x:v>0</x:v>
      </x:c>
      <x:c r="G921" s="10" t="n">
        <x:f>SUM(D921:F921)</x:f>
        <x:v>560</x:v>
      </x:c>
    </x:row>
    <x:row r="922" ht="24" customHeight="1">
      <x:c r="A922" s="10" t="str">
        <x:v>S03-01</x:v>
      </x:c>
      <x:c r="B922" s="10" t="str">
        <x:v>B</x:v>
      </x:c>
      <x:c r="C922" s="18" t="n">
        <x:v>-6.0000001</x:v>
      </x:c>
      <x:c r="D922" s="10" t="n">
        <x:v>560</x:v>
      </x:c>
      <x:c r="E922" s="10" t="n">
        <x:v>0</x:v>
      </x:c>
      <x:c r="F922" s="10" t="n">
        <x:v>0</x:v>
      </x:c>
      <x:c r="G922" s="10" t="n">
        <x:f>SUM(D922:F922)</x:f>
        <x:v>560</x:v>
      </x:c>
    </x:row>
    <x:row r="923" ht="24" customHeight="1">
      <x:c r="A923" s="10" t="str">
        <x:v>S03-01</x:v>
      </x:c>
      <x:c r="B923" s="10" t="str">
        <x:v>B</x:v>
      </x:c>
      <x:c r="C923" s="18" t="n">
        <x:v>-6</x:v>
      </x:c>
      <x:c r="D923" s="10" t="n">
        <x:v>560</x:v>
      </x:c>
      <x:c r="E923" s="10" t="n">
        <x:v>0</x:v>
      </x:c>
      <x:c r="F923" s="10" t="n">
        <x:v>0</x:v>
      </x:c>
      <x:c r="G923" s="10" t="n">
        <x:f>SUM(D923:F923)</x:f>
        <x:v>560</x:v>
      </x:c>
    </x:row>
    <x:row r="924" ht="24" customHeight="1">
      <x:c r="A924" s="10" t="str">
        <x:v>S03-01</x:v>
      </x:c>
      <x:c r="B924" s="10" t="str">
        <x:v>B</x:v>
      </x:c>
      <x:c r="C924" s="18" t="n">
        <x:v>-5.9999999</x:v>
      </x:c>
      <x:c r="D924" s="10" t="n">
        <x:v>560</x:v>
      </x:c>
      <x:c r="E924" s="10" t="n">
        <x:v>0</x:v>
      </x:c>
      <x:c r="F924" s="10" t="n">
        <x:v>0</x:v>
      </x:c>
      <x:c r="G924" s="10" t="n">
        <x:f>SUM(D924:F924)</x:f>
        <x:v>560</x:v>
      </x:c>
    </x:row>
    <x:row r="925" ht="24" customHeight="1">
      <x:c r="A925" s="10" t="str">
        <x:v>S03-01</x:v>
      </x:c>
      <x:c r="B925" s="10" t="str">
        <x:v>B</x:v>
      </x:c>
      <x:c r="C925" s="18" t="n">
        <x:v>-1e-7</x:v>
      </x:c>
      <x:c r="D925" s="10" t="n">
        <x:v>560</x:v>
      </x:c>
      <x:c r="E925" s="10" t="n">
        <x:v>0</x:v>
      </x:c>
      <x:c r="F925" s="10" t="n">
        <x:v>0</x:v>
      </x:c>
      <x:c r="G925" s="10" t="n">
        <x:f>SUM(D925:F925)</x:f>
        <x:v>560</x:v>
      </x:c>
    </x:row>
    <x:row r="926" ht="24" customHeight="1">
      <x:c r="A926" s="10" t="str">
        <x:v>S03-01</x:v>
      </x:c>
      <x:c r="B926" s="10" t="str">
        <x:v>B</x:v>
      </x:c>
      <x:c r="C926" s="18" t="n">
        <x:v>0</x:v>
      </x:c>
      <x:c r="D926" s="10" t="n">
        <x:v>560</x:v>
      </x:c>
      <x:c r="E926" s="10" t="n">
        <x:v>0</x:v>
      </x:c>
      <x:c r="F926" s="10" t="n">
        <x:v>0</x:v>
      </x:c>
      <x:c r="G926" s="10" t="n">
        <x:f>SUM(D926:F926)</x:f>
        <x:v>560</x:v>
      </x:c>
    </x:row>
    <x:row r="927" ht="24" customHeight="1">
      <x:c r="A927" s="10" t="str">
        <x:v>S03-01</x:v>
      </x:c>
      <x:c r="B927" s="10" t="str">
        <x:v>B</x:v>
      </x:c>
      <x:c r="C927" s="18" t="n">
        <x:v>1e-7</x:v>
      </x:c>
      <x:c r="D927" s="10" t="n">
        <x:v>560</x:v>
      </x:c>
      <x:c r="E927" s="10" t="n">
        <x:v>0</x:v>
      </x:c>
      <x:c r="F927" s="10" t="n">
        <x:v>0</x:v>
      </x:c>
      <x:c r="G927" s="10" t="n">
        <x:f>SUM(D927:F927)</x:f>
        <x:v>560</x:v>
      </x:c>
    </x:row>
    <x:row r="928" ht="24" customHeight="1">
      <x:c r="A928" s="10" t="str">
        <x:v>S03-01</x:v>
      </x:c>
      <x:c r="B928" s="10" t="str">
        <x:v>B</x:v>
      </x:c>
      <x:c r="C928" s="18" t="n">
        <x:v>0.868333233</x:v>
      </x:c>
      <x:c r="D928" s="10" t="n">
        <x:v>560</x:v>
      </x:c>
      <x:c r="E928" s="10" t="n">
        <x:v>0</x:v>
      </x:c>
      <x:c r="F928" s="10" t="n">
        <x:v>0</x:v>
      </x:c>
      <x:c r="G928" s="10" t="n">
        <x:f>SUM(D928:F928)</x:f>
        <x:v>560</x:v>
      </x:c>
    </x:row>
    <x:row r="929" ht="24" customHeight="1">
      <x:c r="A929" s="10" t="str">
        <x:v>S03-01</x:v>
      </x:c>
      <x:c r="B929" s="10" t="str">
        <x:v>B</x:v>
      </x:c>
      <x:c r="C929" s="18" t="n">
        <x:v>0.868333333</x:v>
      </x:c>
      <x:c r="D929" s="10" t="n">
        <x:v>560</x:v>
      </x:c>
      <x:c r="E929" s="10" t="n">
        <x:v>0</x:v>
      </x:c>
      <x:c r="F929" s="10" t="n">
        <x:v>0.004096</x:v>
      </x:c>
      <x:c r="G929" s="10" t="n">
        <x:f>SUM(D929:F929)</x:f>
        <x:v>560.004096</x:v>
      </x:c>
    </x:row>
    <x:row r="930" ht="24" customHeight="1">
      <x:c r="A930" s="10" t="str">
        <x:v>S03-01</x:v>
      </x:c>
      <x:c r="B930" s="10" t="str">
        <x:v>B</x:v>
      </x:c>
      <x:c r="C930" s="18" t="n">
        <x:v>0.868333433</x:v>
      </x:c>
      <x:c r="D930" s="10" t="n">
        <x:v>560</x:v>
      </x:c>
      <x:c r="E930" s="10" t="n">
        <x:v>0</x:v>
      </x:c>
      <x:c r="F930" s="10" t="n">
        <x:v>0.004096</x:v>
      </x:c>
      <x:c r="G930" s="10" t="n">
        <x:f>SUM(D930:F930)</x:f>
        <x:v>560.004096</x:v>
      </x:c>
    </x:row>
    <x:row r="931" ht="24" customHeight="1">
      <x:c r="A931" s="10" t="str">
        <x:v>S03-01</x:v>
      </x:c>
      <x:c r="B931" s="10" t="str">
        <x:v>B</x:v>
      </x:c>
      <x:c r="C931" s="18" t="n">
        <x:v>1.269333233</x:v>
      </x:c>
      <x:c r="D931" s="10" t="n">
        <x:v>560</x:v>
      </x:c>
      <x:c r="E931" s="10" t="n">
        <x:v>0</x:v>
      </x:c>
      <x:c r="F931" s="10" t="n">
        <x:v>0.004096</x:v>
      </x:c>
      <x:c r="G931" s="10" t="n">
        <x:f>SUM(D931:F931)</x:f>
        <x:v>560.004096</x:v>
      </x:c>
    </x:row>
    <x:row r="932" ht="24" customHeight="1">
      <x:c r="A932" s="10" t="str">
        <x:v>S03-01</x:v>
      </x:c>
      <x:c r="B932" s="10" t="str">
        <x:v>B</x:v>
      </x:c>
      <x:c r="C932" s="18" t="n">
        <x:v>1.269333333</x:v>
      </x:c>
      <x:c r="D932" s="10" t="n">
        <x:v>560</x:v>
      </x:c>
      <x:c r="E932" s="10" t="n">
        <x:v>0.0096</x:v>
      </x:c>
      <x:c r="F932" s="10" t="n">
        <x:v>0.004096</x:v>
      </x:c>
      <x:c r="G932" s="10" t="n">
        <x:f>SUM(D932:F932)</x:f>
        <x:v>560.013696</x:v>
      </x:c>
    </x:row>
    <x:row r="933" ht="24" customHeight="1">
      <x:c r="A933" s="10" t="str">
        <x:v>S03-01</x:v>
      </x:c>
      <x:c r="B933" s="10" t="str">
        <x:v>B</x:v>
      </x:c>
      <x:c r="C933" s="18" t="n">
        <x:v>1.269333433</x:v>
      </x:c>
      <x:c r="D933" s="10" t="n">
        <x:v>560</x:v>
      </x:c>
      <x:c r="E933" s="10" t="n">
        <x:v>0.009600019</x:v>
      </x:c>
      <x:c r="F933" s="10" t="n">
        <x:v>0.004096</x:v>
      </x:c>
      <x:c r="G933" s="10" t="n">
        <x:f>SUM(D933:F933)</x:f>
        <x:v>560.013696019</x:v>
      </x:c>
    </x:row>
    <x:row r="934" ht="24" customHeight="1">
      <x:c r="A934" s="10" t="str">
        <x:v>S03-01</x:v>
      </x:c>
      <x:c r="B934" s="10" t="str">
        <x:v>B</x:v>
      </x:c>
      <x:c r="C934" s="18" t="n">
        <x:v>1.309333233</x:v>
      </x:c>
      <x:c r="D934" s="10" t="n">
        <x:v>560</x:v>
      </x:c>
      <x:c r="E934" s="10" t="n">
        <x:v>0.017279981</x:v>
      </x:c>
      <x:c r="F934" s="10" t="n">
        <x:v>0.004096</x:v>
      </x:c>
      <x:c r="G934" s="10" t="n">
        <x:f>SUM(D934:F934)</x:f>
        <x:v>560.021375981</x:v>
      </x:c>
    </x:row>
    <x:row r="935" ht="24" customHeight="1">
      <x:c r="A935" s="10" t="str">
        <x:v>S03-01</x:v>
      </x:c>
      <x:c r="B935" s="10" t="str">
        <x:v>B</x:v>
      </x:c>
      <x:c r="C935" s="18" t="n">
        <x:v>1.309333333</x:v>
      </x:c>
      <x:c r="D935" s="10" t="n">
        <x:v>560</x:v>
      </x:c>
      <x:c r="E935" s="10" t="n">
        <x:v>0.01728</x:v>
      </x:c>
      <x:c r="F935" s="10" t="n">
        <x:v>0.004096</x:v>
      </x:c>
      <x:c r="G935" s="10" t="n">
        <x:f>SUM(D935:F935)</x:f>
        <x:v>560.021376</x:v>
      </x:c>
    </x:row>
    <x:row r="936" ht="24" customHeight="1">
      <x:c r="A936" s="10" t="str">
        <x:v>S03-01</x:v>
      </x:c>
      <x:c r="B936" s="10" t="str">
        <x:v>B</x:v>
      </x:c>
      <x:c r="C936" s="18" t="n">
        <x:v>1.309333433</x:v>
      </x:c>
      <x:c r="D936" s="10" t="n">
        <x:v>560</x:v>
      </x:c>
      <x:c r="E936" s="10" t="n">
        <x:v>0.017280014</x:v>
      </x:c>
      <x:c r="F936" s="10" t="n">
        <x:v>0.004096</x:v>
      </x:c>
      <x:c r="G936" s="10" t="n">
        <x:f>SUM(D936:F936)</x:f>
        <x:v>560.021376014</x:v>
      </x:c>
    </x:row>
    <x:row r="937" ht="24" customHeight="1">
      <x:c r="A937" s="10" t="str">
        <x:v>S03-01</x:v>
      </x:c>
      <x:c r="B937" s="10" t="str">
        <x:v>B</x:v>
      </x:c>
      <x:c r="C937" s="18" t="n">
        <x:v>1.905833233</x:v>
      </x:c>
      <x:c r="D937" s="10" t="n">
        <x:v>560</x:v>
      </x:c>
      <x:c r="E937" s="10" t="n">
        <x:v>0.103175986</x:v>
      </x:c>
      <x:c r="F937" s="10" t="n">
        <x:v>0.004096</x:v>
      </x:c>
      <x:c r="G937" s="10" t="n">
        <x:f>SUM(D937:F937)</x:f>
        <x:v>560.107271986</x:v>
      </x:c>
    </x:row>
    <x:row r="938" ht="24" customHeight="1">
      <x:c r="A938" s="10" t="str">
        <x:v>S03-01</x:v>
      </x:c>
      <x:c r="B938" s="10" t="str">
        <x:v>B</x:v>
      </x:c>
      <x:c r="C938" s="18" t="n">
        <x:v>1.905833333</x:v>
      </x:c>
      <x:c r="D938" s="10" t="n">
        <x:v>560</x:v>
      </x:c>
      <x:c r="E938" s="10" t="n">
        <x:v>0.103176</x:v>
      </x:c>
      <x:c r="F938" s="10" t="n">
        <x:v>0.004096</x:v>
      </x:c>
      <x:c r="G938" s="10" t="n">
        <x:f>SUM(D938:F938)</x:f>
        <x:v>560.107272</x:v>
      </x:c>
    </x:row>
    <x:row r="939" ht="24" customHeight="1">
      <x:c r="A939" s="10" t="str">
        <x:v>S03-01</x:v>
      </x:c>
      <x:c r="B939" s="10" t="str">
        <x:v>B</x:v>
      </x:c>
      <x:c r="C939" s="18" t="n">
        <x:v>1.905833433</x:v>
      </x:c>
      <x:c r="D939" s="10" t="n">
        <x:v>560</x:v>
      </x:c>
      <x:c r="E939" s="10" t="n">
        <x:v>0.103175995</x:v>
      </x:c>
      <x:c r="F939" s="10" t="n">
        <x:v>0.004096</x:v>
      </x:c>
      <x:c r="G939" s="10" t="n">
        <x:f>SUM(D939:F939)</x:f>
        <x:v>560.107271995</x:v>
      </x:c>
    </x:row>
    <x:row r="940" ht="24" customHeight="1">
      <x:c r="A940" s="10" t="str">
        <x:v>S03-01</x:v>
      </x:c>
      <x:c r="B940" s="10" t="str">
        <x:v>B</x:v>
      </x:c>
      <x:c r="C940" s="18" t="n">
        <x:v>4.055333233</x:v>
      </x:c>
      <x:c r="D940" s="10" t="n">
        <x:v>560</x:v>
      </x:c>
      <x:c r="E940" s="10" t="n">
        <x:v>5e-9</x:v>
      </x:c>
      <x:c r="F940" s="10" t="n">
        <x:v>0.004096</x:v>
      </x:c>
      <x:c r="G940" s="10" t="n">
        <x:f>SUM(D940:F940)</x:f>
        <x:v>560.004096005</x:v>
      </x:c>
    </x:row>
    <x:row r="941" ht="24" customHeight="1">
      <x:c r="A941" s="10" t="str">
        <x:v>S03-01</x:v>
      </x:c>
      <x:c r="B941" s="10" t="str">
        <x:v>B</x:v>
      </x:c>
      <x:c r="C941" s="18" t="n">
        <x:v>4.055333333</x:v>
      </x:c>
      <x:c r="D941" s="10" t="n">
        <x:v>560</x:v>
      </x:c>
      <x:c r="E941" s="10" t="n">
        <x:v>0</x:v>
      </x:c>
      <x:c r="F941" s="10" t="n">
        <x:v>0.008192</x:v>
      </x:c>
      <x:c r="G941" s="10" t="n">
        <x:f>SUM(D941:F941)</x:f>
        <x:v>560.008192</x:v>
      </x:c>
    </x:row>
    <x:row r="942" ht="24" customHeight="1">
      <x:c r="A942" s="10" t="str">
        <x:v>S03-01</x:v>
      </x:c>
      <x:c r="B942" s="10" t="str">
        <x:v>B</x:v>
      </x:c>
      <x:c r="C942" s="18" t="n">
        <x:v>4.055333433</x:v>
      </x:c>
      <x:c r="D942" s="10" t="n">
        <x:v>560</x:v>
      </x:c>
      <x:c r="E942" s="10" t="n">
        <x:v>0</x:v>
      </x:c>
      <x:c r="F942" s="10" t="n">
        <x:v>0.004096</x:v>
      </x:c>
      <x:c r="G942" s="10" t="n">
        <x:f>SUM(D942:F942)</x:f>
        <x:v>560.004096</x:v>
      </x:c>
    </x:row>
    <x:row r="943" ht="24" customHeight="1">
      <x:c r="A943" s="10" t="str">
        <x:v>S03-01</x:v>
      </x:c>
      <x:c r="B943" s="10" t="str">
        <x:v>B</x:v>
      </x:c>
      <x:c r="C943" s="18" t="n">
        <x:v>4.464333233</x:v>
      </x:c>
      <x:c r="D943" s="10" t="n">
        <x:v>560</x:v>
      </x:c>
      <x:c r="E943" s="10" t="n">
        <x:v>0</x:v>
      </x:c>
      <x:c r="F943" s="10" t="n">
        <x:v>0.004096</x:v>
      </x:c>
      <x:c r="G943" s="10" t="n">
        <x:f>SUM(D943:F943)</x:f>
        <x:v>560.004096</x:v>
      </x:c>
    </x:row>
    <x:row r="944" ht="24" customHeight="1">
      <x:c r="A944" s="10" t="str">
        <x:v>S03-01</x:v>
      </x:c>
      <x:c r="B944" s="10" t="str">
        <x:v>B</x:v>
      </x:c>
      <x:c r="C944" s="18" t="n">
        <x:v>4.464333333</x:v>
      </x:c>
      <x:c r="D944" s="10" t="n">
        <x:v>560</x:v>
      </x:c>
      <x:c r="E944" s="10" t="n">
        <x:v>0.0096</x:v>
      </x:c>
      <x:c r="F944" s="10" t="n">
        <x:v>0.004096</x:v>
      </x:c>
      <x:c r="G944" s="10" t="n">
        <x:f>SUM(D944:F944)</x:f>
        <x:v>560.013696</x:v>
      </x:c>
    </x:row>
    <x:row r="945" ht="24" customHeight="1">
      <x:c r="A945" s="10" t="str">
        <x:v>S03-01</x:v>
      </x:c>
      <x:c r="B945" s="10" t="str">
        <x:v>B</x:v>
      </x:c>
      <x:c r="C945" s="18" t="n">
        <x:v>4.464333433</x:v>
      </x:c>
      <x:c r="D945" s="10" t="n">
        <x:v>560</x:v>
      </x:c>
      <x:c r="E945" s="10" t="n">
        <x:v>0.009600019</x:v>
      </x:c>
      <x:c r="F945" s="10" t="n">
        <x:v>0.004096</x:v>
      </x:c>
      <x:c r="G945" s="10" t="n">
        <x:f>SUM(D945:F945)</x:f>
        <x:v>560.013696019</x:v>
      </x:c>
    </x:row>
    <x:row r="946" ht="24" customHeight="1">
      <x:c r="A946" s="10" t="str">
        <x:v>S03-01</x:v>
      </x:c>
      <x:c r="B946" s="10" t="str">
        <x:v>B</x:v>
      </x:c>
      <x:c r="C946" s="18" t="n">
        <x:v>4.504333233</x:v>
      </x:c>
      <x:c r="D946" s="10" t="n">
        <x:v>560</x:v>
      </x:c>
      <x:c r="E946" s="10" t="n">
        <x:v>0.017279981</x:v>
      </x:c>
      <x:c r="F946" s="10" t="n">
        <x:v>0.004096</x:v>
      </x:c>
      <x:c r="G946" s="10" t="n">
        <x:f>SUM(D946:F946)</x:f>
        <x:v>560.021375981</x:v>
      </x:c>
    </x:row>
    <x:row r="947" ht="24" customHeight="1">
      <x:c r="A947" s="10" t="str">
        <x:v>S03-01</x:v>
      </x:c>
      <x:c r="B947" s="10" t="str">
        <x:v>B</x:v>
      </x:c>
      <x:c r="C947" s="18" t="n">
        <x:v>4.504333333</x:v>
      </x:c>
      <x:c r="D947" s="10" t="n">
        <x:v>560</x:v>
      </x:c>
      <x:c r="E947" s="10" t="n">
        <x:v>0.01728</x:v>
      </x:c>
      <x:c r="F947" s="10" t="n">
        <x:v>0.004096</x:v>
      </x:c>
      <x:c r="G947" s="10" t="n">
        <x:f>SUM(D947:F947)</x:f>
        <x:v>560.021376</x:v>
      </x:c>
    </x:row>
    <x:row r="948" ht="24" customHeight="1">
      <x:c r="A948" s="10" t="str">
        <x:v>S03-01</x:v>
      </x:c>
      <x:c r="B948" s="10" t="str">
        <x:v>B</x:v>
      </x:c>
      <x:c r="C948" s="18" t="n">
        <x:v>4.504333433</x:v>
      </x:c>
      <x:c r="D948" s="10" t="n">
        <x:v>560</x:v>
      </x:c>
      <x:c r="E948" s="10" t="n">
        <x:v>0.017280014</x:v>
      </x:c>
      <x:c r="F948" s="10" t="n">
        <x:v>0.004096</x:v>
      </x:c>
      <x:c r="G948" s="10" t="n">
        <x:f>SUM(D948:F948)</x:f>
        <x:v>560.021376014</x:v>
      </x:c>
    </x:row>
    <x:row r="949" ht="24" customHeight="1">
      <x:c r="A949" s="10" t="str">
        <x:v>S03-01</x:v>
      </x:c>
      <x:c r="B949" s="10" t="str">
        <x:v>B</x:v>
      </x:c>
      <x:c r="C949" s="18" t="n">
        <x:v>6.400833233</x:v>
      </x:c>
      <x:c r="D949" s="10" t="n">
        <x:v>560</x:v>
      </x:c>
      <x:c r="E949" s="10" t="n">
        <x:v>0.290375986</x:v>
      </x:c>
      <x:c r="F949" s="10" t="n">
        <x:v>0.004096</x:v>
      </x:c>
      <x:c r="G949" s="10" t="n">
        <x:f>SUM(D949:F949)</x:f>
        <x:v>560.294471986</x:v>
      </x:c>
    </x:row>
    <x:row r="950" ht="24" customHeight="1">
      <x:c r="A950" s="10" t="str">
        <x:v>S03-01</x:v>
      </x:c>
      <x:c r="B950" s="10" t="str">
        <x:v>B</x:v>
      </x:c>
      <x:c r="C950" s="18" t="n">
        <x:v>6.400833333</x:v>
      </x:c>
      <x:c r="D950" s="10" t="n">
        <x:v>560</x:v>
      </x:c>
      <x:c r="E950" s="10" t="n">
        <x:v>0.290376</x:v>
      </x:c>
      <x:c r="F950" s="10" t="n">
        <x:v>0.004096</x:v>
      </x:c>
      <x:c r="G950" s="10" t="n">
        <x:f>SUM(D950:F950)</x:f>
        <x:v>560.294472</x:v>
      </x:c>
    </x:row>
    <x:row r="951" ht="24" customHeight="1">
      <x:c r="A951" s="10" t="str">
        <x:v>S03-01</x:v>
      </x:c>
      <x:c r="B951" s="10" t="str">
        <x:v>B</x:v>
      </x:c>
      <x:c r="C951" s="18" t="n">
        <x:v>6.400833433</x:v>
      </x:c>
      <x:c r="D951" s="10" t="n">
        <x:v>560</x:v>
      </x:c>
      <x:c r="E951" s="10" t="n">
        <x:v>0.290375995</x:v>
      </x:c>
      <x:c r="F951" s="10" t="n">
        <x:v>0.004096</x:v>
      </x:c>
      <x:c r="G951" s="10" t="n">
        <x:f>SUM(D951:F951)</x:f>
        <x:v>560.294471995</x:v>
      </x:c>
    </x:row>
    <x:row r="952" ht="24" customHeight="1">
      <x:c r="A952" s="10" t="str">
        <x:v>S03-01</x:v>
      </x:c>
      <x:c r="B952" s="10" t="str">
        <x:v>B</x:v>
      </x:c>
      <x:c r="C952" s="18" t="n">
        <x:v>12.450333233</x:v>
      </x:c>
      <x:c r="D952" s="10" t="n">
        <x:v>560</x:v>
      </x:c>
      <x:c r="E952" s="10" t="n">
        <x:v>5e-9</x:v>
      </x:c>
      <x:c r="F952" s="10" t="n">
        <x:v>0.004096</x:v>
      </x:c>
      <x:c r="G952" s="10" t="n">
        <x:f>SUM(D952:F952)</x:f>
        <x:v>560.004096005</x:v>
      </x:c>
    </x:row>
    <x:row r="953" ht="24" customHeight="1">
      <x:c r="A953" s="10" t="str">
        <x:v>S03-01</x:v>
      </x:c>
      <x:c r="B953" s="10" t="str">
        <x:v>B</x:v>
      </x:c>
      <x:c r="C953" s="18" t="n">
        <x:v>12.450333333</x:v>
      </x:c>
      <x:c r="D953" s="10" t="n">
        <x:v>560</x:v>
      </x:c>
      <x:c r="E953" s="10" t="n">
        <x:v>0</x:v>
      </x:c>
      <x:c r="F953" s="10" t="n">
        <x:v>0.004096</x:v>
      </x:c>
      <x:c r="G953" s="10" t="n">
        <x:f>SUM(D953:F953)</x:f>
        <x:v>560.004096</x:v>
      </x:c>
    </x:row>
    <x:row r="954" ht="24" customHeight="1">
      <x:c r="A954" s="10" t="str">
        <x:v>S03-01</x:v>
      </x:c>
      <x:c r="B954" s="10" t="str">
        <x:v>B</x:v>
      </x:c>
      <x:c r="C954" s="18" t="n">
        <x:v>12.450333433</x:v>
      </x:c>
      <x:c r="D954" s="10" t="n">
        <x:v>560</x:v>
      </x:c>
      <x:c r="E954" s="10" t="n">
        <x:v>0</x:v>
      </x:c>
      <x:c r="F954" s="10" t="n">
        <x:v>0</x:v>
      </x:c>
      <x:c r="G954" s="10" t="n">
        <x:f>SUM(D954:F954)</x:f>
        <x:v>560</x:v>
      </x:c>
    </x:row>
    <x:row r="955" ht="24" customHeight="1">
      <x:c r="A955" s="10" t="str">
        <x:v>S03-02</x:v>
      </x:c>
      <x:c r="B955" s="10" t="str">
        <x:v>A</x:v>
      </x:c>
      <x:c r="C955" s="18" t="n">
        <x:v>-6.0000001</x:v>
      </x:c>
      <x:c r="D955" s="10" t="n">
        <x:v>560</x:v>
      </x:c>
      <x:c r="E955" s="10" t="n">
        <x:v>0</x:v>
      </x:c>
      <x:c r="F955" s="10" t="n">
        <x:v>0</x:v>
      </x:c>
      <x:c r="G955" s="10" t="n">
        <x:f>SUM(D955:F955)</x:f>
        <x:v>560</x:v>
      </x:c>
    </x:row>
    <x:row r="956" ht="24" customHeight="1">
      <x:c r="A956" s="10" t="str">
        <x:v>S03-02</x:v>
      </x:c>
      <x:c r="B956" s="10" t="str">
        <x:v>A</x:v>
      </x:c>
      <x:c r="C956" s="18" t="n">
        <x:v>-6</x:v>
      </x:c>
      <x:c r="D956" s="10" t="n">
        <x:v>560</x:v>
      </x:c>
      <x:c r="E956" s="10" t="n">
        <x:v>0</x:v>
      </x:c>
      <x:c r="F956" s="10" t="n">
        <x:v>0</x:v>
      </x:c>
      <x:c r="G956" s="10" t="n">
        <x:f>SUM(D956:F956)</x:f>
        <x:v>560</x:v>
      </x:c>
    </x:row>
    <x:row r="957" ht="24" customHeight="1">
      <x:c r="A957" s="10" t="str">
        <x:v>S03-02</x:v>
      </x:c>
      <x:c r="B957" s="10" t="str">
        <x:v>A</x:v>
      </x:c>
      <x:c r="C957" s="18" t="n">
        <x:v>-5.9999999</x:v>
      </x:c>
      <x:c r="D957" s="10" t="n">
        <x:v>560</x:v>
      </x:c>
      <x:c r="E957" s="10" t="n">
        <x:v>0</x:v>
      </x:c>
      <x:c r="F957" s="10" t="n">
        <x:v>0</x:v>
      </x:c>
      <x:c r="G957" s="10" t="n">
        <x:f>SUM(D957:F957)</x:f>
        <x:v>560</x:v>
      </x:c>
    </x:row>
    <x:row r="958" ht="24" customHeight="1">
      <x:c r="A958" s="10" t="str">
        <x:v>S03-02</x:v>
      </x:c>
      <x:c r="B958" s="10" t="str">
        <x:v>A</x:v>
      </x:c>
      <x:c r="C958" s="18" t="n">
        <x:v>-1.4000001</x:v>
      </x:c>
      <x:c r="D958" s="10" t="n">
        <x:v>560</x:v>
      </x:c>
      <x:c r="E958" s="10" t="n">
        <x:v>0</x:v>
      </x:c>
      <x:c r="F958" s="10" t="n">
        <x:v>0</x:v>
      </x:c>
      <x:c r="G958" s="10" t="n">
        <x:f>SUM(D958:F958)</x:f>
        <x:v>560</x:v>
      </x:c>
    </x:row>
    <x:row r="959" ht="24" customHeight="1">
      <x:c r="A959" s="10" t="str">
        <x:v>S03-02</x:v>
      </x:c>
      <x:c r="B959" s="10" t="str">
        <x:v>A</x:v>
      </x:c>
      <x:c r="C959" s="18" t="n">
        <x:v>-1.4</x:v>
      </x:c>
      <x:c r="D959" s="10" t="n">
        <x:v>560</x:v>
      </x:c>
      <x:c r="E959" s="10" t="n">
        <x:v>0</x:v>
      </x:c>
      <x:c r="F959" s="10" t="n">
        <x:v>0.004096</x:v>
      </x:c>
      <x:c r="G959" s="10" t="n">
        <x:f>SUM(D959:F959)</x:f>
        <x:v>560.004096</x:v>
      </x:c>
    </x:row>
    <x:row r="960" ht="24" customHeight="1">
      <x:c r="A960" s="10" t="str">
        <x:v>S03-02</x:v>
      </x:c>
      <x:c r="B960" s="10" t="str">
        <x:v>A</x:v>
      </x:c>
      <x:c r="C960" s="18" t="n">
        <x:v>-1.3999999</x:v>
      </x:c>
      <x:c r="D960" s="10" t="n">
        <x:v>560</x:v>
      </x:c>
      <x:c r="E960" s="10" t="n">
        <x:v>0</x:v>
      </x:c>
      <x:c r="F960" s="10" t="n">
        <x:v>0.004096</x:v>
      </x:c>
      <x:c r="G960" s="10" t="n">
        <x:f>SUM(D960:F960)</x:f>
        <x:v>560.004096</x:v>
      </x:c>
    </x:row>
    <x:row r="961" ht="24" customHeight="1">
      <x:c r="A961" s="10" t="str">
        <x:v>S03-02</x:v>
      </x:c>
      <x:c r="B961" s="10" t="str">
        <x:v>A</x:v>
      </x:c>
      <x:c r="C961" s="18" t="n">
        <x:v>-1.0000001</x:v>
      </x:c>
      <x:c r="D961" s="10" t="n">
        <x:v>560</x:v>
      </x:c>
      <x:c r="E961" s="10" t="n">
        <x:v>0</x:v>
      </x:c>
      <x:c r="F961" s="10" t="n">
        <x:v>0.004096</x:v>
      </x:c>
      <x:c r="G961" s="10" t="n">
        <x:f>SUM(D961:F961)</x:f>
        <x:v>560.004096</x:v>
      </x:c>
    </x:row>
    <x:row r="962" ht="24" customHeight="1">
      <x:c r="A962" s="10" t="str">
        <x:v>S03-02</x:v>
      </x:c>
      <x:c r="B962" s="10" t="str">
        <x:v>A</x:v>
      </x:c>
      <x:c r="C962" s="18" t="n">
        <x:v>-1</x:v>
      </x:c>
      <x:c r="D962" s="10" t="n">
        <x:v>560</x:v>
      </x:c>
      <x:c r="E962" s="10" t="n">
        <x:v>0</x:v>
      </x:c>
      <x:c r="F962" s="10" t="n">
        <x:v>0.008192</x:v>
      </x:c>
      <x:c r="G962" s="10" t="n">
        <x:f>SUM(D962:F962)</x:f>
        <x:v>560.008192</x:v>
      </x:c>
    </x:row>
    <x:row r="963" ht="24" customHeight="1">
      <x:c r="A963" s="10" t="str">
        <x:v>S03-02</x:v>
      </x:c>
      <x:c r="B963" s="10" t="str">
        <x:v>A</x:v>
      </x:c>
      <x:c r="C963" s="18" t="n">
        <x:v>-0.9999999</x:v>
      </x:c>
      <x:c r="D963" s="10" t="n">
        <x:v>560</x:v>
      </x:c>
      <x:c r="E963" s="10" t="n">
        <x:v>0</x:v>
      </x:c>
      <x:c r="F963" s="10" t="n">
        <x:v>0.008192</x:v>
      </x:c>
      <x:c r="G963" s="10" t="n">
        <x:f>SUM(D963:F963)</x:f>
        <x:v>560.008192</x:v>
      </x:c>
    </x:row>
    <x:row r="964" ht="24" customHeight="1">
      <x:c r="A964" s="10" t="str">
        <x:v>S03-02</x:v>
      </x:c>
      <x:c r="B964" s="10" t="str">
        <x:v>A</x:v>
      </x:c>
      <x:c r="C964" s="18" t="n">
        <x:v>-0.9990001</x:v>
      </x:c>
      <x:c r="D964" s="10" t="n">
        <x:v>560</x:v>
      </x:c>
      <x:c r="E964" s="10" t="n">
        <x:v>0</x:v>
      </x:c>
      <x:c r="F964" s="10" t="n">
        <x:v>0.008192</x:v>
      </x:c>
      <x:c r="G964" s="10" t="n">
        <x:f>SUM(D964:F964)</x:f>
        <x:v>560.008192</x:v>
      </x:c>
    </x:row>
    <x:row r="965" ht="24" customHeight="1">
      <x:c r="A965" s="10" t="str">
        <x:v>S03-02</x:v>
      </x:c>
      <x:c r="B965" s="10" t="str">
        <x:v>A</x:v>
      </x:c>
      <x:c r="C965" s="18" t="n">
        <x:v>-0.999</x:v>
      </x:c>
      <x:c r="D965" s="10" t="n">
        <x:v>560</x:v>
      </x:c>
      <x:c r="E965" s="10" t="n">
        <x:v>0.0096</x:v>
      </x:c>
      <x:c r="F965" s="10" t="n">
        <x:v>0.008192</x:v>
      </x:c>
      <x:c r="G965" s="10" t="n">
        <x:f>SUM(D965:F965)</x:f>
        <x:v>560.017792</x:v>
      </x:c>
    </x:row>
    <x:row r="966" ht="24" customHeight="1">
      <x:c r="A966" s="10" t="str">
        <x:v>S03-02</x:v>
      </x:c>
      <x:c r="B966" s="10" t="str">
        <x:v>A</x:v>
      </x:c>
      <x:c r="C966" s="18" t="n">
        <x:v>-0.9989999</x:v>
      </x:c>
      <x:c r="D966" s="10" t="n">
        <x:v>560</x:v>
      </x:c>
      <x:c r="E966" s="10" t="n">
        <x:v>0.009600019</x:v>
      </x:c>
      <x:c r="F966" s="10" t="n">
        <x:v>0.008192</x:v>
      </x:c>
      <x:c r="G966" s="10" t="n">
        <x:f>SUM(D966:F966)</x:f>
        <x:v>560.017792019</x:v>
      </x:c>
    </x:row>
    <x:row r="967" ht="24" customHeight="1">
      <x:c r="A967" s="10" t="str">
        <x:v>S03-02</x:v>
      </x:c>
      <x:c r="B967" s="10" t="str">
        <x:v>A</x:v>
      </x:c>
      <x:c r="C967" s="18" t="n">
        <x:v>-0.5900001</x:v>
      </x:c>
      <x:c r="D967" s="10" t="n">
        <x:v>560</x:v>
      </x:c>
      <x:c r="E967" s="10" t="n">
        <x:v>0.088127981</x:v>
      </x:c>
      <x:c r="F967" s="10" t="n">
        <x:v>0.008192</x:v>
      </x:c>
      <x:c r="G967" s="10" t="n">
        <x:f>SUM(D967:F967)</x:f>
        <x:v>560.096319981</x:v>
      </x:c>
    </x:row>
    <x:row r="968" ht="24" customHeight="1">
      <x:c r="A968" s="10" t="str">
        <x:v>S03-02</x:v>
      </x:c>
      <x:c r="B968" s="10" t="str">
        <x:v>A</x:v>
      </x:c>
      <x:c r="C968" s="18" t="n">
        <x:v>-0.59</x:v>
      </x:c>
      <x:c r="D968" s="10" t="n">
        <x:v>560</x:v>
      </x:c>
      <x:c r="E968" s="10" t="n">
        <x:v>0.097728</x:v>
      </x:c>
      <x:c r="F968" s="10" t="n">
        <x:v>0.008192</x:v>
      </x:c>
      <x:c r="G968" s="10" t="n">
        <x:f>SUM(D968:F968)</x:f>
        <x:v>560.10592</x:v>
      </x:c>
    </x:row>
    <x:row r="969" ht="24" customHeight="1">
      <x:c r="A969" s="10" t="str">
        <x:v>S03-02</x:v>
      </x:c>
      <x:c r="B969" s="10" t="str">
        <x:v>A</x:v>
      </x:c>
      <x:c r="C969" s="18" t="n">
        <x:v>-0.5899999</x:v>
      </x:c>
      <x:c r="D969" s="10" t="n">
        <x:v>560</x:v>
      </x:c>
      <x:c r="E969" s="10" t="n">
        <x:v>0.097728038</x:v>
      </x:c>
      <x:c r="F969" s="10" t="n">
        <x:v>0.008192</x:v>
      </x:c>
      <x:c r="G969" s="10" t="n">
        <x:f>SUM(D969:F969)</x:f>
        <x:v>560.105920038</x:v>
      </x:c>
    </x:row>
    <x:row r="970" ht="24" customHeight="1">
      <x:c r="A970" s="10" t="str">
        <x:v>S03-02</x:v>
      </x:c>
      <x:c r="B970" s="10" t="str">
        <x:v>A</x:v>
      </x:c>
      <x:c r="C970" s="18" t="n">
        <x:v>-0.3595001</x:v>
      </x:c>
      <x:c r="D970" s="10" t="n">
        <x:v>560</x:v>
      </x:c>
      <x:c r="E970" s="10" t="n">
        <x:v>0.186239962</x:v>
      </x:c>
      <x:c r="F970" s="10" t="n">
        <x:v>0.008192</x:v>
      </x:c>
      <x:c r="G970" s="10" t="n">
        <x:f>SUM(D970:F970)</x:f>
        <x:v>560.194431962</x:v>
      </x:c>
    </x:row>
    <x:row r="971" ht="24" customHeight="1">
      <x:c r="A971" s="10" t="str">
        <x:v>S03-02</x:v>
      </x:c>
      <x:c r="B971" s="10" t="str">
        <x:v>A</x:v>
      </x:c>
      <x:c r="C971" s="18" t="n">
        <x:v>-0.3595</x:v>
      </x:c>
      <x:c r="D971" s="10" t="n">
        <x:v>560</x:v>
      </x:c>
      <x:c r="E971" s="10" t="n">
        <x:v>0.18624</x:v>
      </x:c>
      <x:c r="F971" s="10" t="n">
        <x:v>0.008192</x:v>
      </x:c>
      <x:c r="G971" s="10" t="n">
        <x:f>SUM(D971:F971)</x:f>
        <x:v>560.194432</x:v>
      </x:c>
    </x:row>
    <x:row r="972" ht="24" customHeight="1">
      <x:c r="A972" s="10" t="str">
        <x:v>S03-02</x:v>
      </x:c>
      <x:c r="B972" s="10" t="str">
        <x:v>A</x:v>
      </x:c>
      <x:c r="C972" s="18" t="n">
        <x:v>-0.3594999</x:v>
      </x:c>
      <x:c r="D972" s="10" t="n">
        <x:v>560</x:v>
      </x:c>
      <x:c r="E972" s="10" t="n">
        <x:v>0.186240019</x:v>
      </x:c>
      <x:c r="F972" s="10" t="n">
        <x:v>0.008192</x:v>
      </x:c>
      <x:c r="G972" s="10" t="n">
        <x:f>SUM(D972:F972)</x:f>
        <x:v>560.194432019</x:v>
      </x:c>
    </x:row>
    <x:row r="973" ht="24" customHeight="1">
      <x:c r="A973" s="10" t="str">
        <x:v>S03-02</x:v>
      </x:c>
      <x:c r="B973" s="10" t="str">
        <x:v>A</x:v>
      </x:c>
      <x:c r="C973" s="18" t="n">
        <x:v>-1e-7</x:v>
      </x:c>
      <x:c r="D973" s="10" t="n">
        <x:v>560</x:v>
      </x:c>
      <x:c r="E973" s="10" t="n">
        <x:v>0.255263981</x:v>
      </x:c>
      <x:c r="F973" s="10" t="n">
        <x:v>0.008192</x:v>
      </x:c>
      <x:c r="G973" s="10" t="n">
        <x:f>SUM(D973:F973)</x:f>
        <x:v>560.263455981</x:v>
      </x:c>
    </x:row>
    <x:row r="974" ht="24" customHeight="1">
      <x:c r="A974" s="10" t="str">
        <x:v>S03-02</x:v>
      </x:c>
      <x:c r="B974" s="10" t="str">
        <x:v>A</x:v>
      </x:c>
      <x:c r="C974" s="18" t="n">
        <x:v>0</x:v>
      </x:c>
      <x:c r="D974" s="10" t="n">
        <x:v>560</x:v>
      </x:c>
      <x:c r="E974" s="10" t="n">
        <x:v>0.255264</x:v>
      </x:c>
      <x:c r="F974" s="10" t="n">
        <x:v>0.008192</x:v>
      </x:c>
      <x:c r="G974" s="10" t="n">
        <x:f>SUM(D974:F974)</x:f>
        <x:v>560.263456</x:v>
      </x:c>
    </x:row>
    <x:row r="975" ht="24" customHeight="1">
      <x:c r="A975" s="10" t="str">
        <x:v>S03-02</x:v>
      </x:c>
      <x:c r="B975" s="10" t="str">
        <x:v>A</x:v>
      </x:c>
      <x:c r="C975" s="18" t="n">
        <x:v>1e-7</x:v>
      </x:c>
      <x:c r="D975" s="10" t="n">
        <x:v>560</x:v>
      </x:c>
      <x:c r="E975" s="10" t="n">
        <x:v>0.255264019</x:v>
      </x:c>
      <x:c r="F975" s="10" t="n">
        <x:v>0.008192</x:v>
      </x:c>
      <x:c r="G975" s="10" t="n">
        <x:f>SUM(D975:F975)</x:f>
        <x:v>560.263456019</x:v>
      </x:c>
    </x:row>
    <x:row r="976" ht="24" customHeight="1">
      <x:c r="A976" s="10" t="str">
        <x:v>S03-02</x:v>
      </x:c>
      <x:c r="B976" s="10" t="str">
        <x:v>A</x:v>
      </x:c>
      <x:c r="C976" s="18" t="n">
        <x:v>0.896666567</x:v>
      </x:c>
      <x:c r="D976" s="10" t="n">
        <x:v>560</x:v>
      </x:c>
      <x:c r="E976" s="10" t="n">
        <x:v>0.427423981</x:v>
      </x:c>
      <x:c r="F976" s="10" t="n">
        <x:v>0.008192</x:v>
      </x:c>
      <x:c r="G976" s="10" t="n">
        <x:f>SUM(D976:F976)</x:f>
        <x:v>560.435615981</x:v>
      </x:c>
    </x:row>
    <x:row r="977" ht="24" customHeight="1">
      <x:c r="A977" s="10" t="str">
        <x:v>S03-02</x:v>
      </x:c>
      <x:c r="B977" s="10" t="str">
        <x:v>A</x:v>
      </x:c>
      <x:c r="C977" s="18" t="n">
        <x:v>0.896666667</x:v>
      </x:c>
      <x:c r="D977" s="10" t="n">
        <x:v>560</x:v>
      </x:c>
      <x:c r="E977" s="10" t="n">
        <x:v>0.427424</x:v>
      </x:c>
      <x:c r="F977" s="10" t="n">
        <x:v>0.008192</x:v>
      </x:c>
      <x:c r="G977" s="10" t="n">
        <x:f>SUM(D977:F977)</x:f>
        <x:v>560.435616</x:v>
      </x:c>
    </x:row>
    <x:row r="978" ht="24" customHeight="1">
      <x:c r="A978" s="10" t="str">
        <x:v>S03-02</x:v>
      </x:c>
      <x:c r="B978" s="10" t="str">
        <x:v>A</x:v>
      </x:c>
      <x:c r="C978" s="18" t="n">
        <x:v>0.896666767</x:v>
      </x:c>
      <x:c r="D978" s="10" t="n">
        <x:v>560</x:v>
      </x:c>
      <x:c r="E978" s="10" t="n">
        <x:v>0.427424019</x:v>
      </x:c>
      <x:c r="F978" s="10" t="n">
        <x:v>0.008192</x:v>
      </x:c>
      <x:c r="G978" s="10" t="n">
        <x:f>SUM(D978:F978)</x:f>
        <x:v>560.435616019</x:v>
      </x:c>
    </x:row>
    <x:row r="979" ht="24" customHeight="1">
      <x:c r="A979" s="10" t="str">
        <x:v>S03-02</x:v>
      </x:c>
      <x:c r="B979" s="10" t="str">
        <x:v>A</x:v>
      </x:c>
      <x:c r="C979" s="18" t="n">
        <x:v>0.936666567</x:v>
      </x:c>
      <x:c r="D979" s="10" t="n">
        <x:v>560</x:v>
      </x:c>
      <x:c r="E979" s="10" t="n">
        <x:v>0.435103981</x:v>
      </x:c>
      <x:c r="F979" s="10" t="n">
        <x:v>0.008192</x:v>
      </x:c>
      <x:c r="G979" s="10" t="n">
        <x:f>SUM(D979:F979)</x:f>
        <x:v>560.443295981</x:v>
      </x:c>
    </x:row>
    <x:row r="980" ht="24" customHeight="1">
      <x:c r="A980" s="10" t="str">
        <x:v>S03-02</x:v>
      </x:c>
      <x:c r="B980" s="10" t="str">
        <x:v>A</x:v>
      </x:c>
      <x:c r="C980" s="18" t="n">
        <x:v>0.936666667</x:v>
      </x:c>
      <x:c r="D980" s="10" t="n">
        <x:v>560</x:v>
      </x:c>
      <x:c r="E980" s="10" t="n">
        <x:v>0.435104</x:v>
      </x:c>
      <x:c r="F980" s="10" t="n">
        <x:v>0.008192</x:v>
      </x:c>
      <x:c r="G980" s="10" t="n">
        <x:f>SUM(D980:F980)</x:f>
        <x:v>560.443296</x:v>
      </x:c>
    </x:row>
    <x:row r="981" ht="24" customHeight="1">
      <x:c r="A981" s="10" t="str">
        <x:v>S03-02</x:v>
      </x:c>
      <x:c r="B981" s="10" t="str">
        <x:v>A</x:v>
      </x:c>
      <x:c r="C981" s="18" t="n">
        <x:v>0.936666767</x:v>
      </x:c>
      <x:c r="D981" s="10" t="n">
        <x:v>560</x:v>
      </x:c>
      <x:c r="E981" s="10" t="n">
        <x:v>0.435104014</x:v>
      </x:c>
      <x:c r="F981" s="10" t="n">
        <x:v>0.008192</x:v>
      </x:c>
      <x:c r="G981" s="10" t="n">
        <x:f>SUM(D981:F981)</x:f>
        <x:v>560.443296014</x:v>
      </x:c>
    </x:row>
    <x:row r="982" ht="24" customHeight="1">
      <x:c r="A982" s="10" t="str">
        <x:v>S03-02</x:v>
      </x:c>
      <x:c r="B982" s="10" t="str">
        <x:v>A</x:v>
      </x:c>
      <x:c r="C982" s="18" t="n">
        <x:v>0.996666567</x:v>
      </x:c>
      <x:c r="D982" s="10" t="n">
        <x:v>560</x:v>
      </x:c>
      <x:c r="E982" s="10" t="n">
        <x:v>0.443743986</x:v>
      </x:c>
      <x:c r="F982" s="10" t="n">
        <x:v>0.008192</x:v>
      </x:c>
      <x:c r="G982" s="10" t="n">
        <x:f>SUM(D982:F982)</x:f>
        <x:v>560.451935986</x:v>
      </x:c>
    </x:row>
    <x:row r="983" ht="24" customHeight="1">
      <x:c r="A983" s="10" t="str">
        <x:v>S03-02</x:v>
      </x:c>
      <x:c r="B983" s="10" t="str">
        <x:v>A</x:v>
      </x:c>
      <x:c r="C983" s="18" t="n">
        <x:v>0.996666667</x:v>
      </x:c>
      <x:c r="D983" s="10" t="n">
        <x:v>560</x:v>
      </x:c>
      <x:c r="E983" s="10" t="n">
        <x:v>0.443744</x:v>
      </x:c>
      <x:c r="F983" s="10" t="n">
        <x:v>0.008192</x:v>
      </x:c>
      <x:c r="G983" s="10" t="n">
        <x:f>SUM(D983:F983)</x:f>
        <x:v>560.451936</x:v>
      </x:c>
    </x:row>
    <x:row r="984" ht="24" customHeight="1">
      <x:c r="A984" s="10" t="str">
        <x:v>S03-02</x:v>
      </x:c>
      <x:c r="B984" s="10" t="str">
        <x:v>A</x:v>
      </x:c>
      <x:c r="C984" s="18" t="n">
        <x:v>0.996666767</x:v>
      </x:c>
      <x:c r="D984" s="10" t="n">
        <x:v>560</x:v>
      </x:c>
      <x:c r="E984" s="10" t="n">
        <x:v>0.129503995</x:v>
      </x:c>
      <x:c r="F984" s="10" t="n">
        <x:v>0.004096</x:v>
      </x:c>
      <x:c r="G984" s="10" t="n">
        <x:f>SUM(D984:F984)</x:f>
        <x:v>560.133599995</x:v>
      </x:c>
    </x:row>
    <x:row r="985" ht="24" customHeight="1">
      <x:c r="A985" s="10" t="str">
        <x:v>S03-02</x:v>
      </x:c>
      <x:c r="B985" s="10" t="str">
        <x:v>A</x:v>
      </x:c>
      <x:c r="C985" s="18" t="n">
        <x:v>3.416666567</x:v>
      </x:c>
      <x:c r="D985" s="10" t="n">
        <x:v>560</x:v>
      </x:c>
      <x:c r="E985" s="10" t="n">
        <x:v>0.013344005</x:v>
      </x:c>
      <x:c r="F985" s="10" t="n">
        <x:v>0.004096</x:v>
      </x:c>
      <x:c r="G985" s="10" t="n">
        <x:f>SUM(D985:F985)</x:f>
        <x:v>560.017440005</x:v>
      </x:c>
    </x:row>
    <x:row r="986" ht="24" customHeight="1">
      <x:c r="A986" s="10" t="str">
        <x:v>S03-02</x:v>
      </x:c>
      <x:c r="B986" s="10" t="str">
        <x:v>A</x:v>
      </x:c>
      <x:c r="C986" s="18" t="n">
        <x:v>3.416666667</x:v>
      </x:c>
      <x:c r="D986" s="10" t="n">
        <x:v>560</x:v>
      </x:c>
      <x:c r="E986" s="10" t="n">
        <x:v>0.013344</x:v>
      </x:c>
      <x:c r="F986" s="10" t="n">
        <x:v>0.008192</x:v>
      </x:c>
      <x:c r="G986" s="10" t="n">
        <x:f>SUM(D986:F986)</x:f>
        <x:v>560.021536</x:v>
      </x:c>
    </x:row>
    <x:row r="987" ht="24" customHeight="1">
      <x:c r="A987" s="10" t="str">
        <x:v>S03-02</x:v>
      </x:c>
      <x:c r="B987" s="10" t="str">
        <x:v>A</x:v>
      </x:c>
      <x:c r="C987" s="18" t="n">
        <x:v>3.416666767</x:v>
      </x:c>
      <x:c r="D987" s="10" t="n">
        <x:v>560</x:v>
      </x:c>
      <x:c r="E987" s="10" t="n">
        <x:v>0.013343995</x:v>
      </x:c>
      <x:c r="F987" s="10" t="n">
        <x:v>0.008192</x:v>
      </x:c>
      <x:c r="G987" s="10" t="n">
        <x:f>SUM(D987:F987)</x:f>
        <x:v>560.021535995</x:v>
      </x:c>
    </x:row>
    <x:row r="988" ht="24" customHeight="1">
      <x:c r="A988" s="10" t="str">
        <x:v>S03-02</x:v>
      </x:c>
      <x:c r="B988" s="10" t="str">
        <x:v>A</x:v>
      </x:c>
      <x:c r="C988" s="18" t="n">
        <x:v>3.694666567</x:v>
      </x:c>
      <x:c r="D988" s="10" t="n">
        <x:v>560</x:v>
      </x:c>
      <x:c r="E988" s="10" t="n">
        <x:v>5e-9</x:v>
      </x:c>
      <x:c r="F988" s="10" t="n">
        <x:v>0.008192</x:v>
      </x:c>
      <x:c r="G988" s="10" t="n">
        <x:f>SUM(D988:F988)</x:f>
        <x:v>560.008192005</x:v>
      </x:c>
    </x:row>
    <x:row r="989" ht="24" customHeight="1">
      <x:c r="A989" s="10" t="str">
        <x:v>S03-02</x:v>
      </x:c>
      <x:c r="B989" s="10" t="str">
        <x:v>A</x:v>
      </x:c>
      <x:c r="C989" s="18" t="n">
        <x:v>3.694666667</x:v>
      </x:c>
      <x:c r="D989" s="10" t="n">
        <x:v>560</x:v>
      </x:c>
      <x:c r="E989" s="10" t="n">
        <x:v>0</x:v>
      </x:c>
      <x:c r="F989" s="10" t="n">
        <x:v>0.008192</x:v>
      </x:c>
      <x:c r="G989" s="10" t="n">
        <x:f>SUM(D989:F989)</x:f>
        <x:v>560.008192</x:v>
      </x:c>
    </x:row>
    <x:row r="990" ht="24" customHeight="1">
      <x:c r="A990" s="10" t="str">
        <x:v>S03-02</x:v>
      </x:c>
      <x:c r="B990" s="10" t="str">
        <x:v>A</x:v>
      </x:c>
      <x:c r="C990" s="18" t="n">
        <x:v>3.694666767</x:v>
      </x:c>
      <x:c r="D990" s="10" t="n">
        <x:v>560</x:v>
      </x:c>
      <x:c r="E990" s="10" t="n">
        <x:v>0</x:v>
      </x:c>
      <x:c r="F990" s="10" t="n">
        <x:v>0.004096</x:v>
      </x:c>
      <x:c r="G990" s="10" t="n">
        <x:f>SUM(D990:F990)</x:f>
        <x:v>560.004096</x:v>
      </x:c>
    </x:row>
    <x:row r="991" ht="24" customHeight="1">
      <x:c r="A991" s="10" t="str">
        <x:v>S03-02</x:v>
      </x:c>
      <x:c r="B991" s="10" t="str">
        <x:v>A</x:v>
      </x:c>
      <x:c r="C991" s="18" t="n">
        <x:v>3.825666567</x:v>
      </x:c>
      <x:c r="D991" s="10" t="n">
        <x:v>560</x:v>
      </x:c>
      <x:c r="E991" s="10" t="n">
        <x:v>0</x:v>
      </x:c>
      <x:c r="F991" s="10" t="n">
        <x:v>0.004096</x:v>
      </x:c>
      <x:c r="G991" s="10" t="n">
        <x:f>SUM(D991:F991)</x:f>
        <x:v>560.004096</x:v>
      </x:c>
    </x:row>
    <x:row r="992" ht="24" customHeight="1">
      <x:c r="A992" s="10" t="str">
        <x:v>S03-02</x:v>
      </x:c>
      <x:c r="B992" s="10" t="str">
        <x:v>A</x:v>
      </x:c>
      <x:c r="C992" s="18" t="n">
        <x:v>3.825666667</x:v>
      </x:c>
      <x:c r="D992" s="10" t="n">
        <x:v>560</x:v>
      </x:c>
      <x:c r="E992" s="10" t="n">
        <x:v>0.0096</x:v>
      </x:c>
      <x:c r="F992" s="10" t="n">
        <x:v>0.004096</x:v>
      </x:c>
      <x:c r="G992" s="10" t="n">
        <x:f>SUM(D992:F992)</x:f>
        <x:v>560.013696</x:v>
      </x:c>
    </x:row>
    <x:row r="993" ht="24" customHeight="1">
      <x:c r="A993" s="10" t="str">
        <x:v>S03-02</x:v>
      </x:c>
      <x:c r="B993" s="10" t="str">
        <x:v>A</x:v>
      </x:c>
      <x:c r="C993" s="18" t="n">
        <x:v>3.825666767</x:v>
      </x:c>
      <x:c r="D993" s="10" t="n">
        <x:v>560</x:v>
      </x:c>
      <x:c r="E993" s="10" t="n">
        <x:v>0.009600019</x:v>
      </x:c>
      <x:c r="F993" s="10" t="n">
        <x:v>0.004096</x:v>
      </x:c>
      <x:c r="G993" s="10" t="n">
        <x:f>SUM(D993:F993)</x:f>
        <x:v>560.013696019</x:v>
      </x:c>
    </x:row>
    <x:row r="994" ht="24" customHeight="1">
      <x:c r="A994" s="10" t="str">
        <x:v>S03-02</x:v>
      </x:c>
      <x:c r="B994" s="10" t="str">
        <x:v>A</x:v>
      </x:c>
      <x:c r="C994" s="18" t="n">
        <x:v>3.865666567</x:v>
      </x:c>
      <x:c r="D994" s="10" t="n">
        <x:v>560</x:v>
      </x:c>
      <x:c r="E994" s="10" t="n">
        <x:v>0.017279981</x:v>
      </x:c>
      <x:c r="F994" s="10" t="n">
        <x:v>0.004096</x:v>
      </x:c>
      <x:c r="G994" s="10" t="n">
        <x:f>SUM(D994:F994)</x:f>
        <x:v>560.021375981</x:v>
      </x:c>
    </x:row>
    <x:row r="995" ht="24" customHeight="1">
      <x:c r="A995" s="10" t="str">
        <x:v>S03-02</x:v>
      </x:c>
      <x:c r="B995" s="10" t="str">
        <x:v>A</x:v>
      </x:c>
      <x:c r="C995" s="18" t="n">
        <x:v>3.865666667</x:v>
      </x:c>
      <x:c r="D995" s="10" t="n">
        <x:v>560</x:v>
      </x:c>
      <x:c r="E995" s="10" t="n">
        <x:v>0.01728</x:v>
      </x:c>
      <x:c r="F995" s="10" t="n">
        <x:v>0.004096</x:v>
      </x:c>
      <x:c r="G995" s="10" t="n">
        <x:f>SUM(D995:F995)</x:f>
        <x:v>560.021376</x:v>
      </x:c>
    </x:row>
    <x:row r="996" ht="24" customHeight="1">
      <x:c r="A996" s="10" t="str">
        <x:v>S03-02</x:v>
      </x:c>
      <x:c r="B996" s="10" t="str">
        <x:v>A</x:v>
      </x:c>
      <x:c r="C996" s="18" t="n">
        <x:v>3.865666767</x:v>
      </x:c>
      <x:c r="D996" s="10" t="n">
        <x:v>560</x:v>
      </x:c>
      <x:c r="E996" s="10" t="n">
        <x:v>0.017280014</x:v>
      </x:c>
      <x:c r="F996" s="10" t="n">
        <x:v>0.004096</x:v>
      </x:c>
      <x:c r="G996" s="10" t="n">
        <x:f>SUM(D996:F996)</x:f>
        <x:v>560.021376014</x:v>
      </x:c>
    </x:row>
    <x:row r="997" ht="24" customHeight="1">
      <x:c r="A997" s="10" t="str">
        <x:v>S03-02</x:v>
      </x:c>
      <x:c r="B997" s="10" t="str">
        <x:v>A</x:v>
      </x:c>
      <x:c r="C997" s="18" t="n">
        <x:v>5.765166567</x:v>
      </x:c>
      <x:c r="D997" s="10" t="n">
        <x:v>560</x:v>
      </x:c>
      <x:c r="E997" s="10" t="n">
        <x:v>0.290807986</x:v>
      </x:c>
      <x:c r="F997" s="10" t="n">
        <x:v>0.004096</x:v>
      </x:c>
      <x:c r="G997" s="10" t="n">
        <x:f>SUM(D997:F997)</x:f>
        <x:v>560.294903986</x:v>
      </x:c>
    </x:row>
    <x:row r="998" ht="24" customHeight="1">
      <x:c r="A998" s="10" t="str">
        <x:v>S03-02</x:v>
      </x:c>
      <x:c r="B998" s="10" t="str">
        <x:v>A</x:v>
      </x:c>
      <x:c r="C998" s="18" t="n">
        <x:v>5.765166667</x:v>
      </x:c>
      <x:c r="D998" s="10" t="n">
        <x:v>560</x:v>
      </x:c>
      <x:c r="E998" s="10" t="n">
        <x:v>0.290808</x:v>
      </x:c>
      <x:c r="F998" s="10" t="n">
        <x:v>0.004096</x:v>
      </x:c>
      <x:c r="G998" s="10" t="n">
        <x:f>SUM(D998:F998)</x:f>
        <x:v>560.294904</x:v>
      </x:c>
    </x:row>
    <x:row r="999" ht="24" customHeight="1">
      <x:c r="A999" s="10" t="str">
        <x:v>S03-02</x:v>
      </x:c>
      <x:c r="B999" s="10" t="str">
        <x:v>A</x:v>
      </x:c>
      <x:c r="C999" s="18" t="n">
        <x:v>5.765166767</x:v>
      </x:c>
      <x:c r="D999" s="10" t="n">
        <x:v>560</x:v>
      </x:c>
      <x:c r="E999" s="10" t="n">
        <x:v>0.290807995</x:v>
      </x:c>
      <x:c r="F999" s="10" t="n">
        <x:v>0.004096</x:v>
      </x:c>
      <x:c r="G999" s="10" t="n">
        <x:f>SUM(D999:F999)</x:f>
        <x:v>560.294903995</x:v>
      </x:c>
    </x:row>
    <x:row r="1000" ht="24" customHeight="1">
      <x:c r="A1000" s="10" t="str">
        <x:v>S03-02</x:v>
      </x:c>
      <x:c r="B1000" s="10" t="str">
        <x:v>A</x:v>
      </x:c>
      <x:c r="C1000" s="18" t="n">
        <x:v>11.823666567</x:v>
      </x:c>
      <x:c r="D1000" s="10" t="n">
        <x:v>560</x:v>
      </x:c>
      <x:c r="E1000" s="10" t="n">
        <x:v>5e-9</x:v>
      </x:c>
      <x:c r="F1000" s="10" t="n">
        <x:v>0.004096</x:v>
      </x:c>
      <x:c r="G1000" s="10" t="n">
        <x:f>SUM(D1000:F1000)</x:f>
        <x:v>560.004096005</x:v>
      </x:c>
    </x:row>
    <x:row r="1001" ht="24" customHeight="1">
      <x:c r="A1001" s="10" t="str">
        <x:v>S03-02</x:v>
      </x:c>
      <x:c r="B1001" s="10" t="str">
        <x:v>A</x:v>
      </x:c>
      <x:c r="C1001" s="18" t="n">
        <x:v>11.823666667</x:v>
      </x:c>
      <x:c r="D1001" s="10" t="n">
        <x:v>560</x:v>
      </x:c>
      <x:c r="E1001" s="10" t="n">
        <x:v>0</x:v>
      </x:c>
      <x:c r="F1001" s="10" t="n">
        <x:v>0.004096</x:v>
      </x:c>
      <x:c r="G1001" s="10" t="n">
        <x:f>SUM(D1001:F1001)</x:f>
        <x:v>560.004096</x:v>
      </x:c>
    </x:row>
    <x:row r="1002" ht="24" customHeight="1">
      <x:c r="A1002" s="10" t="str">
        <x:v>S03-02</x:v>
      </x:c>
      <x:c r="B1002" s="10" t="str">
        <x:v>A</x:v>
      </x:c>
      <x:c r="C1002" s="18" t="n">
        <x:v>11.823666767</x:v>
      </x:c>
      <x:c r="D1002" s="10" t="n">
        <x:v>560</x:v>
      </x:c>
      <x:c r="E1002" s="10" t="n">
        <x:v>0</x:v>
      </x:c>
      <x:c r="F1002" s="10" t="n">
        <x:v>0</x:v>
      </x:c>
      <x:c r="G1002" s="10" t="n">
        <x:f>SUM(D1002:F1002)</x:f>
        <x:v>560</x:v>
      </x:c>
    </x:row>
    <x:row r="1003" ht="24" customHeight="1">
      <x:c r="A1003" s="10" t="str">
        <x:v>S03-02</x:v>
      </x:c>
      <x:c r="B1003" s="10" t="str">
        <x:v>B</x:v>
      </x:c>
      <x:c r="C1003" s="18" t="n">
        <x:v>-6.0000001</x:v>
      </x:c>
      <x:c r="D1003" s="10" t="n">
        <x:v>560</x:v>
      </x:c>
      <x:c r="E1003" s="10" t="n">
        <x:v>0</x:v>
      </x:c>
      <x:c r="F1003" s="10" t="n">
        <x:v>0</x:v>
      </x:c>
      <x:c r="G1003" s="10" t="n">
        <x:f>SUM(D1003:F1003)</x:f>
        <x:v>560</x:v>
      </x:c>
    </x:row>
    <x:row r="1004" ht="24" customHeight="1">
      <x:c r="A1004" s="10" t="str">
        <x:v>S03-02</x:v>
      </x:c>
      <x:c r="B1004" s="10" t="str">
        <x:v>B</x:v>
      </x:c>
      <x:c r="C1004" s="18" t="n">
        <x:v>-6</x:v>
      </x:c>
      <x:c r="D1004" s="10" t="n">
        <x:v>560</x:v>
      </x:c>
      <x:c r="E1004" s="10" t="n">
        <x:v>0</x:v>
      </x:c>
      <x:c r="F1004" s="10" t="n">
        <x:v>0</x:v>
      </x:c>
      <x:c r="G1004" s="10" t="n">
        <x:f>SUM(D1004:F1004)</x:f>
        <x:v>560</x:v>
      </x:c>
    </x:row>
    <x:row r="1005" ht="24" customHeight="1">
      <x:c r="A1005" s="10" t="str">
        <x:v>S03-02</x:v>
      </x:c>
      <x:c r="B1005" s="10" t="str">
        <x:v>B</x:v>
      </x:c>
      <x:c r="C1005" s="18" t="n">
        <x:v>-5.9999999</x:v>
      </x:c>
      <x:c r="D1005" s="10" t="n">
        <x:v>560</x:v>
      </x:c>
      <x:c r="E1005" s="10" t="n">
        <x:v>0</x:v>
      </x:c>
      <x:c r="F1005" s="10" t="n">
        <x:v>0</x:v>
      </x:c>
      <x:c r="G1005" s="10" t="n">
        <x:f>SUM(D1005:F1005)</x:f>
        <x:v>560</x:v>
      </x:c>
    </x:row>
    <x:row r="1006" ht="24" customHeight="1">
      <x:c r="A1006" s="10" t="str">
        <x:v>S03-02</x:v>
      </x:c>
      <x:c r="B1006" s="10" t="str">
        <x:v>B</x:v>
      </x:c>
      <x:c r="C1006" s="18" t="n">
        <x:v>-1e-7</x:v>
      </x:c>
      <x:c r="D1006" s="10" t="n">
        <x:v>560</x:v>
      </x:c>
      <x:c r="E1006" s="10" t="n">
        <x:v>0</x:v>
      </x:c>
      <x:c r="F1006" s="10" t="n">
        <x:v>0</x:v>
      </x:c>
      <x:c r="G1006" s="10" t="n">
        <x:f>SUM(D1006:F1006)</x:f>
        <x:v>560</x:v>
      </x:c>
    </x:row>
    <x:row r="1007" ht="24" customHeight="1">
      <x:c r="A1007" s="10" t="str">
        <x:v>S03-02</x:v>
      </x:c>
      <x:c r="B1007" s="10" t="str">
        <x:v>B</x:v>
      </x:c>
      <x:c r="C1007" s="18" t="n">
        <x:v>0</x:v>
      </x:c>
      <x:c r="D1007" s="10" t="n">
        <x:v>560</x:v>
      </x:c>
      <x:c r="E1007" s="10" t="n">
        <x:v>0</x:v>
      </x:c>
      <x:c r="F1007" s="10" t="n">
        <x:v>0</x:v>
      </x:c>
      <x:c r="G1007" s="10" t="n">
        <x:f>SUM(D1007:F1007)</x:f>
        <x:v>560</x:v>
      </x:c>
    </x:row>
    <x:row r="1008" ht="24" customHeight="1">
      <x:c r="A1008" s="10" t="str">
        <x:v>S03-02</x:v>
      </x:c>
      <x:c r="B1008" s="10" t="str">
        <x:v>B</x:v>
      </x:c>
      <x:c r="C1008" s="18" t="n">
        <x:v>1e-7</x:v>
      </x:c>
      <x:c r="D1008" s="10" t="n">
        <x:v>560</x:v>
      </x:c>
      <x:c r="E1008" s="10" t="n">
        <x:v>0</x:v>
      </x:c>
      <x:c r="F1008" s="10" t="n">
        <x:v>0</x:v>
      </x:c>
      <x:c r="G1008" s="10" t="n">
        <x:f>SUM(D1008:F1008)</x:f>
        <x:v>560</x:v>
      </x:c>
    </x:row>
    <x:row r="1009" ht="24" customHeight="1">
      <x:c r="A1009" s="10" t="str">
        <x:v>S03-02</x:v>
      </x:c>
      <x:c r="B1009" s="10" t="str">
        <x:v>B</x:v>
      </x:c>
      <x:c r="C1009" s="18" t="n">
        <x:v>0.896666567</x:v>
      </x:c>
      <x:c r="D1009" s="10" t="n">
        <x:v>560</x:v>
      </x:c>
      <x:c r="E1009" s="10" t="n">
        <x:v>0</x:v>
      </x:c>
      <x:c r="F1009" s="10" t="n">
        <x:v>0</x:v>
      </x:c>
      <x:c r="G1009" s="10" t="n">
        <x:f>SUM(D1009:F1009)</x:f>
        <x:v>560</x:v>
      </x:c>
    </x:row>
    <x:row r="1010" ht="24" customHeight="1">
      <x:c r="A1010" s="10" t="str">
        <x:v>S03-02</x:v>
      </x:c>
      <x:c r="B1010" s="10" t="str">
        <x:v>B</x:v>
      </x:c>
      <x:c r="C1010" s="18" t="n">
        <x:v>0.896666667</x:v>
      </x:c>
      <x:c r="D1010" s="10" t="n">
        <x:v>560</x:v>
      </x:c>
      <x:c r="E1010" s="10" t="n">
        <x:v>0</x:v>
      </x:c>
      <x:c r="F1010" s="10" t="n">
        <x:v>0.004096</x:v>
      </x:c>
      <x:c r="G1010" s="10" t="n">
        <x:f>SUM(D1010:F1010)</x:f>
        <x:v>560.004096</x:v>
      </x:c>
    </x:row>
    <x:row r="1011" ht="24" customHeight="1">
      <x:c r="A1011" s="10" t="str">
        <x:v>S03-02</x:v>
      </x:c>
      <x:c r="B1011" s="10" t="str">
        <x:v>B</x:v>
      </x:c>
      <x:c r="C1011" s="18" t="n">
        <x:v>0.896666767</x:v>
      </x:c>
      <x:c r="D1011" s="10" t="n">
        <x:v>560</x:v>
      </x:c>
      <x:c r="E1011" s="10" t="n">
        <x:v>0</x:v>
      </x:c>
      <x:c r="F1011" s="10" t="n">
        <x:v>0.004096</x:v>
      </x:c>
      <x:c r="G1011" s="10" t="n">
        <x:f>SUM(D1011:F1011)</x:f>
        <x:v>560.004096</x:v>
      </x:c>
    </x:row>
    <x:row r="1012" ht="24" customHeight="1">
      <x:c r="A1012" s="10" t="str">
        <x:v>S03-02</x:v>
      </x:c>
      <x:c r="B1012" s="10" t="str">
        <x:v>B</x:v>
      </x:c>
      <x:c r="C1012" s="18" t="n">
        <x:v>1.297666567</x:v>
      </x:c>
      <x:c r="D1012" s="10" t="n">
        <x:v>560</x:v>
      </x:c>
      <x:c r="E1012" s="10" t="n">
        <x:v>0</x:v>
      </x:c>
      <x:c r="F1012" s="10" t="n">
        <x:v>0.004096</x:v>
      </x:c>
      <x:c r="G1012" s="10" t="n">
        <x:f>SUM(D1012:F1012)</x:f>
        <x:v>560.004096</x:v>
      </x:c>
    </x:row>
    <x:row r="1013" ht="24" customHeight="1">
      <x:c r="A1013" s="10" t="str">
        <x:v>S03-02</x:v>
      </x:c>
      <x:c r="B1013" s="10" t="str">
        <x:v>B</x:v>
      </x:c>
      <x:c r="C1013" s="18" t="n">
        <x:v>1.297666667</x:v>
      </x:c>
      <x:c r="D1013" s="10" t="n">
        <x:v>560</x:v>
      </x:c>
      <x:c r="E1013" s="10" t="n">
        <x:v>0.0096</x:v>
      </x:c>
      <x:c r="F1013" s="10" t="n">
        <x:v>0.004096</x:v>
      </x:c>
      <x:c r="G1013" s="10" t="n">
        <x:f>SUM(D1013:F1013)</x:f>
        <x:v>560.013696</x:v>
      </x:c>
    </x:row>
    <x:row r="1014" ht="24" customHeight="1">
      <x:c r="A1014" s="10" t="str">
        <x:v>S03-02</x:v>
      </x:c>
      <x:c r="B1014" s="10" t="str">
        <x:v>B</x:v>
      </x:c>
      <x:c r="C1014" s="18" t="n">
        <x:v>1.297666767</x:v>
      </x:c>
      <x:c r="D1014" s="10" t="n">
        <x:v>560</x:v>
      </x:c>
      <x:c r="E1014" s="10" t="n">
        <x:v>0.009600019</x:v>
      </x:c>
      <x:c r="F1014" s="10" t="n">
        <x:v>0.004096</x:v>
      </x:c>
      <x:c r="G1014" s="10" t="n">
        <x:f>SUM(D1014:F1014)</x:f>
        <x:v>560.013696019</x:v>
      </x:c>
    </x:row>
    <x:row r="1015" ht="24" customHeight="1">
      <x:c r="A1015" s="10" t="str">
        <x:v>S03-02</x:v>
      </x:c>
      <x:c r="B1015" s="10" t="str">
        <x:v>B</x:v>
      </x:c>
      <x:c r="C1015" s="18" t="n">
        <x:v>1.337666567</x:v>
      </x:c>
      <x:c r="D1015" s="10" t="n">
        <x:v>560</x:v>
      </x:c>
      <x:c r="E1015" s="10" t="n">
        <x:v>0.017279981</x:v>
      </x:c>
      <x:c r="F1015" s="10" t="n">
        <x:v>0.004096</x:v>
      </x:c>
      <x:c r="G1015" s="10" t="n">
        <x:f>SUM(D1015:F1015)</x:f>
        <x:v>560.021375981</x:v>
      </x:c>
    </x:row>
    <x:row r="1016" ht="24" customHeight="1">
      <x:c r="A1016" s="10" t="str">
        <x:v>S03-02</x:v>
      </x:c>
      <x:c r="B1016" s="10" t="str">
        <x:v>B</x:v>
      </x:c>
      <x:c r="C1016" s="18" t="n">
        <x:v>1.337666667</x:v>
      </x:c>
      <x:c r="D1016" s="10" t="n">
        <x:v>560</x:v>
      </x:c>
      <x:c r="E1016" s="10" t="n">
        <x:v>0.01728</x:v>
      </x:c>
      <x:c r="F1016" s="10" t="n">
        <x:v>0.004096</x:v>
      </x:c>
      <x:c r="G1016" s="10" t="n">
        <x:f>SUM(D1016:F1016)</x:f>
        <x:v>560.021376</x:v>
      </x:c>
    </x:row>
    <x:row r="1017" ht="24" customHeight="1">
      <x:c r="A1017" s="10" t="str">
        <x:v>S03-02</x:v>
      </x:c>
      <x:c r="B1017" s="10" t="str">
        <x:v>B</x:v>
      </x:c>
      <x:c r="C1017" s="18" t="n">
        <x:v>1.337666767</x:v>
      </x:c>
      <x:c r="D1017" s="10" t="n">
        <x:v>560</x:v>
      </x:c>
      <x:c r="E1017" s="10" t="n">
        <x:v>0.017280014</x:v>
      </x:c>
      <x:c r="F1017" s="10" t="n">
        <x:v>0.004096</x:v>
      </x:c>
      <x:c r="G1017" s="10" t="n">
        <x:f>SUM(D1017:F1017)</x:f>
        <x:v>560.021376014</x:v>
      </x:c>
    </x:row>
    <x:row r="1018" ht="24" customHeight="1">
      <x:c r="A1018" s="10" t="str">
        <x:v>S03-02</x:v>
      </x:c>
      <x:c r="B1018" s="10" t="str">
        <x:v>B</x:v>
      </x:c>
      <x:c r="C1018" s="18" t="n">
        <x:v>1.937166567</x:v>
      </x:c>
      <x:c r="D1018" s="10" t="n">
        <x:v>560</x:v>
      </x:c>
      <x:c r="E1018" s="10" t="n">
        <x:v>0.103607986</x:v>
      </x:c>
      <x:c r="F1018" s="10" t="n">
        <x:v>0.004096</x:v>
      </x:c>
      <x:c r="G1018" s="10" t="n">
        <x:f>SUM(D1018:F1018)</x:f>
        <x:v>560.107703986</x:v>
      </x:c>
    </x:row>
    <x:row r="1019" ht="24" customHeight="1">
      <x:c r="A1019" s="10" t="str">
        <x:v>S03-02</x:v>
      </x:c>
      <x:c r="B1019" s="10" t="str">
        <x:v>B</x:v>
      </x:c>
      <x:c r="C1019" s="18" t="n">
        <x:v>1.937166667</x:v>
      </x:c>
      <x:c r="D1019" s="10" t="n">
        <x:v>560</x:v>
      </x:c>
      <x:c r="E1019" s="10" t="n">
        <x:v>0.103608</x:v>
      </x:c>
      <x:c r="F1019" s="10" t="n">
        <x:v>0.004096</x:v>
      </x:c>
      <x:c r="G1019" s="10" t="n">
        <x:f>SUM(D1019:F1019)</x:f>
        <x:v>560.107704</x:v>
      </x:c>
    </x:row>
    <x:row r="1020" ht="24" customHeight="1">
      <x:c r="A1020" s="10" t="str">
        <x:v>S03-02</x:v>
      </x:c>
      <x:c r="B1020" s="10" t="str">
        <x:v>B</x:v>
      </x:c>
      <x:c r="C1020" s="18" t="n">
        <x:v>1.937166767</x:v>
      </x:c>
      <x:c r="D1020" s="10" t="n">
        <x:v>560</x:v>
      </x:c>
      <x:c r="E1020" s="10" t="n">
        <x:v>0.103607995</x:v>
      </x:c>
      <x:c r="F1020" s="10" t="n">
        <x:v>0.004096</x:v>
      </x:c>
      <x:c r="G1020" s="10" t="n">
        <x:f>SUM(D1020:F1020)</x:f>
        <x:v>560.107703995</x:v>
      </x:c>
    </x:row>
    <x:row r="1021" ht="24" customHeight="1">
      <x:c r="A1021" s="10" t="str">
        <x:v>S03-02</x:v>
      </x:c>
      <x:c r="B1021" s="10" t="str">
        <x:v>B</x:v>
      </x:c>
      <x:c r="C1021" s="18" t="n">
        <x:v>4.095666567</x:v>
      </x:c>
      <x:c r="D1021" s="10" t="n">
        <x:v>560</x:v>
      </x:c>
      <x:c r="E1021" s="10" t="n">
        <x:v>5e-9</x:v>
      </x:c>
      <x:c r="F1021" s="10" t="n">
        <x:v>0.004096</x:v>
      </x:c>
      <x:c r="G1021" s="10" t="n">
        <x:f>SUM(D1021:F1021)</x:f>
        <x:v>560.004096005</x:v>
      </x:c>
    </x:row>
    <x:row r="1022" ht="24" customHeight="1">
      <x:c r="A1022" s="10" t="str">
        <x:v>S03-02</x:v>
      </x:c>
      <x:c r="B1022" s="10" t="str">
        <x:v>B</x:v>
      </x:c>
      <x:c r="C1022" s="18" t="n">
        <x:v>4.095666667</x:v>
      </x:c>
      <x:c r="D1022" s="10" t="n">
        <x:v>560</x:v>
      </x:c>
      <x:c r="E1022" s="10" t="n">
        <x:v>0</x:v>
      </x:c>
      <x:c r="F1022" s="10" t="n">
        <x:v>0.008192</x:v>
      </x:c>
      <x:c r="G1022" s="10" t="n">
        <x:f>SUM(D1022:F1022)</x:f>
        <x:v>560.008192</x:v>
      </x:c>
    </x:row>
    <x:row r="1023" ht="24" customHeight="1">
      <x:c r="A1023" s="10" t="str">
        <x:v>S03-02</x:v>
      </x:c>
      <x:c r="B1023" s="10" t="str">
        <x:v>B</x:v>
      </x:c>
      <x:c r="C1023" s="18" t="n">
        <x:v>4.095666767</x:v>
      </x:c>
      <x:c r="D1023" s="10" t="n">
        <x:v>560</x:v>
      </x:c>
      <x:c r="E1023" s="10" t="n">
        <x:v>0</x:v>
      </x:c>
      <x:c r="F1023" s="10" t="n">
        <x:v>0.004096</x:v>
      </x:c>
      <x:c r="G1023" s="10" t="n">
        <x:f>SUM(D1023:F1023)</x:f>
        <x:v>560.004096</x:v>
      </x:c>
    </x:row>
    <x:row r="1024" ht="24" customHeight="1">
      <x:c r="A1024" s="10" t="str">
        <x:v>S03-02</x:v>
      </x:c>
      <x:c r="B1024" s="10" t="str">
        <x:v>B</x:v>
      </x:c>
      <x:c r="C1024" s="18" t="n">
        <x:v>4.504666567</x:v>
      </x:c>
      <x:c r="D1024" s="10" t="n">
        <x:v>560</x:v>
      </x:c>
      <x:c r="E1024" s="10" t="n">
        <x:v>0</x:v>
      </x:c>
      <x:c r="F1024" s="10" t="n">
        <x:v>0.004096</x:v>
      </x:c>
      <x:c r="G1024" s="10" t="n">
        <x:f>SUM(D1024:F1024)</x:f>
        <x:v>560.004096</x:v>
      </x:c>
    </x:row>
    <x:row r="1025" ht="24" customHeight="1">
      <x:c r="A1025" s="10" t="str">
        <x:v>S03-02</x:v>
      </x:c>
      <x:c r="B1025" s="10" t="str">
        <x:v>B</x:v>
      </x:c>
      <x:c r="C1025" s="18" t="n">
        <x:v>4.504666667</x:v>
      </x:c>
      <x:c r="D1025" s="10" t="n">
        <x:v>560</x:v>
      </x:c>
      <x:c r="E1025" s="10" t="n">
        <x:v>0.0096</x:v>
      </x:c>
      <x:c r="F1025" s="10" t="n">
        <x:v>0.004096</x:v>
      </x:c>
      <x:c r="G1025" s="10" t="n">
        <x:f>SUM(D1025:F1025)</x:f>
        <x:v>560.013696</x:v>
      </x:c>
    </x:row>
    <x:row r="1026" ht="24" customHeight="1">
      <x:c r="A1026" s="10" t="str">
        <x:v>S03-02</x:v>
      </x:c>
      <x:c r="B1026" s="10" t="str">
        <x:v>B</x:v>
      </x:c>
      <x:c r="C1026" s="18" t="n">
        <x:v>4.504666767</x:v>
      </x:c>
      <x:c r="D1026" s="10" t="n">
        <x:v>560</x:v>
      </x:c>
      <x:c r="E1026" s="10" t="n">
        <x:v>0.009600019</x:v>
      </x:c>
      <x:c r="F1026" s="10" t="n">
        <x:v>0.004096</x:v>
      </x:c>
      <x:c r="G1026" s="10" t="n">
        <x:f>SUM(D1026:F1026)</x:f>
        <x:v>560.013696019</x:v>
      </x:c>
    </x:row>
    <x:row r="1027" ht="24" customHeight="1">
      <x:c r="A1027" s="10" t="str">
        <x:v>S03-02</x:v>
      </x:c>
      <x:c r="B1027" s="10" t="str">
        <x:v>B</x:v>
      </x:c>
      <x:c r="C1027" s="18" t="n">
        <x:v>4.544666567</x:v>
      </x:c>
      <x:c r="D1027" s="10" t="n">
        <x:v>560</x:v>
      </x:c>
      <x:c r="E1027" s="10" t="n">
        <x:v>0.017279981</x:v>
      </x:c>
      <x:c r="F1027" s="10" t="n">
        <x:v>0.004096</x:v>
      </x:c>
      <x:c r="G1027" s="10" t="n">
        <x:f>SUM(D1027:F1027)</x:f>
        <x:v>560.021375981</x:v>
      </x:c>
    </x:row>
    <x:row r="1028" ht="24" customHeight="1">
      <x:c r="A1028" s="10" t="str">
        <x:v>S03-02</x:v>
      </x:c>
      <x:c r="B1028" s="10" t="str">
        <x:v>B</x:v>
      </x:c>
      <x:c r="C1028" s="18" t="n">
        <x:v>4.544666667</x:v>
      </x:c>
      <x:c r="D1028" s="10" t="n">
        <x:v>560</x:v>
      </x:c>
      <x:c r="E1028" s="10" t="n">
        <x:v>0.01728</x:v>
      </x:c>
      <x:c r="F1028" s="10" t="n">
        <x:v>0.004096</x:v>
      </x:c>
      <x:c r="G1028" s="10" t="n">
        <x:f>SUM(D1028:F1028)</x:f>
        <x:v>560.021376</x:v>
      </x:c>
    </x:row>
    <x:row r="1029" ht="24" customHeight="1">
      <x:c r="A1029" s="10" t="str">
        <x:v>S03-02</x:v>
      </x:c>
      <x:c r="B1029" s="10" t="str">
        <x:v>B</x:v>
      </x:c>
      <x:c r="C1029" s="18" t="n">
        <x:v>4.544666767</x:v>
      </x:c>
      <x:c r="D1029" s="10" t="n">
        <x:v>560</x:v>
      </x:c>
      <x:c r="E1029" s="10" t="n">
        <x:v>0.017280014</x:v>
      </x:c>
      <x:c r="F1029" s="10" t="n">
        <x:v>0.004096</x:v>
      </x:c>
      <x:c r="G1029" s="10" t="n">
        <x:f>SUM(D1029:F1029)</x:f>
        <x:v>560.021376014</x:v>
      </x:c>
    </x:row>
    <x:row r="1030" ht="24" customHeight="1">
      <x:c r="A1030" s="10" t="str">
        <x:v>S03-02</x:v>
      </x:c>
      <x:c r="B1030" s="10" t="str">
        <x:v>B</x:v>
      </x:c>
      <x:c r="C1030" s="18" t="n">
        <x:v>6.444166567</x:v>
      </x:c>
      <x:c r="D1030" s="10" t="n">
        <x:v>560</x:v>
      </x:c>
      <x:c r="E1030" s="10" t="n">
        <x:v>0.290807986</x:v>
      </x:c>
      <x:c r="F1030" s="10" t="n">
        <x:v>0.004096</x:v>
      </x:c>
      <x:c r="G1030" s="10" t="n">
        <x:f>SUM(D1030:F1030)</x:f>
        <x:v>560.294903986</x:v>
      </x:c>
    </x:row>
    <x:row r="1031" ht="24" customHeight="1">
      <x:c r="A1031" s="10" t="str">
        <x:v>S03-02</x:v>
      </x:c>
      <x:c r="B1031" s="10" t="str">
        <x:v>B</x:v>
      </x:c>
      <x:c r="C1031" s="18" t="n">
        <x:v>6.444166667</x:v>
      </x:c>
      <x:c r="D1031" s="10" t="n">
        <x:v>560</x:v>
      </x:c>
      <x:c r="E1031" s="10" t="n">
        <x:v>0.290808</x:v>
      </x:c>
      <x:c r="F1031" s="10" t="n">
        <x:v>0.004096</x:v>
      </x:c>
      <x:c r="G1031" s="10" t="n">
        <x:f>SUM(D1031:F1031)</x:f>
        <x:v>560.294904</x:v>
      </x:c>
    </x:row>
    <x:row r="1032" ht="24" customHeight="1">
      <x:c r="A1032" s="10" t="str">
        <x:v>S03-02</x:v>
      </x:c>
      <x:c r="B1032" s="10" t="str">
        <x:v>B</x:v>
      </x:c>
      <x:c r="C1032" s="18" t="n">
        <x:v>6.444166767</x:v>
      </x:c>
      <x:c r="D1032" s="10" t="n">
        <x:v>560</x:v>
      </x:c>
      <x:c r="E1032" s="10" t="n">
        <x:v>0.290807995</x:v>
      </x:c>
      <x:c r="F1032" s="10" t="n">
        <x:v>0.004096</x:v>
      </x:c>
      <x:c r="G1032" s="10" t="n">
        <x:f>SUM(D1032:F1032)</x:f>
        <x:v>560.294903995</x:v>
      </x:c>
    </x:row>
    <x:row r="1033" ht="24" customHeight="1">
      <x:c r="A1033" s="10" t="str">
        <x:v>S03-02</x:v>
      </x:c>
      <x:c r="B1033" s="10" t="str">
        <x:v>B</x:v>
      </x:c>
      <x:c r="C1033" s="18" t="n">
        <x:v>12.502666567</x:v>
      </x:c>
      <x:c r="D1033" s="10" t="n">
        <x:v>560</x:v>
      </x:c>
      <x:c r="E1033" s="10" t="n">
        <x:v>5e-9</x:v>
      </x:c>
      <x:c r="F1033" s="10" t="n">
        <x:v>0.004096</x:v>
      </x:c>
      <x:c r="G1033" s="10" t="n">
        <x:f>SUM(D1033:F1033)</x:f>
        <x:v>560.004096005</x:v>
      </x:c>
    </x:row>
    <x:row r="1034" ht="24" customHeight="1">
      <x:c r="A1034" s="10" t="str">
        <x:v>S03-02</x:v>
      </x:c>
      <x:c r="B1034" s="10" t="str">
        <x:v>B</x:v>
      </x:c>
      <x:c r="C1034" s="18" t="n">
        <x:v>12.502666667</x:v>
      </x:c>
      <x:c r="D1034" s="10" t="n">
        <x:v>560</x:v>
      </x:c>
      <x:c r="E1034" s="10" t="n">
        <x:v>0</x:v>
      </x:c>
      <x:c r="F1034" s="10" t="n">
        <x:v>0.004096</x:v>
      </x:c>
      <x:c r="G1034" s="10" t="n">
        <x:f>SUM(D1034:F1034)</x:f>
        <x:v>560.004096</x:v>
      </x:c>
    </x:row>
    <x:row r="1035" ht="24" customHeight="1">
      <x:c r="A1035" s="10" t="str">
        <x:v>S03-02</x:v>
      </x:c>
      <x:c r="B1035" s="10" t="str">
        <x:v>B</x:v>
      </x:c>
      <x:c r="C1035" s="18" t="n">
        <x:v>12.502666767</x:v>
      </x:c>
      <x:c r="D1035" s="10" t="n">
        <x:v>560</x:v>
      </x:c>
      <x:c r="E1035" s="10" t="n">
        <x:v>0</x:v>
      </x:c>
      <x:c r="F1035" s="10" t="n">
        <x:v>0</x:v>
      </x:c>
      <x:c r="G1035" s="10" t="n">
        <x:f>SUM(D1035:F1035)</x:f>
        <x:v>560</x:v>
      </x:c>
    </x:row>
    <x:row r="1036" ht="24" customHeight="1">
      <x:c r="A1036" s="10" t="str">
        <x:v>S03-03</x:v>
      </x:c>
      <x:c r="B1036" s="10" t="str">
        <x:v>A</x:v>
      </x:c>
      <x:c r="C1036" s="18" t="n">
        <x:v>-6.0000001</x:v>
      </x:c>
      <x:c r="D1036" s="10" t="n">
        <x:v>560</x:v>
      </x:c>
      <x:c r="E1036" s="10" t="n">
        <x:v>0</x:v>
      </x:c>
      <x:c r="F1036" s="10" t="n">
        <x:v>0</x:v>
      </x:c>
      <x:c r="G1036" s="10" t="n">
        <x:f>SUM(D1036:F1036)</x:f>
        <x:v>560</x:v>
      </x:c>
    </x:row>
    <x:row r="1037" ht="24" customHeight="1">
      <x:c r="A1037" s="10" t="str">
        <x:v>S03-03</x:v>
      </x:c>
      <x:c r="B1037" s="10" t="str">
        <x:v>A</x:v>
      </x:c>
      <x:c r="C1037" s="18" t="n">
        <x:v>-6</x:v>
      </x:c>
      <x:c r="D1037" s="10" t="n">
        <x:v>560</x:v>
      </x:c>
      <x:c r="E1037" s="10" t="n">
        <x:v>0</x:v>
      </x:c>
      <x:c r="F1037" s="10" t="n">
        <x:v>0</x:v>
      </x:c>
      <x:c r="G1037" s="10" t="n">
        <x:f>SUM(D1037:F1037)</x:f>
        <x:v>560</x:v>
      </x:c>
    </x:row>
    <x:row r="1038" ht="24" customHeight="1">
      <x:c r="A1038" s="10" t="str">
        <x:v>S03-03</x:v>
      </x:c>
      <x:c r="B1038" s="10" t="str">
        <x:v>A</x:v>
      </x:c>
      <x:c r="C1038" s="18" t="n">
        <x:v>-5.9999999</x:v>
      </x:c>
      <x:c r="D1038" s="10" t="n">
        <x:v>560</x:v>
      </x:c>
      <x:c r="E1038" s="10" t="n">
        <x:v>0</x:v>
      </x:c>
      <x:c r="F1038" s="10" t="n">
        <x:v>0</x:v>
      </x:c>
      <x:c r="G1038" s="10" t="n">
        <x:f>SUM(D1038:F1038)</x:f>
        <x:v>560</x:v>
      </x:c>
    </x:row>
    <x:row r="1039" ht="24" customHeight="1">
      <x:c r="A1039" s="10" t="str">
        <x:v>S03-03</x:v>
      </x:c>
      <x:c r="B1039" s="10" t="str">
        <x:v>A</x:v>
      </x:c>
      <x:c r="C1039" s="18" t="n">
        <x:v>-1.4000001</x:v>
      </x:c>
      <x:c r="D1039" s="10" t="n">
        <x:v>560</x:v>
      </x:c>
      <x:c r="E1039" s="10" t="n">
        <x:v>0</x:v>
      </x:c>
      <x:c r="F1039" s="10" t="n">
        <x:v>0</x:v>
      </x:c>
      <x:c r="G1039" s="10" t="n">
        <x:f>SUM(D1039:F1039)</x:f>
        <x:v>560</x:v>
      </x:c>
    </x:row>
    <x:row r="1040" ht="24" customHeight="1">
      <x:c r="A1040" s="10" t="str">
        <x:v>S03-03</x:v>
      </x:c>
      <x:c r="B1040" s="10" t="str">
        <x:v>A</x:v>
      </x:c>
      <x:c r="C1040" s="18" t="n">
        <x:v>-1.4</x:v>
      </x:c>
      <x:c r="D1040" s="10" t="n">
        <x:v>560</x:v>
      </x:c>
      <x:c r="E1040" s="10" t="n">
        <x:v>0</x:v>
      </x:c>
      <x:c r="F1040" s="10" t="n">
        <x:v>0.004096</x:v>
      </x:c>
      <x:c r="G1040" s="10" t="n">
        <x:f>SUM(D1040:F1040)</x:f>
        <x:v>560.004096</x:v>
      </x:c>
    </x:row>
    <x:row r="1041" ht="24" customHeight="1">
      <x:c r="A1041" s="10" t="str">
        <x:v>S03-03</x:v>
      </x:c>
      <x:c r="B1041" s="10" t="str">
        <x:v>A</x:v>
      </x:c>
      <x:c r="C1041" s="18" t="n">
        <x:v>-1.3999999</x:v>
      </x:c>
      <x:c r="D1041" s="10" t="n">
        <x:v>560</x:v>
      </x:c>
      <x:c r="E1041" s="10" t="n">
        <x:v>0</x:v>
      </x:c>
      <x:c r="F1041" s="10" t="n">
        <x:v>0.004096</x:v>
      </x:c>
      <x:c r="G1041" s="10" t="n">
        <x:f>SUM(D1041:F1041)</x:f>
        <x:v>560.004096</x:v>
      </x:c>
    </x:row>
    <x:row r="1042" ht="24" customHeight="1">
      <x:c r="A1042" s="10" t="str">
        <x:v>S03-03</x:v>
      </x:c>
      <x:c r="B1042" s="10" t="str">
        <x:v>A</x:v>
      </x:c>
      <x:c r="C1042" s="18" t="n">
        <x:v>-1.0000001</x:v>
      </x:c>
      <x:c r="D1042" s="10" t="n">
        <x:v>560</x:v>
      </x:c>
      <x:c r="E1042" s="10" t="n">
        <x:v>0</x:v>
      </x:c>
      <x:c r="F1042" s="10" t="n">
        <x:v>0.004096</x:v>
      </x:c>
      <x:c r="G1042" s="10" t="n">
        <x:f>SUM(D1042:F1042)</x:f>
        <x:v>560.004096</x:v>
      </x:c>
    </x:row>
    <x:row r="1043" ht="24" customHeight="1">
      <x:c r="A1043" s="10" t="str">
        <x:v>S03-03</x:v>
      </x:c>
      <x:c r="B1043" s="10" t="str">
        <x:v>A</x:v>
      </x:c>
      <x:c r="C1043" s="18" t="n">
        <x:v>-1</x:v>
      </x:c>
      <x:c r="D1043" s="10" t="n">
        <x:v>560</x:v>
      </x:c>
      <x:c r="E1043" s="10" t="n">
        <x:v>0</x:v>
      </x:c>
      <x:c r="F1043" s="10" t="n">
        <x:v>0.008192</x:v>
      </x:c>
      <x:c r="G1043" s="10" t="n">
        <x:f>SUM(D1043:F1043)</x:f>
        <x:v>560.008192</x:v>
      </x:c>
    </x:row>
    <x:row r="1044" ht="24" customHeight="1">
      <x:c r="A1044" s="10" t="str">
        <x:v>S03-03</x:v>
      </x:c>
      <x:c r="B1044" s="10" t="str">
        <x:v>A</x:v>
      </x:c>
      <x:c r="C1044" s="18" t="n">
        <x:v>-0.9999999</x:v>
      </x:c>
      <x:c r="D1044" s="10" t="n">
        <x:v>560</x:v>
      </x:c>
      <x:c r="E1044" s="10" t="n">
        <x:v>0</x:v>
      </x:c>
      <x:c r="F1044" s="10" t="n">
        <x:v>0.008192</x:v>
      </x:c>
      <x:c r="G1044" s="10" t="n">
        <x:f>SUM(D1044:F1044)</x:f>
        <x:v>560.008192</x:v>
      </x:c>
    </x:row>
    <x:row r="1045" ht="24" customHeight="1">
      <x:c r="A1045" s="10" t="str">
        <x:v>S03-03</x:v>
      </x:c>
      <x:c r="B1045" s="10" t="str">
        <x:v>A</x:v>
      </x:c>
      <x:c r="C1045" s="18" t="n">
        <x:v>-0.9990001</x:v>
      </x:c>
      <x:c r="D1045" s="10" t="n">
        <x:v>560</x:v>
      </x:c>
      <x:c r="E1045" s="10" t="n">
        <x:v>0</x:v>
      </x:c>
      <x:c r="F1045" s="10" t="n">
        <x:v>0.008192</x:v>
      </x:c>
      <x:c r="G1045" s="10" t="n">
        <x:f>SUM(D1045:F1045)</x:f>
        <x:v>560.008192</x:v>
      </x:c>
    </x:row>
    <x:row r="1046" ht="24" customHeight="1">
      <x:c r="A1046" s="10" t="str">
        <x:v>S03-03</x:v>
      </x:c>
      <x:c r="B1046" s="10" t="str">
        <x:v>A</x:v>
      </x:c>
      <x:c r="C1046" s="18" t="n">
        <x:v>-0.999</x:v>
      </x:c>
      <x:c r="D1046" s="10" t="n">
        <x:v>560</x:v>
      </x:c>
      <x:c r="E1046" s="10" t="n">
        <x:v>0.0096</x:v>
      </x:c>
      <x:c r="F1046" s="10" t="n">
        <x:v>0.008192</x:v>
      </x:c>
      <x:c r="G1046" s="10" t="n">
        <x:f>SUM(D1046:F1046)</x:f>
        <x:v>560.017792</x:v>
      </x:c>
    </x:row>
    <x:row r="1047" ht="24" customHeight="1">
      <x:c r="A1047" s="10" t="str">
        <x:v>S03-03</x:v>
      </x:c>
      <x:c r="B1047" s="10" t="str">
        <x:v>A</x:v>
      </x:c>
      <x:c r="C1047" s="18" t="n">
        <x:v>-0.9989999</x:v>
      </x:c>
      <x:c r="D1047" s="10" t="n">
        <x:v>560</x:v>
      </x:c>
      <x:c r="E1047" s="10" t="n">
        <x:v>0.009600019</x:v>
      </x:c>
      <x:c r="F1047" s="10" t="n">
        <x:v>0.008192</x:v>
      </x:c>
      <x:c r="G1047" s="10" t="n">
        <x:f>SUM(D1047:F1047)</x:f>
        <x:v>560.017792019</x:v>
      </x:c>
    </x:row>
    <x:row r="1048" ht="24" customHeight="1">
      <x:c r="A1048" s="10" t="str">
        <x:v>S03-03</x:v>
      </x:c>
      <x:c r="B1048" s="10" t="str">
        <x:v>A</x:v>
      </x:c>
      <x:c r="C1048" s="18" t="n">
        <x:v>-0.5900001</x:v>
      </x:c>
      <x:c r="D1048" s="10" t="n">
        <x:v>560</x:v>
      </x:c>
      <x:c r="E1048" s="10" t="n">
        <x:v>0.088127981</x:v>
      </x:c>
      <x:c r="F1048" s="10" t="n">
        <x:v>0.008192</x:v>
      </x:c>
      <x:c r="G1048" s="10" t="n">
        <x:f>SUM(D1048:F1048)</x:f>
        <x:v>560.096319981</x:v>
      </x:c>
    </x:row>
    <x:row r="1049" ht="24" customHeight="1">
      <x:c r="A1049" s="10" t="str">
        <x:v>S03-03</x:v>
      </x:c>
      <x:c r="B1049" s="10" t="str">
        <x:v>A</x:v>
      </x:c>
      <x:c r="C1049" s="18" t="n">
        <x:v>-0.59</x:v>
      </x:c>
      <x:c r="D1049" s="10" t="n">
        <x:v>560</x:v>
      </x:c>
      <x:c r="E1049" s="10" t="n">
        <x:v>0.097728</x:v>
      </x:c>
      <x:c r="F1049" s="10" t="n">
        <x:v>0.008192</x:v>
      </x:c>
      <x:c r="G1049" s="10" t="n">
        <x:f>SUM(D1049:F1049)</x:f>
        <x:v>560.10592</x:v>
      </x:c>
    </x:row>
    <x:row r="1050" ht="24" customHeight="1">
      <x:c r="A1050" s="10" t="str">
        <x:v>S03-03</x:v>
      </x:c>
      <x:c r="B1050" s="10" t="str">
        <x:v>A</x:v>
      </x:c>
      <x:c r="C1050" s="18" t="n">
        <x:v>-0.5899999</x:v>
      </x:c>
      <x:c r="D1050" s="10" t="n">
        <x:v>560</x:v>
      </x:c>
      <x:c r="E1050" s="10" t="n">
        <x:v>0.097728038</x:v>
      </x:c>
      <x:c r="F1050" s="10" t="n">
        <x:v>0.008192</x:v>
      </x:c>
      <x:c r="G1050" s="10" t="n">
        <x:f>SUM(D1050:F1050)</x:f>
        <x:v>560.105920038</x:v>
      </x:c>
    </x:row>
    <x:row r="1051" ht="24" customHeight="1">
      <x:c r="A1051" s="10" t="str">
        <x:v>S03-03</x:v>
      </x:c>
      <x:c r="B1051" s="10" t="str">
        <x:v>A</x:v>
      </x:c>
      <x:c r="C1051" s="18" t="n">
        <x:v>-0.3565001</x:v>
      </x:c>
      <x:c r="D1051" s="10" t="n">
        <x:v>560</x:v>
      </x:c>
      <x:c r="E1051" s="10" t="n">
        <x:v>0.187391962</x:v>
      </x:c>
      <x:c r="F1051" s="10" t="n">
        <x:v>0.008192</x:v>
      </x:c>
      <x:c r="G1051" s="10" t="n">
        <x:f>SUM(D1051:F1051)</x:f>
        <x:v>560.195583962</x:v>
      </x:c>
    </x:row>
    <x:row r="1052" ht="24" customHeight="1">
      <x:c r="A1052" s="10" t="str">
        <x:v>S03-03</x:v>
      </x:c>
      <x:c r="B1052" s="10" t="str">
        <x:v>A</x:v>
      </x:c>
      <x:c r="C1052" s="18" t="n">
        <x:v>-0.3565</x:v>
      </x:c>
      <x:c r="D1052" s="10" t="n">
        <x:v>560</x:v>
      </x:c>
      <x:c r="E1052" s="10" t="n">
        <x:v>0.187392</x:v>
      </x:c>
      <x:c r="F1052" s="10" t="n">
        <x:v>0.008192</x:v>
      </x:c>
      <x:c r="G1052" s="10" t="n">
        <x:f>SUM(D1052:F1052)</x:f>
        <x:v>560.195584</x:v>
      </x:c>
    </x:row>
    <x:row r="1053" ht="24" customHeight="1">
      <x:c r="A1053" s="10" t="str">
        <x:v>S03-03</x:v>
      </x:c>
      <x:c r="B1053" s="10" t="str">
        <x:v>A</x:v>
      </x:c>
      <x:c r="C1053" s="18" t="n">
        <x:v>-0.3564999</x:v>
      </x:c>
      <x:c r="D1053" s="10" t="n">
        <x:v>560</x:v>
      </x:c>
      <x:c r="E1053" s="10" t="n">
        <x:v>0.187392019</x:v>
      </x:c>
      <x:c r="F1053" s="10" t="n">
        <x:v>0.008192</x:v>
      </x:c>
      <x:c r="G1053" s="10" t="n">
        <x:f>SUM(D1053:F1053)</x:f>
        <x:v>560.195584019</x:v>
      </x:c>
    </x:row>
    <x:row r="1054" ht="24" customHeight="1">
      <x:c r="A1054" s="10" t="str">
        <x:v>S03-03</x:v>
      </x:c>
      <x:c r="B1054" s="10" t="str">
        <x:v>A</x:v>
      </x:c>
      <x:c r="C1054" s="18" t="n">
        <x:v>-1e-7</x:v>
      </x:c>
      <x:c r="D1054" s="10" t="n">
        <x:v>560</x:v>
      </x:c>
      <x:c r="E1054" s="10" t="n">
        <x:v>0.255839981</x:v>
      </x:c>
      <x:c r="F1054" s="10" t="n">
        <x:v>0.008192</x:v>
      </x:c>
      <x:c r="G1054" s="10" t="n">
        <x:f>SUM(D1054:F1054)</x:f>
        <x:v>560.264031981</x:v>
      </x:c>
    </x:row>
    <x:row r="1055" ht="24" customHeight="1">
      <x:c r="A1055" s="10" t="str">
        <x:v>S03-03</x:v>
      </x:c>
      <x:c r="B1055" s="10" t="str">
        <x:v>A</x:v>
      </x:c>
      <x:c r="C1055" s="18" t="n">
        <x:v>0</x:v>
      </x:c>
      <x:c r="D1055" s="10" t="n">
        <x:v>560</x:v>
      </x:c>
      <x:c r="E1055" s="10" t="n">
        <x:v>0.25584</x:v>
      </x:c>
      <x:c r="F1055" s="10" t="n">
        <x:v>0.008192</x:v>
      </x:c>
      <x:c r="G1055" s="10" t="n">
        <x:f>SUM(D1055:F1055)</x:f>
        <x:v>560.264032</x:v>
      </x:c>
    </x:row>
    <x:row r="1056" ht="24" customHeight="1">
      <x:c r="A1056" s="10" t="str">
        <x:v>S03-03</x:v>
      </x:c>
      <x:c r="B1056" s="10" t="str">
        <x:v>A</x:v>
      </x:c>
      <x:c r="C1056" s="18" t="n">
        <x:v>1e-7</x:v>
      </x:c>
      <x:c r="D1056" s="10" t="n">
        <x:v>560</x:v>
      </x:c>
      <x:c r="E1056" s="10" t="n">
        <x:v>0.255840019</x:v>
      </x:c>
      <x:c r="F1056" s="10" t="n">
        <x:v>0.008192</x:v>
      </x:c>
      <x:c r="G1056" s="10" t="n">
        <x:f>SUM(D1056:F1056)</x:f>
        <x:v>560.264032019</x:v>
      </x:c>
    </x:row>
    <x:row r="1057" ht="24" customHeight="1">
      <x:c r="A1057" s="10" t="str">
        <x:v>S03-03</x:v>
      </x:c>
      <x:c r="B1057" s="10" t="str">
        <x:v>A</x:v>
      </x:c>
      <x:c r="C1057" s="18" t="n">
        <x:v>0.8499999</x:v>
      </x:c>
      <x:c r="D1057" s="10" t="n">
        <x:v>560</x:v>
      </x:c>
      <x:c r="E1057" s="10" t="n">
        <x:v>0.419039981</x:v>
      </x:c>
      <x:c r="F1057" s="10" t="n">
        <x:v>0.008192</x:v>
      </x:c>
      <x:c r="G1057" s="10" t="n">
        <x:f>SUM(D1057:F1057)</x:f>
        <x:v>560.427231981</x:v>
      </x:c>
    </x:row>
    <x:row r="1058" ht="24" customHeight="1">
      <x:c r="A1058" s="10" t="str">
        <x:v>S03-03</x:v>
      </x:c>
      <x:c r="B1058" s="10" t="str">
        <x:v>A</x:v>
      </x:c>
      <x:c r="C1058" s="18" t="n">
        <x:v>0.85</x:v>
      </x:c>
      <x:c r="D1058" s="10" t="n">
        <x:v>560</x:v>
      </x:c>
      <x:c r="E1058" s="10" t="n">
        <x:v>0.41904</x:v>
      </x:c>
      <x:c r="F1058" s="10" t="n">
        <x:v>0.008192</x:v>
      </x:c>
      <x:c r="G1058" s="10" t="n">
        <x:f>SUM(D1058:F1058)</x:f>
        <x:v>560.427232</x:v>
      </x:c>
    </x:row>
    <x:row r="1059" ht="24" customHeight="1">
      <x:c r="A1059" s="10" t="str">
        <x:v>S03-03</x:v>
      </x:c>
      <x:c r="B1059" s="10" t="str">
        <x:v>A</x:v>
      </x:c>
      <x:c r="C1059" s="18" t="n">
        <x:v>0.8500001</x:v>
      </x:c>
      <x:c r="D1059" s="10" t="n">
        <x:v>560</x:v>
      </x:c>
      <x:c r="E1059" s="10" t="n">
        <x:v>0.419040019</x:v>
      </x:c>
      <x:c r="F1059" s="10" t="n">
        <x:v>0.008192</x:v>
      </x:c>
      <x:c r="G1059" s="10" t="n">
        <x:f>SUM(D1059:F1059)</x:f>
        <x:v>560.427232019</x:v>
      </x:c>
    </x:row>
    <x:row r="1060" ht="24" customHeight="1">
      <x:c r="A1060" s="10" t="str">
        <x:v>S03-03</x:v>
      </x:c>
      <x:c r="B1060" s="10" t="str">
        <x:v>A</x:v>
      </x:c>
      <x:c r="C1060" s="18" t="n">
        <x:v>0.8899999</x:v>
      </x:c>
      <x:c r="D1060" s="10" t="n">
        <x:v>560</x:v>
      </x:c>
      <x:c r="E1060" s="10" t="n">
        <x:v>0.426719981</x:v>
      </x:c>
      <x:c r="F1060" s="10" t="n">
        <x:v>0.008192</x:v>
      </x:c>
      <x:c r="G1060" s="10" t="n">
        <x:f>SUM(D1060:F1060)</x:f>
        <x:v>560.434911981</x:v>
      </x:c>
    </x:row>
    <x:row r="1061" ht="24" customHeight="1">
      <x:c r="A1061" s="10" t="str">
        <x:v>S03-03</x:v>
      </x:c>
      <x:c r="B1061" s="10" t="str">
        <x:v>A</x:v>
      </x:c>
      <x:c r="C1061" s="18" t="n">
        <x:v>0.89</x:v>
      </x:c>
      <x:c r="D1061" s="10" t="n">
        <x:v>560</x:v>
      </x:c>
      <x:c r="E1061" s="10" t="n">
        <x:v>0.42672</x:v>
      </x:c>
      <x:c r="F1061" s="10" t="n">
        <x:v>0.008192</x:v>
      </x:c>
      <x:c r="G1061" s="10" t="n">
        <x:f>SUM(D1061:F1061)</x:f>
        <x:v>560.434912</x:v>
      </x:c>
    </x:row>
    <x:row r="1062" ht="24" customHeight="1">
      <x:c r="A1062" s="10" t="str">
        <x:v>S03-03</x:v>
      </x:c>
      <x:c r="B1062" s="10" t="str">
        <x:v>A</x:v>
      </x:c>
      <x:c r="C1062" s="18" t="n">
        <x:v>0.8900001</x:v>
      </x:c>
      <x:c r="D1062" s="10" t="n">
        <x:v>560</x:v>
      </x:c>
      <x:c r="E1062" s="10" t="n">
        <x:v>0.426720014</x:v>
      </x:c>
      <x:c r="F1062" s="10" t="n">
        <x:v>0.008192</x:v>
      </x:c>
      <x:c r="G1062" s="10" t="n">
        <x:f>SUM(D1062:F1062)</x:f>
        <x:v>560.434912014</x:v>
      </x:c>
    </x:row>
    <x:row r="1063" ht="24" customHeight="1">
      <x:c r="A1063" s="10" t="str">
        <x:v>S03-03</x:v>
      </x:c>
      <x:c r="B1063" s="10" t="str">
        <x:v>A</x:v>
      </x:c>
      <x:c r="C1063" s="18" t="n">
        <x:v>0.9499999</x:v>
      </x:c>
      <x:c r="D1063" s="10" t="n">
        <x:v>560</x:v>
      </x:c>
      <x:c r="E1063" s="10" t="n">
        <x:v>0.435359986</x:v>
      </x:c>
      <x:c r="F1063" s="10" t="n">
        <x:v>0.008192</x:v>
      </x:c>
      <x:c r="G1063" s="10" t="n">
        <x:f>SUM(D1063:F1063)</x:f>
        <x:v>560.443551986</x:v>
      </x:c>
    </x:row>
    <x:row r="1064" ht="24" customHeight="1">
      <x:c r="A1064" s="10" t="str">
        <x:v>S03-03</x:v>
      </x:c>
      <x:c r="B1064" s="10" t="str">
        <x:v>A</x:v>
      </x:c>
      <x:c r="C1064" s="18" t="n">
        <x:v>0.95</x:v>
      </x:c>
      <x:c r="D1064" s="10" t="n">
        <x:v>560</x:v>
      </x:c>
      <x:c r="E1064" s="10" t="n">
        <x:v>0.43536</x:v>
      </x:c>
      <x:c r="F1064" s="10" t="n">
        <x:v>0.008192</x:v>
      </x:c>
      <x:c r="G1064" s="10" t="n">
        <x:f>SUM(D1064:F1064)</x:f>
        <x:v>560.443552</x:v>
      </x:c>
    </x:row>
    <x:row r="1065" ht="24" customHeight="1">
      <x:c r="A1065" s="10" t="str">
        <x:v>S03-03</x:v>
      </x:c>
      <x:c r="B1065" s="10" t="str">
        <x:v>A</x:v>
      </x:c>
      <x:c r="C1065" s="18" t="n">
        <x:v>0.9500001</x:v>
      </x:c>
      <x:c r="D1065" s="10" t="n">
        <x:v>560</x:v>
      </x:c>
      <x:c r="E1065" s="10" t="n">
        <x:v>0.130079995</x:v>
      </x:c>
      <x:c r="F1065" s="10" t="n">
        <x:v>0.004096</x:v>
      </x:c>
      <x:c r="G1065" s="10" t="n">
        <x:f>SUM(D1065:F1065)</x:f>
        <x:v>560.134175995</x:v>
      </x:c>
    </x:row>
    <x:row r="1066" ht="24" customHeight="1">
      <x:c r="A1066" s="10" t="str">
        <x:v>S03-03</x:v>
      </x:c>
      <x:c r="B1066" s="10" t="str">
        <x:v>A</x:v>
      </x:c>
      <x:c r="C1066" s="18" t="n">
        <x:v>3.3699999</x:v>
      </x:c>
      <x:c r="D1066" s="10" t="n">
        <x:v>560</x:v>
      </x:c>
      <x:c r="E1066" s="10" t="n">
        <x:v>0.013920005</x:v>
      </x:c>
      <x:c r="F1066" s="10" t="n">
        <x:v>0.004096</x:v>
      </x:c>
      <x:c r="G1066" s="10" t="n">
        <x:f>SUM(D1066:F1066)</x:f>
        <x:v>560.018016005</x:v>
      </x:c>
    </x:row>
    <x:row r="1067" ht="24" customHeight="1">
      <x:c r="A1067" s="10" t="str">
        <x:v>S03-03</x:v>
      </x:c>
      <x:c r="B1067" s="10" t="str">
        <x:v>A</x:v>
      </x:c>
      <x:c r="C1067" s="18" t="n">
        <x:v>3.37</x:v>
      </x:c>
      <x:c r="D1067" s="10" t="n">
        <x:v>560</x:v>
      </x:c>
      <x:c r="E1067" s="10" t="n">
        <x:v>0.01392</x:v>
      </x:c>
      <x:c r="F1067" s="10" t="n">
        <x:v>0.008192</x:v>
      </x:c>
      <x:c r="G1067" s="10" t="n">
        <x:f>SUM(D1067:F1067)</x:f>
        <x:v>560.022112</x:v>
      </x:c>
    </x:row>
    <x:row r="1068" ht="24" customHeight="1">
      <x:c r="A1068" s="10" t="str">
        <x:v>S03-03</x:v>
      </x:c>
      <x:c r="B1068" s="10" t="str">
        <x:v>A</x:v>
      </x:c>
      <x:c r="C1068" s="18" t="n">
        <x:v>3.3700001</x:v>
      </x:c>
      <x:c r="D1068" s="10" t="n">
        <x:v>560</x:v>
      </x:c>
      <x:c r="E1068" s="10" t="n">
        <x:v>0.013919995</x:v>
      </x:c>
      <x:c r="F1068" s="10" t="n">
        <x:v>0.008192</x:v>
      </x:c>
      <x:c r="G1068" s="10" t="n">
        <x:f>SUM(D1068:F1068)</x:f>
        <x:v>560.022111995</x:v>
      </x:c>
    </x:row>
    <x:row r="1069" ht="24" customHeight="1">
      <x:c r="A1069" s="10" t="str">
        <x:v>S03-03</x:v>
      </x:c>
      <x:c r="B1069" s="10" t="str">
        <x:v>A</x:v>
      </x:c>
      <x:c r="C1069" s="18" t="n">
        <x:v>3.6599999</x:v>
      </x:c>
      <x:c r="D1069" s="10" t="n">
        <x:v>560</x:v>
      </x:c>
      <x:c r="E1069" s="10" t="n">
        <x:v>5e-9</x:v>
      </x:c>
      <x:c r="F1069" s="10" t="n">
        <x:v>0.008192</x:v>
      </x:c>
      <x:c r="G1069" s="10" t="n">
        <x:f>SUM(D1069:F1069)</x:f>
        <x:v>560.008192005</x:v>
      </x:c>
    </x:row>
    <x:row r="1070" ht="24" customHeight="1">
      <x:c r="A1070" s="10" t="str">
        <x:v>S03-03</x:v>
      </x:c>
      <x:c r="B1070" s="10" t="str">
        <x:v>A</x:v>
      </x:c>
      <x:c r="C1070" s="18" t="n">
        <x:v>3.66</x:v>
      </x:c>
      <x:c r="D1070" s="10" t="n">
        <x:v>560</x:v>
      </x:c>
      <x:c r="E1070" s="10" t="n">
        <x:v>0</x:v>
      </x:c>
      <x:c r="F1070" s="10" t="n">
        <x:v>0.008192</x:v>
      </x:c>
      <x:c r="G1070" s="10" t="n">
        <x:f>SUM(D1070:F1070)</x:f>
        <x:v>560.008192</x:v>
      </x:c>
    </x:row>
    <x:row r="1071" ht="24" customHeight="1">
      <x:c r="A1071" s="10" t="str">
        <x:v>S03-03</x:v>
      </x:c>
      <x:c r="B1071" s="10" t="str">
        <x:v>A</x:v>
      </x:c>
      <x:c r="C1071" s="18" t="n">
        <x:v>3.6600001</x:v>
      </x:c>
      <x:c r="D1071" s="10" t="n">
        <x:v>560</x:v>
      </x:c>
      <x:c r="E1071" s="10" t="n">
        <x:v>0</x:v>
      </x:c>
      <x:c r="F1071" s="10" t="n">
        <x:v>0.004096</x:v>
      </x:c>
      <x:c r="G1071" s="10" t="n">
        <x:f>SUM(D1071:F1071)</x:f>
        <x:v>560.004096</x:v>
      </x:c>
    </x:row>
    <x:row r="1072" ht="24" customHeight="1">
      <x:c r="A1072" s="10" t="str">
        <x:v>S03-03</x:v>
      </x:c>
      <x:c r="B1072" s="10" t="str">
        <x:v>A</x:v>
      </x:c>
      <x:c r="C1072" s="18" t="n">
        <x:v>3.7789999</x:v>
      </x:c>
      <x:c r="D1072" s="10" t="n">
        <x:v>560</x:v>
      </x:c>
      <x:c r="E1072" s="10" t="n">
        <x:v>0</x:v>
      </x:c>
      <x:c r="F1072" s="10" t="n">
        <x:v>0.004096</x:v>
      </x:c>
      <x:c r="G1072" s="10" t="n">
        <x:f>SUM(D1072:F1072)</x:f>
        <x:v>560.004096</x:v>
      </x:c>
    </x:row>
    <x:row r="1073" ht="24" customHeight="1">
      <x:c r="A1073" s="10" t="str">
        <x:v>S03-03</x:v>
      </x:c>
      <x:c r="B1073" s="10" t="str">
        <x:v>A</x:v>
      </x:c>
      <x:c r="C1073" s="18" t="n">
        <x:v>3.779</x:v>
      </x:c>
      <x:c r="D1073" s="10" t="n">
        <x:v>560</x:v>
      </x:c>
      <x:c r="E1073" s="10" t="n">
        <x:v>0.0096</x:v>
      </x:c>
      <x:c r="F1073" s="10" t="n">
        <x:v>0.004096</x:v>
      </x:c>
      <x:c r="G1073" s="10" t="n">
        <x:f>SUM(D1073:F1073)</x:f>
        <x:v>560.013696</x:v>
      </x:c>
    </x:row>
    <x:row r="1074" ht="24" customHeight="1">
      <x:c r="A1074" s="10" t="str">
        <x:v>S03-03</x:v>
      </x:c>
      <x:c r="B1074" s="10" t="str">
        <x:v>A</x:v>
      </x:c>
      <x:c r="C1074" s="18" t="n">
        <x:v>3.7790001</x:v>
      </x:c>
      <x:c r="D1074" s="10" t="n">
        <x:v>560</x:v>
      </x:c>
      <x:c r="E1074" s="10" t="n">
        <x:v>0.009600019</x:v>
      </x:c>
      <x:c r="F1074" s="10" t="n">
        <x:v>0.004096</x:v>
      </x:c>
      <x:c r="G1074" s="10" t="n">
        <x:f>SUM(D1074:F1074)</x:f>
        <x:v>560.013696019</x:v>
      </x:c>
    </x:row>
    <x:row r="1075" ht="24" customHeight="1">
      <x:c r="A1075" s="10" t="str">
        <x:v>S03-03</x:v>
      </x:c>
      <x:c r="B1075" s="10" t="str">
        <x:v>A</x:v>
      </x:c>
      <x:c r="C1075" s="18" t="n">
        <x:v>3.8189999</x:v>
      </x:c>
      <x:c r="D1075" s="10" t="n">
        <x:v>560</x:v>
      </x:c>
      <x:c r="E1075" s="10" t="n">
        <x:v>0.017279981</x:v>
      </x:c>
      <x:c r="F1075" s="10" t="n">
        <x:v>0.004096</x:v>
      </x:c>
      <x:c r="G1075" s="10" t="n">
        <x:f>SUM(D1075:F1075)</x:f>
        <x:v>560.021375981</x:v>
      </x:c>
    </x:row>
    <x:row r="1076" ht="24" customHeight="1">
      <x:c r="A1076" s="10" t="str">
        <x:v>S03-03</x:v>
      </x:c>
      <x:c r="B1076" s="10" t="str">
        <x:v>A</x:v>
      </x:c>
      <x:c r="C1076" s="18" t="n">
        <x:v>3.819</x:v>
      </x:c>
      <x:c r="D1076" s="10" t="n">
        <x:v>560</x:v>
      </x:c>
      <x:c r="E1076" s="10" t="n">
        <x:v>0.01728</x:v>
      </x:c>
      <x:c r="F1076" s="10" t="n">
        <x:v>0.004096</x:v>
      </x:c>
      <x:c r="G1076" s="10" t="n">
        <x:f>SUM(D1076:F1076)</x:f>
        <x:v>560.021376</x:v>
      </x:c>
    </x:row>
    <x:row r="1077" ht="24" customHeight="1">
      <x:c r="A1077" s="10" t="str">
        <x:v>S03-03</x:v>
      </x:c>
      <x:c r="B1077" s="10" t="str">
        <x:v>A</x:v>
      </x:c>
      <x:c r="C1077" s="18" t="n">
        <x:v>3.8190001</x:v>
      </x:c>
      <x:c r="D1077" s="10" t="n">
        <x:v>560</x:v>
      </x:c>
      <x:c r="E1077" s="10" t="n">
        <x:v>0.017280014</x:v>
      </x:c>
      <x:c r="F1077" s="10" t="n">
        <x:v>0.004096</x:v>
      </x:c>
      <x:c r="G1077" s="10" t="n">
        <x:f>SUM(D1077:F1077)</x:f>
        <x:v>560.021376014</x:v>
      </x:c>
    </x:row>
    <x:row r="1078" ht="24" customHeight="1">
      <x:c r="A1078" s="10" t="str">
        <x:v>S03-03</x:v>
      </x:c>
      <x:c r="B1078" s="10" t="str">
        <x:v>A</x:v>
      </x:c>
      <x:c r="C1078" s="18" t="n">
        <x:v>5.7214999</x:v>
      </x:c>
      <x:c r="D1078" s="10" t="n">
        <x:v>560</x:v>
      </x:c>
      <x:c r="E1078" s="10" t="n">
        <x:v>0.291239986</x:v>
      </x:c>
      <x:c r="F1078" s="10" t="n">
        <x:v>0.004096</x:v>
      </x:c>
      <x:c r="G1078" s="10" t="n">
        <x:f>SUM(D1078:F1078)</x:f>
        <x:v>560.295335986</x:v>
      </x:c>
    </x:row>
    <x:row r="1079" ht="24" customHeight="1">
      <x:c r="A1079" s="10" t="str">
        <x:v>S03-03</x:v>
      </x:c>
      <x:c r="B1079" s="10" t="str">
        <x:v>A</x:v>
      </x:c>
      <x:c r="C1079" s="18" t="n">
        <x:v>5.7215</x:v>
      </x:c>
      <x:c r="D1079" s="10" t="n">
        <x:v>560</x:v>
      </x:c>
      <x:c r="E1079" s="10" t="n">
        <x:v>0.29124</x:v>
      </x:c>
      <x:c r="F1079" s="10" t="n">
        <x:v>0.004096</x:v>
      </x:c>
      <x:c r="G1079" s="10" t="n">
        <x:f>SUM(D1079:F1079)</x:f>
        <x:v>560.295336</x:v>
      </x:c>
    </x:row>
    <x:row r="1080" ht="24" customHeight="1">
      <x:c r="A1080" s="10" t="str">
        <x:v>S03-03</x:v>
      </x:c>
      <x:c r="B1080" s="10" t="str">
        <x:v>A</x:v>
      </x:c>
      <x:c r="C1080" s="18" t="n">
        <x:v>5.7215001</x:v>
      </x:c>
      <x:c r="D1080" s="10" t="n">
        <x:v>560</x:v>
      </x:c>
      <x:c r="E1080" s="10" t="n">
        <x:v>0.291239995</x:v>
      </x:c>
      <x:c r="F1080" s="10" t="n">
        <x:v>0.004096</x:v>
      </x:c>
      <x:c r="G1080" s="10" t="n">
        <x:f>SUM(D1080:F1080)</x:f>
        <x:v>560.295335995</x:v>
      </x:c>
    </x:row>
    <x:row r="1081" ht="24" customHeight="1">
      <x:c r="A1081" s="10" t="str">
        <x:v>S03-03</x:v>
      </x:c>
      <x:c r="B1081" s="10" t="str">
        <x:v>A</x:v>
      </x:c>
      <x:c r="C1081" s="18" t="n">
        <x:v>11.7889999</x:v>
      </x:c>
      <x:c r="D1081" s="10" t="n">
        <x:v>560</x:v>
      </x:c>
      <x:c r="E1081" s="10" t="n">
        <x:v>5e-9</x:v>
      </x:c>
      <x:c r="F1081" s="10" t="n">
        <x:v>0.004096</x:v>
      </x:c>
      <x:c r="G1081" s="10" t="n">
        <x:f>SUM(D1081:F1081)</x:f>
        <x:v>560.004096005</x:v>
      </x:c>
    </x:row>
    <x:row r="1082" ht="24" customHeight="1">
      <x:c r="A1082" s="10" t="str">
        <x:v>S03-03</x:v>
      </x:c>
      <x:c r="B1082" s="10" t="str">
        <x:v>A</x:v>
      </x:c>
      <x:c r="C1082" s="18" t="n">
        <x:v>11.789</x:v>
      </x:c>
      <x:c r="D1082" s="10" t="n">
        <x:v>560</x:v>
      </x:c>
      <x:c r="E1082" s="10" t="n">
        <x:v>0</x:v>
      </x:c>
      <x:c r="F1082" s="10" t="n">
        <x:v>0.004096</x:v>
      </x:c>
      <x:c r="G1082" s="10" t="n">
        <x:f>SUM(D1082:F1082)</x:f>
        <x:v>560.004096</x:v>
      </x:c>
    </x:row>
    <x:row r="1083" ht="24" customHeight="1">
      <x:c r="A1083" s="10" t="str">
        <x:v>S03-03</x:v>
      </x:c>
      <x:c r="B1083" s="10" t="str">
        <x:v>A</x:v>
      </x:c>
      <x:c r="C1083" s="18" t="n">
        <x:v>11.7890001</x:v>
      </x:c>
      <x:c r="D1083" s="10" t="n">
        <x:v>560</x:v>
      </x:c>
      <x:c r="E1083" s="10" t="n">
        <x:v>0</x:v>
      </x:c>
      <x:c r="F1083" s="10" t="n">
        <x:v>0</x:v>
      </x:c>
      <x:c r="G1083" s="10" t="n">
        <x:f>SUM(D1083:F1083)</x:f>
        <x:v>560</x:v>
      </x:c>
    </x:row>
    <x:row r="1084" ht="24" customHeight="1">
      <x:c r="A1084" s="10" t="str">
        <x:v>S03-03</x:v>
      </x:c>
      <x:c r="B1084" s="10" t="str">
        <x:v>B</x:v>
      </x:c>
      <x:c r="C1084" s="18" t="n">
        <x:v>-6.0000001</x:v>
      </x:c>
      <x:c r="D1084" s="10" t="n">
        <x:v>560</x:v>
      </x:c>
      <x:c r="E1084" s="10" t="n">
        <x:v>0</x:v>
      </x:c>
      <x:c r="F1084" s="10" t="n">
        <x:v>0</x:v>
      </x:c>
      <x:c r="G1084" s="10" t="n">
        <x:f>SUM(D1084:F1084)</x:f>
        <x:v>560</x:v>
      </x:c>
    </x:row>
    <x:row r="1085" ht="24" customHeight="1">
      <x:c r="A1085" s="10" t="str">
        <x:v>S03-03</x:v>
      </x:c>
      <x:c r="B1085" s="10" t="str">
        <x:v>B</x:v>
      </x:c>
      <x:c r="C1085" s="18" t="n">
        <x:v>-6</x:v>
      </x:c>
      <x:c r="D1085" s="10" t="n">
        <x:v>560</x:v>
      </x:c>
      <x:c r="E1085" s="10" t="n">
        <x:v>0</x:v>
      </x:c>
      <x:c r="F1085" s="10" t="n">
        <x:v>0</x:v>
      </x:c>
      <x:c r="G1085" s="10" t="n">
        <x:f>SUM(D1085:F1085)</x:f>
        <x:v>560</x:v>
      </x:c>
    </x:row>
    <x:row r="1086" ht="24" customHeight="1">
      <x:c r="A1086" s="10" t="str">
        <x:v>S03-03</x:v>
      </x:c>
      <x:c r="B1086" s="10" t="str">
        <x:v>B</x:v>
      </x:c>
      <x:c r="C1086" s="18" t="n">
        <x:v>-5.9999999</x:v>
      </x:c>
      <x:c r="D1086" s="10" t="n">
        <x:v>560</x:v>
      </x:c>
      <x:c r="E1086" s="10" t="n">
        <x:v>0</x:v>
      </x:c>
      <x:c r="F1086" s="10" t="n">
        <x:v>0</x:v>
      </x:c>
      <x:c r="G1086" s="10" t="n">
        <x:f>SUM(D1086:F1086)</x:f>
        <x:v>560</x:v>
      </x:c>
    </x:row>
    <x:row r="1087" ht="24" customHeight="1">
      <x:c r="A1087" s="10" t="str">
        <x:v>S03-03</x:v>
      </x:c>
      <x:c r="B1087" s="10" t="str">
        <x:v>B</x:v>
      </x:c>
      <x:c r="C1087" s="18" t="n">
        <x:v>-1e-7</x:v>
      </x:c>
      <x:c r="D1087" s="10" t="n">
        <x:v>560</x:v>
      </x:c>
      <x:c r="E1087" s="10" t="n">
        <x:v>0</x:v>
      </x:c>
      <x:c r="F1087" s="10" t="n">
        <x:v>0</x:v>
      </x:c>
      <x:c r="G1087" s="10" t="n">
        <x:f>SUM(D1087:F1087)</x:f>
        <x:v>560</x:v>
      </x:c>
    </x:row>
    <x:row r="1088" ht="24" customHeight="1">
      <x:c r="A1088" s="10" t="str">
        <x:v>S03-03</x:v>
      </x:c>
      <x:c r="B1088" s="10" t="str">
        <x:v>B</x:v>
      </x:c>
      <x:c r="C1088" s="18" t="n">
        <x:v>0</x:v>
      </x:c>
      <x:c r="D1088" s="10" t="n">
        <x:v>560</x:v>
      </x:c>
      <x:c r="E1088" s="10" t="n">
        <x:v>0</x:v>
      </x:c>
      <x:c r="F1088" s="10" t="n">
        <x:v>0</x:v>
      </x:c>
      <x:c r="G1088" s="10" t="n">
        <x:f>SUM(D1088:F1088)</x:f>
        <x:v>560</x:v>
      </x:c>
    </x:row>
    <x:row r="1089" ht="24" customHeight="1">
      <x:c r="A1089" s="10" t="str">
        <x:v>S03-03</x:v>
      </x:c>
      <x:c r="B1089" s="10" t="str">
        <x:v>B</x:v>
      </x:c>
      <x:c r="C1089" s="18" t="n">
        <x:v>1e-7</x:v>
      </x:c>
      <x:c r="D1089" s="10" t="n">
        <x:v>560</x:v>
      </x:c>
      <x:c r="E1089" s="10" t="n">
        <x:v>0</x:v>
      </x:c>
      <x:c r="F1089" s="10" t="n">
        <x:v>0</x:v>
      </x:c>
      <x:c r="G1089" s="10" t="n">
        <x:f>SUM(D1089:F1089)</x:f>
        <x:v>560</x:v>
      </x:c>
    </x:row>
    <x:row r="1090" ht="24" customHeight="1">
      <x:c r="A1090" s="10" t="str">
        <x:v>S03-03</x:v>
      </x:c>
      <x:c r="B1090" s="10" t="str">
        <x:v>B</x:v>
      </x:c>
      <x:c r="C1090" s="18" t="n">
        <x:v>0.8499999</x:v>
      </x:c>
      <x:c r="D1090" s="10" t="n">
        <x:v>560</x:v>
      </x:c>
      <x:c r="E1090" s="10" t="n">
        <x:v>0</x:v>
      </x:c>
      <x:c r="F1090" s="10" t="n">
        <x:v>0</x:v>
      </x:c>
      <x:c r="G1090" s="10" t="n">
        <x:f>SUM(D1090:F1090)</x:f>
        <x:v>560</x:v>
      </x:c>
    </x:row>
    <x:row r="1091" ht="24" customHeight="1">
      <x:c r="A1091" s="10" t="str">
        <x:v>S03-03</x:v>
      </x:c>
      <x:c r="B1091" s="10" t="str">
        <x:v>B</x:v>
      </x:c>
      <x:c r="C1091" s="18" t="n">
        <x:v>0.85</x:v>
      </x:c>
      <x:c r="D1091" s="10" t="n">
        <x:v>560</x:v>
      </x:c>
      <x:c r="E1091" s="10" t="n">
        <x:v>0</x:v>
      </x:c>
      <x:c r="F1091" s="10" t="n">
        <x:v>0.004096</x:v>
      </x:c>
      <x:c r="G1091" s="10" t="n">
        <x:f>SUM(D1091:F1091)</x:f>
        <x:v>560.004096</x:v>
      </x:c>
    </x:row>
    <x:row r="1092" ht="24" customHeight="1">
      <x:c r="A1092" s="10" t="str">
        <x:v>S03-03</x:v>
      </x:c>
      <x:c r="B1092" s="10" t="str">
        <x:v>B</x:v>
      </x:c>
      <x:c r="C1092" s="18" t="n">
        <x:v>0.8500001</x:v>
      </x:c>
      <x:c r="D1092" s="10" t="n">
        <x:v>560</x:v>
      </x:c>
      <x:c r="E1092" s="10" t="n">
        <x:v>0</x:v>
      </x:c>
      <x:c r="F1092" s="10" t="n">
        <x:v>0.004096</x:v>
      </x:c>
      <x:c r="G1092" s="10" t="n">
        <x:f>SUM(D1092:F1092)</x:f>
        <x:v>560.004096</x:v>
      </x:c>
    </x:row>
    <x:row r="1093" ht="24" customHeight="1">
      <x:c r="A1093" s="10" t="str">
        <x:v>S03-03</x:v>
      </x:c>
      <x:c r="B1093" s="10" t="str">
        <x:v>B</x:v>
      </x:c>
      <x:c r="C1093" s="18" t="n">
        <x:v>1.2509999</x:v>
      </x:c>
      <x:c r="D1093" s="10" t="n">
        <x:v>560</x:v>
      </x:c>
      <x:c r="E1093" s="10" t="n">
        <x:v>0</x:v>
      </x:c>
      <x:c r="F1093" s="10" t="n">
        <x:v>0.004096</x:v>
      </x:c>
      <x:c r="G1093" s="10" t="n">
        <x:f>SUM(D1093:F1093)</x:f>
        <x:v>560.004096</x:v>
      </x:c>
    </x:row>
    <x:row r="1094" ht="24" customHeight="1">
      <x:c r="A1094" s="10" t="str">
        <x:v>S03-03</x:v>
      </x:c>
      <x:c r="B1094" s="10" t="str">
        <x:v>B</x:v>
      </x:c>
      <x:c r="C1094" s="18" t="n">
        <x:v>1.251</x:v>
      </x:c>
      <x:c r="D1094" s="10" t="n">
        <x:v>560</x:v>
      </x:c>
      <x:c r="E1094" s="10" t="n">
        <x:v>0.0096</x:v>
      </x:c>
      <x:c r="F1094" s="10" t="n">
        <x:v>0.004096</x:v>
      </x:c>
      <x:c r="G1094" s="10" t="n">
        <x:f>SUM(D1094:F1094)</x:f>
        <x:v>560.013696</x:v>
      </x:c>
    </x:row>
    <x:row r="1095" ht="24" customHeight="1">
      <x:c r="A1095" s="10" t="str">
        <x:v>S03-03</x:v>
      </x:c>
      <x:c r="B1095" s="10" t="str">
        <x:v>B</x:v>
      </x:c>
      <x:c r="C1095" s="18" t="n">
        <x:v>1.2510001</x:v>
      </x:c>
      <x:c r="D1095" s="10" t="n">
        <x:v>560</x:v>
      </x:c>
      <x:c r="E1095" s="10" t="n">
        <x:v>0.009600019</x:v>
      </x:c>
      <x:c r="F1095" s="10" t="n">
        <x:v>0.004096</x:v>
      </x:c>
      <x:c r="G1095" s="10" t="n">
        <x:f>SUM(D1095:F1095)</x:f>
        <x:v>560.013696019</x:v>
      </x:c>
    </x:row>
    <x:row r="1096" ht="24" customHeight="1">
      <x:c r="A1096" s="10" t="str">
        <x:v>S03-03</x:v>
      </x:c>
      <x:c r="B1096" s="10" t="str">
        <x:v>B</x:v>
      </x:c>
      <x:c r="C1096" s="18" t="n">
        <x:v>1.2909999</x:v>
      </x:c>
      <x:c r="D1096" s="10" t="n">
        <x:v>560</x:v>
      </x:c>
      <x:c r="E1096" s="10" t="n">
        <x:v>0.017279981</x:v>
      </x:c>
      <x:c r="F1096" s="10" t="n">
        <x:v>0.004096</x:v>
      </x:c>
      <x:c r="G1096" s="10" t="n">
        <x:f>SUM(D1096:F1096)</x:f>
        <x:v>560.021375981</x:v>
      </x:c>
    </x:row>
    <x:row r="1097" ht="24" customHeight="1">
      <x:c r="A1097" s="10" t="str">
        <x:v>S03-03</x:v>
      </x:c>
      <x:c r="B1097" s="10" t="str">
        <x:v>B</x:v>
      </x:c>
      <x:c r="C1097" s="18" t="n">
        <x:v>1.291</x:v>
      </x:c>
      <x:c r="D1097" s="10" t="n">
        <x:v>560</x:v>
      </x:c>
      <x:c r="E1097" s="10" t="n">
        <x:v>0.01728</x:v>
      </x:c>
      <x:c r="F1097" s="10" t="n">
        <x:v>0.004096</x:v>
      </x:c>
      <x:c r="G1097" s="10" t="n">
        <x:f>SUM(D1097:F1097)</x:f>
        <x:v>560.021376</x:v>
      </x:c>
    </x:row>
    <x:row r="1098" ht="24" customHeight="1">
      <x:c r="A1098" s="10" t="str">
        <x:v>S03-03</x:v>
      </x:c>
      <x:c r="B1098" s="10" t="str">
        <x:v>B</x:v>
      </x:c>
      <x:c r="C1098" s="18" t="n">
        <x:v>1.2910001</x:v>
      </x:c>
      <x:c r="D1098" s="10" t="n">
        <x:v>560</x:v>
      </x:c>
      <x:c r="E1098" s="10" t="n">
        <x:v>0.017280014</x:v>
      </x:c>
      <x:c r="F1098" s="10" t="n">
        <x:v>0.004096</x:v>
      </x:c>
      <x:c r="G1098" s="10" t="n">
        <x:f>SUM(D1098:F1098)</x:f>
        <x:v>560.021376014</x:v>
      </x:c>
    </x:row>
    <x:row r="1099" ht="24" customHeight="1">
      <x:c r="A1099" s="10" t="str">
        <x:v>S03-03</x:v>
      </x:c>
      <x:c r="B1099" s="10" t="str">
        <x:v>B</x:v>
      </x:c>
      <x:c r="C1099" s="18" t="n">
        <x:v>1.8934999</x:v>
      </x:c>
      <x:c r="D1099" s="10" t="n">
        <x:v>560</x:v>
      </x:c>
      <x:c r="E1099" s="10" t="n">
        <x:v>0.104039986</x:v>
      </x:c>
      <x:c r="F1099" s="10" t="n">
        <x:v>0.004096</x:v>
      </x:c>
      <x:c r="G1099" s="10" t="n">
        <x:f>SUM(D1099:F1099)</x:f>
        <x:v>560.108135986</x:v>
      </x:c>
    </x:row>
    <x:row r="1100" ht="24" customHeight="1">
      <x:c r="A1100" s="10" t="str">
        <x:v>S03-03</x:v>
      </x:c>
      <x:c r="B1100" s="10" t="str">
        <x:v>B</x:v>
      </x:c>
      <x:c r="C1100" s="18" t="n">
        <x:v>1.8935</x:v>
      </x:c>
      <x:c r="D1100" s="10" t="n">
        <x:v>560</x:v>
      </x:c>
      <x:c r="E1100" s="10" t="n">
        <x:v>0.10404</x:v>
      </x:c>
      <x:c r="F1100" s="10" t="n">
        <x:v>0.004096</x:v>
      </x:c>
      <x:c r="G1100" s="10" t="n">
        <x:f>SUM(D1100:F1100)</x:f>
        <x:v>560.1081360000001</x:v>
      </x:c>
    </x:row>
    <x:row r="1101" ht="24" customHeight="1">
      <x:c r="A1101" s="10" t="str">
        <x:v>S03-03</x:v>
      </x:c>
      <x:c r="B1101" s="10" t="str">
        <x:v>B</x:v>
      </x:c>
      <x:c r="C1101" s="18" t="n">
        <x:v>1.8935001</x:v>
      </x:c>
      <x:c r="D1101" s="10" t="n">
        <x:v>560</x:v>
      </x:c>
      <x:c r="E1101" s="10" t="n">
        <x:v>0.104039995</x:v>
      </x:c>
      <x:c r="F1101" s="10" t="n">
        <x:v>0.004096</x:v>
      </x:c>
      <x:c r="G1101" s="10" t="n">
        <x:f>SUM(D1101:F1101)</x:f>
        <x:v>560.108135995</x:v>
      </x:c>
    </x:row>
    <x:row r="1102" ht="24" customHeight="1">
      <x:c r="A1102" s="10" t="str">
        <x:v>S03-03</x:v>
      </x:c>
      <x:c r="B1102" s="10" t="str">
        <x:v>B</x:v>
      </x:c>
      <x:c r="C1102" s="18" t="n">
        <x:v>4.0609999</x:v>
      </x:c>
      <x:c r="D1102" s="10" t="n">
        <x:v>560</x:v>
      </x:c>
      <x:c r="E1102" s="10" t="n">
        <x:v>5e-9</x:v>
      </x:c>
      <x:c r="F1102" s="10" t="n">
        <x:v>0.004096</x:v>
      </x:c>
      <x:c r="G1102" s="10" t="n">
        <x:f>SUM(D1102:F1102)</x:f>
        <x:v>560.004096005</x:v>
      </x:c>
    </x:row>
    <x:row r="1103" ht="24" customHeight="1">
      <x:c r="A1103" s="10" t="str">
        <x:v>S03-03</x:v>
      </x:c>
      <x:c r="B1103" s="10" t="str">
        <x:v>B</x:v>
      </x:c>
      <x:c r="C1103" s="18" t="n">
        <x:v>4.061</x:v>
      </x:c>
      <x:c r="D1103" s="10" t="n">
        <x:v>560</x:v>
      </x:c>
      <x:c r="E1103" s="10" t="n">
        <x:v>0</x:v>
      </x:c>
      <x:c r="F1103" s="10" t="n">
        <x:v>0.008192</x:v>
      </x:c>
      <x:c r="G1103" s="10" t="n">
        <x:f>SUM(D1103:F1103)</x:f>
        <x:v>560.008192</x:v>
      </x:c>
    </x:row>
    <x:row r="1104" ht="24" customHeight="1">
      <x:c r="A1104" s="10" t="str">
        <x:v>S03-03</x:v>
      </x:c>
      <x:c r="B1104" s="10" t="str">
        <x:v>B</x:v>
      </x:c>
      <x:c r="C1104" s="18" t="n">
        <x:v>4.0610001</x:v>
      </x:c>
      <x:c r="D1104" s="10" t="n">
        <x:v>560</x:v>
      </x:c>
      <x:c r="E1104" s="10" t="n">
        <x:v>0</x:v>
      </x:c>
      <x:c r="F1104" s="10" t="n">
        <x:v>0.004096</x:v>
      </x:c>
      <x:c r="G1104" s="10" t="n">
        <x:f>SUM(D1104:F1104)</x:f>
        <x:v>560.004096</x:v>
      </x:c>
    </x:row>
    <x:row r="1105" ht="24" customHeight="1">
      <x:c r="A1105" s="10" t="str">
        <x:v>S03-03</x:v>
      </x:c>
      <x:c r="B1105" s="10" t="str">
        <x:v>B</x:v>
      </x:c>
      <x:c r="C1105" s="18" t="n">
        <x:v>4.4699999</x:v>
      </x:c>
      <x:c r="D1105" s="10" t="n">
        <x:v>560</x:v>
      </x:c>
      <x:c r="E1105" s="10" t="n">
        <x:v>0</x:v>
      </x:c>
      <x:c r="F1105" s="10" t="n">
        <x:v>0.004096</x:v>
      </x:c>
      <x:c r="G1105" s="10" t="n">
        <x:f>SUM(D1105:F1105)</x:f>
        <x:v>560.004096</x:v>
      </x:c>
    </x:row>
    <x:row r="1106" ht="24" customHeight="1">
      <x:c r="A1106" s="10" t="str">
        <x:v>S03-03</x:v>
      </x:c>
      <x:c r="B1106" s="10" t="str">
        <x:v>B</x:v>
      </x:c>
      <x:c r="C1106" s="18" t="n">
        <x:v>4.47</x:v>
      </x:c>
      <x:c r="D1106" s="10" t="n">
        <x:v>560</x:v>
      </x:c>
      <x:c r="E1106" s="10" t="n">
        <x:v>0.0096</x:v>
      </x:c>
      <x:c r="F1106" s="10" t="n">
        <x:v>0.004096</x:v>
      </x:c>
      <x:c r="G1106" s="10" t="n">
        <x:f>SUM(D1106:F1106)</x:f>
        <x:v>560.013696</x:v>
      </x:c>
    </x:row>
    <x:row r="1107" ht="24" customHeight="1">
      <x:c r="A1107" s="10" t="str">
        <x:v>S03-03</x:v>
      </x:c>
      <x:c r="B1107" s="10" t="str">
        <x:v>B</x:v>
      </x:c>
      <x:c r="C1107" s="18" t="n">
        <x:v>4.4700001</x:v>
      </x:c>
      <x:c r="D1107" s="10" t="n">
        <x:v>560</x:v>
      </x:c>
      <x:c r="E1107" s="10" t="n">
        <x:v>0.009600019</x:v>
      </x:c>
      <x:c r="F1107" s="10" t="n">
        <x:v>0.004096</x:v>
      </x:c>
      <x:c r="G1107" s="10" t="n">
        <x:f>SUM(D1107:F1107)</x:f>
        <x:v>560.013696019</x:v>
      </x:c>
    </x:row>
    <x:row r="1108" ht="24" customHeight="1">
      <x:c r="A1108" s="10" t="str">
        <x:v>S03-03</x:v>
      </x:c>
      <x:c r="B1108" s="10" t="str">
        <x:v>B</x:v>
      </x:c>
      <x:c r="C1108" s="18" t="n">
        <x:v>4.5099999</x:v>
      </x:c>
      <x:c r="D1108" s="10" t="n">
        <x:v>560</x:v>
      </x:c>
      <x:c r="E1108" s="10" t="n">
        <x:v>0.017279981</x:v>
      </x:c>
      <x:c r="F1108" s="10" t="n">
        <x:v>0.004096</x:v>
      </x:c>
      <x:c r="G1108" s="10" t="n">
        <x:f>SUM(D1108:F1108)</x:f>
        <x:v>560.021375981</x:v>
      </x:c>
    </x:row>
    <x:row r="1109" ht="24" customHeight="1">
      <x:c r="A1109" s="10" t="str">
        <x:v>S03-03</x:v>
      </x:c>
      <x:c r="B1109" s="10" t="str">
        <x:v>B</x:v>
      </x:c>
      <x:c r="C1109" s="18" t="n">
        <x:v>4.51</x:v>
      </x:c>
      <x:c r="D1109" s="10" t="n">
        <x:v>560</x:v>
      </x:c>
      <x:c r="E1109" s="10" t="n">
        <x:v>0.01728</x:v>
      </x:c>
      <x:c r="F1109" s="10" t="n">
        <x:v>0.004096</x:v>
      </x:c>
      <x:c r="G1109" s="10" t="n">
        <x:f>SUM(D1109:F1109)</x:f>
        <x:v>560.021376</x:v>
      </x:c>
    </x:row>
    <x:row r="1110" ht="24" customHeight="1">
      <x:c r="A1110" s="10" t="str">
        <x:v>S03-03</x:v>
      </x:c>
      <x:c r="B1110" s="10" t="str">
        <x:v>B</x:v>
      </x:c>
      <x:c r="C1110" s="18" t="n">
        <x:v>4.5100001</x:v>
      </x:c>
      <x:c r="D1110" s="10" t="n">
        <x:v>560</x:v>
      </x:c>
      <x:c r="E1110" s="10" t="n">
        <x:v>0.017280014</x:v>
      </x:c>
      <x:c r="F1110" s="10" t="n">
        <x:v>0.004096</x:v>
      </x:c>
      <x:c r="G1110" s="10" t="n">
        <x:f>SUM(D1110:F1110)</x:f>
        <x:v>560.021376014</x:v>
      </x:c>
    </x:row>
    <x:row r="1111" ht="24" customHeight="1">
      <x:c r="A1111" s="10" t="str">
        <x:v>S03-03</x:v>
      </x:c>
      <x:c r="B1111" s="10" t="str">
        <x:v>B</x:v>
      </x:c>
      <x:c r="C1111" s="18" t="n">
        <x:v>6.4124999</x:v>
      </x:c>
      <x:c r="D1111" s="10" t="n">
        <x:v>560</x:v>
      </x:c>
      <x:c r="E1111" s="10" t="n">
        <x:v>0.291239986</x:v>
      </x:c>
      <x:c r="F1111" s="10" t="n">
        <x:v>0.004096</x:v>
      </x:c>
      <x:c r="G1111" s="10" t="n">
        <x:f>SUM(D1111:F1111)</x:f>
        <x:v>560.295335986</x:v>
      </x:c>
    </x:row>
    <x:row r="1112" ht="24" customHeight="1">
      <x:c r="A1112" s="10" t="str">
        <x:v>S03-03</x:v>
      </x:c>
      <x:c r="B1112" s="10" t="str">
        <x:v>B</x:v>
      </x:c>
      <x:c r="C1112" s="18" t="n">
        <x:v>6.4125</x:v>
      </x:c>
      <x:c r="D1112" s="10" t="n">
        <x:v>560</x:v>
      </x:c>
      <x:c r="E1112" s="10" t="n">
        <x:v>0.29124</x:v>
      </x:c>
      <x:c r="F1112" s="10" t="n">
        <x:v>0.004096</x:v>
      </x:c>
      <x:c r="G1112" s="10" t="n">
        <x:f>SUM(D1112:F1112)</x:f>
        <x:v>560.295336</x:v>
      </x:c>
    </x:row>
    <x:row r="1113" ht="24" customHeight="1">
      <x:c r="A1113" s="10" t="str">
        <x:v>S03-03</x:v>
      </x:c>
      <x:c r="B1113" s="10" t="str">
        <x:v>B</x:v>
      </x:c>
      <x:c r="C1113" s="18" t="n">
        <x:v>6.4125001</x:v>
      </x:c>
      <x:c r="D1113" s="10" t="n">
        <x:v>560</x:v>
      </x:c>
      <x:c r="E1113" s="10" t="n">
        <x:v>0.291239995</x:v>
      </x:c>
      <x:c r="F1113" s="10" t="n">
        <x:v>0.004096</x:v>
      </x:c>
      <x:c r="G1113" s="10" t="n">
        <x:f>SUM(D1113:F1113)</x:f>
        <x:v>560.295335995</x:v>
      </x:c>
    </x:row>
    <x:row r="1114" ht="24" customHeight="1">
      <x:c r="A1114" s="10" t="str">
        <x:v>S03-03</x:v>
      </x:c>
      <x:c r="B1114" s="10" t="str">
        <x:v>B</x:v>
      </x:c>
      <x:c r="C1114" s="18" t="n">
        <x:v>12.4799999</x:v>
      </x:c>
      <x:c r="D1114" s="10" t="n">
        <x:v>560</x:v>
      </x:c>
      <x:c r="E1114" s="10" t="n">
        <x:v>5e-9</x:v>
      </x:c>
      <x:c r="F1114" s="10" t="n">
        <x:v>0.004096</x:v>
      </x:c>
      <x:c r="G1114" s="10" t="n">
        <x:f>SUM(D1114:F1114)</x:f>
        <x:v>560.004096005</x:v>
      </x:c>
    </x:row>
    <x:row r="1115" ht="24" customHeight="1">
      <x:c r="A1115" s="10" t="str">
        <x:v>S03-03</x:v>
      </x:c>
      <x:c r="B1115" s="10" t="str">
        <x:v>B</x:v>
      </x:c>
      <x:c r="C1115" s="18" t="n">
        <x:v>12.48</x:v>
      </x:c>
      <x:c r="D1115" s="10" t="n">
        <x:v>560</x:v>
      </x:c>
      <x:c r="E1115" s="10" t="n">
        <x:v>0</x:v>
      </x:c>
      <x:c r="F1115" s="10" t="n">
        <x:v>0.004096</x:v>
      </x:c>
      <x:c r="G1115" s="10" t="n">
        <x:f>SUM(D1115:F1115)</x:f>
        <x:v>560.004096</x:v>
      </x:c>
    </x:row>
    <x:row r="1116" ht="24" customHeight="1">
      <x:c r="A1116" s="10" t="str">
        <x:v>S03-03</x:v>
      </x:c>
      <x:c r="B1116" s="10" t="str">
        <x:v>B</x:v>
      </x:c>
      <x:c r="C1116" s="18" t="n">
        <x:v>12.4800001</x:v>
      </x:c>
      <x:c r="D1116" s="10" t="n">
        <x:v>560</x:v>
      </x:c>
      <x:c r="E1116" s="10" t="n">
        <x:v>0</x:v>
      </x:c>
      <x:c r="F1116" s="10" t="n">
        <x:v>0</x:v>
      </x:c>
      <x:c r="G1116" s="10" t="n">
        <x:f>SUM(D1116:F1116)</x:f>
        <x:v>560</x:v>
      </x:c>
    </x:row>
    <x:row r="1117" ht="24" customHeight="1">
      <x:c r="A1117" s="10" t="str">
        <x:v>S03-04</x:v>
      </x:c>
      <x:c r="B1117" s="10" t="str">
        <x:v>A</x:v>
      </x:c>
      <x:c r="C1117" s="18" t="n">
        <x:v>-6.0000001</x:v>
      </x:c>
      <x:c r="D1117" s="10" t="n">
        <x:v>560</x:v>
      </x:c>
      <x:c r="E1117" s="10" t="n">
        <x:v>0</x:v>
      </x:c>
      <x:c r="F1117" s="10" t="n">
        <x:v>0</x:v>
      </x:c>
      <x:c r="G1117" s="10" t="n">
        <x:f>SUM(D1117:F1117)</x:f>
        <x:v>560</x:v>
      </x:c>
    </x:row>
    <x:row r="1118" ht="24" customHeight="1">
      <x:c r="A1118" s="10" t="str">
        <x:v>S03-04</x:v>
      </x:c>
      <x:c r="B1118" s="10" t="str">
        <x:v>A</x:v>
      </x:c>
      <x:c r="C1118" s="18" t="n">
        <x:v>-6</x:v>
      </x:c>
      <x:c r="D1118" s="10" t="n">
        <x:v>560</x:v>
      </x:c>
      <x:c r="E1118" s="10" t="n">
        <x:v>0</x:v>
      </x:c>
      <x:c r="F1118" s="10" t="n">
        <x:v>0</x:v>
      </x:c>
      <x:c r="G1118" s="10" t="n">
        <x:f>SUM(D1118:F1118)</x:f>
        <x:v>560</x:v>
      </x:c>
    </x:row>
    <x:row r="1119" ht="24" customHeight="1">
      <x:c r="A1119" s="10" t="str">
        <x:v>S03-04</x:v>
      </x:c>
      <x:c r="B1119" s="10" t="str">
        <x:v>A</x:v>
      </x:c>
      <x:c r="C1119" s="18" t="n">
        <x:v>-5.9999999</x:v>
      </x:c>
      <x:c r="D1119" s="10" t="n">
        <x:v>560</x:v>
      </x:c>
      <x:c r="E1119" s="10" t="n">
        <x:v>0</x:v>
      </x:c>
      <x:c r="F1119" s="10" t="n">
        <x:v>0</x:v>
      </x:c>
      <x:c r="G1119" s="10" t="n">
        <x:f>SUM(D1119:F1119)</x:f>
        <x:v>560</x:v>
      </x:c>
    </x:row>
    <x:row r="1120" ht="24" customHeight="1">
      <x:c r="A1120" s="10" t="str">
        <x:v>S03-04</x:v>
      </x:c>
      <x:c r="B1120" s="10" t="str">
        <x:v>A</x:v>
      </x:c>
      <x:c r="C1120" s="18" t="n">
        <x:v>-1.4000001</x:v>
      </x:c>
      <x:c r="D1120" s="10" t="n">
        <x:v>560</x:v>
      </x:c>
      <x:c r="E1120" s="10" t="n">
        <x:v>0</x:v>
      </x:c>
      <x:c r="F1120" s="10" t="n">
        <x:v>0</x:v>
      </x:c>
      <x:c r="G1120" s="10" t="n">
        <x:f>SUM(D1120:F1120)</x:f>
        <x:v>560</x:v>
      </x:c>
    </x:row>
    <x:row r="1121" ht="24" customHeight="1">
      <x:c r="A1121" s="10" t="str">
        <x:v>S03-04</x:v>
      </x:c>
      <x:c r="B1121" s="10" t="str">
        <x:v>A</x:v>
      </x:c>
      <x:c r="C1121" s="18" t="n">
        <x:v>-1.4</x:v>
      </x:c>
      <x:c r="D1121" s="10" t="n">
        <x:v>560</x:v>
      </x:c>
      <x:c r="E1121" s="10" t="n">
        <x:v>0</x:v>
      </x:c>
      <x:c r="F1121" s="10" t="n">
        <x:v>0.004096</x:v>
      </x:c>
      <x:c r="G1121" s="10" t="n">
        <x:f>SUM(D1121:F1121)</x:f>
        <x:v>560.004096</x:v>
      </x:c>
    </x:row>
    <x:row r="1122" ht="24" customHeight="1">
      <x:c r="A1122" s="10" t="str">
        <x:v>S03-04</x:v>
      </x:c>
      <x:c r="B1122" s="10" t="str">
        <x:v>A</x:v>
      </x:c>
      <x:c r="C1122" s="18" t="n">
        <x:v>-1.3999999</x:v>
      </x:c>
      <x:c r="D1122" s="10" t="n">
        <x:v>560</x:v>
      </x:c>
      <x:c r="E1122" s="10" t="n">
        <x:v>0</x:v>
      </x:c>
      <x:c r="F1122" s="10" t="n">
        <x:v>0.004096</x:v>
      </x:c>
      <x:c r="G1122" s="10" t="n">
        <x:f>SUM(D1122:F1122)</x:f>
        <x:v>560.004096</x:v>
      </x:c>
    </x:row>
    <x:row r="1123" ht="24" customHeight="1">
      <x:c r="A1123" s="10" t="str">
        <x:v>S03-04</x:v>
      </x:c>
      <x:c r="B1123" s="10" t="str">
        <x:v>A</x:v>
      </x:c>
      <x:c r="C1123" s="18" t="n">
        <x:v>-1.0000001</x:v>
      </x:c>
      <x:c r="D1123" s="10" t="n">
        <x:v>560</x:v>
      </x:c>
      <x:c r="E1123" s="10" t="n">
        <x:v>0</x:v>
      </x:c>
      <x:c r="F1123" s="10" t="n">
        <x:v>0.004096</x:v>
      </x:c>
      <x:c r="G1123" s="10" t="n">
        <x:f>SUM(D1123:F1123)</x:f>
        <x:v>560.004096</x:v>
      </x:c>
    </x:row>
    <x:row r="1124" ht="24" customHeight="1">
      <x:c r="A1124" s="10" t="str">
        <x:v>S03-04</x:v>
      </x:c>
      <x:c r="B1124" s="10" t="str">
        <x:v>A</x:v>
      </x:c>
      <x:c r="C1124" s="18" t="n">
        <x:v>-1</x:v>
      </x:c>
      <x:c r="D1124" s="10" t="n">
        <x:v>560</x:v>
      </x:c>
      <x:c r="E1124" s="10" t="n">
        <x:v>0</x:v>
      </x:c>
      <x:c r="F1124" s="10" t="n">
        <x:v>0.008192</x:v>
      </x:c>
      <x:c r="G1124" s="10" t="n">
        <x:f>SUM(D1124:F1124)</x:f>
        <x:v>560.008192</x:v>
      </x:c>
    </x:row>
    <x:row r="1125" ht="24" customHeight="1">
      <x:c r="A1125" s="10" t="str">
        <x:v>S03-04</x:v>
      </x:c>
      <x:c r="B1125" s="10" t="str">
        <x:v>A</x:v>
      </x:c>
      <x:c r="C1125" s="18" t="n">
        <x:v>-0.9999999</x:v>
      </x:c>
      <x:c r="D1125" s="10" t="n">
        <x:v>560</x:v>
      </x:c>
      <x:c r="E1125" s="10" t="n">
        <x:v>0</x:v>
      </x:c>
      <x:c r="F1125" s="10" t="n">
        <x:v>0.008192</x:v>
      </x:c>
      <x:c r="G1125" s="10" t="n">
        <x:f>SUM(D1125:F1125)</x:f>
        <x:v>560.008192</x:v>
      </x:c>
    </x:row>
    <x:row r="1126" ht="24" customHeight="1">
      <x:c r="A1126" s="10" t="str">
        <x:v>S03-04</x:v>
      </x:c>
      <x:c r="B1126" s="10" t="str">
        <x:v>A</x:v>
      </x:c>
      <x:c r="C1126" s="18" t="n">
        <x:v>-0.9990001</x:v>
      </x:c>
      <x:c r="D1126" s="10" t="n">
        <x:v>560</x:v>
      </x:c>
      <x:c r="E1126" s="10" t="n">
        <x:v>0</x:v>
      </x:c>
      <x:c r="F1126" s="10" t="n">
        <x:v>0.008192</x:v>
      </x:c>
      <x:c r="G1126" s="10" t="n">
        <x:f>SUM(D1126:F1126)</x:f>
        <x:v>560.008192</x:v>
      </x:c>
    </x:row>
    <x:row r="1127" ht="24" customHeight="1">
      <x:c r="A1127" s="10" t="str">
        <x:v>S03-04</x:v>
      </x:c>
      <x:c r="B1127" s="10" t="str">
        <x:v>A</x:v>
      </x:c>
      <x:c r="C1127" s="18" t="n">
        <x:v>-0.999</x:v>
      </x:c>
      <x:c r="D1127" s="10" t="n">
        <x:v>560</x:v>
      </x:c>
      <x:c r="E1127" s="10" t="n">
        <x:v>0.0096</x:v>
      </x:c>
      <x:c r="F1127" s="10" t="n">
        <x:v>0.008192</x:v>
      </x:c>
      <x:c r="G1127" s="10" t="n">
        <x:f>SUM(D1127:F1127)</x:f>
        <x:v>560.017792</x:v>
      </x:c>
    </x:row>
    <x:row r="1128" ht="24" customHeight="1">
      <x:c r="A1128" s="10" t="str">
        <x:v>S03-04</x:v>
      </x:c>
      <x:c r="B1128" s="10" t="str">
        <x:v>A</x:v>
      </x:c>
      <x:c r="C1128" s="18" t="n">
        <x:v>-0.9989999</x:v>
      </x:c>
      <x:c r="D1128" s="10" t="n">
        <x:v>560</x:v>
      </x:c>
      <x:c r="E1128" s="10" t="n">
        <x:v>0.009600019</x:v>
      </x:c>
      <x:c r="F1128" s="10" t="n">
        <x:v>0.008192</x:v>
      </x:c>
      <x:c r="G1128" s="10" t="n">
        <x:f>SUM(D1128:F1128)</x:f>
        <x:v>560.017792019</x:v>
      </x:c>
    </x:row>
    <x:row r="1129" ht="24" customHeight="1">
      <x:c r="A1129" s="10" t="str">
        <x:v>S03-04</x:v>
      </x:c>
      <x:c r="B1129" s="10" t="str">
        <x:v>A</x:v>
      </x:c>
      <x:c r="C1129" s="18" t="n">
        <x:v>-0.5900001</x:v>
      </x:c>
      <x:c r="D1129" s="10" t="n">
        <x:v>560</x:v>
      </x:c>
      <x:c r="E1129" s="10" t="n">
        <x:v>0.088127981</x:v>
      </x:c>
      <x:c r="F1129" s="10" t="n">
        <x:v>0.008192</x:v>
      </x:c>
      <x:c r="G1129" s="10" t="n">
        <x:f>SUM(D1129:F1129)</x:f>
        <x:v>560.096319981</x:v>
      </x:c>
    </x:row>
    <x:row r="1130" ht="24" customHeight="1">
      <x:c r="A1130" s="10" t="str">
        <x:v>S03-04</x:v>
      </x:c>
      <x:c r="B1130" s="10" t="str">
        <x:v>A</x:v>
      </x:c>
      <x:c r="C1130" s="18" t="n">
        <x:v>-0.59</x:v>
      </x:c>
      <x:c r="D1130" s="10" t="n">
        <x:v>560</x:v>
      </x:c>
      <x:c r="E1130" s="10" t="n">
        <x:v>0.097728</x:v>
      </x:c>
      <x:c r="F1130" s="10" t="n">
        <x:v>0.008192</x:v>
      </x:c>
      <x:c r="G1130" s="10" t="n">
        <x:f>SUM(D1130:F1130)</x:f>
        <x:v>560.10592</x:v>
      </x:c>
    </x:row>
    <x:row r="1131" ht="24" customHeight="1">
      <x:c r="A1131" s="10" t="str">
        <x:v>S03-04</x:v>
      </x:c>
      <x:c r="B1131" s="10" t="str">
        <x:v>A</x:v>
      </x:c>
      <x:c r="C1131" s="18" t="n">
        <x:v>-0.5899999</x:v>
      </x:c>
      <x:c r="D1131" s="10" t="n">
        <x:v>560</x:v>
      </x:c>
      <x:c r="E1131" s="10" t="n">
        <x:v>0.097728038</x:v>
      </x:c>
      <x:c r="F1131" s="10" t="n">
        <x:v>0.008192</x:v>
      </x:c>
      <x:c r="G1131" s="10" t="n">
        <x:f>SUM(D1131:F1131)</x:f>
        <x:v>560.105920038</x:v>
      </x:c>
    </x:row>
    <x:row r="1132" ht="24" customHeight="1">
      <x:c r="A1132" s="10" t="str">
        <x:v>S03-04</x:v>
      </x:c>
      <x:c r="B1132" s="10" t="str">
        <x:v>A</x:v>
      </x:c>
      <x:c r="C1132" s="18" t="n">
        <x:v>-0.3535001</x:v>
      </x:c>
      <x:c r="D1132" s="10" t="n">
        <x:v>560</x:v>
      </x:c>
      <x:c r="E1132" s="10" t="n">
        <x:v>0.188543962</x:v>
      </x:c>
      <x:c r="F1132" s="10" t="n">
        <x:v>0.008192</x:v>
      </x:c>
      <x:c r="G1132" s="10" t="n">
        <x:f>SUM(D1132:F1132)</x:f>
        <x:v>560.196735962</x:v>
      </x:c>
    </x:row>
    <x:row r="1133" ht="24" customHeight="1">
      <x:c r="A1133" s="10" t="str">
        <x:v>S03-04</x:v>
      </x:c>
      <x:c r="B1133" s="10" t="str">
        <x:v>A</x:v>
      </x:c>
      <x:c r="C1133" s="18" t="n">
        <x:v>-0.3535</x:v>
      </x:c>
      <x:c r="D1133" s="10" t="n">
        <x:v>560</x:v>
      </x:c>
      <x:c r="E1133" s="10" t="n">
        <x:v>0.188544</x:v>
      </x:c>
      <x:c r="F1133" s="10" t="n">
        <x:v>0.008192</x:v>
      </x:c>
      <x:c r="G1133" s="10" t="n">
        <x:f>SUM(D1133:F1133)</x:f>
        <x:v>560.196736</x:v>
      </x:c>
    </x:row>
    <x:row r="1134" ht="24" customHeight="1">
      <x:c r="A1134" s="10" t="str">
        <x:v>S03-04</x:v>
      </x:c>
      <x:c r="B1134" s="10" t="str">
        <x:v>A</x:v>
      </x:c>
      <x:c r="C1134" s="18" t="n">
        <x:v>-0.3534999</x:v>
      </x:c>
      <x:c r="D1134" s="10" t="n">
        <x:v>560</x:v>
      </x:c>
      <x:c r="E1134" s="10" t="n">
        <x:v>0.188544019</x:v>
      </x:c>
      <x:c r="F1134" s="10" t="n">
        <x:v>0.008192</x:v>
      </x:c>
      <x:c r="G1134" s="10" t="n">
        <x:f>SUM(D1134:F1134)</x:f>
        <x:v>560.196736019</x:v>
      </x:c>
    </x:row>
    <x:row r="1135" ht="24" customHeight="1">
      <x:c r="A1135" s="10" t="str">
        <x:v>S03-04</x:v>
      </x:c>
      <x:c r="B1135" s="10" t="str">
        <x:v>A</x:v>
      </x:c>
      <x:c r="C1135" s="18" t="n">
        <x:v>-1e-7</x:v>
      </x:c>
      <x:c r="D1135" s="10" t="n">
        <x:v>560</x:v>
      </x:c>
      <x:c r="E1135" s="10" t="n">
        <x:v>0.256415981</x:v>
      </x:c>
      <x:c r="F1135" s="10" t="n">
        <x:v>0.008192</x:v>
      </x:c>
      <x:c r="G1135" s="10" t="n">
        <x:f>SUM(D1135:F1135)</x:f>
        <x:v>560.264607981</x:v>
      </x:c>
    </x:row>
    <x:row r="1136" ht="24" customHeight="1">
      <x:c r="A1136" s="10" t="str">
        <x:v>S03-04</x:v>
      </x:c>
      <x:c r="B1136" s="10" t="str">
        <x:v>A</x:v>
      </x:c>
      <x:c r="C1136" s="18" t="n">
        <x:v>0</x:v>
      </x:c>
      <x:c r="D1136" s="10" t="n">
        <x:v>560</x:v>
      </x:c>
      <x:c r="E1136" s="10" t="n">
        <x:v>0.256416</x:v>
      </x:c>
      <x:c r="F1136" s="10" t="n">
        <x:v>0.008192</x:v>
      </x:c>
      <x:c r="G1136" s="10" t="n">
        <x:f>SUM(D1136:F1136)</x:f>
        <x:v>560.264608</x:v>
      </x:c>
    </x:row>
    <x:row r="1137" ht="24" customHeight="1">
      <x:c r="A1137" s="10" t="str">
        <x:v>S03-04</x:v>
      </x:c>
      <x:c r="B1137" s="10" t="str">
        <x:v>A</x:v>
      </x:c>
      <x:c r="C1137" s="18" t="n">
        <x:v>1e-7</x:v>
      </x:c>
      <x:c r="D1137" s="10" t="n">
        <x:v>560</x:v>
      </x:c>
      <x:c r="E1137" s="10" t="n">
        <x:v>0.256416019</x:v>
      </x:c>
      <x:c r="F1137" s="10" t="n">
        <x:v>0.008192</x:v>
      </x:c>
      <x:c r="G1137" s="10" t="n">
        <x:f>SUM(D1137:F1137)</x:f>
        <x:v>560.264608019</x:v>
      </x:c>
    </x:row>
    <x:row r="1138" ht="24" customHeight="1">
      <x:c r="A1138" s="10" t="str">
        <x:v>S03-04</x:v>
      </x:c>
      <x:c r="B1138" s="10" t="str">
        <x:v>A</x:v>
      </x:c>
      <x:c r="C1138" s="18" t="n">
        <x:v>0.878333233</x:v>
      </x:c>
      <x:c r="D1138" s="10" t="n">
        <x:v>560</x:v>
      </x:c>
      <x:c r="E1138" s="10" t="n">
        <x:v>0.425055981</x:v>
      </x:c>
      <x:c r="F1138" s="10" t="n">
        <x:v>0.008192</x:v>
      </x:c>
      <x:c r="G1138" s="10" t="n">
        <x:f>SUM(D1138:F1138)</x:f>
        <x:v>560.433247981</x:v>
      </x:c>
    </x:row>
    <x:row r="1139" ht="24" customHeight="1">
      <x:c r="A1139" s="10" t="str">
        <x:v>S03-04</x:v>
      </x:c>
      <x:c r="B1139" s="10" t="str">
        <x:v>A</x:v>
      </x:c>
      <x:c r="C1139" s="18" t="n">
        <x:v>0.878333333</x:v>
      </x:c>
      <x:c r="D1139" s="10" t="n">
        <x:v>560</x:v>
      </x:c>
      <x:c r="E1139" s="10" t="n">
        <x:v>0.425056</x:v>
      </x:c>
      <x:c r="F1139" s="10" t="n">
        <x:v>0.008192</x:v>
      </x:c>
      <x:c r="G1139" s="10" t="n">
        <x:f>SUM(D1139:F1139)</x:f>
        <x:v>560.433248</x:v>
      </x:c>
    </x:row>
    <x:row r="1140" ht="24" customHeight="1">
      <x:c r="A1140" s="10" t="str">
        <x:v>S03-04</x:v>
      </x:c>
      <x:c r="B1140" s="10" t="str">
        <x:v>A</x:v>
      </x:c>
      <x:c r="C1140" s="18" t="n">
        <x:v>0.878333433</x:v>
      </x:c>
      <x:c r="D1140" s="10" t="n">
        <x:v>560</x:v>
      </x:c>
      <x:c r="E1140" s="10" t="n">
        <x:v>0.425056019</x:v>
      </x:c>
      <x:c r="F1140" s="10" t="n">
        <x:v>0.008192</x:v>
      </x:c>
      <x:c r="G1140" s="10" t="n">
        <x:f>SUM(D1140:F1140)</x:f>
        <x:v>560.433248019</x:v>
      </x:c>
    </x:row>
    <x:row r="1141" ht="24" customHeight="1">
      <x:c r="A1141" s="10" t="str">
        <x:v>S03-04</x:v>
      </x:c>
      <x:c r="B1141" s="10" t="str">
        <x:v>A</x:v>
      </x:c>
      <x:c r="C1141" s="18" t="n">
        <x:v>0.918333233</x:v>
      </x:c>
      <x:c r="D1141" s="10" t="n">
        <x:v>560</x:v>
      </x:c>
      <x:c r="E1141" s="10" t="n">
        <x:v>0.432735981</x:v>
      </x:c>
      <x:c r="F1141" s="10" t="n">
        <x:v>0.008192</x:v>
      </x:c>
      <x:c r="G1141" s="10" t="n">
        <x:f>SUM(D1141:F1141)</x:f>
        <x:v>560.440927981</x:v>
      </x:c>
    </x:row>
    <x:row r="1142" ht="24" customHeight="1">
      <x:c r="A1142" s="10" t="str">
        <x:v>S03-04</x:v>
      </x:c>
      <x:c r="B1142" s="10" t="str">
        <x:v>A</x:v>
      </x:c>
      <x:c r="C1142" s="18" t="n">
        <x:v>0.918333333</x:v>
      </x:c>
      <x:c r="D1142" s="10" t="n">
        <x:v>560</x:v>
      </x:c>
      <x:c r="E1142" s="10" t="n">
        <x:v>0.432736</x:v>
      </x:c>
      <x:c r="F1142" s="10" t="n">
        <x:v>0.008192</x:v>
      </x:c>
      <x:c r="G1142" s="10" t="n">
        <x:f>SUM(D1142:F1142)</x:f>
        <x:v>560.440928</x:v>
      </x:c>
    </x:row>
    <x:row r="1143" ht="24" customHeight="1">
      <x:c r="A1143" s="10" t="str">
        <x:v>S03-04</x:v>
      </x:c>
      <x:c r="B1143" s="10" t="str">
        <x:v>A</x:v>
      </x:c>
      <x:c r="C1143" s="18" t="n">
        <x:v>0.918333433</x:v>
      </x:c>
      <x:c r="D1143" s="10" t="n">
        <x:v>560</x:v>
      </x:c>
      <x:c r="E1143" s="10" t="n">
        <x:v>0.432736014</x:v>
      </x:c>
      <x:c r="F1143" s="10" t="n">
        <x:v>0.008192</x:v>
      </x:c>
      <x:c r="G1143" s="10" t="n">
        <x:f>SUM(D1143:F1143)</x:f>
        <x:v>560.4409280140001</x:v>
      </x:c>
    </x:row>
    <x:row r="1144" ht="24" customHeight="1">
      <x:c r="A1144" s="10" t="str">
        <x:v>S03-04</x:v>
      </x:c>
      <x:c r="B1144" s="10" t="str">
        <x:v>A</x:v>
      </x:c>
      <x:c r="C1144" s="18" t="n">
        <x:v>0.978333233</x:v>
      </x:c>
      <x:c r="D1144" s="10" t="n">
        <x:v>560</x:v>
      </x:c>
      <x:c r="E1144" s="10" t="n">
        <x:v>0.441375986</x:v>
      </x:c>
      <x:c r="F1144" s="10" t="n">
        <x:v>0.008192</x:v>
      </x:c>
      <x:c r="G1144" s="10" t="n">
        <x:f>SUM(D1144:F1144)</x:f>
        <x:v>560.449567986</x:v>
      </x:c>
    </x:row>
    <x:row r="1145" ht="24" customHeight="1">
      <x:c r="A1145" s="10" t="str">
        <x:v>S03-04</x:v>
      </x:c>
      <x:c r="B1145" s="10" t="str">
        <x:v>A</x:v>
      </x:c>
      <x:c r="C1145" s="18" t="n">
        <x:v>0.978333333</x:v>
      </x:c>
      <x:c r="D1145" s="10" t="n">
        <x:v>560</x:v>
      </x:c>
      <x:c r="E1145" s="10" t="n">
        <x:v>0.441376</x:v>
      </x:c>
      <x:c r="F1145" s="10" t="n">
        <x:v>0.008192</x:v>
      </x:c>
      <x:c r="G1145" s="10" t="n">
        <x:f>SUM(D1145:F1145)</x:f>
        <x:v>560.449568</x:v>
      </x:c>
    </x:row>
    <x:row r="1146" ht="24" customHeight="1">
      <x:c r="A1146" s="10" t="str">
        <x:v>S03-04</x:v>
      </x:c>
      <x:c r="B1146" s="10" t="str">
        <x:v>A</x:v>
      </x:c>
      <x:c r="C1146" s="18" t="n">
        <x:v>0.978333433</x:v>
      </x:c>
      <x:c r="D1146" s="10" t="n">
        <x:v>560</x:v>
      </x:c>
      <x:c r="E1146" s="10" t="n">
        <x:v>0.130655995</x:v>
      </x:c>
      <x:c r="F1146" s="10" t="n">
        <x:v>0.004096</x:v>
      </x:c>
      <x:c r="G1146" s="10" t="n">
        <x:f>SUM(D1146:F1146)</x:f>
        <x:v>560.134751995</x:v>
      </x:c>
    </x:row>
    <x:row r="1147" ht="24" customHeight="1">
      <x:c r="A1147" s="10" t="str">
        <x:v>S03-04</x:v>
      </x:c>
      <x:c r="B1147" s="10" t="str">
        <x:v>A</x:v>
      </x:c>
      <x:c r="C1147" s="18" t="n">
        <x:v>3.398333233</x:v>
      </x:c>
      <x:c r="D1147" s="10" t="n">
        <x:v>560</x:v>
      </x:c>
      <x:c r="E1147" s="10" t="n">
        <x:v>0.014496005</x:v>
      </x:c>
      <x:c r="F1147" s="10" t="n">
        <x:v>0.004096</x:v>
      </x:c>
      <x:c r="G1147" s="10" t="n">
        <x:f>SUM(D1147:F1147)</x:f>
        <x:v>560.018592005</x:v>
      </x:c>
    </x:row>
    <x:row r="1148" ht="24" customHeight="1">
      <x:c r="A1148" s="10" t="str">
        <x:v>S03-04</x:v>
      </x:c>
      <x:c r="B1148" s="10" t="str">
        <x:v>A</x:v>
      </x:c>
      <x:c r="C1148" s="18" t="n">
        <x:v>3.398333333</x:v>
      </x:c>
      <x:c r="D1148" s="10" t="n">
        <x:v>560</x:v>
      </x:c>
      <x:c r="E1148" s="10" t="n">
        <x:v>0.014496</x:v>
      </x:c>
      <x:c r="F1148" s="10" t="n">
        <x:v>0.008192</x:v>
      </x:c>
      <x:c r="G1148" s="10" t="n">
        <x:f>SUM(D1148:F1148)</x:f>
        <x:v>560.022688</x:v>
      </x:c>
    </x:row>
    <x:row r="1149" ht="24" customHeight="1">
      <x:c r="A1149" s="10" t="str">
        <x:v>S03-04</x:v>
      </x:c>
      <x:c r="B1149" s="10" t="str">
        <x:v>A</x:v>
      </x:c>
      <x:c r="C1149" s="18" t="n">
        <x:v>3.398333433</x:v>
      </x:c>
      <x:c r="D1149" s="10" t="n">
        <x:v>560</x:v>
      </x:c>
      <x:c r="E1149" s="10" t="n">
        <x:v>0.014495995</x:v>
      </x:c>
      <x:c r="F1149" s="10" t="n">
        <x:v>0.008192</x:v>
      </x:c>
      <x:c r="G1149" s="10" t="n">
        <x:f>SUM(D1149:F1149)</x:f>
        <x:v>560.022687995</x:v>
      </x:c>
    </x:row>
    <x:row r="1150" ht="24" customHeight="1">
      <x:c r="A1150" s="10" t="str">
        <x:v>S03-04</x:v>
      </x:c>
      <x:c r="B1150" s="10" t="str">
        <x:v>A</x:v>
      </x:c>
      <x:c r="C1150" s="18" t="n">
        <x:v>3.700333233</x:v>
      </x:c>
      <x:c r="D1150" s="10" t="n">
        <x:v>560</x:v>
      </x:c>
      <x:c r="E1150" s="10" t="n">
        <x:v>5e-9</x:v>
      </x:c>
      <x:c r="F1150" s="10" t="n">
        <x:v>0.008192</x:v>
      </x:c>
      <x:c r="G1150" s="10" t="n">
        <x:f>SUM(D1150:F1150)</x:f>
        <x:v>560.008192005</x:v>
      </x:c>
    </x:row>
    <x:row r="1151" ht="24" customHeight="1">
      <x:c r="A1151" s="10" t="str">
        <x:v>S03-04</x:v>
      </x:c>
      <x:c r="B1151" s="10" t="str">
        <x:v>A</x:v>
      </x:c>
      <x:c r="C1151" s="18" t="n">
        <x:v>3.700333333</x:v>
      </x:c>
      <x:c r="D1151" s="10" t="n">
        <x:v>560</x:v>
      </x:c>
      <x:c r="E1151" s="10" t="n">
        <x:v>0</x:v>
      </x:c>
      <x:c r="F1151" s="10" t="n">
        <x:v>0.008192</x:v>
      </x:c>
      <x:c r="G1151" s="10" t="n">
        <x:f>SUM(D1151:F1151)</x:f>
        <x:v>560.008192</x:v>
      </x:c>
    </x:row>
    <x:row r="1152" ht="24" customHeight="1">
      <x:c r="A1152" s="10" t="str">
        <x:v>S03-04</x:v>
      </x:c>
      <x:c r="B1152" s="10" t="str">
        <x:v>A</x:v>
      </x:c>
      <x:c r="C1152" s="18" t="n">
        <x:v>3.700333433</x:v>
      </x:c>
      <x:c r="D1152" s="10" t="n">
        <x:v>560</x:v>
      </x:c>
      <x:c r="E1152" s="10" t="n">
        <x:v>0</x:v>
      </x:c>
      <x:c r="F1152" s="10" t="n">
        <x:v>0.004096</x:v>
      </x:c>
      <x:c r="G1152" s="10" t="n">
        <x:f>SUM(D1152:F1152)</x:f>
        <x:v>560.004096</x:v>
      </x:c>
    </x:row>
    <x:row r="1153" ht="24" customHeight="1">
      <x:c r="A1153" s="10" t="str">
        <x:v>S03-04</x:v>
      </x:c>
      <x:c r="B1153" s="10" t="str">
        <x:v>A</x:v>
      </x:c>
      <x:c r="C1153" s="18" t="n">
        <x:v>3.807333233</x:v>
      </x:c>
      <x:c r="D1153" s="10" t="n">
        <x:v>560</x:v>
      </x:c>
      <x:c r="E1153" s="10" t="n">
        <x:v>0</x:v>
      </x:c>
      <x:c r="F1153" s="10" t="n">
        <x:v>0.004096</x:v>
      </x:c>
      <x:c r="G1153" s="10" t="n">
        <x:f>SUM(D1153:F1153)</x:f>
        <x:v>560.004096</x:v>
      </x:c>
    </x:row>
    <x:row r="1154" ht="24" customHeight="1">
      <x:c r="A1154" s="10" t="str">
        <x:v>S03-04</x:v>
      </x:c>
      <x:c r="B1154" s="10" t="str">
        <x:v>A</x:v>
      </x:c>
      <x:c r="C1154" s="18" t="n">
        <x:v>3.807333333</x:v>
      </x:c>
      <x:c r="D1154" s="10" t="n">
        <x:v>560</x:v>
      </x:c>
      <x:c r="E1154" s="10" t="n">
        <x:v>0.0096</x:v>
      </x:c>
      <x:c r="F1154" s="10" t="n">
        <x:v>0.004096</x:v>
      </x:c>
      <x:c r="G1154" s="10" t="n">
        <x:f>SUM(D1154:F1154)</x:f>
        <x:v>560.013696</x:v>
      </x:c>
    </x:row>
    <x:row r="1155" ht="24" customHeight="1">
      <x:c r="A1155" s="10" t="str">
        <x:v>S03-04</x:v>
      </x:c>
      <x:c r="B1155" s="10" t="str">
        <x:v>A</x:v>
      </x:c>
      <x:c r="C1155" s="18" t="n">
        <x:v>3.807333433</x:v>
      </x:c>
      <x:c r="D1155" s="10" t="n">
        <x:v>560</x:v>
      </x:c>
      <x:c r="E1155" s="10" t="n">
        <x:v>0.009600019</x:v>
      </x:c>
      <x:c r="F1155" s="10" t="n">
        <x:v>0.004096</x:v>
      </x:c>
      <x:c r="G1155" s="10" t="n">
        <x:f>SUM(D1155:F1155)</x:f>
        <x:v>560.013696019</x:v>
      </x:c>
    </x:row>
    <x:row r="1156" ht="24" customHeight="1">
      <x:c r="A1156" s="10" t="str">
        <x:v>S03-04</x:v>
      </x:c>
      <x:c r="B1156" s="10" t="str">
        <x:v>A</x:v>
      </x:c>
      <x:c r="C1156" s="18" t="n">
        <x:v>3.847333233</x:v>
      </x:c>
      <x:c r="D1156" s="10" t="n">
        <x:v>560</x:v>
      </x:c>
      <x:c r="E1156" s="10" t="n">
        <x:v>0.017279981</x:v>
      </x:c>
      <x:c r="F1156" s="10" t="n">
        <x:v>0.004096</x:v>
      </x:c>
      <x:c r="G1156" s="10" t="n">
        <x:f>SUM(D1156:F1156)</x:f>
        <x:v>560.021375981</x:v>
      </x:c>
    </x:row>
    <x:row r="1157" ht="24" customHeight="1">
      <x:c r="A1157" s="10" t="str">
        <x:v>S03-04</x:v>
      </x:c>
      <x:c r="B1157" s="10" t="str">
        <x:v>A</x:v>
      </x:c>
      <x:c r="C1157" s="18" t="n">
        <x:v>3.847333333</x:v>
      </x:c>
      <x:c r="D1157" s="10" t="n">
        <x:v>560</x:v>
      </x:c>
      <x:c r="E1157" s="10" t="n">
        <x:v>0.01728</x:v>
      </x:c>
      <x:c r="F1157" s="10" t="n">
        <x:v>0.004096</x:v>
      </x:c>
      <x:c r="G1157" s="10" t="n">
        <x:f>SUM(D1157:F1157)</x:f>
        <x:v>560.021376</x:v>
      </x:c>
    </x:row>
    <x:row r="1158" ht="24" customHeight="1">
      <x:c r="A1158" s="10" t="str">
        <x:v>S03-04</x:v>
      </x:c>
      <x:c r="B1158" s="10" t="str">
        <x:v>A</x:v>
      </x:c>
      <x:c r="C1158" s="18" t="n">
        <x:v>3.847333433</x:v>
      </x:c>
      <x:c r="D1158" s="10" t="n">
        <x:v>560</x:v>
      </x:c>
      <x:c r="E1158" s="10" t="n">
        <x:v>0.017280014</x:v>
      </x:c>
      <x:c r="F1158" s="10" t="n">
        <x:v>0.004096</x:v>
      </x:c>
      <x:c r="G1158" s="10" t="n">
        <x:f>SUM(D1158:F1158)</x:f>
        <x:v>560.021376014</x:v>
      </x:c>
    </x:row>
    <x:row r="1159" ht="24" customHeight="1">
      <x:c r="A1159" s="10" t="str">
        <x:v>S03-04</x:v>
      </x:c>
      <x:c r="B1159" s="10" t="str">
        <x:v>A</x:v>
      </x:c>
      <x:c r="C1159" s="18" t="n">
        <x:v>5.752833233</x:v>
      </x:c>
      <x:c r="D1159" s="10" t="n">
        <x:v>560</x:v>
      </x:c>
      <x:c r="E1159" s="10" t="n">
        <x:v>0.291671986</x:v>
      </x:c>
      <x:c r="F1159" s="10" t="n">
        <x:v>0.004096</x:v>
      </x:c>
      <x:c r="G1159" s="10" t="n">
        <x:f>SUM(D1159:F1159)</x:f>
        <x:v>560.295767986</x:v>
      </x:c>
    </x:row>
    <x:row r="1160" ht="24" customHeight="1">
      <x:c r="A1160" s="10" t="str">
        <x:v>S03-04</x:v>
      </x:c>
      <x:c r="B1160" s="10" t="str">
        <x:v>A</x:v>
      </x:c>
      <x:c r="C1160" s="18" t="n">
        <x:v>5.752833333</x:v>
      </x:c>
      <x:c r="D1160" s="10" t="n">
        <x:v>560</x:v>
      </x:c>
      <x:c r="E1160" s="10" t="n">
        <x:v>0.291672</x:v>
      </x:c>
      <x:c r="F1160" s="10" t="n">
        <x:v>0.004096</x:v>
      </x:c>
      <x:c r="G1160" s="10" t="n">
        <x:f>SUM(D1160:F1160)</x:f>
        <x:v>560.295768</x:v>
      </x:c>
    </x:row>
    <x:row r="1161" ht="24" customHeight="1">
      <x:c r="A1161" s="10" t="str">
        <x:v>S03-04</x:v>
      </x:c>
      <x:c r="B1161" s="10" t="str">
        <x:v>A</x:v>
      </x:c>
      <x:c r="C1161" s="18" t="n">
        <x:v>5.752833433</x:v>
      </x:c>
      <x:c r="D1161" s="10" t="n">
        <x:v>560</x:v>
      </x:c>
      <x:c r="E1161" s="10" t="n">
        <x:v>0.291671995</x:v>
      </x:c>
      <x:c r="F1161" s="10" t="n">
        <x:v>0.004096</x:v>
      </x:c>
      <x:c r="G1161" s="10" t="n">
        <x:f>SUM(D1161:F1161)</x:f>
        <x:v>560.295767995</x:v>
      </x:c>
    </x:row>
    <x:row r="1162" ht="24" customHeight="1">
      <x:c r="A1162" s="10" t="str">
        <x:v>S03-04</x:v>
      </x:c>
      <x:c r="B1162" s="10" t="str">
        <x:v>A</x:v>
      </x:c>
      <x:c r="C1162" s="18" t="n">
        <x:v>11.829333233</x:v>
      </x:c>
      <x:c r="D1162" s="10" t="n">
        <x:v>560</x:v>
      </x:c>
      <x:c r="E1162" s="10" t="n">
        <x:v>5e-9</x:v>
      </x:c>
      <x:c r="F1162" s="10" t="n">
        <x:v>0.004096</x:v>
      </x:c>
      <x:c r="G1162" s="10" t="n">
        <x:f>SUM(D1162:F1162)</x:f>
        <x:v>560.004096005</x:v>
      </x:c>
    </x:row>
    <x:row r="1163" ht="24" customHeight="1">
      <x:c r="A1163" s="10" t="str">
        <x:v>S03-04</x:v>
      </x:c>
      <x:c r="B1163" s="10" t="str">
        <x:v>A</x:v>
      </x:c>
      <x:c r="C1163" s="18" t="n">
        <x:v>11.829333333</x:v>
      </x:c>
      <x:c r="D1163" s="10" t="n">
        <x:v>560</x:v>
      </x:c>
      <x:c r="E1163" s="10" t="n">
        <x:v>0</x:v>
      </x:c>
      <x:c r="F1163" s="10" t="n">
        <x:v>0.004096</x:v>
      </x:c>
      <x:c r="G1163" s="10" t="n">
        <x:f>SUM(D1163:F1163)</x:f>
        <x:v>560.004096</x:v>
      </x:c>
    </x:row>
    <x:row r="1164" ht="24" customHeight="1">
      <x:c r="A1164" s="10" t="str">
        <x:v>S03-04</x:v>
      </x:c>
      <x:c r="B1164" s="10" t="str">
        <x:v>A</x:v>
      </x:c>
      <x:c r="C1164" s="18" t="n">
        <x:v>11.829333433</x:v>
      </x:c>
      <x:c r="D1164" s="10" t="n">
        <x:v>560</x:v>
      </x:c>
      <x:c r="E1164" s="10" t="n">
        <x:v>0</x:v>
      </x:c>
      <x:c r="F1164" s="10" t="n">
        <x:v>0</x:v>
      </x:c>
      <x:c r="G1164" s="10" t="n">
        <x:f>SUM(D1164:F1164)</x:f>
        <x:v>560</x:v>
      </x:c>
    </x:row>
    <x:row r="1165" ht="24" customHeight="1">
      <x:c r="A1165" s="10" t="str">
        <x:v>S03-04</x:v>
      </x:c>
      <x:c r="B1165" s="10" t="str">
        <x:v>B</x:v>
      </x:c>
      <x:c r="C1165" s="18" t="n">
        <x:v>-6.0000001</x:v>
      </x:c>
      <x:c r="D1165" s="10" t="n">
        <x:v>560</x:v>
      </x:c>
      <x:c r="E1165" s="10" t="n">
        <x:v>0</x:v>
      </x:c>
      <x:c r="F1165" s="10" t="n">
        <x:v>0</x:v>
      </x:c>
      <x:c r="G1165" s="10" t="n">
        <x:f>SUM(D1165:F1165)</x:f>
        <x:v>560</x:v>
      </x:c>
    </x:row>
    <x:row r="1166" ht="24" customHeight="1">
      <x:c r="A1166" s="10" t="str">
        <x:v>S03-04</x:v>
      </x:c>
      <x:c r="B1166" s="10" t="str">
        <x:v>B</x:v>
      </x:c>
      <x:c r="C1166" s="18" t="n">
        <x:v>-6</x:v>
      </x:c>
      <x:c r="D1166" s="10" t="n">
        <x:v>560</x:v>
      </x:c>
      <x:c r="E1166" s="10" t="n">
        <x:v>0</x:v>
      </x:c>
      <x:c r="F1166" s="10" t="n">
        <x:v>0</x:v>
      </x:c>
      <x:c r="G1166" s="10" t="n">
        <x:f>SUM(D1166:F1166)</x:f>
        <x:v>560</x:v>
      </x:c>
    </x:row>
    <x:row r="1167" ht="24" customHeight="1">
      <x:c r="A1167" s="10" t="str">
        <x:v>S03-04</x:v>
      </x:c>
      <x:c r="B1167" s="10" t="str">
        <x:v>B</x:v>
      </x:c>
      <x:c r="C1167" s="18" t="n">
        <x:v>-5.9999999</x:v>
      </x:c>
      <x:c r="D1167" s="10" t="n">
        <x:v>560</x:v>
      </x:c>
      <x:c r="E1167" s="10" t="n">
        <x:v>0</x:v>
      </x:c>
      <x:c r="F1167" s="10" t="n">
        <x:v>0</x:v>
      </x:c>
      <x:c r="G1167" s="10" t="n">
        <x:f>SUM(D1167:F1167)</x:f>
        <x:v>560</x:v>
      </x:c>
    </x:row>
    <x:row r="1168" ht="24" customHeight="1">
      <x:c r="A1168" s="10" t="str">
        <x:v>S03-04</x:v>
      </x:c>
      <x:c r="B1168" s="10" t="str">
        <x:v>B</x:v>
      </x:c>
      <x:c r="C1168" s="18" t="n">
        <x:v>-1e-7</x:v>
      </x:c>
      <x:c r="D1168" s="10" t="n">
        <x:v>560</x:v>
      </x:c>
      <x:c r="E1168" s="10" t="n">
        <x:v>0</x:v>
      </x:c>
      <x:c r="F1168" s="10" t="n">
        <x:v>0</x:v>
      </x:c>
      <x:c r="G1168" s="10" t="n">
        <x:f>SUM(D1168:F1168)</x:f>
        <x:v>560</x:v>
      </x:c>
    </x:row>
    <x:row r="1169" ht="24" customHeight="1">
      <x:c r="A1169" s="10" t="str">
        <x:v>S03-04</x:v>
      </x:c>
      <x:c r="B1169" s="10" t="str">
        <x:v>B</x:v>
      </x:c>
      <x:c r="C1169" s="18" t="n">
        <x:v>0</x:v>
      </x:c>
      <x:c r="D1169" s="10" t="n">
        <x:v>560</x:v>
      </x:c>
      <x:c r="E1169" s="10" t="n">
        <x:v>0</x:v>
      </x:c>
      <x:c r="F1169" s="10" t="n">
        <x:v>0</x:v>
      </x:c>
      <x:c r="G1169" s="10" t="n">
        <x:f>SUM(D1169:F1169)</x:f>
        <x:v>560</x:v>
      </x:c>
    </x:row>
    <x:row r="1170" ht="24" customHeight="1">
      <x:c r="A1170" s="10" t="str">
        <x:v>S03-04</x:v>
      </x:c>
      <x:c r="B1170" s="10" t="str">
        <x:v>B</x:v>
      </x:c>
      <x:c r="C1170" s="18" t="n">
        <x:v>1e-7</x:v>
      </x:c>
      <x:c r="D1170" s="10" t="n">
        <x:v>560</x:v>
      </x:c>
      <x:c r="E1170" s="10" t="n">
        <x:v>0</x:v>
      </x:c>
      <x:c r="F1170" s="10" t="n">
        <x:v>0</x:v>
      </x:c>
      <x:c r="G1170" s="10" t="n">
        <x:f>SUM(D1170:F1170)</x:f>
        <x:v>560</x:v>
      </x:c>
    </x:row>
    <x:row r="1171" ht="24" customHeight="1">
      <x:c r="A1171" s="10" t="str">
        <x:v>S03-04</x:v>
      </x:c>
      <x:c r="B1171" s="10" t="str">
        <x:v>B</x:v>
      </x:c>
      <x:c r="C1171" s="18" t="n">
        <x:v>0.878333233</x:v>
      </x:c>
      <x:c r="D1171" s="10" t="n">
        <x:v>560</x:v>
      </x:c>
      <x:c r="E1171" s="10" t="n">
        <x:v>0</x:v>
      </x:c>
      <x:c r="F1171" s="10" t="n">
        <x:v>0</x:v>
      </x:c>
      <x:c r="G1171" s="10" t="n">
        <x:f>SUM(D1171:F1171)</x:f>
        <x:v>560</x:v>
      </x:c>
    </x:row>
    <x:row r="1172" ht="24" customHeight="1">
      <x:c r="A1172" s="10" t="str">
        <x:v>S03-04</x:v>
      </x:c>
      <x:c r="B1172" s="10" t="str">
        <x:v>B</x:v>
      </x:c>
      <x:c r="C1172" s="18" t="n">
        <x:v>0.878333333</x:v>
      </x:c>
      <x:c r="D1172" s="10" t="n">
        <x:v>560</x:v>
      </x:c>
      <x:c r="E1172" s="10" t="n">
        <x:v>0</x:v>
      </x:c>
      <x:c r="F1172" s="10" t="n">
        <x:v>0.004096</x:v>
      </x:c>
      <x:c r="G1172" s="10" t="n">
        <x:f>SUM(D1172:F1172)</x:f>
        <x:v>560.004096</x:v>
      </x:c>
    </x:row>
    <x:row r="1173" ht="24" customHeight="1">
      <x:c r="A1173" s="10" t="str">
        <x:v>S03-04</x:v>
      </x:c>
      <x:c r="B1173" s="10" t="str">
        <x:v>B</x:v>
      </x:c>
      <x:c r="C1173" s="18" t="n">
        <x:v>0.878333433</x:v>
      </x:c>
      <x:c r="D1173" s="10" t="n">
        <x:v>560</x:v>
      </x:c>
      <x:c r="E1173" s="10" t="n">
        <x:v>0</x:v>
      </x:c>
      <x:c r="F1173" s="10" t="n">
        <x:v>0.004096</x:v>
      </x:c>
      <x:c r="G1173" s="10" t="n">
        <x:f>SUM(D1173:F1173)</x:f>
        <x:v>560.004096</x:v>
      </x:c>
    </x:row>
    <x:row r="1174" ht="24" customHeight="1">
      <x:c r="A1174" s="10" t="str">
        <x:v>S03-04</x:v>
      </x:c>
      <x:c r="B1174" s="10" t="str">
        <x:v>B</x:v>
      </x:c>
      <x:c r="C1174" s="18" t="n">
        <x:v>1.279333233</x:v>
      </x:c>
      <x:c r="D1174" s="10" t="n">
        <x:v>560</x:v>
      </x:c>
      <x:c r="E1174" s="10" t="n">
        <x:v>0</x:v>
      </x:c>
      <x:c r="F1174" s="10" t="n">
        <x:v>0.004096</x:v>
      </x:c>
      <x:c r="G1174" s="10" t="n">
        <x:f>SUM(D1174:F1174)</x:f>
        <x:v>560.004096</x:v>
      </x:c>
    </x:row>
    <x:row r="1175" ht="24" customHeight="1">
      <x:c r="A1175" s="10" t="str">
        <x:v>S03-04</x:v>
      </x:c>
      <x:c r="B1175" s="10" t="str">
        <x:v>B</x:v>
      </x:c>
      <x:c r="C1175" s="18" t="n">
        <x:v>1.279333333</x:v>
      </x:c>
      <x:c r="D1175" s="10" t="n">
        <x:v>560</x:v>
      </x:c>
      <x:c r="E1175" s="10" t="n">
        <x:v>0.0096</x:v>
      </x:c>
      <x:c r="F1175" s="10" t="n">
        <x:v>0.004096</x:v>
      </x:c>
      <x:c r="G1175" s="10" t="n">
        <x:f>SUM(D1175:F1175)</x:f>
        <x:v>560.013696</x:v>
      </x:c>
    </x:row>
    <x:row r="1176" ht="24" customHeight="1">
      <x:c r="A1176" s="10" t="str">
        <x:v>S03-04</x:v>
      </x:c>
      <x:c r="B1176" s="10" t="str">
        <x:v>B</x:v>
      </x:c>
      <x:c r="C1176" s="18" t="n">
        <x:v>1.279333433</x:v>
      </x:c>
      <x:c r="D1176" s="10" t="n">
        <x:v>560</x:v>
      </x:c>
      <x:c r="E1176" s="10" t="n">
        <x:v>0.009600019</x:v>
      </x:c>
      <x:c r="F1176" s="10" t="n">
        <x:v>0.004096</x:v>
      </x:c>
      <x:c r="G1176" s="10" t="n">
        <x:f>SUM(D1176:F1176)</x:f>
        <x:v>560.013696019</x:v>
      </x:c>
    </x:row>
    <x:row r="1177" ht="24" customHeight="1">
      <x:c r="A1177" s="10" t="str">
        <x:v>S03-04</x:v>
      </x:c>
      <x:c r="B1177" s="10" t="str">
        <x:v>B</x:v>
      </x:c>
      <x:c r="C1177" s="18" t="n">
        <x:v>1.319333233</x:v>
      </x:c>
      <x:c r="D1177" s="10" t="n">
        <x:v>560</x:v>
      </x:c>
      <x:c r="E1177" s="10" t="n">
        <x:v>0.017279981</x:v>
      </x:c>
      <x:c r="F1177" s="10" t="n">
        <x:v>0.004096</x:v>
      </x:c>
      <x:c r="G1177" s="10" t="n">
        <x:f>SUM(D1177:F1177)</x:f>
        <x:v>560.021375981</x:v>
      </x:c>
    </x:row>
    <x:row r="1178" ht="24" customHeight="1">
      <x:c r="A1178" s="10" t="str">
        <x:v>S03-04</x:v>
      </x:c>
      <x:c r="B1178" s="10" t="str">
        <x:v>B</x:v>
      </x:c>
      <x:c r="C1178" s="18" t="n">
        <x:v>1.319333333</x:v>
      </x:c>
      <x:c r="D1178" s="10" t="n">
        <x:v>560</x:v>
      </x:c>
      <x:c r="E1178" s="10" t="n">
        <x:v>0.01728</x:v>
      </x:c>
      <x:c r="F1178" s="10" t="n">
        <x:v>0.004096</x:v>
      </x:c>
      <x:c r="G1178" s="10" t="n">
        <x:f>SUM(D1178:F1178)</x:f>
        <x:v>560.021376</x:v>
      </x:c>
    </x:row>
    <x:row r="1179" ht="24" customHeight="1">
      <x:c r="A1179" s="10" t="str">
        <x:v>S03-04</x:v>
      </x:c>
      <x:c r="B1179" s="10" t="str">
        <x:v>B</x:v>
      </x:c>
      <x:c r="C1179" s="18" t="n">
        <x:v>1.319333433</x:v>
      </x:c>
      <x:c r="D1179" s="10" t="n">
        <x:v>560</x:v>
      </x:c>
      <x:c r="E1179" s="10" t="n">
        <x:v>0.017280014</x:v>
      </x:c>
      <x:c r="F1179" s="10" t="n">
        <x:v>0.004096</x:v>
      </x:c>
      <x:c r="G1179" s="10" t="n">
        <x:f>SUM(D1179:F1179)</x:f>
        <x:v>560.021376014</x:v>
      </x:c>
    </x:row>
    <x:row r="1180" ht="24" customHeight="1">
      <x:c r="A1180" s="10" t="str">
        <x:v>S03-04</x:v>
      </x:c>
      <x:c r="B1180" s="10" t="str">
        <x:v>B</x:v>
      </x:c>
      <x:c r="C1180" s="18" t="n">
        <x:v>1.924833233</x:v>
      </x:c>
      <x:c r="D1180" s="10" t="n">
        <x:v>560</x:v>
      </x:c>
      <x:c r="E1180" s="10" t="n">
        <x:v>0.104471986</x:v>
      </x:c>
      <x:c r="F1180" s="10" t="n">
        <x:v>0.004096</x:v>
      </x:c>
      <x:c r="G1180" s="10" t="n">
        <x:f>SUM(D1180:F1180)</x:f>
        <x:v>560.108567986</x:v>
      </x:c>
    </x:row>
    <x:row r="1181" ht="24" customHeight="1">
      <x:c r="A1181" s="10" t="str">
        <x:v>S03-04</x:v>
      </x:c>
      <x:c r="B1181" s="10" t="str">
        <x:v>B</x:v>
      </x:c>
      <x:c r="C1181" s="18" t="n">
        <x:v>1.924833333</x:v>
      </x:c>
      <x:c r="D1181" s="10" t="n">
        <x:v>560</x:v>
      </x:c>
      <x:c r="E1181" s="10" t="n">
        <x:v>0.104472</x:v>
      </x:c>
      <x:c r="F1181" s="10" t="n">
        <x:v>0.004096</x:v>
      </x:c>
      <x:c r="G1181" s="10" t="n">
        <x:f>SUM(D1181:F1181)</x:f>
        <x:v>560.108568</x:v>
      </x:c>
    </x:row>
    <x:row r="1182" ht="24" customHeight="1">
      <x:c r="A1182" s="10" t="str">
        <x:v>S03-04</x:v>
      </x:c>
      <x:c r="B1182" s="10" t="str">
        <x:v>B</x:v>
      </x:c>
      <x:c r="C1182" s="18" t="n">
        <x:v>1.924833433</x:v>
      </x:c>
      <x:c r="D1182" s="10" t="n">
        <x:v>560</x:v>
      </x:c>
      <x:c r="E1182" s="10" t="n">
        <x:v>0.104471995</x:v>
      </x:c>
      <x:c r="F1182" s="10" t="n">
        <x:v>0.004096</x:v>
      </x:c>
      <x:c r="G1182" s="10" t="n">
        <x:f>SUM(D1182:F1182)</x:f>
        <x:v>560.108567995</x:v>
      </x:c>
    </x:row>
    <x:row r="1183" ht="24" customHeight="1">
      <x:c r="A1183" s="10" t="str">
        <x:v>S03-04</x:v>
      </x:c>
      <x:c r="B1183" s="10" t="str">
        <x:v>B</x:v>
      </x:c>
      <x:c r="C1183" s="18" t="n">
        <x:v>4.101333233</x:v>
      </x:c>
      <x:c r="D1183" s="10" t="n">
        <x:v>560</x:v>
      </x:c>
      <x:c r="E1183" s="10" t="n">
        <x:v>5e-9</x:v>
      </x:c>
      <x:c r="F1183" s="10" t="n">
        <x:v>0.004096</x:v>
      </x:c>
      <x:c r="G1183" s="10" t="n">
        <x:f>SUM(D1183:F1183)</x:f>
        <x:v>560.004096005</x:v>
      </x:c>
    </x:row>
    <x:row r="1184" ht="24" customHeight="1">
      <x:c r="A1184" s="10" t="str">
        <x:v>S03-04</x:v>
      </x:c>
      <x:c r="B1184" s="10" t="str">
        <x:v>B</x:v>
      </x:c>
      <x:c r="C1184" s="18" t="n">
        <x:v>4.101333333</x:v>
      </x:c>
      <x:c r="D1184" s="10" t="n">
        <x:v>560</x:v>
      </x:c>
      <x:c r="E1184" s="10" t="n">
        <x:v>0</x:v>
      </x:c>
      <x:c r="F1184" s="10" t="n">
        <x:v>0.008192</x:v>
      </x:c>
      <x:c r="G1184" s="10" t="n">
        <x:f>SUM(D1184:F1184)</x:f>
        <x:v>560.008192</x:v>
      </x:c>
    </x:row>
    <x:row r="1185" ht="24" customHeight="1">
      <x:c r="A1185" s="10" t="str">
        <x:v>S03-04</x:v>
      </x:c>
      <x:c r="B1185" s="10" t="str">
        <x:v>B</x:v>
      </x:c>
      <x:c r="C1185" s="18" t="n">
        <x:v>4.101333433</x:v>
      </x:c>
      <x:c r="D1185" s="10" t="n">
        <x:v>560</x:v>
      </x:c>
      <x:c r="E1185" s="10" t="n">
        <x:v>0</x:v>
      </x:c>
      <x:c r="F1185" s="10" t="n">
        <x:v>0.004096</x:v>
      </x:c>
      <x:c r="G1185" s="10" t="n">
        <x:f>SUM(D1185:F1185)</x:f>
        <x:v>560.004096</x:v>
      </x:c>
    </x:row>
    <x:row r="1186" ht="24" customHeight="1">
      <x:c r="A1186" s="10" t="str">
        <x:v>S03-04</x:v>
      </x:c>
      <x:c r="B1186" s="10" t="str">
        <x:v>B</x:v>
      </x:c>
      <x:c r="C1186" s="18" t="n">
        <x:v>4.510333233</x:v>
      </x:c>
      <x:c r="D1186" s="10" t="n">
        <x:v>560</x:v>
      </x:c>
      <x:c r="E1186" s="10" t="n">
        <x:v>0</x:v>
      </x:c>
      <x:c r="F1186" s="10" t="n">
        <x:v>0.004096</x:v>
      </x:c>
      <x:c r="G1186" s="10" t="n">
        <x:f>SUM(D1186:F1186)</x:f>
        <x:v>560.004096</x:v>
      </x:c>
    </x:row>
    <x:row r="1187" ht="24" customHeight="1">
      <x:c r="A1187" s="10" t="str">
        <x:v>S03-04</x:v>
      </x:c>
      <x:c r="B1187" s="10" t="str">
        <x:v>B</x:v>
      </x:c>
      <x:c r="C1187" s="18" t="n">
        <x:v>4.510333333</x:v>
      </x:c>
      <x:c r="D1187" s="10" t="n">
        <x:v>560</x:v>
      </x:c>
      <x:c r="E1187" s="10" t="n">
        <x:v>0.0096</x:v>
      </x:c>
      <x:c r="F1187" s="10" t="n">
        <x:v>0.004096</x:v>
      </x:c>
      <x:c r="G1187" s="10" t="n">
        <x:f>SUM(D1187:F1187)</x:f>
        <x:v>560.013696</x:v>
      </x:c>
    </x:row>
    <x:row r="1188" ht="24" customHeight="1">
      <x:c r="A1188" s="10" t="str">
        <x:v>S03-04</x:v>
      </x:c>
      <x:c r="B1188" s="10" t="str">
        <x:v>B</x:v>
      </x:c>
      <x:c r="C1188" s="18" t="n">
        <x:v>4.510333433</x:v>
      </x:c>
      <x:c r="D1188" s="10" t="n">
        <x:v>560</x:v>
      </x:c>
      <x:c r="E1188" s="10" t="n">
        <x:v>0.009600019</x:v>
      </x:c>
      <x:c r="F1188" s="10" t="n">
        <x:v>0.004096</x:v>
      </x:c>
      <x:c r="G1188" s="10" t="n">
        <x:f>SUM(D1188:F1188)</x:f>
        <x:v>560.013696019</x:v>
      </x:c>
    </x:row>
    <x:row r="1189" ht="24" customHeight="1">
      <x:c r="A1189" s="10" t="str">
        <x:v>S03-04</x:v>
      </x:c>
      <x:c r="B1189" s="10" t="str">
        <x:v>B</x:v>
      </x:c>
      <x:c r="C1189" s="18" t="n">
        <x:v>4.550333233</x:v>
      </x:c>
      <x:c r="D1189" s="10" t="n">
        <x:v>560</x:v>
      </x:c>
      <x:c r="E1189" s="10" t="n">
        <x:v>0.017279981</x:v>
      </x:c>
      <x:c r="F1189" s="10" t="n">
        <x:v>0.004096</x:v>
      </x:c>
      <x:c r="G1189" s="10" t="n">
        <x:f>SUM(D1189:F1189)</x:f>
        <x:v>560.021375981</x:v>
      </x:c>
    </x:row>
    <x:row r="1190" ht="24" customHeight="1">
      <x:c r="A1190" s="10" t="str">
        <x:v>S03-04</x:v>
      </x:c>
      <x:c r="B1190" s="10" t="str">
        <x:v>B</x:v>
      </x:c>
      <x:c r="C1190" s="18" t="n">
        <x:v>4.550333333</x:v>
      </x:c>
      <x:c r="D1190" s="10" t="n">
        <x:v>560</x:v>
      </x:c>
      <x:c r="E1190" s="10" t="n">
        <x:v>0.01728</x:v>
      </x:c>
      <x:c r="F1190" s="10" t="n">
        <x:v>0.004096</x:v>
      </x:c>
      <x:c r="G1190" s="10" t="n">
        <x:f>SUM(D1190:F1190)</x:f>
        <x:v>560.021376</x:v>
      </x:c>
    </x:row>
    <x:row r="1191" ht="24" customHeight="1">
      <x:c r="A1191" s="10" t="str">
        <x:v>S03-04</x:v>
      </x:c>
      <x:c r="B1191" s="10" t="str">
        <x:v>B</x:v>
      </x:c>
      <x:c r="C1191" s="18" t="n">
        <x:v>4.550333433</x:v>
      </x:c>
      <x:c r="D1191" s="10" t="n">
        <x:v>560</x:v>
      </x:c>
      <x:c r="E1191" s="10" t="n">
        <x:v>0.017280014</x:v>
      </x:c>
      <x:c r="F1191" s="10" t="n">
        <x:v>0.004096</x:v>
      </x:c>
      <x:c r="G1191" s="10" t="n">
        <x:f>SUM(D1191:F1191)</x:f>
        <x:v>560.021376014</x:v>
      </x:c>
    </x:row>
    <x:row r="1192" ht="24" customHeight="1">
      <x:c r="A1192" s="10" t="str">
        <x:v>S03-04</x:v>
      </x:c>
      <x:c r="B1192" s="10" t="str">
        <x:v>B</x:v>
      </x:c>
      <x:c r="C1192" s="18" t="n">
        <x:v>6.455833233</x:v>
      </x:c>
      <x:c r="D1192" s="10" t="n">
        <x:v>560</x:v>
      </x:c>
      <x:c r="E1192" s="10" t="n">
        <x:v>0.291671986</x:v>
      </x:c>
      <x:c r="F1192" s="10" t="n">
        <x:v>0.004096</x:v>
      </x:c>
      <x:c r="G1192" s="10" t="n">
        <x:f>SUM(D1192:F1192)</x:f>
        <x:v>560.295767986</x:v>
      </x:c>
    </x:row>
    <x:row r="1193" ht="24" customHeight="1">
      <x:c r="A1193" s="10" t="str">
        <x:v>S03-04</x:v>
      </x:c>
      <x:c r="B1193" s="10" t="str">
        <x:v>B</x:v>
      </x:c>
      <x:c r="C1193" s="18" t="n">
        <x:v>6.455833333</x:v>
      </x:c>
      <x:c r="D1193" s="10" t="n">
        <x:v>560</x:v>
      </x:c>
      <x:c r="E1193" s="10" t="n">
        <x:v>0.291672</x:v>
      </x:c>
      <x:c r="F1193" s="10" t="n">
        <x:v>0.004096</x:v>
      </x:c>
      <x:c r="G1193" s="10" t="n">
        <x:f>SUM(D1193:F1193)</x:f>
        <x:v>560.295768</x:v>
      </x:c>
    </x:row>
    <x:row r="1194" ht="24" customHeight="1">
      <x:c r="A1194" s="10" t="str">
        <x:v>S03-04</x:v>
      </x:c>
      <x:c r="B1194" s="10" t="str">
        <x:v>B</x:v>
      </x:c>
      <x:c r="C1194" s="18" t="n">
        <x:v>6.455833433</x:v>
      </x:c>
      <x:c r="D1194" s="10" t="n">
        <x:v>560</x:v>
      </x:c>
      <x:c r="E1194" s="10" t="n">
        <x:v>0.291671995</x:v>
      </x:c>
      <x:c r="F1194" s="10" t="n">
        <x:v>0.004096</x:v>
      </x:c>
      <x:c r="G1194" s="10" t="n">
        <x:f>SUM(D1194:F1194)</x:f>
        <x:v>560.295767995</x:v>
      </x:c>
    </x:row>
    <x:row r="1195" ht="24" customHeight="1">
      <x:c r="A1195" s="10" t="str">
        <x:v>S03-04</x:v>
      </x:c>
      <x:c r="B1195" s="10" t="str">
        <x:v>B</x:v>
      </x:c>
      <x:c r="C1195" s="18" t="n">
        <x:v>12.532333233</x:v>
      </x:c>
      <x:c r="D1195" s="10" t="n">
        <x:v>560</x:v>
      </x:c>
      <x:c r="E1195" s="10" t="n">
        <x:v>5e-9</x:v>
      </x:c>
      <x:c r="F1195" s="10" t="n">
        <x:v>0.004096</x:v>
      </x:c>
      <x:c r="G1195" s="10" t="n">
        <x:f>SUM(D1195:F1195)</x:f>
        <x:v>560.004096005</x:v>
      </x:c>
    </x:row>
    <x:row r="1196" ht="24" customHeight="1">
      <x:c r="A1196" s="10" t="str">
        <x:v>S03-04</x:v>
      </x:c>
      <x:c r="B1196" s="10" t="str">
        <x:v>B</x:v>
      </x:c>
      <x:c r="C1196" s="18" t="n">
        <x:v>12.532333333</x:v>
      </x:c>
      <x:c r="D1196" s="10" t="n">
        <x:v>560</x:v>
      </x:c>
      <x:c r="E1196" s="10" t="n">
        <x:v>0</x:v>
      </x:c>
      <x:c r="F1196" s="10" t="n">
        <x:v>0.004096</x:v>
      </x:c>
      <x:c r="G1196" s="10" t="n">
        <x:f>SUM(D1196:F1196)</x:f>
        <x:v>560.004096</x:v>
      </x:c>
    </x:row>
    <x:row r="1197" ht="24" customHeight="1">
      <x:c r="A1197" s="10" t="str">
        <x:v>S03-04</x:v>
      </x:c>
      <x:c r="B1197" s="10" t="str">
        <x:v>B</x:v>
      </x:c>
      <x:c r="C1197" s="18" t="n">
        <x:v>12.532333433</x:v>
      </x:c>
      <x:c r="D1197" s="10" t="n">
        <x:v>560</x:v>
      </x:c>
      <x:c r="E1197" s="10" t="n">
        <x:v>0</x:v>
      </x:c>
      <x:c r="F1197" s="10" t="n">
        <x:v>0</x:v>
      </x:c>
      <x:c r="G1197" s="10" t="n">
        <x:f>SUM(D1197:F1197)</x:f>
        <x:v>560</x:v>
      </x:c>
    </x:row>
    <x:row r="1198" ht="24" customHeight="1">
      <x:c r="A1198" s="10" t="str">
        <x:v>S03-05</x:v>
      </x:c>
      <x:c r="B1198" s="10" t="str">
        <x:v>A</x:v>
      </x:c>
      <x:c r="C1198" s="18" t="n">
        <x:v>-6.0000001</x:v>
      </x:c>
      <x:c r="D1198" s="10" t="n">
        <x:v>560</x:v>
      </x:c>
      <x:c r="E1198" s="10" t="n">
        <x:v>0</x:v>
      </x:c>
      <x:c r="F1198" s="10" t="n">
        <x:v>0</x:v>
      </x:c>
      <x:c r="G1198" s="10" t="n">
        <x:f>SUM(D1198:F1198)</x:f>
        <x:v>560</x:v>
      </x:c>
    </x:row>
    <x:row r="1199" ht="24" customHeight="1">
      <x:c r="A1199" s="10" t="str">
        <x:v>S03-05</x:v>
      </x:c>
      <x:c r="B1199" s="10" t="str">
        <x:v>A</x:v>
      </x:c>
      <x:c r="C1199" s="18" t="n">
        <x:v>-6</x:v>
      </x:c>
      <x:c r="D1199" s="10" t="n">
        <x:v>560</x:v>
      </x:c>
      <x:c r="E1199" s="10" t="n">
        <x:v>0</x:v>
      </x:c>
      <x:c r="F1199" s="10" t="n">
        <x:v>0</x:v>
      </x:c>
      <x:c r="G1199" s="10" t="n">
        <x:f>SUM(D1199:F1199)</x:f>
        <x:v>560</x:v>
      </x:c>
    </x:row>
    <x:row r="1200" ht="24" customHeight="1">
      <x:c r="A1200" s="10" t="str">
        <x:v>S03-05</x:v>
      </x:c>
      <x:c r="B1200" s="10" t="str">
        <x:v>A</x:v>
      </x:c>
      <x:c r="C1200" s="18" t="n">
        <x:v>-5.9999999</x:v>
      </x:c>
      <x:c r="D1200" s="10" t="n">
        <x:v>560</x:v>
      </x:c>
      <x:c r="E1200" s="10" t="n">
        <x:v>0</x:v>
      </x:c>
      <x:c r="F1200" s="10" t="n">
        <x:v>0</x:v>
      </x:c>
      <x:c r="G1200" s="10" t="n">
        <x:f>SUM(D1200:F1200)</x:f>
        <x:v>560</x:v>
      </x:c>
    </x:row>
    <x:row r="1201" ht="24" customHeight="1">
      <x:c r="A1201" s="10" t="str">
        <x:v>S03-05</x:v>
      </x:c>
      <x:c r="B1201" s="10" t="str">
        <x:v>A</x:v>
      </x:c>
      <x:c r="C1201" s="18" t="n">
        <x:v>-1.4000001</x:v>
      </x:c>
      <x:c r="D1201" s="10" t="n">
        <x:v>560</x:v>
      </x:c>
      <x:c r="E1201" s="10" t="n">
        <x:v>0</x:v>
      </x:c>
      <x:c r="F1201" s="10" t="n">
        <x:v>0</x:v>
      </x:c>
      <x:c r="G1201" s="10" t="n">
        <x:f>SUM(D1201:F1201)</x:f>
        <x:v>560</x:v>
      </x:c>
    </x:row>
    <x:row r="1202" ht="24" customHeight="1">
      <x:c r="A1202" s="10" t="str">
        <x:v>S03-05</x:v>
      </x:c>
      <x:c r="B1202" s="10" t="str">
        <x:v>A</x:v>
      </x:c>
      <x:c r="C1202" s="18" t="n">
        <x:v>-1.4</x:v>
      </x:c>
      <x:c r="D1202" s="10" t="n">
        <x:v>560</x:v>
      </x:c>
      <x:c r="E1202" s="10" t="n">
        <x:v>0</x:v>
      </x:c>
      <x:c r="F1202" s="10" t="n">
        <x:v>0.004096</x:v>
      </x:c>
      <x:c r="G1202" s="10" t="n">
        <x:f>SUM(D1202:F1202)</x:f>
        <x:v>560.004096</x:v>
      </x:c>
    </x:row>
    <x:row r="1203" ht="24" customHeight="1">
      <x:c r="A1203" s="10" t="str">
        <x:v>S03-05</x:v>
      </x:c>
      <x:c r="B1203" s="10" t="str">
        <x:v>A</x:v>
      </x:c>
      <x:c r="C1203" s="18" t="n">
        <x:v>-1.3999999</x:v>
      </x:c>
      <x:c r="D1203" s="10" t="n">
        <x:v>560</x:v>
      </x:c>
      <x:c r="E1203" s="10" t="n">
        <x:v>0</x:v>
      </x:c>
      <x:c r="F1203" s="10" t="n">
        <x:v>0.004096</x:v>
      </x:c>
      <x:c r="G1203" s="10" t="n">
        <x:f>SUM(D1203:F1203)</x:f>
        <x:v>560.004096</x:v>
      </x:c>
    </x:row>
    <x:row r="1204" ht="24" customHeight="1">
      <x:c r="A1204" s="10" t="str">
        <x:v>S03-05</x:v>
      </x:c>
      <x:c r="B1204" s="10" t="str">
        <x:v>A</x:v>
      </x:c>
      <x:c r="C1204" s="18" t="n">
        <x:v>-1.0000001</x:v>
      </x:c>
      <x:c r="D1204" s="10" t="n">
        <x:v>560</x:v>
      </x:c>
      <x:c r="E1204" s="10" t="n">
        <x:v>0</x:v>
      </x:c>
      <x:c r="F1204" s="10" t="n">
        <x:v>0.004096</x:v>
      </x:c>
      <x:c r="G1204" s="10" t="n">
        <x:f>SUM(D1204:F1204)</x:f>
        <x:v>560.004096</x:v>
      </x:c>
    </x:row>
    <x:row r="1205" ht="24" customHeight="1">
      <x:c r="A1205" s="10" t="str">
        <x:v>S03-05</x:v>
      </x:c>
      <x:c r="B1205" s="10" t="str">
        <x:v>A</x:v>
      </x:c>
      <x:c r="C1205" s="18" t="n">
        <x:v>-1</x:v>
      </x:c>
      <x:c r="D1205" s="10" t="n">
        <x:v>560</x:v>
      </x:c>
      <x:c r="E1205" s="10" t="n">
        <x:v>0</x:v>
      </x:c>
      <x:c r="F1205" s="10" t="n">
        <x:v>0.008192</x:v>
      </x:c>
      <x:c r="G1205" s="10" t="n">
        <x:f>SUM(D1205:F1205)</x:f>
        <x:v>560.008192</x:v>
      </x:c>
    </x:row>
    <x:row r="1206" ht="24" customHeight="1">
      <x:c r="A1206" s="10" t="str">
        <x:v>S03-05</x:v>
      </x:c>
      <x:c r="B1206" s="10" t="str">
        <x:v>A</x:v>
      </x:c>
      <x:c r="C1206" s="18" t="n">
        <x:v>-0.9999999</x:v>
      </x:c>
      <x:c r="D1206" s="10" t="n">
        <x:v>560</x:v>
      </x:c>
      <x:c r="E1206" s="10" t="n">
        <x:v>0</x:v>
      </x:c>
      <x:c r="F1206" s="10" t="n">
        <x:v>0.008192</x:v>
      </x:c>
      <x:c r="G1206" s="10" t="n">
        <x:f>SUM(D1206:F1206)</x:f>
        <x:v>560.008192</x:v>
      </x:c>
    </x:row>
    <x:row r="1207" ht="24" customHeight="1">
      <x:c r="A1207" s="10" t="str">
        <x:v>S03-05</x:v>
      </x:c>
      <x:c r="B1207" s="10" t="str">
        <x:v>A</x:v>
      </x:c>
      <x:c r="C1207" s="18" t="n">
        <x:v>-0.9990001</x:v>
      </x:c>
      <x:c r="D1207" s="10" t="n">
        <x:v>560</x:v>
      </x:c>
      <x:c r="E1207" s="10" t="n">
        <x:v>0</x:v>
      </x:c>
      <x:c r="F1207" s="10" t="n">
        <x:v>0.008192</x:v>
      </x:c>
      <x:c r="G1207" s="10" t="n">
        <x:f>SUM(D1207:F1207)</x:f>
        <x:v>560.008192</x:v>
      </x:c>
    </x:row>
    <x:row r="1208" ht="24" customHeight="1">
      <x:c r="A1208" s="10" t="str">
        <x:v>S03-05</x:v>
      </x:c>
      <x:c r="B1208" s="10" t="str">
        <x:v>A</x:v>
      </x:c>
      <x:c r="C1208" s="18" t="n">
        <x:v>-0.999</x:v>
      </x:c>
      <x:c r="D1208" s="10" t="n">
        <x:v>560</x:v>
      </x:c>
      <x:c r="E1208" s="10" t="n">
        <x:v>0.0096</x:v>
      </x:c>
      <x:c r="F1208" s="10" t="n">
        <x:v>0.008192</x:v>
      </x:c>
      <x:c r="G1208" s="10" t="n">
        <x:f>SUM(D1208:F1208)</x:f>
        <x:v>560.017792</x:v>
      </x:c>
    </x:row>
    <x:row r="1209" ht="24" customHeight="1">
      <x:c r="A1209" s="10" t="str">
        <x:v>S03-05</x:v>
      </x:c>
      <x:c r="B1209" s="10" t="str">
        <x:v>A</x:v>
      </x:c>
      <x:c r="C1209" s="18" t="n">
        <x:v>-0.9989999</x:v>
      </x:c>
      <x:c r="D1209" s="10" t="n">
        <x:v>560</x:v>
      </x:c>
      <x:c r="E1209" s="10" t="n">
        <x:v>0.009600019</x:v>
      </x:c>
      <x:c r="F1209" s="10" t="n">
        <x:v>0.008192</x:v>
      </x:c>
      <x:c r="G1209" s="10" t="n">
        <x:f>SUM(D1209:F1209)</x:f>
        <x:v>560.017792019</x:v>
      </x:c>
    </x:row>
    <x:row r="1210" ht="24" customHeight="1">
      <x:c r="A1210" s="10" t="str">
        <x:v>S03-05</x:v>
      </x:c>
      <x:c r="B1210" s="10" t="str">
        <x:v>A</x:v>
      </x:c>
      <x:c r="C1210" s="18" t="n">
        <x:v>-0.5900001</x:v>
      </x:c>
      <x:c r="D1210" s="10" t="n">
        <x:v>560</x:v>
      </x:c>
      <x:c r="E1210" s="10" t="n">
        <x:v>0.088127981</x:v>
      </x:c>
      <x:c r="F1210" s="10" t="n">
        <x:v>0.008192</x:v>
      </x:c>
      <x:c r="G1210" s="10" t="n">
        <x:f>SUM(D1210:F1210)</x:f>
        <x:v>560.096319981</x:v>
      </x:c>
    </x:row>
    <x:row r="1211" ht="24" customHeight="1">
      <x:c r="A1211" s="10" t="str">
        <x:v>S03-05</x:v>
      </x:c>
      <x:c r="B1211" s="10" t="str">
        <x:v>A</x:v>
      </x:c>
      <x:c r="C1211" s="18" t="n">
        <x:v>-0.59</x:v>
      </x:c>
      <x:c r="D1211" s="10" t="n">
        <x:v>560</x:v>
      </x:c>
      <x:c r="E1211" s="10" t="n">
        <x:v>0.097728</x:v>
      </x:c>
      <x:c r="F1211" s="10" t="n">
        <x:v>0.008192</x:v>
      </x:c>
      <x:c r="G1211" s="10" t="n">
        <x:f>SUM(D1211:F1211)</x:f>
        <x:v>560.10592</x:v>
      </x:c>
    </x:row>
    <x:row r="1212" ht="24" customHeight="1">
      <x:c r="A1212" s="10" t="str">
        <x:v>S03-05</x:v>
      </x:c>
      <x:c r="B1212" s="10" t="str">
        <x:v>A</x:v>
      </x:c>
      <x:c r="C1212" s="18" t="n">
        <x:v>-0.5899999</x:v>
      </x:c>
      <x:c r="D1212" s="10" t="n">
        <x:v>560</x:v>
      </x:c>
      <x:c r="E1212" s="10" t="n">
        <x:v>0.097728038</x:v>
      </x:c>
      <x:c r="F1212" s="10" t="n">
        <x:v>0.008192</x:v>
      </x:c>
      <x:c r="G1212" s="10" t="n">
        <x:f>SUM(D1212:F1212)</x:f>
        <x:v>560.105920038</x:v>
      </x:c>
    </x:row>
    <x:row r="1213" ht="24" customHeight="1">
      <x:c r="A1213" s="10" t="str">
        <x:v>S03-05</x:v>
      </x:c>
      <x:c r="B1213" s="10" t="str">
        <x:v>A</x:v>
      </x:c>
      <x:c r="C1213" s="18" t="n">
        <x:v>-0.3505001</x:v>
      </x:c>
      <x:c r="D1213" s="10" t="n">
        <x:v>560</x:v>
      </x:c>
      <x:c r="E1213" s="10" t="n">
        <x:v>0.189695962</x:v>
      </x:c>
      <x:c r="F1213" s="10" t="n">
        <x:v>0.008192</x:v>
      </x:c>
      <x:c r="G1213" s="10" t="n">
        <x:f>SUM(D1213:F1213)</x:f>
        <x:v>560.197887962</x:v>
      </x:c>
    </x:row>
    <x:row r="1214" ht="24" customHeight="1">
      <x:c r="A1214" s="10" t="str">
        <x:v>S03-05</x:v>
      </x:c>
      <x:c r="B1214" s="10" t="str">
        <x:v>A</x:v>
      </x:c>
      <x:c r="C1214" s="18" t="n">
        <x:v>-0.3505</x:v>
      </x:c>
      <x:c r="D1214" s="10" t="n">
        <x:v>560</x:v>
      </x:c>
      <x:c r="E1214" s="10" t="n">
        <x:v>0.189696</x:v>
      </x:c>
      <x:c r="F1214" s="10" t="n">
        <x:v>0.008192</x:v>
      </x:c>
      <x:c r="G1214" s="10" t="n">
        <x:f>SUM(D1214:F1214)</x:f>
        <x:v>560.197888</x:v>
      </x:c>
    </x:row>
    <x:row r="1215" ht="24" customHeight="1">
      <x:c r="A1215" s="10" t="str">
        <x:v>S03-05</x:v>
      </x:c>
      <x:c r="B1215" s="10" t="str">
        <x:v>A</x:v>
      </x:c>
      <x:c r="C1215" s="18" t="n">
        <x:v>-0.3504999</x:v>
      </x:c>
      <x:c r="D1215" s="10" t="n">
        <x:v>560</x:v>
      </x:c>
      <x:c r="E1215" s="10" t="n">
        <x:v>0.189696019</x:v>
      </x:c>
      <x:c r="F1215" s="10" t="n">
        <x:v>0.008192</x:v>
      </x:c>
      <x:c r="G1215" s="10" t="n">
        <x:f>SUM(D1215:F1215)</x:f>
        <x:v>560.1978880190001</x:v>
      </x:c>
    </x:row>
    <x:row r="1216" ht="24" customHeight="1">
      <x:c r="A1216" s="10" t="str">
        <x:v>S03-05</x:v>
      </x:c>
      <x:c r="B1216" s="10" t="str">
        <x:v>A</x:v>
      </x:c>
      <x:c r="C1216" s="18" t="n">
        <x:v>-1e-7</x:v>
      </x:c>
      <x:c r="D1216" s="10" t="n">
        <x:v>560</x:v>
      </x:c>
      <x:c r="E1216" s="10" t="n">
        <x:v>0.256991981</x:v>
      </x:c>
      <x:c r="F1216" s="10" t="n">
        <x:v>0.008192</x:v>
      </x:c>
      <x:c r="G1216" s="10" t="n">
        <x:f>SUM(D1216:F1216)</x:f>
        <x:v>560.2651839810001</x:v>
      </x:c>
    </x:row>
    <x:row r="1217" ht="24" customHeight="1">
      <x:c r="A1217" s="10" t="str">
        <x:v>S03-05</x:v>
      </x:c>
      <x:c r="B1217" s="10" t="str">
        <x:v>A</x:v>
      </x:c>
      <x:c r="C1217" s="18" t="n">
        <x:v>0</x:v>
      </x:c>
      <x:c r="D1217" s="10" t="n">
        <x:v>560</x:v>
      </x:c>
      <x:c r="E1217" s="10" t="n">
        <x:v>0.256992</x:v>
      </x:c>
      <x:c r="F1217" s="10" t="n">
        <x:v>0.008192</x:v>
      </x:c>
      <x:c r="G1217" s="10" t="n">
        <x:f>SUM(D1217:F1217)</x:f>
        <x:v>560.265184</x:v>
      </x:c>
    </x:row>
    <x:row r="1218" ht="24" customHeight="1">
      <x:c r="A1218" s="10" t="str">
        <x:v>S03-05</x:v>
      </x:c>
      <x:c r="B1218" s="10" t="str">
        <x:v>A</x:v>
      </x:c>
      <x:c r="C1218" s="18" t="n">
        <x:v>1e-7</x:v>
      </x:c>
      <x:c r="D1218" s="10" t="n">
        <x:v>560</x:v>
      </x:c>
      <x:c r="E1218" s="10" t="n">
        <x:v>0.256992019</x:v>
      </x:c>
      <x:c r="F1218" s="10" t="n">
        <x:v>0.008192</x:v>
      </x:c>
      <x:c r="G1218" s="10" t="n">
        <x:f>SUM(D1218:F1218)</x:f>
        <x:v>560.265184019</x:v>
      </x:c>
    </x:row>
    <x:row r="1219" ht="24" customHeight="1">
      <x:c r="A1219" s="10" t="str">
        <x:v>S03-05</x:v>
      </x:c>
      <x:c r="B1219" s="10" t="str">
        <x:v>A</x:v>
      </x:c>
      <x:c r="C1219" s="18" t="n">
        <x:v>0.906666567</x:v>
      </x:c>
      <x:c r="D1219" s="10" t="n">
        <x:v>560</x:v>
      </x:c>
      <x:c r="E1219" s="10" t="n">
        <x:v>0.431071981</x:v>
      </x:c>
      <x:c r="F1219" s="10" t="n">
        <x:v>0.008192</x:v>
      </x:c>
      <x:c r="G1219" s="10" t="n">
        <x:f>SUM(D1219:F1219)</x:f>
        <x:v>560.439263981</x:v>
      </x:c>
    </x:row>
    <x:row r="1220" ht="24" customHeight="1">
      <x:c r="A1220" s="10" t="str">
        <x:v>S03-05</x:v>
      </x:c>
      <x:c r="B1220" s="10" t="str">
        <x:v>A</x:v>
      </x:c>
      <x:c r="C1220" s="18" t="n">
        <x:v>0.906666667</x:v>
      </x:c>
      <x:c r="D1220" s="10" t="n">
        <x:v>560</x:v>
      </x:c>
      <x:c r="E1220" s="10" t="n">
        <x:v>0.431072</x:v>
      </x:c>
      <x:c r="F1220" s="10" t="n">
        <x:v>0.008192</x:v>
      </x:c>
      <x:c r="G1220" s="10" t="n">
        <x:f>SUM(D1220:F1220)</x:f>
        <x:v>560.439264</x:v>
      </x:c>
    </x:row>
    <x:row r="1221" ht="24" customHeight="1">
      <x:c r="A1221" s="10" t="str">
        <x:v>S03-05</x:v>
      </x:c>
      <x:c r="B1221" s="10" t="str">
        <x:v>A</x:v>
      </x:c>
      <x:c r="C1221" s="18" t="n">
        <x:v>0.906666767</x:v>
      </x:c>
      <x:c r="D1221" s="10" t="n">
        <x:v>560</x:v>
      </x:c>
      <x:c r="E1221" s="10" t="n">
        <x:v>0.431072019</x:v>
      </x:c>
      <x:c r="F1221" s="10" t="n">
        <x:v>0.008192</x:v>
      </x:c>
      <x:c r="G1221" s="10" t="n">
        <x:f>SUM(D1221:F1221)</x:f>
        <x:v>560.439264019</x:v>
      </x:c>
    </x:row>
    <x:row r="1222" ht="24" customHeight="1">
      <x:c r="A1222" s="10" t="str">
        <x:v>S03-05</x:v>
      </x:c>
      <x:c r="B1222" s="10" t="str">
        <x:v>A</x:v>
      </x:c>
      <x:c r="C1222" s="18" t="n">
        <x:v>0.946666567</x:v>
      </x:c>
      <x:c r="D1222" s="10" t="n">
        <x:v>560</x:v>
      </x:c>
      <x:c r="E1222" s="10" t="n">
        <x:v>0.438751981</x:v>
      </x:c>
      <x:c r="F1222" s="10" t="n">
        <x:v>0.008192</x:v>
      </x:c>
      <x:c r="G1222" s="10" t="n">
        <x:f>SUM(D1222:F1222)</x:f>
        <x:v>560.446943981</x:v>
      </x:c>
    </x:row>
    <x:row r="1223" ht="24" customHeight="1">
      <x:c r="A1223" s="10" t="str">
        <x:v>S03-05</x:v>
      </x:c>
      <x:c r="B1223" s="10" t="str">
        <x:v>A</x:v>
      </x:c>
      <x:c r="C1223" s="18" t="n">
        <x:v>0.946666667</x:v>
      </x:c>
      <x:c r="D1223" s="10" t="n">
        <x:v>560</x:v>
      </x:c>
      <x:c r="E1223" s="10" t="n">
        <x:v>0.438752</x:v>
      </x:c>
      <x:c r="F1223" s="10" t="n">
        <x:v>0.008192</x:v>
      </x:c>
      <x:c r="G1223" s="10" t="n">
        <x:f>SUM(D1223:F1223)</x:f>
        <x:v>560.446944</x:v>
      </x:c>
    </x:row>
    <x:row r="1224" ht="24" customHeight="1">
      <x:c r="A1224" s="10" t="str">
        <x:v>S03-05</x:v>
      </x:c>
      <x:c r="B1224" s="10" t="str">
        <x:v>A</x:v>
      </x:c>
      <x:c r="C1224" s="18" t="n">
        <x:v>0.946666767</x:v>
      </x:c>
      <x:c r="D1224" s="10" t="n">
        <x:v>560</x:v>
      </x:c>
      <x:c r="E1224" s="10" t="n">
        <x:v>0.438752014</x:v>
      </x:c>
      <x:c r="F1224" s="10" t="n">
        <x:v>0.008192</x:v>
      </x:c>
      <x:c r="G1224" s="10" t="n">
        <x:f>SUM(D1224:F1224)</x:f>
        <x:v>560.446944014</x:v>
      </x:c>
    </x:row>
    <x:row r="1225" ht="24" customHeight="1">
      <x:c r="A1225" s="10" t="str">
        <x:v>S03-05</x:v>
      </x:c>
      <x:c r="B1225" s="10" t="str">
        <x:v>A</x:v>
      </x:c>
      <x:c r="C1225" s="18" t="n">
        <x:v>1.006666567</x:v>
      </x:c>
      <x:c r="D1225" s="10" t="n">
        <x:v>560</x:v>
      </x:c>
      <x:c r="E1225" s="10" t="n">
        <x:v>0.447391986</x:v>
      </x:c>
      <x:c r="F1225" s="10" t="n">
        <x:v>0.008192</x:v>
      </x:c>
      <x:c r="G1225" s="10" t="n">
        <x:f>SUM(D1225:F1225)</x:f>
        <x:v>560.455583986</x:v>
      </x:c>
    </x:row>
    <x:row r="1226" ht="24" customHeight="1">
      <x:c r="A1226" s="10" t="str">
        <x:v>S03-05</x:v>
      </x:c>
      <x:c r="B1226" s="10" t="str">
        <x:v>A</x:v>
      </x:c>
      <x:c r="C1226" s="18" t="n">
        <x:v>1.006666667</x:v>
      </x:c>
      <x:c r="D1226" s="10" t="n">
        <x:v>560</x:v>
      </x:c>
      <x:c r="E1226" s="10" t="n">
        <x:v>0.447392</x:v>
      </x:c>
      <x:c r="F1226" s="10" t="n">
        <x:v>0.008192</x:v>
      </x:c>
      <x:c r="G1226" s="10" t="n">
        <x:f>SUM(D1226:F1226)</x:f>
        <x:v>560.455584</x:v>
      </x:c>
    </x:row>
    <x:row r="1227" ht="24" customHeight="1">
      <x:c r="A1227" s="10" t="str">
        <x:v>S03-05</x:v>
      </x:c>
      <x:c r="B1227" s="10" t="str">
        <x:v>A</x:v>
      </x:c>
      <x:c r="C1227" s="18" t="n">
        <x:v>1.006666767</x:v>
      </x:c>
      <x:c r="D1227" s="10" t="n">
        <x:v>560</x:v>
      </x:c>
      <x:c r="E1227" s="10" t="n">
        <x:v>0.131231995</x:v>
      </x:c>
      <x:c r="F1227" s="10" t="n">
        <x:v>0.004096</x:v>
      </x:c>
      <x:c r="G1227" s="10" t="n">
        <x:f>SUM(D1227:F1227)</x:f>
        <x:v>560.135327995</x:v>
      </x:c>
    </x:row>
    <x:row r="1228" ht="24" customHeight="1">
      <x:c r="A1228" s="10" t="str">
        <x:v>S03-05</x:v>
      </x:c>
      <x:c r="B1228" s="10" t="str">
        <x:v>A</x:v>
      </x:c>
      <x:c r="C1228" s="18" t="n">
        <x:v>3.426666567</x:v>
      </x:c>
      <x:c r="D1228" s="10" t="n">
        <x:v>560</x:v>
      </x:c>
      <x:c r="E1228" s="10" t="n">
        <x:v>0.015072005</x:v>
      </x:c>
      <x:c r="F1228" s="10" t="n">
        <x:v>0.004096</x:v>
      </x:c>
      <x:c r="G1228" s="10" t="n">
        <x:f>SUM(D1228:F1228)</x:f>
        <x:v>560.019168005</x:v>
      </x:c>
    </x:row>
    <x:row r="1229" ht="24" customHeight="1">
      <x:c r="A1229" s="10" t="str">
        <x:v>S03-05</x:v>
      </x:c>
      <x:c r="B1229" s="10" t="str">
        <x:v>A</x:v>
      </x:c>
      <x:c r="C1229" s="18" t="n">
        <x:v>3.426666667</x:v>
      </x:c>
      <x:c r="D1229" s="10" t="n">
        <x:v>560</x:v>
      </x:c>
      <x:c r="E1229" s="10" t="n">
        <x:v>0.015072</x:v>
      </x:c>
      <x:c r="F1229" s="10" t="n">
        <x:v>0.008192</x:v>
      </x:c>
      <x:c r="G1229" s="10" t="n">
        <x:f>SUM(D1229:F1229)</x:f>
        <x:v>560.023264</x:v>
      </x:c>
    </x:row>
    <x:row r="1230" ht="24" customHeight="1">
      <x:c r="A1230" s="10" t="str">
        <x:v>S03-05</x:v>
      </x:c>
      <x:c r="B1230" s="10" t="str">
        <x:v>A</x:v>
      </x:c>
      <x:c r="C1230" s="18" t="n">
        <x:v>3.426666767</x:v>
      </x:c>
      <x:c r="D1230" s="10" t="n">
        <x:v>560</x:v>
      </x:c>
      <x:c r="E1230" s="10" t="n">
        <x:v>0.015071995</x:v>
      </x:c>
      <x:c r="F1230" s="10" t="n">
        <x:v>0.008192</x:v>
      </x:c>
      <x:c r="G1230" s="10" t="n">
        <x:f>SUM(D1230:F1230)</x:f>
        <x:v>560.023263995</x:v>
      </x:c>
    </x:row>
    <x:row r="1231" ht="24" customHeight="1">
      <x:c r="A1231" s="10" t="str">
        <x:v>S03-05</x:v>
      </x:c>
      <x:c r="B1231" s="10" t="str">
        <x:v>A</x:v>
      </x:c>
      <x:c r="C1231" s="18" t="n">
        <x:v>3.740666567</x:v>
      </x:c>
      <x:c r="D1231" s="10" t="n">
        <x:v>560</x:v>
      </x:c>
      <x:c r="E1231" s="10" t="n">
        <x:v>5e-9</x:v>
      </x:c>
      <x:c r="F1231" s="10" t="n">
        <x:v>0.008192</x:v>
      </x:c>
      <x:c r="G1231" s="10" t="n">
        <x:f>SUM(D1231:F1231)</x:f>
        <x:v>560.008192005</x:v>
      </x:c>
    </x:row>
    <x:row r="1232" ht="24" customHeight="1">
      <x:c r="A1232" s="10" t="str">
        <x:v>S03-05</x:v>
      </x:c>
      <x:c r="B1232" s="10" t="str">
        <x:v>A</x:v>
      </x:c>
      <x:c r="C1232" s="18" t="n">
        <x:v>3.740666667</x:v>
      </x:c>
      <x:c r="D1232" s="10" t="n">
        <x:v>560</x:v>
      </x:c>
      <x:c r="E1232" s="10" t="n">
        <x:v>0</x:v>
      </x:c>
      <x:c r="F1232" s="10" t="n">
        <x:v>0.008192</x:v>
      </x:c>
      <x:c r="G1232" s="10" t="n">
        <x:f>SUM(D1232:F1232)</x:f>
        <x:v>560.008192</x:v>
      </x:c>
    </x:row>
    <x:row r="1233" ht="24" customHeight="1">
      <x:c r="A1233" s="10" t="str">
        <x:v>S03-05</x:v>
      </x:c>
      <x:c r="B1233" s="10" t="str">
        <x:v>A</x:v>
      </x:c>
      <x:c r="C1233" s="18" t="n">
        <x:v>3.740666767</x:v>
      </x:c>
      <x:c r="D1233" s="10" t="n">
        <x:v>560</x:v>
      </x:c>
      <x:c r="E1233" s="10" t="n">
        <x:v>0</x:v>
      </x:c>
      <x:c r="F1233" s="10" t="n">
        <x:v>0.004096</x:v>
      </x:c>
      <x:c r="G1233" s="10" t="n">
        <x:f>SUM(D1233:F1233)</x:f>
        <x:v>560.004096</x:v>
      </x:c>
    </x:row>
    <x:row r="1234" ht="24" customHeight="1">
      <x:c r="A1234" s="10" t="str">
        <x:v>S03-05</x:v>
      </x:c>
      <x:c r="B1234" s="10" t="str">
        <x:v>A</x:v>
      </x:c>
      <x:c r="C1234" s="18" t="n">
        <x:v>3.835666567</x:v>
      </x:c>
      <x:c r="D1234" s="10" t="n">
        <x:v>560</x:v>
      </x:c>
      <x:c r="E1234" s="10" t="n">
        <x:v>0</x:v>
      </x:c>
      <x:c r="F1234" s="10" t="n">
        <x:v>0.004096</x:v>
      </x:c>
      <x:c r="G1234" s="10" t="n">
        <x:f>SUM(D1234:F1234)</x:f>
        <x:v>560.004096</x:v>
      </x:c>
    </x:row>
    <x:row r="1235" ht="24" customHeight="1">
      <x:c r="A1235" s="10" t="str">
        <x:v>S03-05</x:v>
      </x:c>
      <x:c r="B1235" s="10" t="str">
        <x:v>A</x:v>
      </x:c>
      <x:c r="C1235" s="18" t="n">
        <x:v>3.835666667</x:v>
      </x:c>
      <x:c r="D1235" s="10" t="n">
        <x:v>560</x:v>
      </x:c>
      <x:c r="E1235" s="10" t="n">
        <x:v>0.0096</x:v>
      </x:c>
      <x:c r="F1235" s="10" t="n">
        <x:v>0.004096</x:v>
      </x:c>
      <x:c r="G1235" s="10" t="n">
        <x:f>SUM(D1235:F1235)</x:f>
        <x:v>560.013696</x:v>
      </x:c>
    </x:row>
    <x:row r="1236" ht="24" customHeight="1">
      <x:c r="A1236" s="10" t="str">
        <x:v>S03-05</x:v>
      </x:c>
      <x:c r="B1236" s="10" t="str">
        <x:v>A</x:v>
      </x:c>
      <x:c r="C1236" s="18" t="n">
        <x:v>3.835666767</x:v>
      </x:c>
      <x:c r="D1236" s="10" t="n">
        <x:v>560</x:v>
      </x:c>
      <x:c r="E1236" s="10" t="n">
        <x:v>0.009600019</x:v>
      </x:c>
      <x:c r="F1236" s="10" t="n">
        <x:v>0.004096</x:v>
      </x:c>
      <x:c r="G1236" s="10" t="n">
        <x:f>SUM(D1236:F1236)</x:f>
        <x:v>560.013696019</x:v>
      </x:c>
    </x:row>
    <x:row r="1237" ht="24" customHeight="1">
      <x:c r="A1237" s="10" t="str">
        <x:v>S03-05</x:v>
      </x:c>
      <x:c r="B1237" s="10" t="str">
        <x:v>A</x:v>
      </x:c>
      <x:c r="C1237" s="18" t="n">
        <x:v>3.875666567</x:v>
      </x:c>
      <x:c r="D1237" s="10" t="n">
        <x:v>560</x:v>
      </x:c>
      <x:c r="E1237" s="10" t="n">
        <x:v>0.017279981</x:v>
      </x:c>
      <x:c r="F1237" s="10" t="n">
        <x:v>0.004096</x:v>
      </x:c>
      <x:c r="G1237" s="10" t="n">
        <x:f>SUM(D1237:F1237)</x:f>
        <x:v>560.021375981</x:v>
      </x:c>
    </x:row>
    <x:row r="1238" ht="24" customHeight="1">
      <x:c r="A1238" s="10" t="str">
        <x:v>S03-05</x:v>
      </x:c>
      <x:c r="B1238" s="10" t="str">
        <x:v>A</x:v>
      </x:c>
      <x:c r="C1238" s="18" t="n">
        <x:v>3.875666667</x:v>
      </x:c>
      <x:c r="D1238" s="10" t="n">
        <x:v>560</x:v>
      </x:c>
      <x:c r="E1238" s="10" t="n">
        <x:v>0.01728</x:v>
      </x:c>
      <x:c r="F1238" s="10" t="n">
        <x:v>0.004096</x:v>
      </x:c>
      <x:c r="G1238" s="10" t="n">
        <x:f>SUM(D1238:F1238)</x:f>
        <x:v>560.021376</x:v>
      </x:c>
    </x:row>
    <x:row r="1239" ht="24" customHeight="1">
      <x:c r="A1239" s="10" t="str">
        <x:v>S03-05</x:v>
      </x:c>
      <x:c r="B1239" s="10" t="str">
        <x:v>A</x:v>
      </x:c>
      <x:c r="C1239" s="18" t="n">
        <x:v>3.875666767</x:v>
      </x:c>
      <x:c r="D1239" s="10" t="n">
        <x:v>560</x:v>
      </x:c>
      <x:c r="E1239" s="10" t="n">
        <x:v>0.017280014</x:v>
      </x:c>
      <x:c r="F1239" s="10" t="n">
        <x:v>0.004096</x:v>
      </x:c>
      <x:c r="G1239" s="10" t="n">
        <x:f>SUM(D1239:F1239)</x:f>
        <x:v>560.021376014</x:v>
      </x:c>
    </x:row>
    <x:row r="1240" ht="24" customHeight="1">
      <x:c r="A1240" s="10" t="str">
        <x:v>S03-05</x:v>
      </x:c>
      <x:c r="B1240" s="10" t="str">
        <x:v>A</x:v>
      </x:c>
      <x:c r="C1240" s="18" t="n">
        <x:v>5.784166567</x:v>
      </x:c>
      <x:c r="D1240" s="10" t="n">
        <x:v>560</x:v>
      </x:c>
      <x:c r="E1240" s="10" t="n">
        <x:v>0.292103986</x:v>
      </x:c>
      <x:c r="F1240" s="10" t="n">
        <x:v>0.004096</x:v>
      </x:c>
      <x:c r="G1240" s="10" t="n">
        <x:f>SUM(D1240:F1240)</x:f>
        <x:v>560.296199986</x:v>
      </x:c>
    </x:row>
    <x:row r="1241" ht="24" customHeight="1">
      <x:c r="A1241" s="10" t="str">
        <x:v>S03-05</x:v>
      </x:c>
      <x:c r="B1241" s="10" t="str">
        <x:v>A</x:v>
      </x:c>
      <x:c r="C1241" s="18" t="n">
        <x:v>5.784166667</x:v>
      </x:c>
      <x:c r="D1241" s="10" t="n">
        <x:v>560</x:v>
      </x:c>
      <x:c r="E1241" s="10" t="n">
        <x:v>0.292104</x:v>
      </x:c>
      <x:c r="F1241" s="10" t="n">
        <x:v>0.004096</x:v>
      </x:c>
      <x:c r="G1241" s="10" t="n">
        <x:f>SUM(D1241:F1241)</x:f>
        <x:v>560.2962</x:v>
      </x:c>
    </x:row>
    <x:row r="1242" ht="24" customHeight="1">
      <x:c r="A1242" s="10" t="str">
        <x:v>S03-05</x:v>
      </x:c>
      <x:c r="B1242" s="10" t="str">
        <x:v>A</x:v>
      </x:c>
      <x:c r="C1242" s="18" t="n">
        <x:v>5.784166767</x:v>
      </x:c>
      <x:c r="D1242" s="10" t="n">
        <x:v>560</x:v>
      </x:c>
      <x:c r="E1242" s="10" t="n">
        <x:v>0.292103995</x:v>
      </x:c>
      <x:c r="F1242" s="10" t="n">
        <x:v>0.004096</x:v>
      </x:c>
      <x:c r="G1242" s="10" t="n">
        <x:f>SUM(D1242:F1242)</x:f>
        <x:v>560.296199995</x:v>
      </x:c>
    </x:row>
    <x:row r="1243" ht="24" customHeight="1">
      <x:c r="A1243" s="10" t="str">
        <x:v>S03-05</x:v>
      </x:c>
      <x:c r="B1243" s="10" t="str">
        <x:v>A</x:v>
      </x:c>
      <x:c r="C1243" s="18" t="n">
        <x:v>11.869666567</x:v>
      </x:c>
      <x:c r="D1243" s="10" t="n">
        <x:v>560</x:v>
      </x:c>
      <x:c r="E1243" s="10" t="n">
        <x:v>5e-9</x:v>
      </x:c>
      <x:c r="F1243" s="10" t="n">
        <x:v>0.004096</x:v>
      </x:c>
      <x:c r="G1243" s="10" t="n">
        <x:f>SUM(D1243:F1243)</x:f>
        <x:v>560.004096005</x:v>
      </x:c>
    </x:row>
    <x:row r="1244" ht="24" customHeight="1">
      <x:c r="A1244" s="10" t="str">
        <x:v>S03-05</x:v>
      </x:c>
      <x:c r="B1244" s="10" t="str">
        <x:v>A</x:v>
      </x:c>
      <x:c r="C1244" s="18" t="n">
        <x:v>11.869666667</x:v>
      </x:c>
      <x:c r="D1244" s="10" t="n">
        <x:v>560</x:v>
      </x:c>
      <x:c r="E1244" s="10" t="n">
        <x:v>0</x:v>
      </x:c>
      <x:c r="F1244" s="10" t="n">
        <x:v>0.004096</x:v>
      </x:c>
      <x:c r="G1244" s="10" t="n">
        <x:f>SUM(D1244:F1244)</x:f>
        <x:v>560.004096</x:v>
      </x:c>
    </x:row>
    <x:row r="1245" ht="24" customHeight="1">
      <x:c r="A1245" s="10" t="str">
        <x:v>S03-05</x:v>
      </x:c>
      <x:c r="B1245" s="10" t="str">
        <x:v>A</x:v>
      </x:c>
      <x:c r="C1245" s="18" t="n">
        <x:v>11.869666767</x:v>
      </x:c>
      <x:c r="D1245" s="10" t="n">
        <x:v>560</x:v>
      </x:c>
      <x:c r="E1245" s="10" t="n">
        <x:v>0</x:v>
      </x:c>
      <x:c r="F1245" s="10" t="n">
        <x:v>0</x:v>
      </x:c>
      <x:c r="G1245" s="10" t="n">
        <x:f>SUM(D1245:F1245)</x:f>
        <x:v>560</x:v>
      </x:c>
    </x:row>
    <x:row r="1246" ht="24" customHeight="1">
      <x:c r="A1246" s="10" t="str">
        <x:v>S03-05</x:v>
      </x:c>
      <x:c r="B1246" s="10" t="str">
        <x:v>B</x:v>
      </x:c>
      <x:c r="C1246" s="18" t="n">
        <x:v>-6.0000001</x:v>
      </x:c>
      <x:c r="D1246" s="10" t="n">
        <x:v>560</x:v>
      </x:c>
      <x:c r="E1246" s="10" t="n">
        <x:v>0</x:v>
      </x:c>
      <x:c r="F1246" s="10" t="n">
        <x:v>0</x:v>
      </x:c>
      <x:c r="G1246" s="10" t="n">
        <x:f>SUM(D1246:F1246)</x:f>
        <x:v>560</x:v>
      </x:c>
    </x:row>
    <x:row r="1247" ht="24" customHeight="1">
      <x:c r="A1247" s="10" t="str">
        <x:v>S03-05</x:v>
      </x:c>
      <x:c r="B1247" s="10" t="str">
        <x:v>B</x:v>
      </x:c>
      <x:c r="C1247" s="18" t="n">
        <x:v>-6</x:v>
      </x:c>
      <x:c r="D1247" s="10" t="n">
        <x:v>560</x:v>
      </x:c>
      <x:c r="E1247" s="10" t="n">
        <x:v>0</x:v>
      </x:c>
      <x:c r="F1247" s="10" t="n">
        <x:v>0</x:v>
      </x:c>
      <x:c r="G1247" s="10" t="n">
        <x:f>SUM(D1247:F1247)</x:f>
        <x:v>560</x:v>
      </x:c>
    </x:row>
    <x:row r="1248" ht="24" customHeight="1">
      <x:c r="A1248" s="10" t="str">
        <x:v>S03-05</x:v>
      </x:c>
      <x:c r="B1248" s="10" t="str">
        <x:v>B</x:v>
      </x:c>
      <x:c r="C1248" s="18" t="n">
        <x:v>-5.9999999</x:v>
      </x:c>
      <x:c r="D1248" s="10" t="n">
        <x:v>560</x:v>
      </x:c>
      <x:c r="E1248" s="10" t="n">
        <x:v>0</x:v>
      </x:c>
      <x:c r="F1248" s="10" t="n">
        <x:v>0</x:v>
      </x:c>
      <x:c r="G1248" s="10" t="n">
        <x:f>SUM(D1248:F1248)</x:f>
        <x:v>560</x:v>
      </x:c>
    </x:row>
    <x:row r="1249" ht="24" customHeight="1">
      <x:c r="A1249" s="10" t="str">
        <x:v>S03-05</x:v>
      </x:c>
      <x:c r="B1249" s="10" t="str">
        <x:v>B</x:v>
      </x:c>
      <x:c r="C1249" s="18" t="n">
        <x:v>-1e-7</x:v>
      </x:c>
      <x:c r="D1249" s="10" t="n">
        <x:v>560</x:v>
      </x:c>
      <x:c r="E1249" s="10" t="n">
        <x:v>0</x:v>
      </x:c>
      <x:c r="F1249" s="10" t="n">
        <x:v>0</x:v>
      </x:c>
      <x:c r="G1249" s="10" t="n">
        <x:f>SUM(D1249:F1249)</x:f>
        <x:v>560</x:v>
      </x:c>
    </x:row>
    <x:row r="1250" ht="24" customHeight="1">
      <x:c r="A1250" s="10" t="str">
        <x:v>S03-05</x:v>
      </x:c>
      <x:c r="B1250" s="10" t="str">
        <x:v>B</x:v>
      </x:c>
      <x:c r="C1250" s="18" t="n">
        <x:v>0</x:v>
      </x:c>
      <x:c r="D1250" s="10" t="n">
        <x:v>560</x:v>
      </x:c>
      <x:c r="E1250" s="10" t="n">
        <x:v>0</x:v>
      </x:c>
      <x:c r="F1250" s="10" t="n">
        <x:v>0</x:v>
      </x:c>
      <x:c r="G1250" s="10" t="n">
        <x:f>SUM(D1250:F1250)</x:f>
        <x:v>560</x:v>
      </x:c>
    </x:row>
    <x:row r="1251" ht="24" customHeight="1">
      <x:c r="A1251" s="10" t="str">
        <x:v>S03-05</x:v>
      </x:c>
      <x:c r="B1251" s="10" t="str">
        <x:v>B</x:v>
      </x:c>
      <x:c r="C1251" s="18" t="n">
        <x:v>1e-7</x:v>
      </x:c>
      <x:c r="D1251" s="10" t="n">
        <x:v>560</x:v>
      </x:c>
      <x:c r="E1251" s="10" t="n">
        <x:v>0</x:v>
      </x:c>
      <x:c r="F1251" s="10" t="n">
        <x:v>0</x:v>
      </x:c>
      <x:c r="G1251" s="10" t="n">
        <x:f>SUM(D1251:F1251)</x:f>
        <x:v>560</x:v>
      </x:c>
    </x:row>
    <x:row r="1252" ht="24" customHeight="1">
      <x:c r="A1252" s="10" t="str">
        <x:v>S03-05</x:v>
      </x:c>
      <x:c r="B1252" s="10" t="str">
        <x:v>B</x:v>
      </x:c>
      <x:c r="C1252" s="18" t="n">
        <x:v>0.906666567</x:v>
      </x:c>
      <x:c r="D1252" s="10" t="n">
        <x:v>560</x:v>
      </x:c>
      <x:c r="E1252" s="10" t="n">
        <x:v>0</x:v>
      </x:c>
      <x:c r="F1252" s="10" t="n">
        <x:v>0</x:v>
      </x:c>
      <x:c r="G1252" s="10" t="n">
        <x:f>SUM(D1252:F1252)</x:f>
        <x:v>560</x:v>
      </x:c>
    </x:row>
    <x:row r="1253" ht="24" customHeight="1">
      <x:c r="A1253" s="10" t="str">
        <x:v>S03-05</x:v>
      </x:c>
      <x:c r="B1253" s="10" t="str">
        <x:v>B</x:v>
      </x:c>
      <x:c r="C1253" s="18" t="n">
        <x:v>0.906666667</x:v>
      </x:c>
      <x:c r="D1253" s="10" t="n">
        <x:v>560</x:v>
      </x:c>
      <x:c r="E1253" s="10" t="n">
        <x:v>0</x:v>
      </x:c>
      <x:c r="F1253" s="10" t="n">
        <x:v>0.004096</x:v>
      </x:c>
      <x:c r="G1253" s="10" t="n">
        <x:f>SUM(D1253:F1253)</x:f>
        <x:v>560.004096</x:v>
      </x:c>
    </x:row>
    <x:row r="1254" ht="24" customHeight="1">
      <x:c r="A1254" s="10" t="str">
        <x:v>S03-05</x:v>
      </x:c>
      <x:c r="B1254" s="10" t="str">
        <x:v>B</x:v>
      </x:c>
      <x:c r="C1254" s="18" t="n">
        <x:v>0.906666767</x:v>
      </x:c>
      <x:c r="D1254" s="10" t="n">
        <x:v>560</x:v>
      </x:c>
      <x:c r="E1254" s="10" t="n">
        <x:v>0</x:v>
      </x:c>
      <x:c r="F1254" s="10" t="n">
        <x:v>0.004096</x:v>
      </x:c>
      <x:c r="G1254" s="10" t="n">
        <x:f>SUM(D1254:F1254)</x:f>
        <x:v>560.004096</x:v>
      </x:c>
    </x:row>
    <x:row r="1255" ht="24" customHeight="1">
      <x:c r="A1255" s="10" t="str">
        <x:v>S03-05</x:v>
      </x:c>
      <x:c r="B1255" s="10" t="str">
        <x:v>B</x:v>
      </x:c>
      <x:c r="C1255" s="18" t="n">
        <x:v>1.307666567</x:v>
      </x:c>
      <x:c r="D1255" s="10" t="n">
        <x:v>560</x:v>
      </x:c>
      <x:c r="E1255" s="10" t="n">
        <x:v>0</x:v>
      </x:c>
      <x:c r="F1255" s="10" t="n">
        <x:v>0.004096</x:v>
      </x:c>
      <x:c r="G1255" s="10" t="n">
        <x:f>SUM(D1255:F1255)</x:f>
        <x:v>560.004096</x:v>
      </x:c>
    </x:row>
    <x:row r="1256" ht="24" customHeight="1">
      <x:c r="A1256" s="10" t="str">
        <x:v>S03-05</x:v>
      </x:c>
      <x:c r="B1256" s="10" t="str">
        <x:v>B</x:v>
      </x:c>
      <x:c r="C1256" s="18" t="n">
        <x:v>1.307666667</x:v>
      </x:c>
      <x:c r="D1256" s="10" t="n">
        <x:v>560</x:v>
      </x:c>
      <x:c r="E1256" s="10" t="n">
        <x:v>0.0096</x:v>
      </x:c>
      <x:c r="F1256" s="10" t="n">
        <x:v>0.004096</x:v>
      </x:c>
      <x:c r="G1256" s="10" t="n">
        <x:f>SUM(D1256:F1256)</x:f>
        <x:v>560.013696</x:v>
      </x:c>
    </x:row>
    <x:row r="1257" ht="24" customHeight="1">
      <x:c r="A1257" s="10" t="str">
        <x:v>S03-05</x:v>
      </x:c>
      <x:c r="B1257" s="10" t="str">
        <x:v>B</x:v>
      </x:c>
      <x:c r="C1257" s="18" t="n">
        <x:v>1.307666767</x:v>
      </x:c>
      <x:c r="D1257" s="10" t="n">
        <x:v>560</x:v>
      </x:c>
      <x:c r="E1257" s="10" t="n">
        <x:v>0.009600019</x:v>
      </x:c>
      <x:c r="F1257" s="10" t="n">
        <x:v>0.004096</x:v>
      </x:c>
      <x:c r="G1257" s="10" t="n">
        <x:f>SUM(D1257:F1257)</x:f>
        <x:v>560.013696019</x:v>
      </x:c>
    </x:row>
    <x:row r="1258" ht="24" customHeight="1">
      <x:c r="A1258" s="10" t="str">
        <x:v>S03-05</x:v>
      </x:c>
      <x:c r="B1258" s="10" t="str">
        <x:v>B</x:v>
      </x:c>
      <x:c r="C1258" s="18" t="n">
        <x:v>1.347666567</x:v>
      </x:c>
      <x:c r="D1258" s="10" t="n">
        <x:v>560</x:v>
      </x:c>
      <x:c r="E1258" s="10" t="n">
        <x:v>0.017279981</x:v>
      </x:c>
      <x:c r="F1258" s="10" t="n">
        <x:v>0.004096</x:v>
      </x:c>
      <x:c r="G1258" s="10" t="n">
        <x:f>SUM(D1258:F1258)</x:f>
        <x:v>560.021375981</x:v>
      </x:c>
    </x:row>
    <x:row r="1259" ht="24" customHeight="1">
      <x:c r="A1259" s="10" t="str">
        <x:v>S03-05</x:v>
      </x:c>
      <x:c r="B1259" s="10" t="str">
        <x:v>B</x:v>
      </x:c>
      <x:c r="C1259" s="18" t="n">
        <x:v>1.347666667</x:v>
      </x:c>
      <x:c r="D1259" s="10" t="n">
        <x:v>560</x:v>
      </x:c>
      <x:c r="E1259" s="10" t="n">
        <x:v>0.01728</x:v>
      </x:c>
      <x:c r="F1259" s="10" t="n">
        <x:v>0.004096</x:v>
      </x:c>
      <x:c r="G1259" s="10" t="n">
        <x:f>SUM(D1259:F1259)</x:f>
        <x:v>560.021376</x:v>
      </x:c>
    </x:row>
    <x:row r="1260" ht="24" customHeight="1">
      <x:c r="A1260" s="10" t="str">
        <x:v>S03-05</x:v>
      </x:c>
      <x:c r="B1260" s="10" t="str">
        <x:v>B</x:v>
      </x:c>
      <x:c r="C1260" s="18" t="n">
        <x:v>1.347666767</x:v>
      </x:c>
      <x:c r="D1260" s="10" t="n">
        <x:v>560</x:v>
      </x:c>
      <x:c r="E1260" s="10" t="n">
        <x:v>0.017280014</x:v>
      </x:c>
      <x:c r="F1260" s="10" t="n">
        <x:v>0.004096</x:v>
      </x:c>
      <x:c r="G1260" s="10" t="n">
        <x:f>SUM(D1260:F1260)</x:f>
        <x:v>560.021376014</x:v>
      </x:c>
    </x:row>
    <x:row r="1261" ht="24" customHeight="1">
      <x:c r="A1261" s="10" t="str">
        <x:v>S03-05</x:v>
      </x:c>
      <x:c r="B1261" s="10" t="str">
        <x:v>B</x:v>
      </x:c>
      <x:c r="C1261" s="18" t="n">
        <x:v>1.956166567</x:v>
      </x:c>
      <x:c r="D1261" s="10" t="n">
        <x:v>560</x:v>
      </x:c>
      <x:c r="E1261" s="10" t="n">
        <x:v>0.104903986</x:v>
      </x:c>
      <x:c r="F1261" s="10" t="n">
        <x:v>0.004096</x:v>
      </x:c>
      <x:c r="G1261" s="10" t="n">
        <x:f>SUM(D1261:F1261)</x:f>
        <x:v>560.108999986</x:v>
      </x:c>
    </x:row>
    <x:row r="1262" ht="24" customHeight="1">
      <x:c r="A1262" s="10" t="str">
        <x:v>S03-05</x:v>
      </x:c>
      <x:c r="B1262" s="10" t="str">
        <x:v>B</x:v>
      </x:c>
      <x:c r="C1262" s="18" t="n">
        <x:v>1.956166667</x:v>
      </x:c>
      <x:c r="D1262" s="10" t="n">
        <x:v>560</x:v>
      </x:c>
      <x:c r="E1262" s="10" t="n">
        <x:v>0.104904</x:v>
      </x:c>
      <x:c r="F1262" s="10" t="n">
        <x:v>0.004096</x:v>
      </x:c>
      <x:c r="G1262" s="10" t="n">
        <x:f>SUM(D1262:F1262)</x:f>
        <x:v>560.109</x:v>
      </x:c>
    </x:row>
    <x:row r="1263" ht="24" customHeight="1">
      <x:c r="A1263" s="10" t="str">
        <x:v>S03-05</x:v>
      </x:c>
      <x:c r="B1263" s="10" t="str">
        <x:v>B</x:v>
      </x:c>
      <x:c r="C1263" s="18" t="n">
        <x:v>1.956166767</x:v>
      </x:c>
      <x:c r="D1263" s="10" t="n">
        <x:v>560</x:v>
      </x:c>
      <x:c r="E1263" s="10" t="n">
        <x:v>0.104903995</x:v>
      </x:c>
      <x:c r="F1263" s="10" t="n">
        <x:v>0.004096</x:v>
      </x:c>
      <x:c r="G1263" s="10" t="n">
        <x:f>SUM(D1263:F1263)</x:f>
        <x:v>560.108999995</x:v>
      </x:c>
    </x:row>
    <x:row r="1264" ht="24" customHeight="1">
      <x:c r="A1264" s="10" t="str">
        <x:v>S03-05</x:v>
      </x:c>
      <x:c r="B1264" s="10" t="str">
        <x:v>B</x:v>
      </x:c>
      <x:c r="C1264" s="18" t="n">
        <x:v>4.141666567</x:v>
      </x:c>
      <x:c r="D1264" s="10" t="n">
        <x:v>560</x:v>
      </x:c>
      <x:c r="E1264" s="10" t="n">
        <x:v>5e-9</x:v>
      </x:c>
      <x:c r="F1264" s="10" t="n">
        <x:v>0.004096</x:v>
      </x:c>
      <x:c r="G1264" s="10" t="n">
        <x:f>SUM(D1264:F1264)</x:f>
        <x:v>560.004096005</x:v>
      </x:c>
    </x:row>
    <x:row r="1265" ht="24" customHeight="1">
      <x:c r="A1265" s="10" t="str">
        <x:v>S03-05</x:v>
      </x:c>
      <x:c r="B1265" s="10" t="str">
        <x:v>B</x:v>
      </x:c>
      <x:c r="C1265" s="18" t="n">
        <x:v>4.141666667</x:v>
      </x:c>
      <x:c r="D1265" s="10" t="n">
        <x:v>560</x:v>
      </x:c>
      <x:c r="E1265" s="10" t="n">
        <x:v>0</x:v>
      </x:c>
      <x:c r="F1265" s="10" t="n">
        <x:v>0.008192</x:v>
      </x:c>
      <x:c r="G1265" s="10" t="n">
        <x:f>SUM(D1265:F1265)</x:f>
        <x:v>560.008192</x:v>
      </x:c>
    </x:row>
    <x:row r="1266" ht="24" customHeight="1">
      <x:c r="A1266" s="10" t="str">
        <x:v>S03-05</x:v>
      </x:c>
      <x:c r="B1266" s="10" t="str">
        <x:v>B</x:v>
      </x:c>
      <x:c r="C1266" s="18" t="n">
        <x:v>4.141666767</x:v>
      </x:c>
      <x:c r="D1266" s="10" t="n">
        <x:v>560</x:v>
      </x:c>
      <x:c r="E1266" s="10" t="n">
        <x:v>0</x:v>
      </x:c>
      <x:c r="F1266" s="10" t="n">
        <x:v>0.004096</x:v>
      </x:c>
      <x:c r="G1266" s="10" t="n">
        <x:f>SUM(D1266:F1266)</x:f>
        <x:v>560.004096</x:v>
      </x:c>
    </x:row>
    <x:row r="1267" ht="24" customHeight="1">
      <x:c r="A1267" s="10" t="str">
        <x:v>S03-05</x:v>
      </x:c>
      <x:c r="B1267" s="10" t="str">
        <x:v>B</x:v>
      </x:c>
      <x:c r="C1267" s="18" t="n">
        <x:v>4.550666567</x:v>
      </x:c>
      <x:c r="D1267" s="10" t="n">
        <x:v>560</x:v>
      </x:c>
      <x:c r="E1267" s="10" t="n">
        <x:v>0</x:v>
      </x:c>
      <x:c r="F1267" s="10" t="n">
        <x:v>0.004096</x:v>
      </x:c>
      <x:c r="G1267" s="10" t="n">
        <x:f>SUM(D1267:F1267)</x:f>
        <x:v>560.004096</x:v>
      </x:c>
    </x:row>
    <x:row r="1268" ht="24" customHeight="1">
      <x:c r="A1268" s="10" t="str">
        <x:v>S03-05</x:v>
      </x:c>
      <x:c r="B1268" s="10" t="str">
        <x:v>B</x:v>
      </x:c>
      <x:c r="C1268" s="18" t="n">
        <x:v>4.550666667</x:v>
      </x:c>
      <x:c r="D1268" s="10" t="n">
        <x:v>560</x:v>
      </x:c>
      <x:c r="E1268" s="10" t="n">
        <x:v>0.0096</x:v>
      </x:c>
      <x:c r="F1268" s="10" t="n">
        <x:v>0.004096</x:v>
      </x:c>
      <x:c r="G1268" s="10" t="n">
        <x:f>SUM(D1268:F1268)</x:f>
        <x:v>560.013696</x:v>
      </x:c>
    </x:row>
    <x:row r="1269" ht="24" customHeight="1">
      <x:c r="A1269" s="10" t="str">
        <x:v>S03-05</x:v>
      </x:c>
      <x:c r="B1269" s="10" t="str">
        <x:v>B</x:v>
      </x:c>
      <x:c r="C1269" s="18" t="n">
        <x:v>4.550666767</x:v>
      </x:c>
      <x:c r="D1269" s="10" t="n">
        <x:v>560</x:v>
      </x:c>
      <x:c r="E1269" s="10" t="n">
        <x:v>0.009600019</x:v>
      </x:c>
      <x:c r="F1269" s="10" t="n">
        <x:v>0.004096</x:v>
      </x:c>
      <x:c r="G1269" s="10" t="n">
        <x:f>SUM(D1269:F1269)</x:f>
        <x:v>560.013696019</x:v>
      </x:c>
    </x:row>
    <x:row r="1270" ht="24" customHeight="1">
      <x:c r="A1270" s="10" t="str">
        <x:v>S03-05</x:v>
      </x:c>
      <x:c r="B1270" s="10" t="str">
        <x:v>B</x:v>
      </x:c>
      <x:c r="C1270" s="18" t="n">
        <x:v>4.590666567</x:v>
      </x:c>
      <x:c r="D1270" s="10" t="n">
        <x:v>560</x:v>
      </x:c>
      <x:c r="E1270" s="10" t="n">
        <x:v>0.017279981</x:v>
      </x:c>
      <x:c r="F1270" s="10" t="n">
        <x:v>0.004096</x:v>
      </x:c>
      <x:c r="G1270" s="10" t="n">
        <x:f>SUM(D1270:F1270)</x:f>
        <x:v>560.021375981</x:v>
      </x:c>
    </x:row>
    <x:row r="1271" ht="24" customHeight="1">
      <x:c r="A1271" s="10" t="str">
        <x:v>S03-05</x:v>
      </x:c>
      <x:c r="B1271" s="10" t="str">
        <x:v>B</x:v>
      </x:c>
      <x:c r="C1271" s="18" t="n">
        <x:v>4.590666667</x:v>
      </x:c>
      <x:c r="D1271" s="10" t="n">
        <x:v>560</x:v>
      </x:c>
      <x:c r="E1271" s="10" t="n">
        <x:v>0.01728</x:v>
      </x:c>
      <x:c r="F1271" s="10" t="n">
        <x:v>0.004096</x:v>
      </x:c>
      <x:c r="G1271" s="10" t="n">
        <x:f>SUM(D1271:F1271)</x:f>
        <x:v>560.021376</x:v>
      </x:c>
    </x:row>
    <x:row r="1272" ht="24" customHeight="1">
      <x:c r="A1272" s="10" t="str">
        <x:v>S03-05</x:v>
      </x:c>
      <x:c r="B1272" s="10" t="str">
        <x:v>B</x:v>
      </x:c>
      <x:c r="C1272" s="18" t="n">
        <x:v>4.590666767</x:v>
      </x:c>
      <x:c r="D1272" s="10" t="n">
        <x:v>560</x:v>
      </x:c>
      <x:c r="E1272" s="10" t="n">
        <x:v>0.017280014</x:v>
      </x:c>
      <x:c r="F1272" s="10" t="n">
        <x:v>0.004096</x:v>
      </x:c>
      <x:c r="G1272" s="10" t="n">
        <x:f>SUM(D1272:F1272)</x:f>
        <x:v>560.021376014</x:v>
      </x:c>
    </x:row>
    <x:row r="1273" ht="24" customHeight="1">
      <x:c r="A1273" s="10" t="str">
        <x:v>S03-05</x:v>
      </x:c>
      <x:c r="B1273" s="10" t="str">
        <x:v>B</x:v>
      </x:c>
      <x:c r="C1273" s="18" t="n">
        <x:v>6.499166567</x:v>
      </x:c>
      <x:c r="D1273" s="10" t="n">
        <x:v>560</x:v>
      </x:c>
      <x:c r="E1273" s="10" t="n">
        <x:v>0.292103986</x:v>
      </x:c>
      <x:c r="F1273" s="10" t="n">
        <x:v>0.004096</x:v>
      </x:c>
      <x:c r="G1273" s="10" t="n">
        <x:f>SUM(D1273:F1273)</x:f>
        <x:v>560.296199986</x:v>
      </x:c>
    </x:row>
    <x:row r="1274" ht="24" customHeight="1">
      <x:c r="A1274" s="10" t="str">
        <x:v>S03-05</x:v>
      </x:c>
      <x:c r="B1274" s="10" t="str">
        <x:v>B</x:v>
      </x:c>
      <x:c r="C1274" s="18" t="n">
        <x:v>6.499166667</x:v>
      </x:c>
      <x:c r="D1274" s="10" t="n">
        <x:v>560</x:v>
      </x:c>
      <x:c r="E1274" s="10" t="n">
        <x:v>0.292104</x:v>
      </x:c>
      <x:c r="F1274" s="10" t="n">
        <x:v>0.004096</x:v>
      </x:c>
      <x:c r="G1274" s="10" t="n">
        <x:f>SUM(D1274:F1274)</x:f>
        <x:v>560.2962</x:v>
      </x:c>
    </x:row>
    <x:row r="1275" ht="24" customHeight="1">
      <x:c r="A1275" s="10" t="str">
        <x:v>S03-05</x:v>
      </x:c>
      <x:c r="B1275" s="10" t="str">
        <x:v>B</x:v>
      </x:c>
      <x:c r="C1275" s="18" t="n">
        <x:v>6.499166767</x:v>
      </x:c>
      <x:c r="D1275" s="10" t="n">
        <x:v>560</x:v>
      </x:c>
      <x:c r="E1275" s="10" t="n">
        <x:v>0.292103995</x:v>
      </x:c>
      <x:c r="F1275" s="10" t="n">
        <x:v>0.004096</x:v>
      </x:c>
      <x:c r="G1275" s="10" t="n">
        <x:f>SUM(D1275:F1275)</x:f>
        <x:v>560.296199995</x:v>
      </x:c>
    </x:row>
    <x:row r="1276" ht="24" customHeight="1">
      <x:c r="A1276" s="10" t="str">
        <x:v>S03-05</x:v>
      </x:c>
      <x:c r="B1276" s="10" t="str">
        <x:v>B</x:v>
      </x:c>
      <x:c r="C1276" s="18" t="n">
        <x:v>12.584666567</x:v>
      </x:c>
      <x:c r="D1276" s="10" t="n">
        <x:v>560</x:v>
      </x:c>
      <x:c r="E1276" s="10" t="n">
        <x:v>5e-9</x:v>
      </x:c>
      <x:c r="F1276" s="10" t="n">
        <x:v>0.004096</x:v>
      </x:c>
      <x:c r="G1276" s="10" t="n">
        <x:f>SUM(D1276:F1276)</x:f>
        <x:v>560.004096005</x:v>
      </x:c>
    </x:row>
    <x:row r="1277" ht="24" customHeight="1">
      <x:c r="A1277" s="10" t="str">
        <x:v>S03-05</x:v>
      </x:c>
      <x:c r="B1277" s="10" t="str">
        <x:v>B</x:v>
      </x:c>
      <x:c r="C1277" s="18" t="n">
        <x:v>12.584666667</x:v>
      </x:c>
      <x:c r="D1277" s="10" t="n">
        <x:v>560</x:v>
      </x:c>
      <x:c r="E1277" s="10" t="n">
        <x:v>0</x:v>
      </x:c>
      <x:c r="F1277" s="10" t="n">
        <x:v>0.004096</x:v>
      </x:c>
      <x:c r="G1277" s="10" t="n">
        <x:f>SUM(D1277:F1277)</x:f>
        <x:v>560.004096</x:v>
      </x:c>
    </x:row>
    <x:row r="1278" ht="24" customHeight="1">
      <x:c r="A1278" s="10" t="str">
        <x:v>S03-05</x:v>
      </x:c>
      <x:c r="B1278" s="10" t="str">
        <x:v>B</x:v>
      </x:c>
      <x:c r="C1278" s="18" t="n">
        <x:v>12.584666767</x:v>
      </x:c>
      <x:c r="D1278" s="10" t="n">
        <x:v>560</x:v>
      </x:c>
      <x:c r="E1278" s="10" t="n">
        <x:v>0</x:v>
      </x:c>
      <x:c r="F1278" s="10" t="n">
        <x:v>0</x:v>
      </x:c>
      <x:c r="G1278" s="10" t="n">
        <x:f>SUM(D1278:F1278)</x:f>
        <x:v>560</x:v>
      </x:c>
    </x:row>
    <x:row r="1279" ht="24" customHeight="1">
      <x:c r="A1279" s="10" t="str">
        <x:v>S03-06</x:v>
      </x:c>
      <x:c r="B1279" s="10" t="str">
        <x:v>A</x:v>
      </x:c>
      <x:c r="C1279" s="18" t="n">
        <x:v>-6.0000001</x:v>
      </x:c>
      <x:c r="D1279" s="10" t="n">
        <x:v>560</x:v>
      </x:c>
      <x:c r="E1279" s="10" t="n">
        <x:v>0</x:v>
      </x:c>
      <x:c r="F1279" s="10" t="n">
        <x:v>0</x:v>
      </x:c>
      <x:c r="G1279" s="10" t="n">
        <x:f>SUM(D1279:F1279)</x:f>
        <x:v>560</x:v>
      </x:c>
    </x:row>
    <x:row r="1280" ht="24" customHeight="1">
      <x:c r="A1280" s="10" t="str">
        <x:v>S03-06</x:v>
      </x:c>
      <x:c r="B1280" s="10" t="str">
        <x:v>A</x:v>
      </x:c>
      <x:c r="C1280" s="18" t="n">
        <x:v>-6</x:v>
      </x:c>
      <x:c r="D1280" s="10" t="n">
        <x:v>560</x:v>
      </x:c>
      <x:c r="E1280" s="10" t="n">
        <x:v>0</x:v>
      </x:c>
      <x:c r="F1280" s="10" t="n">
        <x:v>0</x:v>
      </x:c>
      <x:c r="G1280" s="10" t="n">
        <x:f>SUM(D1280:F1280)</x:f>
        <x:v>560</x:v>
      </x:c>
    </x:row>
    <x:row r="1281" ht="24" customHeight="1">
      <x:c r="A1281" s="10" t="str">
        <x:v>S03-06</x:v>
      </x:c>
      <x:c r="B1281" s="10" t="str">
        <x:v>A</x:v>
      </x:c>
      <x:c r="C1281" s="18" t="n">
        <x:v>-5.9999999</x:v>
      </x:c>
      <x:c r="D1281" s="10" t="n">
        <x:v>560</x:v>
      </x:c>
      <x:c r="E1281" s="10" t="n">
        <x:v>0</x:v>
      </x:c>
      <x:c r="F1281" s="10" t="n">
        <x:v>0</x:v>
      </x:c>
      <x:c r="G1281" s="10" t="n">
        <x:f>SUM(D1281:F1281)</x:f>
        <x:v>560</x:v>
      </x:c>
    </x:row>
    <x:row r="1282" ht="24" customHeight="1">
      <x:c r="A1282" s="10" t="str">
        <x:v>S03-06</x:v>
      </x:c>
      <x:c r="B1282" s="10" t="str">
        <x:v>A</x:v>
      </x:c>
      <x:c r="C1282" s="18" t="n">
        <x:v>-1.4000001</x:v>
      </x:c>
      <x:c r="D1282" s="10" t="n">
        <x:v>560</x:v>
      </x:c>
      <x:c r="E1282" s="10" t="n">
        <x:v>0</x:v>
      </x:c>
      <x:c r="F1282" s="10" t="n">
        <x:v>0</x:v>
      </x:c>
      <x:c r="G1282" s="10" t="n">
        <x:f>SUM(D1282:F1282)</x:f>
        <x:v>560</x:v>
      </x:c>
    </x:row>
    <x:row r="1283" ht="24" customHeight="1">
      <x:c r="A1283" s="10" t="str">
        <x:v>S03-06</x:v>
      </x:c>
      <x:c r="B1283" s="10" t="str">
        <x:v>A</x:v>
      </x:c>
      <x:c r="C1283" s="18" t="n">
        <x:v>-1.4</x:v>
      </x:c>
      <x:c r="D1283" s="10" t="n">
        <x:v>560</x:v>
      </x:c>
      <x:c r="E1283" s="10" t="n">
        <x:v>0</x:v>
      </x:c>
      <x:c r="F1283" s="10" t="n">
        <x:v>0.004096</x:v>
      </x:c>
      <x:c r="G1283" s="10" t="n">
        <x:f>SUM(D1283:F1283)</x:f>
        <x:v>560.004096</x:v>
      </x:c>
    </x:row>
    <x:row r="1284" ht="24" customHeight="1">
      <x:c r="A1284" s="10" t="str">
        <x:v>S03-06</x:v>
      </x:c>
      <x:c r="B1284" s="10" t="str">
        <x:v>A</x:v>
      </x:c>
      <x:c r="C1284" s="18" t="n">
        <x:v>-1.3999999</x:v>
      </x:c>
      <x:c r="D1284" s="10" t="n">
        <x:v>560</x:v>
      </x:c>
      <x:c r="E1284" s="10" t="n">
        <x:v>0</x:v>
      </x:c>
      <x:c r="F1284" s="10" t="n">
        <x:v>0.004096</x:v>
      </x:c>
      <x:c r="G1284" s="10" t="n">
        <x:f>SUM(D1284:F1284)</x:f>
        <x:v>560.004096</x:v>
      </x:c>
    </x:row>
    <x:row r="1285" ht="24" customHeight="1">
      <x:c r="A1285" s="10" t="str">
        <x:v>S03-06</x:v>
      </x:c>
      <x:c r="B1285" s="10" t="str">
        <x:v>A</x:v>
      </x:c>
      <x:c r="C1285" s="18" t="n">
        <x:v>-1.0000001</x:v>
      </x:c>
      <x:c r="D1285" s="10" t="n">
        <x:v>560</x:v>
      </x:c>
      <x:c r="E1285" s="10" t="n">
        <x:v>0</x:v>
      </x:c>
      <x:c r="F1285" s="10" t="n">
        <x:v>0.004096</x:v>
      </x:c>
      <x:c r="G1285" s="10" t="n">
        <x:f>SUM(D1285:F1285)</x:f>
        <x:v>560.004096</x:v>
      </x:c>
    </x:row>
    <x:row r="1286" ht="24" customHeight="1">
      <x:c r="A1286" s="10" t="str">
        <x:v>S03-06</x:v>
      </x:c>
      <x:c r="B1286" s="10" t="str">
        <x:v>A</x:v>
      </x:c>
      <x:c r="C1286" s="18" t="n">
        <x:v>-1</x:v>
      </x:c>
      <x:c r="D1286" s="10" t="n">
        <x:v>560</x:v>
      </x:c>
      <x:c r="E1286" s="10" t="n">
        <x:v>0</x:v>
      </x:c>
      <x:c r="F1286" s="10" t="n">
        <x:v>0.008192</x:v>
      </x:c>
      <x:c r="G1286" s="10" t="n">
        <x:f>SUM(D1286:F1286)</x:f>
        <x:v>560.008192</x:v>
      </x:c>
    </x:row>
    <x:row r="1287" ht="24" customHeight="1">
      <x:c r="A1287" s="10" t="str">
        <x:v>S03-06</x:v>
      </x:c>
      <x:c r="B1287" s="10" t="str">
        <x:v>A</x:v>
      </x:c>
      <x:c r="C1287" s="18" t="n">
        <x:v>-0.9999999</x:v>
      </x:c>
      <x:c r="D1287" s="10" t="n">
        <x:v>560</x:v>
      </x:c>
      <x:c r="E1287" s="10" t="n">
        <x:v>0</x:v>
      </x:c>
      <x:c r="F1287" s="10" t="n">
        <x:v>0.008192</x:v>
      </x:c>
      <x:c r="G1287" s="10" t="n">
        <x:f>SUM(D1287:F1287)</x:f>
        <x:v>560.008192</x:v>
      </x:c>
    </x:row>
    <x:row r="1288" ht="24" customHeight="1">
      <x:c r="A1288" s="10" t="str">
        <x:v>S03-06</x:v>
      </x:c>
      <x:c r="B1288" s="10" t="str">
        <x:v>A</x:v>
      </x:c>
      <x:c r="C1288" s="18" t="n">
        <x:v>-0.9990001</x:v>
      </x:c>
      <x:c r="D1288" s="10" t="n">
        <x:v>560</x:v>
      </x:c>
      <x:c r="E1288" s="10" t="n">
        <x:v>0</x:v>
      </x:c>
      <x:c r="F1288" s="10" t="n">
        <x:v>0.008192</x:v>
      </x:c>
      <x:c r="G1288" s="10" t="n">
        <x:f>SUM(D1288:F1288)</x:f>
        <x:v>560.008192</x:v>
      </x:c>
    </x:row>
    <x:row r="1289" ht="24" customHeight="1">
      <x:c r="A1289" s="10" t="str">
        <x:v>S03-06</x:v>
      </x:c>
      <x:c r="B1289" s="10" t="str">
        <x:v>A</x:v>
      </x:c>
      <x:c r="C1289" s="18" t="n">
        <x:v>-0.999</x:v>
      </x:c>
      <x:c r="D1289" s="10" t="n">
        <x:v>560</x:v>
      </x:c>
      <x:c r="E1289" s="10" t="n">
        <x:v>0.0096</x:v>
      </x:c>
      <x:c r="F1289" s="10" t="n">
        <x:v>0.008192</x:v>
      </x:c>
      <x:c r="G1289" s="10" t="n">
        <x:f>SUM(D1289:F1289)</x:f>
        <x:v>560.017792</x:v>
      </x:c>
    </x:row>
    <x:row r="1290" ht="24" customHeight="1">
      <x:c r="A1290" s="10" t="str">
        <x:v>S03-06</x:v>
      </x:c>
      <x:c r="B1290" s="10" t="str">
        <x:v>A</x:v>
      </x:c>
      <x:c r="C1290" s="18" t="n">
        <x:v>-0.9989999</x:v>
      </x:c>
      <x:c r="D1290" s="10" t="n">
        <x:v>560</x:v>
      </x:c>
      <x:c r="E1290" s="10" t="n">
        <x:v>0.009600019</x:v>
      </x:c>
      <x:c r="F1290" s="10" t="n">
        <x:v>0.008192</x:v>
      </x:c>
      <x:c r="G1290" s="10" t="n">
        <x:f>SUM(D1290:F1290)</x:f>
        <x:v>560.017792019</x:v>
      </x:c>
    </x:row>
    <x:row r="1291" ht="24" customHeight="1">
      <x:c r="A1291" s="10" t="str">
        <x:v>S03-06</x:v>
      </x:c>
      <x:c r="B1291" s="10" t="str">
        <x:v>A</x:v>
      </x:c>
      <x:c r="C1291" s="18" t="n">
        <x:v>-0.5900001</x:v>
      </x:c>
      <x:c r="D1291" s="10" t="n">
        <x:v>560</x:v>
      </x:c>
      <x:c r="E1291" s="10" t="n">
        <x:v>0.088127981</x:v>
      </x:c>
      <x:c r="F1291" s="10" t="n">
        <x:v>0.008192</x:v>
      </x:c>
      <x:c r="G1291" s="10" t="n">
        <x:f>SUM(D1291:F1291)</x:f>
        <x:v>560.096319981</x:v>
      </x:c>
    </x:row>
    <x:row r="1292" ht="24" customHeight="1">
      <x:c r="A1292" s="10" t="str">
        <x:v>S03-06</x:v>
      </x:c>
      <x:c r="B1292" s="10" t="str">
        <x:v>A</x:v>
      </x:c>
      <x:c r="C1292" s="18" t="n">
        <x:v>-0.59</x:v>
      </x:c>
      <x:c r="D1292" s="10" t="n">
        <x:v>560</x:v>
      </x:c>
      <x:c r="E1292" s="10" t="n">
        <x:v>0.097728</x:v>
      </x:c>
      <x:c r="F1292" s="10" t="n">
        <x:v>0.008192</x:v>
      </x:c>
      <x:c r="G1292" s="10" t="n">
        <x:f>SUM(D1292:F1292)</x:f>
        <x:v>560.10592</x:v>
      </x:c>
    </x:row>
    <x:row r="1293" ht="24" customHeight="1">
      <x:c r="A1293" s="10" t="str">
        <x:v>S03-06</x:v>
      </x:c>
      <x:c r="B1293" s="10" t="str">
        <x:v>A</x:v>
      </x:c>
      <x:c r="C1293" s="18" t="n">
        <x:v>-0.5899999</x:v>
      </x:c>
      <x:c r="D1293" s="10" t="n">
        <x:v>560</x:v>
      </x:c>
      <x:c r="E1293" s="10" t="n">
        <x:v>0.097728038</x:v>
      </x:c>
      <x:c r="F1293" s="10" t="n">
        <x:v>0.008192</x:v>
      </x:c>
      <x:c r="G1293" s="10" t="n">
        <x:f>SUM(D1293:F1293)</x:f>
        <x:v>560.105920038</x:v>
      </x:c>
    </x:row>
    <x:row r="1294" ht="24" customHeight="1">
      <x:c r="A1294" s="10" t="str">
        <x:v>S03-06</x:v>
      </x:c>
      <x:c r="B1294" s="10" t="str">
        <x:v>A</x:v>
      </x:c>
      <x:c r="C1294" s="18" t="n">
        <x:v>-0.3475001</x:v>
      </x:c>
      <x:c r="D1294" s="10" t="n">
        <x:v>560</x:v>
      </x:c>
      <x:c r="E1294" s="10" t="n">
        <x:v>0.190847962</x:v>
      </x:c>
      <x:c r="F1294" s="10" t="n">
        <x:v>0.008192</x:v>
      </x:c>
      <x:c r="G1294" s="10" t="n">
        <x:f>SUM(D1294:F1294)</x:f>
        <x:v>560.199039962</x:v>
      </x:c>
    </x:row>
    <x:row r="1295" ht="24" customHeight="1">
      <x:c r="A1295" s="10" t="str">
        <x:v>S03-06</x:v>
      </x:c>
      <x:c r="B1295" s="10" t="str">
        <x:v>A</x:v>
      </x:c>
      <x:c r="C1295" s="18" t="n">
        <x:v>-0.3475</x:v>
      </x:c>
      <x:c r="D1295" s="10" t="n">
        <x:v>560</x:v>
      </x:c>
      <x:c r="E1295" s="10" t="n">
        <x:v>0.190848</x:v>
      </x:c>
      <x:c r="F1295" s="10" t="n">
        <x:v>0.008192</x:v>
      </x:c>
      <x:c r="G1295" s="10" t="n">
        <x:f>SUM(D1295:F1295)</x:f>
        <x:v>560.19904</x:v>
      </x:c>
    </x:row>
    <x:row r="1296" ht="24" customHeight="1">
      <x:c r="A1296" s="10" t="str">
        <x:v>S03-06</x:v>
      </x:c>
      <x:c r="B1296" s="10" t="str">
        <x:v>A</x:v>
      </x:c>
      <x:c r="C1296" s="18" t="n">
        <x:v>-0.3474999</x:v>
      </x:c>
      <x:c r="D1296" s="10" t="n">
        <x:v>560</x:v>
      </x:c>
      <x:c r="E1296" s="10" t="n">
        <x:v>0.190848019</x:v>
      </x:c>
      <x:c r="F1296" s="10" t="n">
        <x:v>0.008192</x:v>
      </x:c>
      <x:c r="G1296" s="10" t="n">
        <x:f>SUM(D1296:F1296)</x:f>
        <x:v>560.199040019</x:v>
      </x:c>
    </x:row>
    <x:row r="1297" ht="24" customHeight="1">
      <x:c r="A1297" s="10" t="str">
        <x:v>S03-06</x:v>
      </x:c>
      <x:c r="B1297" s="10" t="str">
        <x:v>A</x:v>
      </x:c>
      <x:c r="C1297" s="18" t="n">
        <x:v>-1e-7</x:v>
      </x:c>
      <x:c r="D1297" s="10" t="n">
        <x:v>560</x:v>
      </x:c>
      <x:c r="E1297" s="10" t="n">
        <x:v>0.257567981</x:v>
      </x:c>
      <x:c r="F1297" s="10" t="n">
        <x:v>0.008192</x:v>
      </x:c>
      <x:c r="G1297" s="10" t="n">
        <x:f>SUM(D1297:F1297)</x:f>
        <x:v>560.265759981</x:v>
      </x:c>
    </x:row>
    <x:row r="1298" ht="24" customHeight="1">
      <x:c r="A1298" s="10" t="str">
        <x:v>S03-06</x:v>
      </x:c>
      <x:c r="B1298" s="10" t="str">
        <x:v>A</x:v>
      </x:c>
      <x:c r="C1298" s="18" t="n">
        <x:v>0</x:v>
      </x:c>
      <x:c r="D1298" s="10" t="n">
        <x:v>560</x:v>
      </x:c>
      <x:c r="E1298" s="10" t="n">
        <x:v>0.257568</x:v>
      </x:c>
      <x:c r="F1298" s="10" t="n">
        <x:v>0.008192</x:v>
      </x:c>
      <x:c r="G1298" s="10" t="n">
        <x:f>SUM(D1298:F1298)</x:f>
        <x:v>560.26576</x:v>
      </x:c>
    </x:row>
    <x:row r="1299" ht="24" customHeight="1">
      <x:c r="A1299" s="10" t="str">
        <x:v>S03-06</x:v>
      </x:c>
      <x:c r="B1299" s="10" t="str">
        <x:v>A</x:v>
      </x:c>
      <x:c r="C1299" s="18" t="n">
        <x:v>1e-7</x:v>
      </x:c>
      <x:c r="D1299" s="10" t="n">
        <x:v>560</x:v>
      </x:c>
      <x:c r="E1299" s="10" t="n">
        <x:v>0.257568019</x:v>
      </x:c>
      <x:c r="F1299" s="10" t="n">
        <x:v>0.008192</x:v>
      </x:c>
      <x:c r="G1299" s="10" t="n">
        <x:f>SUM(D1299:F1299)</x:f>
        <x:v>560.265760019</x:v>
      </x:c>
    </x:row>
    <x:row r="1300" ht="24" customHeight="1">
      <x:c r="A1300" s="10" t="str">
        <x:v>S03-06</x:v>
      </x:c>
      <x:c r="B1300" s="10" t="str">
        <x:v>A</x:v>
      </x:c>
      <x:c r="C1300" s="18" t="n">
        <x:v>0.8599999</x:v>
      </x:c>
      <x:c r="D1300" s="10" t="n">
        <x:v>560</x:v>
      </x:c>
      <x:c r="E1300" s="10" t="n">
        <x:v>0.422687981</x:v>
      </x:c>
      <x:c r="F1300" s="10" t="n">
        <x:v>0.008192</x:v>
      </x:c>
      <x:c r="G1300" s="10" t="n">
        <x:f>SUM(D1300:F1300)</x:f>
        <x:v>560.430879981</x:v>
      </x:c>
    </x:row>
    <x:row r="1301" ht="24" customHeight="1">
      <x:c r="A1301" s="10" t="str">
        <x:v>S03-06</x:v>
      </x:c>
      <x:c r="B1301" s="10" t="str">
        <x:v>A</x:v>
      </x:c>
      <x:c r="C1301" s="18" t="n">
        <x:v>0.86</x:v>
      </x:c>
      <x:c r="D1301" s="10" t="n">
        <x:v>560</x:v>
      </x:c>
      <x:c r="E1301" s="10" t="n">
        <x:v>0.422688</x:v>
      </x:c>
      <x:c r="F1301" s="10" t="n">
        <x:v>0.008192</x:v>
      </x:c>
      <x:c r="G1301" s="10" t="n">
        <x:f>SUM(D1301:F1301)</x:f>
        <x:v>560.43088</x:v>
      </x:c>
    </x:row>
    <x:row r="1302" ht="24" customHeight="1">
      <x:c r="A1302" s="10" t="str">
        <x:v>S03-06</x:v>
      </x:c>
      <x:c r="B1302" s="10" t="str">
        <x:v>A</x:v>
      </x:c>
      <x:c r="C1302" s="18" t="n">
        <x:v>0.8600001</x:v>
      </x:c>
      <x:c r="D1302" s="10" t="n">
        <x:v>560</x:v>
      </x:c>
      <x:c r="E1302" s="10" t="n">
        <x:v>0.422688019</x:v>
      </x:c>
      <x:c r="F1302" s="10" t="n">
        <x:v>0.008192</x:v>
      </x:c>
      <x:c r="G1302" s="10" t="n">
        <x:f>SUM(D1302:F1302)</x:f>
        <x:v>560.430880019</x:v>
      </x:c>
    </x:row>
    <x:row r="1303" ht="24" customHeight="1">
      <x:c r="A1303" s="10" t="str">
        <x:v>S03-06</x:v>
      </x:c>
      <x:c r="B1303" s="10" t="str">
        <x:v>A</x:v>
      </x:c>
      <x:c r="C1303" s="18" t="n">
        <x:v>0.8999999</x:v>
      </x:c>
      <x:c r="D1303" s="10" t="n">
        <x:v>560</x:v>
      </x:c>
      <x:c r="E1303" s="10" t="n">
        <x:v>0.430367981</x:v>
      </x:c>
      <x:c r="F1303" s="10" t="n">
        <x:v>0.008192</x:v>
      </x:c>
      <x:c r="G1303" s="10" t="n">
        <x:f>SUM(D1303:F1303)</x:f>
        <x:v>560.438559981</x:v>
      </x:c>
    </x:row>
    <x:row r="1304" ht="24" customHeight="1">
      <x:c r="A1304" s="10" t="str">
        <x:v>S03-06</x:v>
      </x:c>
      <x:c r="B1304" s="10" t="str">
        <x:v>A</x:v>
      </x:c>
      <x:c r="C1304" s="18" t="n">
        <x:v>0.9</x:v>
      </x:c>
      <x:c r="D1304" s="10" t="n">
        <x:v>560</x:v>
      </x:c>
      <x:c r="E1304" s="10" t="n">
        <x:v>0.430368</x:v>
      </x:c>
      <x:c r="F1304" s="10" t="n">
        <x:v>0.008192</x:v>
      </x:c>
      <x:c r="G1304" s="10" t="n">
        <x:f>SUM(D1304:F1304)</x:f>
        <x:v>560.43856</x:v>
      </x:c>
    </x:row>
    <x:row r="1305" ht="24" customHeight="1">
      <x:c r="A1305" s="10" t="str">
        <x:v>S03-06</x:v>
      </x:c>
      <x:c r="B1305" s="10" t="str">
        <x:v>A</x:v>
      </x:c>
      <x:c r="C1305" s="18" t="n">
        <x:v>0.9000001</x:v>
      </x:c>
      <x:c r="D1305" s="10" t="n">
        <x:v>560</x:v>
      </x:c>
      <x:c r="E1305" s="10" t="n">
        <x:v>0.430368014</x:v>
      </x:c>
      <x:c r="F1305" s="10" t="n">
        <x:v>0.008192</x:v>
      </x:c>
      <x:c r="G1305" s="10" t="n">
        <x:f>SUM(D1305:F1305)</x:f>
        <x:v>560.438560014</x:v>
      </x:c>
    </x:row>
    <x:row r="1306" ht="24" customHeight="1">
      <x:c r="A1306" s="10" t="str">
        <x:v>S03-06</x:v>
      </x:c>
      <x:c r="B1306" s="10" t="str">
        <x:v>A</x:v>
      </x:c>
      <x:c r="C1306" s="18" t="n">
        <x:v>0.9599999</x:v>
      </x:c>
      <x:c r="D1306" s="10" t="n">
        <x:v>560</x:v>
      </x:c>
      <x:c r="E1306" s="10" t="n">
        <x:v>0.439007986</x:v>
      </x:c>
      <x:c r="F1306" s="10" t="n">
        <x:v>0.008192</x:v>
      </x:c>
      <x:c r="G1306" s="10" t="n">
        <x:f>SUM(D1306:F1306)</x:f>
        <x:v>560.447199986</x:v>
      </x:c>
    </x:row>
    <x:row r="1307" ht="24" customHeight="1">
      <x:c r="A1307" s="10" t="str">
        <x:v>S03-06</x:v>
      </x:c>
      <x:c r="B1307" s="10" t="str">
        <x:v>A</x:v>
      </x:c>
      <x:c r="C1307" s="18" t="n">
        <x:v>0.96</x:v>
      </x:c>
      <x:c r="D1307" s="10" t="n">
        <x:v>560</x:v>
      </x:c>
      <x:c r="E1307" s="10" t="n">
        <x:v>0.439008</x:v>
      </x:c>
      <x:c r="F1307" s="10" t="n">
        <x:v>0.008192</x:v>
      </x:c>
      <x:c r="G1307" s="10" t="n">
        <x:f>SUM(D1307:F1307)</x:f>
        <x:v>560.4472</x:v>
      </x:c>
    </x:row>
    <x:row r="1308" ht="24" customHeight="1">
      <x:c r="A1308" s="10" t="str">
        <x:v>S03-06</x:v>
      </x:c>
      <x:c r="B1308" s="10" t="str">
        <x:v>A</x:v>
      </x:c>
      <x:c r="C1308" s="18" t="n">
        <x:v>0.9600001</x:v>
      </x:c>
      <x:c r="D1308" s="10" t="n">
        <x:v>560</x:v>
      </x:c>
      <x:c r="E1308" s="10" t="n">
        <x:v>0.131807995</x:v>
      </x:c>
      <x:c r="F1308" s="10" t="n">
        <x:v>0.004096</x:v>
      </x:c>
      <x:c r="G1308" s="10" t="n">
        <x:f>SUM(D1308:F1308)</x:f>
        <x:v>560.135903995</x:v>
      </x:c>
    </x:row>
    <x:row r="1309" ht="24" customHeight="1">
      <x:c r="A1309" s="10" t="str">
        <x:v>S03-06</x:v>
      </x:c>
      <x:c r="B1309" s="10" t="str">
        <x:v>A</x:v>
      </x:c>
      <x:c r="C1309" s="18" t="n">
        <x:v>3.3799999</x:v>
      </x:c>
      <x:c r="D1309" s="10" t="n">
        <x:v>560</x:v>
      </x:c>
      <x:c r="E1309" s="10" t="n">
        <x:v>0.015648005</x:v>
      </x:c>
      <x:c r="F1309" s="10" t="n">
        <x:v>0.004096</x:v>
      </x:c>
      <x:c r="G1309" s="10" t="n">
        <x:f>SUM(D1309:F1309)</x:f>
        <x:v>560.019744005</x:v>
      </x:c>
    </x:row>
    <x:row r="1310" ht="24" customHeight="1">
      <x:c r="A1310" s="10" t="str">
        <x:v>S03-06</x:v>
      </x:c>
      <x:c r="B1310" s="10" t="str">
        <x:v>A</x:v>
      </x:c>
      <x:c r="C1310" s="18" t="n">
        <x:v>3.38</x:v>
      </x:c>
      <x:c r="D1310" s="10" t="n">
        <x:v>560</x:v>
      </x:c>
      <x:c r="E1310" s="10" t="n">
        <x:v>0.015648</x:v>
      </x:c>
      <x:c r="F1310" s="10" t="n">
        <x:v>0.008192</x:v>
      </x:c>
      <x:c r="G1310" s="10" t="n">
        <x:f>SUM(D1310:F1310)</x:f>
        <x:v>560.0238400000001</x:v>
      </x:c>
    </x:row>
    <x:row r="1311" ht="24" customHeight="1">
      <x:c r="A1311" s="10" t="str">
        <x:v>S03-06</x:v>
      </x:c>
      <x:c r="B1311" s="10" t="str">
        <x:v>A</x:v>
      </x:c>
      <x:c r="C1311" s="18" t="n">
        <x:v>3.3800001</x:v>
      </x:c>
      <x:c r="D1311" s="10" t="n">
        <x:v>560</x:v>
      </x:c>
      <x:c r="E1311" s="10" t="n">
        <x:v>0.015647995</x:v>
      </x:c>
      <x:c r="F1311" s="10" t="n">
        <x:v>0.008192</x:v>
      </x:c>
      <x:c r="G1311" s="10" t="n">
        <x:f>SUM(D1311:F1311)</x:f>
        <x:v>560.023839995</x:v>
      </x:c>
    </x:row>
    <x:row r="1312" ht="24" customHeight="1">
      <x:c r="A1312" s="10" t="str">
        <x:v>S03-06</x:v>
      </x:c>
      <x:c r="B1312" s="10" t="str">
        <x:v>A</x:v>
      </x:c>
      <x:c r="C1312" s="18" t="n">
        <x:v>3.7059999</x:v>
      </x:c>
      <x:c r="D1312" s="10" t="n">
        <x:v>560</x:v>
      </x:c>
      <x:c r="E1312" s="10" t="n">
        <x:v>5e-9</x:v>
      </x:c>
      <x:c r="F1312" s="10" t="n">
        <x:v>0.008192</x:v>
      </x:c>
      <x:c r="G1312" s="10" t="n">
        <x:f>SUM(D1312:F1312)</x:f>
        <x:v>560.008192005</x:v>
      </x:c>
    </x:row>
    <x:row r="1313" ht="24" customHeight="1">
      <x:c r="A1313" s="10" t="str">
        <x:v>S03-06</x:v>
      </x:c>
      <x:c r="B1313" s="10" t="str">
        <x:v>A</x:v>
      </x:c>
      <x:c r="C1313" s="18" t="n">
        <x:v>3.706</x:v>
      </x:c>
      <x:c r="D1313" s="10" t="n">
        <x:v>560</x:v>
      </x:c>
      <x:c r="E1313" s="10" t="n">
        <x:v>0</x:v>
      </x:c>
      <x:c r="F1313" s="10" t="n">
        <x:v>0.008192</x:v>
      </x:c>
      <x:c r="G1313" s="10" t="n">
        <x:f>SUM(D1313:F1313)</x:f>
        <x:v>560.008192</x:v>
      </x:c>
    </x:row>
    <x:row r="1314" ht="24" customHeight="1">
      <x:c r="A1314" s="10" t="str">
        <x:v>S03-06</x:v>
      </x:c>
      <x:c r="B1314" s="10" t="str">
        <x:v>A</x:v>
      </x:c>
      <x:c r="C1314" s="18" t="n">
        <x:v>3.7060001</x:v>
      </x:c>
      <x:c r="D1314" s="10" t="n">
        <x:v>560</x:v>
      </x:c>
      <x:c r="E1314" s="10" t="n">
        <x:v>0</x:v>
      </x:c>
      <x:c r="F1314" s="10" t="n">
        <x:v>0.004096</x:v>
      </x:c>
      <x:c r="G1314" s="10" t="n">
        <x:f>SUM(D1314:F1314)</x:f>
        <x:v>560.004096</x:v>
      </x:c>
    </x:row>
    <x:row r="1315" ht="24" customHeight="1">
      <x:c r="A1315" s="10" t="str">
        <x:v>S03-06</x:v>
      </x:c>
      <x:c r="B1315" s="10" t="str">
        <x:v>A</x:v>
      </x:c>
      <x:c r="C1315" s="18" t="n">
        <x:v>3.7889999</x:v>
      </x:c>
      <x:c r="D1315" s="10" t="n">
        <x:v>560</x:v>
      </x:c>
      <x:c r="E1315" s="10" t="n">
        <x:v>0</x:v>
      </x:c>
      <x:c r="F1315" s="10" t="n">
        <x:v>0.004096</x:v>
      </x:c>
      <x:c r="G1315" s="10" t="n">
        <x:f>SUM(D1315:F1315)</x:f>
        <x:v>560.004096</x:v>
      </x:c>
    </x:row>
    <x:row r="1316" ht="24" customHeight="1">
      <x:c r="A1316" s="10" t="str">
        <x:v>S03-06</x:v>
      </x:c>
      <x:c r="B1316" s="10" t="str">
        <x:v>A</x:v>
      </x:c>
      <x:c r="C1316" s="18" t="n">
        <x:v>3.789</x:v>
      </x:c>
      <x:c r="D1316" s="10" t="n">
        <x:v>560</x:v>
      </x:c>
      <x:c r="E1316" s="10" t="n">
        <x:v>0.0096</x:v>
      </x:c>
      <x:c r="F1316" s="10" t="n">
        <x:v>0.004096</x:v>
      </x:c>
      <x:c r="G1316" s="10" t="n">
        <x:f>SUM(D1316:F1316)</x:f>
        <x:v>560.013696</x:v>
      </x:c>
    </x:row>
    <x:row r="1317" ht="24" customHeight="1">
      <x:c r="A1317" s="10" t="str">
        <x:v>S03-06</x:v>
      </x:c>
      <x:c r="B1317" s="10" t="str">
        <x:v>A</x:v>
      </x:c>
      <x:c r="C1317" s="18" t="n">
        <x:v>3.7890001</x:v>
      </x:c>
      <x:c r="D1317" s="10" t="n">
        <x:v>560</x:v>
      </x:c>
      <x:c r="E1317" s="10" t="n">
        <x:v>0.009600019</x:v>
      </x:c>
      <x:c r="F1317" s="10" t="n">
        <x:v>0.004096</x:v>
      </x:c>
      <x:c r="G1317" s="10" t="n">
        <x:f>SUM(D1317:F1317)</x:f>
        <x:v>560.013696019</x:v>
      </x:c>
    </x:row>
    <x:row r="1318" ht="24" customHeight="1">
      <x:c r="A1318" s="10" t="str">
        <x:v>S03-06</x:v>
      </x:c>
      <x:c r="B1318" s="10" t="str">
        <x:v>A</x:v>
      </x:c>
      <x:c r="C1318" s="18" t="n">
        <x:v>3.8289999</x:v>
      </x:c>
      <x:c r="D1318" s="10" t="n">
        <x:v>560</x:v>
      </x:c>
      <x:c r="E1318" s="10" t="n">
        <x:v>0.017279981</x:v>
      </x:c>
      <x:c r="F1318" s="10" t="n">
        <x:v>0.004096</x:v>
      </x:c>
      <x:c r="G1318" s="10" t="n">
        <x:f>SUM(D1318:F1318)</x:f>
        <x:v>560.021375981</x:v>
      </x:c>
    </x:row>
    <x:row r="1319" ht="24" customHeight="1">
      <x:c r="A1319" s="10" t="str">
        <x:v>S03-06</x:v>
      </x:c>
      <x:c r="B1319" s="10" t="str">
        <x:v>A</x:v>
      </x:c>
      <x:c r="C1319" s="18" t="n">
        <x:v>3.829</x:v>
      </x:c>
      <x:c r="D1319" s="10" t="n">
        <x:v>560</x:v>
      </x:c>
      <x:c r="E1319" s="10" t="n">
        <x:v>0.01728</x:v>
      </x:c>
      <x:c r="F1319" s="10" t="n">
        <x:v>0.004096</x:v>
      </x:c>
      <x:c r="G1319" s="10" t="n">
        <x:f>SUM(D1319:F1319)</x:f>
        <x:v>560.021376</x:v>
      </x:c>
    </x:row>
    <x:row r="1320" ht="24" customHeight="1">
      <x:c r="A1320" s="10" t="str">
        <x:v>S03-06</x:v>
      </x:c>
      <x:c r="B1320" s="10" t="str">
        <x:v>A</x:v>
      </x:c>
      <x:c r="C1320" s="18" t="n">
        <x:v>3.8290001</x:v>
      </x:c>
      <x:c r="D1320" s="10" t="n">
        <x:v>560</x:v>
      </x:c>
      <x:c r="E1320" s="10" t="n">
        <x:v>0.017280014</x:v>
      </x:c>
      <x:c r="F1320" s="10" t="n">
        <x:v>0.004096</x:v>
      </x:c>
      <x:c r="G1320" s="10" t="n">
        <x:f>SUM(D1320:F1320)</x:f>
        <x:v>560.021376014</x:v>
      </x:c>
    </x:row>
    <x:row r="1321" ht="24" customHeight="1">
      <x:c r="A1321" s="10" t="str">
        <x:v>S03-06</x:v>
      </x:c>
      <x:c r="B1321" s="10" t="str">
        <x:v>A</x:v>
      </x:c>
      <x:c r="C1321" s="18" t="n">
        <x:v>5.7404999</x:v>
      </x:c>
      <x:c r="D1321" s="10" t="n">
        <x:v>560</x:v>
      </x:c>
      <x:c r="E1321" s="10" t="n">
        <x:v>0.292535986</x:v>
      </x:c>
      <x:c r="F1321" s="10" t="n">
        <x:v>0.004096</x:v>
      </x:c>
      <x:c r="G1321" s="10" t="n">
        <x:f>SUM(D1321:F1321)</x:f>
        <x:v>560.296631986</x:v>
      </x:c>
    </x:row>
    <x:row r="1322" ht="24" customHeight="1">
      <x:c r="A1322" s="10" t="str">
        <x:v>S03-06</x:v>
      </x:c>
      <x:c r="B1322" s="10" t="str">
        <x:v>A</x:v>
      </x:c>
      <x:c r="C1322" s="18" t="n">
        <x:v>5.7405</x:v>
      </x:c>
      <x:c r="D1322" s="10" t="n">
        <x:v>560</x:v>
      </x:c>
      <x:c r="E1322" s="10" t="n">
        <x:v>0.292536</x:v>
      </x:c>
      <x:c r="F1322" s="10" t="n">
        <x:v>0.004096</x:v>
      </x:c>
      <x:c r="G1322" s="10" t="n">
        <x:f>SUM(D1322:F1322)</x:f>
        <x:v>560.296632</x:v>
      </x:c>
    </x:row>
    <x:row r="1323" ht="24" customHeight="1">
      <x:c r="A1323" s="10" t="str">
        <x:v>S03-06</x:v>
      </x:c>
      <x:c r="B1323" s="10" t="str">
        <x:v>A</x:v>
      </x:c>
      <x:c r="C1323" s="18" t="n">
        <x:v>5.7405001</x:v>
      </x:c>
      <x:c r="D1323" s="10" t="n">
        <x:v>560</x:v>
      </x:c>
      <x:c r="E1323" s="10" t="n">
        <x:v>0.292535995</x:v>
      </x:c>
      <x:c r="F1323" s="10" t="n">
        <x:v>0.004096</x:v>
      </x:c>
      <x:c r="G1323" s="10" t="n">
        <x:f>SUM(D1323:F1323)</x:f>
        <x:v>560.296631995</x:v>
      </x:c>
    </x:row>
    <x:row r="1324" ht="24" customHeight="1">
      <x:c r="A1324" s="10" t="str">
        <x:v>S03-06</x:v>
      </x:c>
      <x:c r="B1324" s="10" t="str">
        <x:v>A</x:v>
      </x:c>
      <x:c r="C1324" s="18" t="n">
        <x:v>11.8349999</x:v>
      </x:c>
      <x:c r="D1324" s="10" t="n">
        <x:v>560</x:v>
      </x:c>
      <x:c r="E1324" s="10" t="n">
        <x:v>5e-9</x:v>
      </x:c>
      <x:c r="F1324" s="10" t="n">
        <x:v>0.004096</x:v>
      </x:c>
      <x:c r="G1324" s="10" t="n">
        <x:f>SUM(D1324:F1324)</x:f>
        <x:v>560.004096005</x:v>
      </x:c>
    </x:row>
    <x:row r="1325" ht="24" customHeight="1">
      <x:c r="A1325" s="10" t="str">
        <x:v>S03-06</x:v>
      </x:c>
      <x:c r="B1325" s="10" t="str">
        <x:v>A</x:v>
      </x:c>
      <x:c r="C1325" s="18" t="n">
        <x:v>11.835</x:v>
      </x:c>
      <x:c r="D1325" s="10" t="n">
        <x:v>560</x:v>
      </x:c>
      <x:c r="E1325" s="10" t="n">
        <x:v>0</x:v>
      </x:c>
      <x:c r="F1325" s="10" t="n">
        <x:v>0.004096</x:v>
      </x:c>
      <x:c r="G1325" s="10" t="n">
        <x:f>SUM(D1325:F1325)</x:f>
        <x:v>560.004096</x:v>
      </x:c>
    </x:row>
    <x:row r="1326" ht="24" customHeight="1">
      <x:c r="A1326" s="10" t="str">
        <x:v>S03-06</x:v>
      </x:c>
      <x:c r="B1326" s="10" t="str">
        <x:v>A</x:v>
      </x:c>
      <x:c r="C1326" s="18" t="n">
        <x:v>11.8350001</x:v>
      </x:c>
      <x:c r="D1326" s="10" t="n">
        <x:v>560</x:v>
      </x:c>
      <x:c r="E1326" s="10" t="n">
        <x:v>0</x:v>
      </x:c>
      <x:c r="F1326" s="10" t="n">
        <x:v>0</x:v>
      </x:c>
      <x:c r="G1326" s="10" t="n">
        <x:f>SUM(D1326:F1326)</x:f>
        <x:v>560</x:v>
      </x:c>
    </x:row>
    <x:row r="1327" ht="24" customHeight="1">
      <x:c r="A1327" s="10" t="str">
        <x:v>S03-06</x:v>
      </x:c>
      <x:c r="B1327" s="10" t="str">
        <x:v>B</x:v>
      </x:c>
      <x:c r="C1327" s="18" t="n">
        <x:v>-6.0000001</x:v>
      </x:c>
      <x:c r="D1327" s="10" t="n">
        <x:v>560</x:v>
      </x:c>
      <x:c r="E1327" s="10" t="n">
        <x:v>0</x:v>
      </x:c>
      <x:c r="F1327" s="10" t="n">
        <x:v>0</x:v>
      </x:c>
      <x:c r="G1327" s="10" t="n">
        <x:f>SUM(D1327:F1327)</x:f>
        <x:v>560</x:v>
      </x:c>
    </x:row>
    <x:row r="1328" ht="24" customHeight="1">
      <x:c r="A1328" s="10" t="str">
        <x:v>S03-06</x:v>
      </x:c>
      <x:c r="B1328" s="10" t="str">
        <x:v>B</x:v>
      </x:c>
      <x:c r="C1328" s="18" t="n">
        <x:v>-6</x:v>
      </x:c>
      <x:c r="D1328" s="10" t="n">
        <x:v>560</x:v>
      </x:c>
      <x:c r="E1328" s="10" t="n">
        <x:v>0</x:v>
      </x:c>
      <x:c r="F1328" s="10" t="n">
        <x:v>0</x:v>
      </x:c>
      <x:c r="G1328" s="10" t="n">
        <x:f>SUM(D1328:F1328)</x:f>
        <x:v>560</x:v>
      </x:c>
    </x:row>
    <x:row r="1329" ht="24" customHeight="1">
      <x:c r="A1329" s="10" t="str">
        <x:v>S03-06</x:v>
      </x:c>
      <x:c r="B1329" s="10" t="str">
        <x:v>B</x:v>
      </x:c>
      <x:c r="C1329" s="18" t="n">
        <x:v>-5.9999999</x:v>
      </x:c>
      <x:c r="D1329" s="10" t="n">
        <x:v>560</x:v>
      </x:c>
      <x:c r="E1329" s="10" t="n">
        <x:v>0</x:v>
      </x:c>
      <x:c r="F1329" s="10" t="n">
        <x:v>0</x:v>
      </x:c>
      <x:c r="G1329" s="10" t="n">
        <x:f>SUM(D1329:F1329)</x:f>
        <x:v>560</x:v>
      </x:c>
    </x:row>
    <x:row r="1330" ht="24" customHeight="1">
      <x:c r="A1330" s="10" t="str">
        <x:v>S03-06</x:v>
      </x:c>
      <x:c r="B1330" s="10" t="str">
        <x:v>B</x:v>
      </x:c>
      <x:c r="C1330" s="18" t="n">
        <x:v>-1e-7</x:v>
      </x:c>
      <x:c r="D1330" s="10" t="n">
        <x:v>560</x:v>
      </x:c>
      <x:c r="E1330" s="10" t="n">
        <x:v>0</x:v>
      </x:c>
      <x:c r="F1330" s="10" t="n">
        <x:v>0</x:v>
      </x:c>
      <x:c r="G1330" s="10" t="n">
        <x:f>SUM(D1330:F1330)</x:f>
        <x:v>560</x:v>
      </x:c>
    </x:row>
    <x:row r="1331" ht="24" customHeight="1">
      <x:c r="A1331" s="10" t="str">
        <x:v>S03-06</x:v>
      </x:c>
      <x:c r="B1331" s="10" t="str">
        <x:v>B</x:v>
      </x:c>
      <x:c r="C1331" s="18" t="n">
        <x:v>0</x:v>
      </x:c>
      <x:c r="D1331" s="10" t="n">
        <x:v>560</x:v>
      </x:c>
      <x:c r="E1331" s="10" t="n">
        <x:v>0</x:v>
      </x:c>
      <x:c r="F1331" s="10" t="n">
        <x:v>0</x:v>
      </x:c>
      <x:c r="G1331" s="10" t="n">
        <x:f>SUM(D1331:F1331)</x:f>
        <x:v>560</x:v>
      </x:c>
    </x:row>
    <x:row r="1332" ht="24" customHeight="1">
      <x:c r="A1332" s="10" t="str">
        <x:v>S03-06</x:v>
      </x:c>
      <x:c r="B1332" s="10" t="str">
        <x:v>B</x:v>
      </x:c>
      <x:c r="C1332" s="18" t="n">
        <x:v>1e-7</x:v>
      </x:c>
      <x:c r="D1332" s="10" t="n">
        <x:v>560</x:v>
      </x:c>
      <x:c r="E1332" s="10" t="n">
        <x:v>0</x:v>
      </x:c>
      <x:c r="F1332" s="10" t="n">
        <x:v>0</x:v>
      </x:c>
      <x:c r="G1332" s="10" t="n">
        <x:f>SUM(D1332:F1332)</x:f>
        <x:v>560</x:v>
      </x:c>
    </x:row>
    <x:row r="1333" ht="24" customHeight="1">
      <x:c r="A1333" s="10" t="str">
        <x:v>S03-06</x:v>
      </x:c>
      <x:c r="B1333" s="10" t="str">
        <x:v>B</x:v>
      </x:c>
      <x:c r="C1333" s="18" t="n">
        <x:v>0.8599999</x:v>
      </x:c>
      <x:c r="D1333" s="10" t="n">
        <x:v>560</x:v>
      </x:c>
      <x:c r="E1333" s="10" t="n">
        <x:v>0</x:v>
      </x:c>
      <x:c r="F1333" s="10" t="n">
        <x:v>0</x:v>
      </x:c>
      <x:c r="G1333" s="10" t="n">
        <x:f>SUM(D1333:F1333)</x:f>
        <x:v>560</x:v>
      </x:c>
    </x:row>
    <x:row r="1334" ht="24" customHeight="1">
      <x:c r="A1334" s="10" t="str">
        <x:v>S03-06</x:v>
      </x:c>
      <x:c r="B1334" s="10" t="str">
        <x:v>B</x:v>
      </x:c>
      <x:c r="C1334" s="18" t="n">
        <x:v>0.86</x:v>
      </x:c>
      <x:c r="D1334" s="10" t="n">
        <x:v>560</x:v>
      </x:c>
      <x:c r="E1334" s="10" t="n">
        <x:v>0</x:v>
      </x:c>
      <x:c r="F1334" s="10" t="n">
        <x:v>0.004096</x:v>
      </x:c>
      <x:c r="G1334" s="10" t="n">
        <x:f>SUM(D1334:F1334)</x:f>
        <x:v>560.004096</x:v>
      </x:c>
    </x:row>
    <x:row r="1335" ht="24" customHeight="1">
      <x:c r="A1335" s="10" t="str">
        <x:v>S03-06</x:v>
      </x:c>
      <x:c r="B1335" s="10" t="str">
        <x:v>B</x:v>
      </x:c>
      <x:c r="C1335" s="18" t="n">
        <x:v>0.8600001</x:v>
      </x:c>
      <x:c r="D1335" s="10" t="n">
        <x:v>560</x:v>
      </x:c>
      <x:c r="E1335" s="10" t="n">
        <x:v>0</x:v>
      </x:c>
      <x:c r="F1335" s="10" t="n">
        <x:v>0.004096</x:v>
      </x:c>
      <x:c r="G1335" s="10" t="n">
        <x:f>SUM(D1335:F1335)</x:f>
        <x:v>560.004096</x:v>
      </x:c>
    </x:row>
    <x:row r="1336" ht="24" customHeight="1">
      <x:c r="A1336" s="10" t="str">
        <x:v>S03-06</x:v>
      </x:c>
      <x:c r="B1336" s="10" t="str">
        <x:v>B</x:v>
      </x:c>
      <x:c r="C1336" s="18" t="n">
        <x:v>1.2609999</x:v>
      </x:c>
      <x:c r="D1336" s="10" t="n">
        <x:v>560</x:v>
      </x:c>
      <x:c r="E1336" s="10" t="n">
        <x:v>0</x:v>
      </x:c>
      <x:c r="F1336" s="10" t="n">
        <x:v>0.004096</x:v>
      </x:c>
      <x:c r="G1336" s="10" t="n">
        <x:f>SUM(D1336:F1336)</x:f>
        <x:v>560.004096</x:v>
      </x:c>
    </x:row>
    <x:row r="1337" ht="24" customHeight="1">
      <x:c r="A1337" s="10" t="str">
        <x:v>S03-06</x:v>
      </x:c>
      <x:c r="B1337" s="10" t="str">
        <x:v>B</x:v>
      </x:c>
      <x:c r="C1337" s="18" t="n">
        <x:v>1.261</x:v>
      </x:c>
      <x:c r="D1337" s="10" t="n">
        <x:v>560</x:v>
      </x:c>
      <x:c r="E1337" s="10" t="n">
        <x:v>0.0096</x:v>
      </x:c>
      <x:c r="F1337" s="10" t="n">
        <x:v>0.004096</x:v>
      </x:c>
      <x:c r="G1337" s="10" t="n">
        <x:f>SUM(D1337:F1337)</x:f>
        <x:v>560.013696</x:v>
      </x:c>
    </x:row>
    <x:row r="1338" ht="24" customHeight="1">
      <x:c r="A1338" s="10" t="str">
        <x:v>S03-06</x:v>
      </x:c>
      <x:c r="B1338" s="10" t="str">
        <x:v>B</x:v>
      </x:c>
      <x:c r="C1338" s="18" t="n">
        <x:v>1.2610001</x:v>
      </x:c>
      <x:c r="D1338" s="10" t="n">
        <x:v>560</x:v>
      </x:c>
      <x:c r="E1338" s="10" t="n">
        <x:v>0.009600019</x:v>
      </x:c>
      <x:c r="F1338" s="10" t="n">
        <x:v>0.004096</x:v>
      </x:c>
      <x:c r="G1338" s="10" t="n">
        <x:f>SUM(D1338:F1338)</x:f>
        <x:v>560.013696019</x:v>
      </x:c>
    </x:row>
    <x:row r="1339" ht="24" customHeight="1">
      <x:c r="A1339" s="10" t="str">
        <x:v>S03-06</x:v>
      </x:c>
      <x:c r="B1339" s="10" t="str">
        <x:v>B</x:v>
      </x:c>
      <x:c r="C1339" s="18" t="n">
        <x:v>1.3009999</x:v>
      </x:c>
      <x:c r="D1339" s="10" t="n">
        <x:v>560</x:v>
      </x:c>
      <x:c r="E1339" s="10" t="n">
        <x:v>0.017279981</x:v>
      </x:c>
      <x:c r="F1339" s="10" t="n">
        <x:v>0.004096</x:v>
      </x:c>
      <x:c r="G1339" s="10" t="n">
        <x:f>SUM(D1339:F1339)</x:f>
        <x:v>560.021375981</x:v>
      </x:c>
    </x:row>
    <x:row r="1340" ht="24" customHeight="1">
      <x:c r="A1340" s="10" t="str">
        <x:v>S03-06</x:v>
      </x:c>
      <x:c r="B1340" s="10" t="str">
        <x:v>B</x:v>
      </x:c>
      <x:c r="C1340" s="18" t="n">
        <x:v>1.301</x:v>
      </x:c>
      <x:c r="D1340" s="10" t="n">
        <x:v>560</x:v>
      </x:c>
      <x:c r="E1340" s="10" t="n">
        <x:v>0.01728</x:v>
      </x:c>
      <x:c r="F1340" s="10" t="n">
        <x:v>0.004096</x:v>
      </x:c>
      <x:c r="G1340" s="10" t="n">
        <x:f>SUM(D1340:F1340)</x:f>
        <x:v>560.021376</x:v>
      </x:c>
    </x:row>
    <x:row r="1341" ht="24" customHeight="1">
      <x:c r="A1341" s="10" t="str">
        <x:v>S03-06</x:v>
      </x:c>
      <x:c r="B1341" s="10" t="str">
        <x:v>B</x:v>
      </x:c>
      <x:c r="C1341" s="18" t="n">
        <x:v>1.3010001</x:v>
      </x:c>
      <x:c r="D1341" s="10" t="n">
        <x:v>560</x:v>
      </x:c>
      <x:c r="E1341" s="10" t="n">
        <x:v>0.017280014</x:v>
      </x:c>
      <x:c r="F1341" s="10" t="n">
        <x:v>0.004096</x:v>
      </x:c>
      <x:c r="G1341" s="10" t="n">
        <x:f>SUM(D1341:F1341)</x:f>
        <x:v>560.021376014</x:v>
      </x:c>
    </x:row>
    <x:row r="1342" ht="24" customHeight="1">
      <x:c r="A1342" s="10" t="str">
        <x:v>S03-06</x:v>
      </x:c>
      <x:c r="B1342" s="10" t="str">
        <x:v>B</x:v>
      </x:c>
      <x:c r="C1342" s="18" t="n">
        <x:v>1.9124999</x:v>
      </x:c>
      <x:c r="D1342" s="10" t="n">
        <x:v>560</x:v>
      </x:c>
      <x:c r="E1342" s="10" t="n">
        <x:v>0.105335986</x:v>
      </x:c>
      <x:c r="F1342" s="10" t="n">
        <x:v>0.004096</x:v>
      </x:c>
      <x:c r="G1342" s="10" t="n">
        <x:f>SUM(D1342:F1342)</x:f>
        <x:v>560.109431986</x:v>
      </x:c>
    </x:row>
    <x:row r="1343" ht="24" customHeight="1">
      <x:c r="A1343" s="10" t="str">
        <x:v>S03-06</x:v>
      </x:c>
      <x:c r="B1343" s="10" t="str">
        <x:v>B</x:v>
      </x:c>
      <x:c r="C1343" s="18" t="n">
        <x:v>1.9125</x:v>
      </x:c>
      <x:c r="D1343" s="10" t="n">
        <x:v>560</x:v>
      </x:c>
      <x:c r="E1343" s="10" t="n">
        <x:v>0.105336</x:v>
      </x:c>
      <x:c r="F1343" s="10" t="n">
        <x:v>0.004096</x:v>
      </x:c>
      <x:c r="G1343" s="10" t="n">
        <x:f>SUM(D1343:F1343)</x:f>
        <x:v>560.109432</x:v>
      </x:c>
    </x:row>
    <x:row r="1344" ht="24" customHeight="1">
      <x:c r="A1344" s="10" t="str">
        <x:v>S03-06</x:v>
      </x:c>
      <x:c r="B1344" s="10" t="str">
        <x:v>B</x:v>
      </x:c>
      <x:c r="C1344" s="18" t="n">
        <x:v>1.9125001</x:v>
      </x:c>
      <x:c r="D1344" s="10" t="n">
        <x:v>560</x:v>
      </x:c>
      <x:c r="E1344" s="10" t="n">
        <x:v>0.105335995</x:v>
      </x:c>
      <x:c r="F1344" s="10" t="n">
        <x:v>0.004096</x:v>
      </x:c>
      <x:c r="G1344" s="10" t="n">
        <x:f>SUM(D1344:F1344)</x:f>
        <x:v>560.109431995</x:v>
      </x:c>
    </x:row>
    <x:row r="1345" ht="24" customHeight="1">
      <x:c r="A1345" s="10" t="str">
        <x:v>S03-06</x:v>
      </x:c>
      <x:c r="B1345" s="10" t="str">
        <x:v>B</x:v>
      </x:c>
      <x:c r="C1345" s="18" t="n">
        <x:v>4.1069999</x:v>
      </x:c>
      <x:c r="D1345" s="10" t="n">
        <x:v>560</x:v>
      </x:c>
      <x:c r="E1345" s="10" t="n">
        <x:v>5e-9</x:v>
      </x:c>
      <x:c r="F1345" s="10" t="n">
        <x:v>0.004096</x:v>
      </x:c>
      <x:c r="G1345" s="10" t="n">
        <x:f>SUM(D1345:F1345)</x:f>
        <x:v>560.004096005</x:v>
      </x:c>
    </x:row>
    <x:row r="1346" ht="24" customHeight="1">
      <x:c r="A1346" s="10" t="str">
        <x:v>S03-06</x:v>
      </x:c>
      <x:c r="B1346" s="10" t="str">
        <x:v>B</x:v>
      </x:c>
      <x:c r="C1346" s="18" t="n">
        <x:v>4.107</x:v>
      </x:c>
      <x:c r="D1346" s="10" t="n">
        <x:v>560</x:v>
      </x:c>
      <x:c r="E1346" s="10" t="n">
        <x:v>0</x:v>
      </x:c>
      <x:c r="F1346" s="10" t="n">
        <x:v>0.008192</x:v>
      </x:c>
      <x:c r="G1346" s="10" t="n">
        <x:f>SUM(D1346:F1346)</x:f>
        <x:v>560.008192</x:v>
      </x:c>
    </x:row>
    <x:row r="1347" ht="24" customHeight="1">
      <x:c r="A1347" s="10" t="str">
        <x:v>S03-06</x:v>
      </x:c>
      <x:c r="B1347" s="10" t="str">
        <x:v>B</x:v>
      </x:c>
      <x:c r="C1347" s="18" t="n">
        <x:v>4.1070001</x:v>
      </x:c>
      <x:c r="D1347" s="10" t="n">
        <x:v>560</x:v>
      </x:c>
      <x:c r="E1347" s="10" t="n">
        <x:v>0</x:v>
      </x:c>
      <x:c r="F1347" s="10" t="n">
        <x:v>0.004096</x:v>
      </x:c>
      <x:c r="G1347" s="10" t="n">
        <x:f>SUM(D1347:F1347)</x:f>
        <x:v>560.004096</x:v>
      </x:c>
    </x:row>
    <x:row r="1348" ht="24" customHeight="1">
      <x:c r="A1348" s="10" t="str">
        <x:v>S03-06</x:v>
      </x:c>
      <x:c r="B1348" s="10" t="str">
        <x:v>B</x:v>
      </x:c>
      <x:c r="C1348" s="18" t="n">
        <x:v>4.5159999</x:v>
      </x:c>
      <x:c r="D1348" s="10" t="n">
        <x:v>560</x:v>
      </x:c>
      <x:c r="E1348" s="10" t="n">
        <x:v>0</x:v>
      </x:c>
      <x:c r="F1348" s="10" t="n">
        <x:v>0.004096</x:v>
      </x:c>
      <x:c r="G1348" s="10" t="n">
        <x:f>SUM(D1348:F1348)</x:f>
        <x:v>560.004096</x:v>
      </x:c>
    </x:row>
    <x:row r="1349" ht="24" customHeight="1">
      <x:c r="A1349" s="10" t="str">
        <x:v>S03-06</x:v>
      </x:c>
      <x:c r="B1349" s="10" t="str">
        <x:v>B</x:v>
      </x:c>
      <x:c r="C1349" s="18" t="n">
        <x:v>4.516</x:v>
      </x:c>
      <x:c r="D1349" s="10" t="n">
        <x:v>560</x:v>
      </x:c>
      <x:c r="E1349" s="10" t="n">
        <x:v>0.0096</x:v>
      </x:c>
      <x:c r="F1349" s="10" t="n">
        <x:v>0.004096</x:v>
      </x:c>
      <x:c r="G1349" s="10" t="n">
        <x:f>SUM(D1349:F1349)</x:f>
        <x:v>560.013696</x:v>
      </x:c>
    </x:row>
    <x:row r="1350" ht="24" customHeight="1">
      <x:c r="A1350" s="10" t="str">
        <x:v>S03-06</x:v>
      </x:c>
      <x:c r="B1350" s="10" t="str">
        <x:v>B</x:v>
      </x:c>
      <x:c r="C1350" s="18" t="n">
        <x:v>4.5160001</x:v>
      </x:c>
      <x:c r="D1350" s="10" t="n">
        <x:v>560</x:v>
      </x:c>
      <x:c r="E1350" s="10" t="n">
        <x:v>0.009600019</x:v>
      </x:c>
      <x:c r="F1350" s="10" t="n">
        <x:v>0.004096</x:v>
      </x:c>
      <x:c r="G1350" s="10" t="n">
        <x:f>SUM(D1350:F1350)</x:f>
        <x:v>560.013696019</x:v>
      </x:c>
    </x:row>
    <x:row r="1351" ht="24" customHeight="1">
      <x:c r="A1351" s="10" t="str">
        <x:v>S03-06</x:v>
      </x:c>
      <x:c r="B1351" s="10" t="str">
        <x:v>B</x:v>
      </x:c>
      <x:c r="C1351" s="18" t="n">
        <x:v>4.5559999</x:v>
      </x:c>
      <x:c r="D1351" s="10" t="n">
        <x:v>560</x:v>
      </x:c>
      <x:c r="E1351" s="10" t="n">
        <x:v>0.017279981</x:v>
      </x:c>
      <x:c r="F1351" s="10" t="n">
        <x:v>0.004096</x:v>
      </x:c>
      <x:c r="G1351" s="10" t="n">
        <x:f>SUM(D1351:F1351)</x:f>
        <x:v>560.021375981</x:v>
      </x:c>
    </x:row>
    <x:row r="1352" ht="24" customHeight="1">
      <x:c r="A1352" s="10" t="str">
        <x:v>S03-06</x:v>
      </x:c>
      <x:c r="B1352" s="10" t="str">
        <x:v>B</x:v>
      </x:c>
      <x:c r="C1352" s="18" t="n">
        <x:v>4.556</x:v>
      </x:c>
      <x:c r="D1352" s="10" t="n">
        <x:v>560</x:v>
      </x:c>
      <x:c r="E1352" s="10" t="n">
        <x:v>0.01728</x:v>
      </x:c>
      <x:c r="F1352" s="10" t="n">
        <x:v>0.004096</x:v>
      </x:c>
      <x:c r="G1352" s="10" t="n">
        <x:f>SUM(D1352:F1352)</x:f>
        <x:v>560.021376</x:v>
      </x:c>
    </x:row>
    <x:row r="1353" ht="24" customHeight="1">
      <x:c r="A1353" s="10" t="str">
        <x:v>S03-06</x:v>
      </x:c>
      <x:c r="B1353" s="10" t="str">
        <x:v>B</x:v>
      </x:c>
      <x:c r="C1353" s="18" t="n">
        <x:v>4.5560001</x:v>
      </x:c>
      <x:c r="D1353" s="10" t="n">
        <x:v>560</x:v>
      </x:c>
      <x:c r="E1353" s="10" t="n">
        <x:v>0.017280014</x:v>
      </x:c>
      <x:c r="F1353" s="10" t="n">
        <x:v>0.004096</x:v>
      </x:c>
      <x:c r="G1353" s="10" t="n">
        <x:f>SUM(D1353:F1353)</x:f>
        <x:v>560.021376014</x:v>
      </x:c>
    </x:row>
    <x:row r="1354" ht="24" customHeight="1">
      <x:c r="A1354" s="10" t="str">
        <x:v>S03-06</x:v>
      </x:c>
      <x:c r="B1354" s="10" t="str">
        <x:v>B</x:v>
      </x:c>
      <x:c r="C1354" s="18" t="n">
        <x:v>6.4674999</x:v>
      </x:c>
      <x:c r="D1354" s="10" t="n">
        <x:v>560</x:v>
      </x:c>
      <x:c r="E1354" s="10" t="n">
        <x:v>0.292535986</x:v>
      </x:c>
      <x:c r="F1354" s="10" t="n">
        <x:v>0.004096</x:v>
      </x:c>
      <x:c r="G1354" s="10" t="n">
        <x:f>SUM(D1354:F1354)</x:f>
        <x:v>560.296631986</x:v>
      </x:c>
    </x:row>
    <x:row r="1355" ht="24" customHeight="1">
      <x:c r="A1355" s="10" t="str">
        <x:v>S03-06</x:v>
      </x:c>
      <x:c r="B1355" s="10" t="str">
        <x:v>B</x:v>
      </x:c>
      <x:c r="C1355" s="18" t="n">
        <x:v>6.4675</x:v>
      </x:c>
      <x:c r="D1355" s="10" t="n">
        <x:v>560</x:v>
      </x:c>
      <x:c r="E1355" s="10" t="n">
        <x:v>0.292536</x:v>
      </x:c>
      <x:c r="F1355" s="10" t="n">
        <x:v>0.004096</x:v>
      </x:c>
      <x:c r="G1355" s="10" t="n">
        <x:f>SUM(D1355:F1355)</x:f>
        <x:v>560.296632</x:v>
      </x:c>
    </x:row>
    <x:row r="1356" ht="24" customHeight="1">
      <x:c r="A1356" s="10" t="str">
        <x:v>S03-06</x:v>
      </x:c>
      <x:c r="B1356" s="10" t="str">
        <x:v>B</x:v>
      </x:c>
      <x:c r="C1356" s="18" t="n">
        <x:v>6.4675001</x:v>
      </x:c>
      <x:c r="D1356" s="10" t="n">
        <x:v>560</x:v>
      </x:c>
      <x:c r="E1356" s="10" t="n">
        <x:v>0.292535995</x:v>
      </x:c>
      <x:c r="F1356" s="10" t="n">
        <x:v>0.004096</x:v>
      </x:c>
      <x:c r="G1356" s="10" t="n">
        <x:f>SUM(D1356:F1356)</x:f>
        <x:v>560.296631995</x:v>
      </x:c>
    </x:row>
    <x:row r="1357" ht="24" customHeight="1">
      <x:c r="A1357" s="10" t="str">
        <x:v>S03-06</x:v>
      </x:c>
      <x:c r="B1357" s="10" t="str">
        <x:v>B</x:v>
      </x:c>
      <x:c r="C1357" s="18" t="n">
        <x:v>12.5619999</x:v>
      </x:c>
      <x:c r="D1357" s="10" t="n">
        <x:v>560</x:v>
      </x:c>
      <x:c r="E1357" s="10" t="n">
        <x:v>5e-9</x:v>
      </x:c>
      <x:c r="F1357" s="10" t="n">
        <x:v>0.004096</x:v>
      </x:c>
      <x:c r="G1357" s="10" t="n">
        <x:f>SUM(D1357:F1357)</x:f>
        <x:v>560.004096005</x:v>
      </x:c>
    </x:row>
    <x:row r="1358" ht="24" customHeight="1">
      <x:c r="A1358" s="10" t="str">
        <x:v>S03-06</x:v>
      </x:c>
      <x:c r="B1358" s="10" t="str">
        <x:v>B</x:v>
      </x:c>
      <x:c r="C1358" s="18" t="n">
        <x:v>12.562</x:v>
      </x:c>
      <x:c r="D1358" s="10" t="n">
        <x:v>560</x:v>
      </x:c>
      <x:c r="E1358" s="10" t="n">
        <x:v>0</x:v>
      </x:c>
      <x:c r="F1358" s="10" t="n">
        <x:v>0.004096</x:v>
      </x:c>
      <x:c r="G1358" s="10" t="n">
        <x:f>SUM(D1358:F1358)</x:f>
        <x:v>560.004096</x:v>
      </x:c>
    </x:row>
    <x:row r="1359" ht="24" customHeight="1">
      <x:c r="A1359" s="10" t="str">
        <x:v>S03-06</x:v>
      </x:c>
      <x:c r="B1359" s="10" t="str">
        <x:v>B</x:v>
      </x:c>
      <x:c r="C1359" s="18" t="n">
        <x:v>12.5620001</x:v>
      </x:c>
      <x:c r="D1359" s="10" t="n">
        <x:v>560</x:v>
      </x:c>
      <x:c r="E1359" s="10" t="n">
        <x:v>0</x:v>
      </x:c>
      <x:c r="F1359" s="10" t="n">
        <x:v>0</x:v>
      </x:c>
      <x:c r="G1359" s="10" t="n">
        <x:f>SUM(D1359:F1359)</x:f>
        <x:v>560</x:v>
      </x:c>
    </x:row>
    <x:row r="1360" ht="24" customHeight="1">
      <x:c r="A1360" s="10" t="str">
        <x:v>S03-07</x:v>
      </x:c>
      <x:c r="B1360" s="10" t="str">
        <x:v>A</x:v>
      </x:c>
      <x:c r="C1360" s="18" t="n">
        <x:v>-6.0000001</x:v>
      </x:c>
      <x:c r="D1360" s="10" t="n">
        <x:v>560</x:v>
      </x:c>
      <x:c r="E1360" s="10" t="n">
        <x:v>0</x:v>
      </x:c>
      <x:c r="F1360" s="10" t="n">
        <x:v>0</x:v>
      </x:c>
      <x:c r="G1360" s="10" t="n">
        <x:f>SUM(D1360:F1360)</x:f>
        <x:v>560</x:v>
      </x:c>
    </x:row>
    <x:row r="1361" ht="24" customHeight="1">
      <x:c r="A1361" s="10" t="str">
        <x:v>S03-07</x:v>
      </x:c>
      <x:c r="B1361" s="10" t="str">
        <x:v>A</x:v>
      </x:c>
      <x:c r="C1361" s="18" t="n">
        <x:v>-6</x:v>
      </x:c>
      <x:c r="D1361" s="10" t="n">
        <x:v>560</x:v>
      </x:c>
      <x:c r="E1361" s="10" t="n">
        <x:v>0</x:v>
      </x:c>
      <x:c r="F1361" s="10" t="n">
        <x:v>0</x:v>
      </x:c>
      <x:c r="G1361" s="10" t="n">
        <x:f>SUM(D1361:F1361)</x:f>
        <x:v>560</x:v>
      </x:c>
    </x:row>
    <x:row r="1362" ht="24" customHeight="1">
      <x:c r="A1362" s="10" t="str">
        <x:v>S03-07</x:v>
      </x:c>
      <x:c r="B1362" s="10" t="str">
        <x:v>A</x:v>
      </x:c>
      <x:c r="C1362" s="18" t="n">
        <x:v>-5.9999999</x:v>
      </x:c>
      <x:c r="D1362" s="10" t="n">
        <x:v>560</x:v>
      </x:c>
      <x:c r="E1362" s="10" t="n">
        <x:v>0</x:v>
      </x:c>
      <x:c r="F1362" s="10" t="n">
        <x:v>0</x:v>
      </x:c>
      <x:c r="G1362" s="10" t="n">
        <x:f>SUM(D1362:F1362)</x:f>
        <x:v>560</x:v>
      </x:c>
    </x:row>
    <x:row r="1363" ht="24" customHeight="1">
      <x:c r="A1363" s="10" t="str">
        <x:v>S03-07</x:v>
      </x:c>
      <x:c r="B1363" s="10" t="str">
        <x:v>A</x:v>
      </x:c>
      <x:c r="C1363" s="18" t="n">
        <x:v>-1.4000001</x:v>
      </x:c>
      <x:c r="D1363" s="10" t="n">
        <x:v>560</x:v>
      </x:c>
      <x:c r="E1363" s="10" t="n">
        <x:v>0</x:v>
      </x:c>
      <x:c r="F1363" s="10" t="n">
        <x:v>0</x:v>
      </x:c>
      <x:c r="G1363" s="10" t="n">
        <x:f>SUM(D1363:F1363)</x:f>
        <x:v>560</x:v>
      </x:c>
    </x:row>
    <x:row r="1364" ht="24" customHeight="1">
      <x:c r="A1364" s="10" t="str">
        <x:v>S03-07</x:v>
      </x:c>
      <x:c r="B1364" s="10" t="str">
        <x:v>A</x:v>
      </x:c>
      <x:c r="C1364" s="18" t="n">
        <x:v>-1.4</x:v>
      </x:c>
      <x:c r="D1364" s="10" t="n">
        <x:v>560</x:v>
      </x:c>
      <x:c r="E1364" s="10" t="n">
        <x:v>0</x:v>
      </x:c>
      <x:c r="F1364" s="10" t="n">
        <x:v>0.004096</x:v>
      </x:c>
      <x:c r="G1364" s="10" t="n">
        <x:f>SUM(D1364:F1364)</x:f>
        <x:v>560.004096</x:v>
      </x:c>
    </x:row>
    <x:row r="1365" ht="24" customHeight="1">
      <x:c r="A1365" s="10" t="str">
        <x:v>S03-07</x:v>
      </x:c>
      <x:c r="B1365" s="10" t="str">
        <x:v>A</x:v>
      </x:c>
      <x:c r="C1365" s="18" t="n">
        <x:v>-1.3999999</x:v>
      </x:c>
      <x:c r="D1365" s="10" t="n">
        <x:v>560</x:v>
      </x:c>
      <x:c r="E1365" s="10" t="n">
        <x:v>0</x:v>
      </x:c>
      <x:c r="F1365" s="10" t="n">
        <x:v>0.004096</x:v>
      </x:c>
      <x:c r="G1365" s="10" t="n">
        <x:f>SUM(D1365:F1365)</x:f>
        <x:v>560.004096</x:v>
      </x:c>
    </x:row>
    <x:row r="1366" ht="24" customHeight="1">
      <x:c r="A1366" s="10" t="str">
        <x:v>S03-07</x:v>
      </x:c>
      <x:c r="B1366" s="10" t="str">
        <x:v>A</x:v>
      </x:c>
      <x:c r="C1366" s="18" t="n">
        <x:v>-1.0000001</x:v>
      </x:c>
      <x:c r="D1366" s="10" t="n">
        <x:v>560</x:v>
      </x:c>
      <x:c r="E1366" s="10" t="n">
        <x:v>0</x:v>
      </x:c>
      <x:c r="F1366" s="10" t="n">
        <x:v>0.004096</x:v>
      </x:c>
      <x:c r="G1366" s="10" t="n">
        <x:f>SUM(D1366:F1366)</x:f>
        <x:v>560.004096</x:v>
      </x:c>
    </x:row>
    <x:row r="1367" ht="24" customHeight="1">
      <x:c r="A1367" s="10" t="str">
        <x:v>S03-07</x:v>
      </x:c>
      <x:c r="B1367" s="10" t="str">
        <x:v>A</x:v>
      </x:c>
      <x:c r="C1367" s="18" t="n">
        <x:v>-1</x:v>
      </x:c>
      <x:c r="D1367" s="10" t="n">
        <x:v>560</x:v>
      </x:c>
      <x:c r="E1367" s="10" t="n">
        <x:v>0</x:v>
      </x:c>
      <x:c r="F1367" s="10" t="n">
        <x:v>0.008192</x:v>
      </x:c>
      <x:c r="G1367" s="10" t="n">
        <x:f>SUM(D1367:F1367)</x:f>
        <x:v>560.008192</x:v>
      </x:c>
    </x:row>
    <x:row r="1368" ht="24" customHeight="1">
      <x:c r="A1368" s="10" t="str">
        <x:v>S03-07</x:v>
      </x:c>
      <x:c r="B1368" s="10" t="str">
        <x:v>A</x:v>
      </x:c>
      <x:c r="C1368" s="18" t="n">
        <x:v>-0.9999999</x:v>
      </x:c>
      <x:c r="D1368" s="10" t="n">
        <x:v>560</x:v>
      </x:c>
      <x:c r="E1368" s="10" t="n">
        <x:v>0</x:v>
      </x:c>
      <x:c r="F1368" s="10" t="n">
        <x:v>0.008192</x:v>
      </x:c>
      <x:c r="G1368" s="10" t="n">
        <x:f>SUM(D1368:F1368)</x:f>
        <x:v>560.008192</x:v>
      </x:c>
    </x:row>
    <x:row r="1369" ht="24" customHeight="1">
      <x:c r="A1369" s="10" t="str">
        <x:v>S03-07</x:v>
      </x:c>
      <x:c r="B1369" s="10" t="str">
        <x:v>A</x:v>
      </x:c>
      <x:c r="C1369" s="18" t="n">
        <x:v>-0.9990001</x:v>
      </x:c>
      <x:c r="D1369" s="10" t="n">
        <x:v>560</x:v>
      </x:c>
      <x:c r="E1369" s="10" t="n">
        <x:v>0</x:v>
      </x:c>
      <x:c r="F1369" s="10" t="n">
        <x:v>0.008192</x:v>
      </x:c>
      <x:c r="G1369" s="10" t="n">
        <x:f>SUM(D1369:F1369)</x:f>
        <x:v>560.008192</x:v>
      </x:c>
    </x:row>
    <x:row r="1370" ht="24" customHeight="1">
      <x:c r="A1370" s="10" t="str">
        <x:v>S03-07</x:v>
      </x:c>
      <x:c r="B1370" s="10" t="str">
        <x:v>A</x:v>
      </x:c>
      <x:c r="C1370" s="18" t="n">
        <x:v>-0.999</x:v>
      </x:c>
      <x:c r="D1370" s="10" t="n">
        <x:v>560</x:v>
      </x:c>
      <x:c r="E1370" s="10" t="n">
        <x:v>0.0096</x:v>
      </x:c>
      <x:c r="F1370" s="10" t="n">
        <x:v>0.008192</x:v>
      </x:c>
      <x:c r="G1370" s="10" t="n">
        <x:f>SUM(D1370:F1370)</x:f>
        <x:v>560.017792</x:v>
      </x:c>
    </x:row>
    <x:row r="1371" ht="24" customHeight="1">
      <x:c r="A1371" s="10" t="str">
        <x:v>S03-07</x:v>
      </x:c>
      <x:c r="B1371" s="10" t="str">
        <x:v>A</x:v>
      </x:c>
      <x:c r="C1371" s="18" t="n">
        <x:v>-0.9989999</x:v>
      </x:c>
      <x:c r="D1371" s="10" t="n">
        <x:v>560</x:v>
      </x:c>
      <x:c r="E1371" s="10" t="n">
        <x:v>0.009600019</x:v>
      </x:c>
      <x:c r="F1371" s="10" t="n">
        <x:v>0.008192</x:v>
      </x:c>
      <x:c r="G1371" s="10" t="n">
        <x:f>SUM(D1371:F1371)</x:f>
        <x:v>560.017792019</x:v>
      </x:c>
    </x:row>
    <x:row r="1372" ht="24" customHeight="1">
      <x:c r="A1372" s="10" t="str">
        <x:v>S03-07</x:v>
      </x:c>
      <x:c r="B1372" s="10" t="str">
        <x:v>A</x:v>
      </x:c>
      <x:c r="C1372" s="18" t="n">
        <x:v>-0.5900001</x:v>
      </x:c>
      <x:c r="D1372" s="10" t="n">
        <x:v>560</x:v>
      </x:c>
      <x:c r="E1372" s="10" t="n">
        <x:v>0.088127981</x:v>
      </x:c>
      <x:c r="F1372" s="10" t="n">
        <x:v>0.008192</x:v>
      </x:c>
      <x:c r="G1372" s="10" t="n">
        <x:f>SUM(D1372:F1372)</x:f>
        <x:v>560.096319981</x:v>
      </x:c>
    </x:row>
    <x:row r="1373" ht="24" customHeight="1">
      <x:c r="A1373" s="10" t="str">
        <x:v>S03-07</x:v>
      </x:c>
      <x:c r="B1373" s="10" t="str">
        <x:v>A</x:v>
      </x:c>
      <x:c r="C1373" s="18" t="n">
        <x:v>-0.59</x:v>
      </x:c>
      <x:c r="D1373" s="10" t="n">
        <x:v>560</x:v>
      </x:c>
      <x:c r="E1373" s="10" t="n">
        <x:v>0.097728</x:v>
      </x:c>
      <x:c r="F1373" s="10" t="n">
        <x:v>0.008192</x:v>
      </x:c>
      <x:c r="G1373" s="10" t="n">
        <x:f>SUM(D1373:F1373)</x:f>
        <x:v>560.10592</x:v>
      </x:c>
    </x:row>
    <x:row r="1374" ht="24" customHeight="1">
      <x:c r="A1374" s="10" t="str">
        <x:v>S03-07</x:v>
      </x:c>
      <x:c r="B1374" s="10" t="str">
        <x:v>A</x:v>
      </x:c>
      <x:c r="C1374" s="18" t="n">
        <x:v>-0.5899999</x:v>
      </x:c>
      <x:c r="D1374" s="10" t="n">
        <x:v>560</x:v>
      </x:c>
      <x:c r="E1374" s="10" t="n">
        <x:v>0.097728038</x:v>
      </x:c>
      <x:c r="F1374" s="10" t="n">
        <x:v>0.008192</x:v>
      </x:c>
      <x:c r="G1374" s="10" t="n">
        <x:f>SUM(D1374:F1374)</x:f>
        <x:v>560.105920038</x:v>
      </x:c>
    </x:row>
    <x:row r="1375" ht="24" customHeight="1">
      <x:c r="A1375" s="10" t="str">
        <x:v>S03-07</x:v>
      </x:c>
      <x:c r="B1375" s="10" t="str">
        <x:v>A</x:v>
      </x:c>
      <x:c r="C1375" s="18" t="n">
        <x:v>-0.3445001</x:v>
      </x:c>
      <x:c r="D1375" s="10" t="n">
        <x:v>560</x:v>
      </x:c>
      <x:c r="E1375" s="10" t="n">
        <x:v>0.191999962</x:v>
      </x:c>
      <x:c r="F1375" s="10" t="n">
        <x:v>0.008192</x:v>
      </x:c>
      <x:c r="G1375" s="10" t="n">
        <x:f>SUM(D1375:F1375)</x:f>
        <x:v>560.200191962</x:v>
      </x:c>
    </x:row>
    <x:row r="1376" ht="24" customHeight="1">
      <x:c r="A1376" s="10" t="str">
        <x:v>S03-07</x:v>
      </x:c>
      <x:c r="B1376" s="10" t="str">
        <x:v>A</x:v>
      </x:c>
      <x:c r="C1376" s="18" t="n">
        <x:v>-0.3445</x:v>
      </x:c>
      <x:c r="D1376" s="10" t="n">
        <x:v>560</x:v>
      </x:c>
      <x:c r="E1376" s="10" t="n">
        <x:v>0.192</x:v>
      </x:c>
      <x:c r="F1376" s="10" t="n">
        <x:v>0.008192</x:v>
      </x:c>
      <x:c r="G1376" s="10" t="n">
        <x:f>SUM(D1376:F1376)</x:f>
        <x:v>560.200192</x:v>
      </x:c>
    </x:row>
    <x:row r="1377" ht="24" customHeight="1">
      <x:c r="A1377" s="10" t="str">
        <x:v>S03-07</x:v>
      </x:c>
      <x:c r="B1377" s="10" t="str">
        <x:v>A</x:v>
      </x:c>
      <x:c r="C1377" s="18" t="n">
        <x:v>-0.3444999</x:v>
      </x:c>
      <x:c r="D1377" s="10" t="n">
        <x:v>560</x:v>
      </x:c>
      <x:c r="E1377" s="10" t="n">
        <x:v>0.192000019</x:v>
      </x:c>
      <x:c r="F1377" s="10" t="n">
        <x:v>0.008192</x:v>
      </x:c>
      <x:c r="G1377" s="10" t="n">
        <x:f>SUM(D1377:F1377)</x:f>
        <x:v>560.200192019</x:v>
      </x:c>
    </x:row>
    <x:row r="1378" ht="24" customHeight="1">
      <x:c r="A1378" s="10" t="str">
        <x:v>S03-07</x:v>
      </x:c>
      <x:c r="B1378" s="10" t="str">
        <x:v>A</x:v>
      </x:c>
      <x:c r="C1378" s="18" t="n">
        <x:v>-1e-7</x:v>
      </x:c>
      <x:c r="D1378" s="10" t="n">
        <x:v>560</x:v>
      </x:c>
      <x:c r="E1378" s="10" t="n">
        <x:v>0.258143981</x:v>
      </x:c>
      <x:c r="F1378" s="10" t="n">
        <x:v>0.008192</x:v>
      </x:c>
      <x:c r="G1378" s="10" t="n">
        <x:f>SUM(D1378:F1378)</x:f>
        <x:v>560.266335981</x:v>
      </x:c>
    </x:row>
    <x:row r="1379" ht="24" customHeight="1">
      <x:c r="A1379" s="10" t="str">
        <x:v>S03-07</x:v>
      </x:c>
      <x:c r="B1379" s="10" t="str">
        <x:v>A</x:v>
      </x:c>
      <x:c r="C1379" s="18" t="n">
        <x:v>0</x:v>
      </x:c>
      <x:c r="D1379" s="10" t="n">
        <x:v>560</x:v>
      </x:c>
      <x:c r="E1379" s="10" t="n">
        <x:v>0.258144</x:v>
      </x:c>
      <x:c r="F1379" s="10" t="n">
        <x:v>0.008192</x:v>
      </x:c>
      <x:c r="G1379" s="10" t="n">
        <x:f>SUM(D1379:F1379)</x:f>
        <x:v>560.266336</x:v>
      </x:c>
    </x:row>
    <x:row r="1380" ht="24" customHeight="1">
      <x:c r="A1380" s="10" t="str">
        <x:v>S03-07</x:v>
      </x:c>
      <x:c r="B1380" s="10" t="str">
        <x:v>A</x:v>
      </x:c>
      <x:c r="C1380" s="18" t="n">
        <x:v>1e-7</x:v>
      </x:c>
      <x:c r="D1380" s="10" t="n">
        <x:v>560</x:v>
      </x:c>
      <x:c r="E1380" s="10" t="n">
        <x:v>0.258144019</x:v>
      </x:c>
      <x:c r="F1380" s="10" t="n">
        <x:v>0.008192</x:v>
      </x:c>
      <x:c r="G1380" s="10" t="n">
        <x:f>SUM(D1380:F1380)</x:f>
        <x:v>560.266336019</x:v>
      </x:c>
    </x:row>
    <x:row r="1381" ht="24" customHeight="1">
      <x:c r="A1381" s="10" t="str">
        <x:v>S03-07</x:v>
      </x:c>
      <x:c r="B1381" s="10" t="str">
        <x:v>A</x:v>
      </x:c>
      <x:c r="C1381" s="18" t="n">
        <x:v>0.888333233</x:v>
      </x:c>
      <x:c r="D1381" s="10" t="n">
        <x:v>560</x:v>
      </x:c>
      <x:c r="E1381" s="10" t="n">
        <x:v>0.428703981</x:v>
      </x:c>
      <x:c r="F1381" s="10" t="n">
        <x:v>0.008192</x:v>
      </x:c>
      <x:c r="G1381" s="10" t="n">
        <x:f>SUM(D1381:F1381)</x:f>
        <x:v>560.436895981</x:v>
      </x:c>
    </x:row>
    <x:row r="1382" ht="24" customHeight="1">
      <x:c r="A1382" s="10" t="str">
        <x:v>S03-07</x:v>
      </x:c>
      <x:c r="B1382" s="10" t="str">
        <x:v>A</x:v>
      </x:c>
      <x:c r="C1382" s="18" t="n">
        <x:v>0.888333333</x:v>
      </x:c>
      <x:c r="D1382" s="10" t="n">
        <x:v>560</x:v>
      </x:c>
      <x:c r="E1382" s="10" t="n">
        <x:v>0.428704</x:v>
      </x:c>
      <x:c r="F1382" s="10" t="n">
        <x:v>0.008192</x:v>
      </x:c>
      <x:c r="G1382" s="10" t="n">
        <x:f>SUM(D1382:F1382)</x:f>
        <x:v>560.436896</x:v>
      </x:c>
    </x:row>
    <x:row r="1383" ht="24" customHeight="1">
      <x:c r="A1383" s="10" t="str">
        <x:v>S03-07</x:v>
      </x:c>
      <x:c r="B1383" s="10" t="str">
        <x:v>A</x:v>
      </x:c>
      <x:c r="C1383" s="18" t="n">
        <x:v>0.888333433</x:v>
      </x:c>
      <x:c r="D1383" s="10" t="n">
        <x:v>560</x:v>
      </x:c>
      <x:c r="E1383" s="10" t="n">
        <x:v>0.428704019</x:v>
      </x:c>
      <x:c r="F1383" s="10" t="n">
        <x:v>0.008192</x:v>
      </x:c>
      <x:c r="G1383" s="10" t="n">
        <x:f>SUM(D1383:F1383)</x:f>
        <x:v>560.436896019</x:v>
      </x:c>
    </x:row>
    <x:row r="1384" ht="24" customHeight="1">
      <x:c r="A1384" s="10" t="str">
        <x:v>S03-07</x:v>
      </x:c>
      <x:c r="B1384" s="10" t="str">
        <x:v>A</x:v>
      </x:c>
      <x:c r="C1384" s="18" t="n">
        <x:v>0.928333233</x:v>
      </x:c>
      <x:c r="D1384" s="10" t="n">
        <x:v>560</x:v>
      </x:c>
      <x:c r="E1384" s="10" t="n">
        <x:v>0.436383981</x:v>
      </x:c>
      <x:c r="F1384" s="10" t="n">
        <x:v>0.008192</x:v>
      </x:c>
      <x:c r="G1384" s="10" t="n">
        <x:f>SUM(D1384:F1384)</x:f>
        <x:v>560.444575981</x:v>
      </x:c>
    </x:row>
    <x:row r="1385" ht="24" customHeight="1">
      <x:c r="A1385" s="10" t="str">
        <x:v>S03-07</x:v>
      </x:c>
      <x:c r="B1385" s="10" t="str">
        <x:v>A</x:v>
      </x:c>
      <x:c r="C1385" s="18" t="n">
        <x:v>0.928333333</x:v>
      </x:c>
      <x:c r="D1385" s="10" t="n">
        <x:v>560</x:v>
      </x:c>
      <x:c r="E1385" s="10" t="n">
        <x:v>0.436384</x:v>
      </x:c>
      <x:c r="F1385" s="10" t="n">
        <x:v>0.008192</x:v>
      </x:c>
      <x:c r="G1385" s="10" t="n">
        <x:f>SUM(D1385:F1385)</x:f>
        <x:v>560.444576</x:v>
      </x:c>
    </x:row>
    <x:row r="1386" ht="24" customHeight="1">
      <x:c r="A1386" s="10" t="str">
        <x:v>S03-07</x:v>
      </x:c>
      <x:c r="B1386" s="10" t="str">
        <x:v>A</x:v>
      </x:c>
      <x:c r="C1386" s="18" t="n">
        <x:v>0.928333433</x:v>
      </x:c>
      <x:c r="D1386" s="10" t="n">
        <x:v>560</x:v>
      </x:c>
      <x:c r="E1386" s="10" t="n">
        <x:v>0.436384014</x:v>
      </x:c>
      <x:c r="F1386" s="10" t="n">
        <x:v>0.008192</x:v>
      </x:c>
      <x:c r="G1386" s="10" t="n">
        <x:f>SUM(D1386:F1386)</x:f>
        <x:v>560.4445760140001</x:v>
      </x:c>
    </x:row>
    <x:row r="1387" ht="24" customHeight="1">
      <x:c r="A1387" s="10" t="str">
        <x:v>S03-07</x:v>
      </x:c>
      <x:c r="B1387" s="10" t="str">
        <x:v>A</x:v>
      </x:c>
      <x:c r="C1387" s="18" t="n">
        <x:v>0.988333233</x:v>
      </x:c>
      <x:c r="D1387" s="10" t="n">
        <x:v>560</x:v>
      </x:c>
      <x:c r="E1387" s="10" t="n">
        <x:v>0.445023986</x:v>
      </x:c>
      <x:c r="F1387" s="10" t="n">
        <x:v>0.008192</x:v>
      </x:c>
      <x:c r="G1387" s="10" t="n">
        <x:f>SUM(D1387:F1387)</x:f>
        <x:v>560.453215986</x:v>
      </x:c>
    </x:row>
    <x:row r="1388" ht="24" customHeight="1">
      <x:c r="A1388" s="10" t="str">
        <x:v>S03-07</x:v>
      </x:c>
      <x:c r="B1388" s="10" t="str">
        <x:v>A</x:v>
      </x:c>
      <x:c r="C1388" s="18" t="n">
        <x:v>0.988333333</x:v>
      </x:c>
      <x:c r="D1388" s="10" t="n">
        <x:v>560</x:v>
      </x:c>
      <x:c r="E1388" s="10" t="n">
        <x:v>0.445024</x:v>
      </x:c>
      <x:c r="F1388" s="10" t="n">
        <x:v>0.008192</x:v>
      </x:c>
      <x:c r="G1388" s="10" t="n">
        <x:f>SUM(D1388:F1388)</x:f>
        <x:v>560.453216</x:v>
      </x:c>
    </x:row>
    <x:row r="1389" ht="24" customHeight="1">
      <x:c r="A1389" s="10" t="str">
        <x:v>S03-07</x:v>
      </x:c>
      <x:c r="B1389" s="10" t="str">
        <x:v>A</x:v>
      </x:c>
      <x:c r="C1389" s="18" t="n">
        <x:v>0.988333433</x:v>
      </x:c>
      <x:c r="D1389" s="10" t="n">
        <x:v>560</x:v>
      </x:c>
      <x:c r="E1389" s="10" t="n">
        <x:v>0.132383995</x:v>
      </x:c>
      <x:c r="F1389" s="10" t="n">
        <x:v>0.004096</x:v>
      </x:c>
      <x:c r="G1389" s="10" t="n">
        <x:f>SUM(D1389:F1389)</x:f>
        <x:v>560.1364799950001</x:v>
      </x:c>
    </x:row>
    <x:row r="1390" ht="24" customHeight="1">
      <x:c r="A1390" s="10" t="str">
        <x:v>S03-07</x:v>
      </x:c>
      <x:c r="B1390" s="10" t="str">
        <x:v>A</x:v>
      </x:c>
      <x:c r="C1390" s="18" t="n">
        <x:v>3.408333233</x:v>
      </x:c>
      <x:c r="D1390" s="10" t="n">
        <x:v>560</x:v>
      </x:c>
      <x:c r="E1390" s="10" t="n">
        <x:v>0.016224005</x:v>
      </x:c>
      <x:c r="F1390" s="10" t="n">
        <x:v>0.004096</x:v>
      </x:c>
      <x:c r="G1390" s="10" t="n">
        <x:f>SUM(D1390:F1390)</x:f>
        <x:v>560.020320005</x:v>
      </x:c>
    </x:row>
    <x:row r="1391" ht="24" customHeight="1">
      <x:c r="A1391" s="10" t="str">
        <x:v>S03-07</x:v>
      </x:c>
      <x:c r="B1391" s="10" t="str">
        <x:v>A</x:v>
      </x:c>
      <x:c r="C1391" s="18" t="n">
        <x:v>3.408333333</x:v>
      </x:c>
      <x:c r="D1391" s="10" t="n">
        <x:v>560</x:v>
      </x:c>
      <x:c r="E1391" s="10" t="n">
        <x:v>0.016224</x:v>
      </x:c>
      <x:c r="F1391" s="10" t="n">
        <x:v>0.008192</x:v>
      </x:c>
      <x:c r="G1391" s="10" t="n">
        <x:f>SUM(D1391:F1391)</x:f>
        <x:v>560.024416</x:v>
      </x:c>
    </x:row>
    <x:row r="1392" ht="24" customHeight="1">
      <x:c r="A1392" s="10" t="str">
        <x:v>S03-07</x:v>
      </x:c>
      <x:c r="B1392" s="10" t="str">
        <x:v>A</x:v>
      </x:c>
      <x:c r="C1392" s="18" t="n">
        <x:v>3.408333433</x:v>
      </x:c>
      <x:c r="D1392" s="10" t="n">
        <x:v>560</x:v>
      </x:c>
      <x:c r="E1392" s="10" t="n">
        <x:v>0.016223995</x:v>
      </x:c>
      <x:c r="F1392" s="10" t="n">
        <x:v>0.008192</x:v>
      </x:c>
      <x:c r="G1392" s="10" t="n">
        <x:f>SUM(D1392:F1392)</x:f>
        <x:v>560.024415995</x:v>
      </x:c>
    </x:row>
    <x:row r="1393" ht="24" customHeight="1">
      <x:c r="A1393" s="10" t="str">
        <x:v>S03-07</x:v>
      </x:c>
      <x:c r="B1393" s="10" t="str">
        <x:v>A</x:v>
      </x:c>
      <x:c r="C1393" s="18" t="n">
        <x:v>3.746333233</x:v>
      </x:c>
      <x:c r="D1393" s="10" t="n">
        <x:v>560</x:v>
      </x:c>
      <x:c r="E1393" s="10" t="n">
        <x:v>5e-9</x:v>
      </x:c>
      <x:c r="F1393" s="10" t="n">
        <x:v>0.008192</x:v>
      </x:c>
      <x:c r="G1393" s="10" t="n">
        <x:f>SUM(D1393:F1393)</x:f>
        <x:v>560.008192005</x:v>
      </x:c>
    </x:row>
    <x:row r="1394" ht="24" customHeight="1">
      <x:c r="A1394" s="10" t="str">
        <x:v>S03-07</x:v>
      </x:c>
      <x:c r="B1394" s="10" t="str">
        <x:v>A</x:v>
      </x:c>
      <x:c r="C1394" s="18" t="n">
        <x:v>3.746333333</x:v>
      </x:c>
      <x:c r="D1394" s="10" t="n">
        <x:v>560</x:v>
      </x:c>
      <x:c r="E1394" s="10" t="n">
        <x:v>0</x:v>
      </x:c>
      <x:c r="F1394" s="10" t="n">
        <x:v>0.008192</x:v>
      </x:c>
      <x:c r="G1394" s="10" t="n">
        <x:f>SUM(D1394:F1394)</x:f>
        <x:v>560.008192</x:v>
      </x:c>
    </x:row>
    <x:row r="1395" ht="24" customHeight="1">
      <x:c r="A1395" s="10" t="str">
        <x:v>S03-07</x:v>
      </x:c>
      <x:c r="B1395" s="10" t="str">
        <x:v>A</x:v>
      </x:c>
      <x:c r="C1395" s="18" t="n">
        <x:v>3.746333433</x:v>
      </x:c>
      <x:c r="D1395" s="10" t="n">
        <x:v>560</x:v>
      </x:c>
      <x:c r="E1395" s="10" t="n">
        <x:v>0</x:v>
      </x:c>
      <x:c r="F1395" s="10" t="n">
        <x:v>0.004096</x:v>
      </x:c>
      <x:c r="G1395" s="10" t="n">
        <x:f>SUM(D1395:F1395)</x:f>
        <x:v>560.004096</x:v>
      </x:c>
    </x:row>
    <x:row r="1396" ht="24" customHeight="1">
      <x:c r="A1396" s="10" t="str">
        <x:v>S03-07</x:v>
      </x:c>
      <x:c r="B1396" s="10" t="str">
        <x:v>A</x:v>
      </x:c>
      <x:c r="C1396" s="18" t="n">
        <x:v>3.817333233</x:v>
      </x:c>
      <x:c r="D1396" s="10" t="n">
        <x:v>560</x:v>
      </x:c>
      <x:c r="E1396" s="10" t="n">
        <x:v>0</x:v>
      </x:c>
      <x:c r="F1396" s="10" t="n">
        <x:v>0.004096</x:v>
      </x:c>
      <x:c r="G1396" s="10" t="n">
        <x:f>SUM(D1396:F1396)</x:f>
        <x:v>560.004096</x:v>
      </x:c>
    </x:row>
    <x:row r="1397" ht="24" customHeight="1">
      <x:c r="A1397" s="10" t="str">
        <x:v>S03-07</x:v>
      </x:c>
      <x:c r="B1397" s="10" t="str">
        <x:v>A</x:v>
      </x:c>
      <x:c r="C1397" s="18" t="n">
        <x:v>3.817333333</x:v>
      </x:c>
      <x:c r="D1397" s="10" t="n">
        <x:v>560</x:v>
      </x:c>
      <x:c r="E1397" s="10" t="n">
        <x:v>0.0096</x:v>
      </x:c>
      <x:c r="F1397" s="10" t="n">
        <x:v>0.004096</x:v>
      </x:c>
      <x:c r="G1397" s="10" t="n">
        <x:f>SUM(D1397:F1397)</x:f>
        <x:v>560.013696</x:v>
      </x:c>
    </x:row>
    <x:row r="1398" ht="24" customHeight="1">
      <x:c r="A1398" s="10" t="str">
        <x:v>S03-07</x:v>
      </x:c>
      <x:c r="B1398" s="10" t="str">
        <x:v>A</x:v>
      </x:c>
      <x:c r="C1398" s="18" t="n">
        <x:v>3.817333433</x:v>
      </x:c>
      <x:c r="D1398" s="10" t="n">
        <x:v>560</x:v>
      </x:c>
      <x:c r="E1398" s="10" t="n">
        <x:v>0.009600019</x:v>
      </x:c>
      <x:c r="F1398" s="10" t="n">
        <x:v>0.004096</x:v>
      </x:c>
      <x:c r="G1398" s="10" t="n">
        <x:f>SUM(D1398:F1398)</x:f>
        <x:v>560.013696019</x:v>
      </x:c>
    </x:row>
    <x:row r="1399" ht="24" customHeight="1">
      <x:c r="A1399" s="10" t="str">
        <x:v>S03-07</x:v>
      </x:c>
      <x:c r="B1399" s="10" t="str">
        <x:v>A</x:v>
      </x:c>
      <x:c r="C1399" s="18" t="n">
        <x:v>3.857333233</x:v>
      </x:c>
      <x:c r="D1399" s="10" t="n">
        <x:v>560</x:v>
      </x:c>
      <x:c r="E1399" s="10" t="n">
        <x:v>0.017279981</x:v>
      </x:c>
      <x:c r="F1399" s="10" t="n">
        <x:v>0.004096</x:v>
      </x:c>
      <x:c r="G1399" s="10" t="n">
        <x:f>SUM(D1399:F1399)</x:f>
        <x:v>560.021375981</x:v>
      </x:c>
    </x:row>
    <x:row r="1400" ht="24" customHeight="1">
      <x:c r="A1400" s="10" t="str">
        <x:v>S03-07</x:v>
      </x:c>
      <x:c r="B1400" s="10" t="str">
        <x:v>A</x:v>
      </x:c>
      <x:c r="C1400" s="18" t="n">
        <x:v>3.857333333</x:v>
      </x:c>
      <x:c r="D1400" s="10" t="n">
        <x:v>560</x:v>
      </x:c>
      <x:c r="E1400" s="10" t="n">
        <x:v>0.01728</x:v>
      </x:c>
      <x:c r="F1400" s="10" t="n">
        <x:v>0.004096</x:v>
      </x:c>
      <x:c r="G1400" s="10" t="n">
        <x:f>SUM(D1400:F1400)</x:f>
        <x:v>560.021376</x:v>
      </x:c>
    </x:row>
    <x:row r="1401" ht="24" customHeight="1">
      <x:c r="A1401" s="10" t="str">
        <x:v>S03-07</x:v>
      </x:c>
      <x:c r="B1401" s="10" t="str">
        <x:v>A</x:v>
      </x:c>
      <x:c r="C1401" s="18" t="n">
        <x:v>3.857333433</x:v>
      </x:c>
      <x:c r="D1401" s="10" t="n">
        <x:v>560</x:v>
      </x:c>
      <x:c r="E1401" s="10" t="n">
        <x:v>0.017280014</x:v>
      </x:c>
      <x:c r="F1401" s="10" t="n">
        <x:v>0.004096</x:v>
      </x:c>
      <x:c r="G1401" s="10" t="n">
        <x:f>SUM(D1401:F1401)</x:f>
        <x:v>560.021376014</x:v>
      </x:c>
    </x:row>
    <x:row r="1402" ht="24" customHeight="1">
      <x:c r="A1402" s="10" t="str">
        <x:v>S03-07</x:v>
      </x:c>
      <x:c r="B1402" s="10" t="str">
        <x:v>A</x:v>
      </x:c>
      <x:c r="C1402" s="18" t="n">
        <x:v>5.771833233</x:v>
      </x:c>
      <x:c r="D1402" s="10" t="n">
        <x:v>560</x:v>
      </x:c>
      <x:c r="E1402" s="10" t="n">
        <x:v>0.292967986</x:v>
      </x:c>
      <x:c r="F1402" s="10" t="n">
        <x:v>0.004096</x:v>
      </x:c>
      <x:c r="G1402" s="10" t="n">
        <x:f>SUM(D1402:F1402)</x:f>
        <x:v>560.297063986</x:v>
      </x:c>
    </x:row>
    <x:row r="1403" ht="24" customHeight="1">
      <x:c r="A1403" s="10" t="str">
        <x:v>S03-07</x:v>
      </x:c>
      <x:c r="B1403" s="10" t="str">
        <x:v>A</x:v>
      </x:c>
      <x:c r="C1403" s="18" t="n">
        <x:v>5.771833333</x:v>
      </x:c>
      <x:c r="D1403" s="10" t="n">
        <x:v>560</x:v>
      </x:c>
      <x:c r="E1403" s="10" t="n">
        <x:v>0.292968</x:v>
      </x:c>
      <x:c r="F1403" s="10" t="n">
        <x:v>0.004096</x:v>
      </x:c>
      <x:c r="G1403" s="10" t="n">
        <x:f>SUM(D1403:F1403)</x:f>
        <x:v>560.297064</x:v>
      </x:c>
    </x:row>
    <x:row r="1404" ht="24" customHeight="1">
      <x:c r="A1404" s="10" t="str">
        <x:v>S03-07</x:v>
      </x:c>
      <x:c r="B1404" s="10" t="str">
        <x:v>A</x:v>
      </x:c>
      <x:c r="C1404" s="18" t="n">
        <x:v>5.771833433</x:v>
      </x:c>
      <x:c r="D1404" s="10" t="n">
        <x:v>560</x:v>
      </x:c>
      <x:c r="E1404" s="10" t="n">
        <x:v>0.292967995</x:v>
      </x:c>
      <x:c r="F1404" s="10" t="n">
        <x:v>0.004096</x:v>
      </x:c>
      <x:c r="G1404" s="10" t="n">
        <x:f>SUM(D1404:F1404)</x:f>
        <x:v>560.297063995</x:v>
      </x:c>
    </x:row>
    <x:row r="1405" ht="24" customHeight="1">
      <x:c r="A1405" s="10" t="str">
        <x:v>S03-07</x:v>
      </x:c>
      <x:c r="B1405" s="10" t="str">
        <x:v>A</x:v>
      </x:c>
      <x:c r="C1405" s="18" t="n">
        <x:v>11.875333233</x:v>
      </x:c>
      <x:c r="D1405" s="10" t="n">
        <x:v>560</x:v>
      </x:c>
      <x:c r="E1405" s="10" t="n">
        <x:v>5e-9</x:v>
      </x:c>
      <x:c r="F1405" s="10" t="n">
        <x:v>0.004096</x:v>
      </x:c>
      <x:c r="G1405" s="10" t="n">
        <x:f>SUM(D1405:F1405)</x:f>
        <x:v>560.004096005</x:v>
      </x:c>
    </x:row>
    <x:row r="1406" ht="24" customHeight="1">
      <x:c r="A1406" s="10" t="str">
        <x:v>S03-07</x:v>
      </x:c>
      <x:c r="B1406" s="10" t="str">
        <x:v>A</x:v>
      </x:c>
      <x:c r="C1406" s="18" t="n">
        <x:v>11.875333333</x:v>
      </x:c>
      <x:c r="D1406" s="10" t="n">
        <x:v>560</x:v>
      </x:c>
      <x:c r="E1406" s="10" t="n">
        <x:v>0</x:v>
      </x:c>
      <x:c r="F1406" s="10" t="n">
        <x:v>0.004096</x:v>
      </x:c>
      <x:c r="G1406" s="10" t="n">
        <x:f>SUM(D1406:F1406)</x:f>
        <x:v>560.004096</x:v>
      </x:c>
    </x:row>
    <x:row r="1407" ht="24" customHeight="1">
      <x:c r="A1407" s="10" t="str">
        <x:v>S03-07</x:v>
      </x:c>
      <x:c r="B1407" s="10" t="str">
        <x:v>A</x:v>
      </x:c>
      <x:c r="C1407" s="18" t="n">
        <x:v>11.875333433</x:v>
      </x:c>
      <x:c r="D1407" s="10" t="n">
        <x:v>560</x:v>
      </x:c>
      <x:c r="E1407" s="10" t="n">
        <x:v>0</x:v>
      </x:c>
      <x:c r="F1407" s="10" t="n">
        <x:v>0</x:v>
      </x:c>
      <x:c r="G1407" s="10" t="n">
        <x:f>SUM(D1407:F1407)</x:f>
        <x:v>560</x:v>
      </x:c>
    </x:row>
    <x:row r="1408" ht="24" customHeight="1">
      <x:c r="A1408" s="10" t="str">
        <x:v>S03-07</x:v>
      </x:c>
      <x:c r="B1408" s="10" t="str">
        <x:v>B</x:v>
      </x:c>
      <x:c r="C1408" s="18" t="n">
        <x:v>-6.0000001</x:v>
      </x:c>
      <x:c r="D1408" s="10" t="n">
        <x:v>560</x:v>
      </x:c>
      <x:c r="E1408" s="10" t="n">
        <x:v>0</x:v>
      </x:c>
      <x:c r="F1408" s="10" t="n">
        <x:v>0</x:v>
      </x:c>
      <x:c r="G1408" s="10" t="n">
        <x:f>SUM(D1408:F1408)</x:f>
        <x:v>560</x:v>
      </x:c>
    </x:row>
    <x:row r="1409" ht="24" customHeight="1">
      <x:c r="A1409" s="10" t="str">
        <x:v>S03-07</x:v>
      </x:c>
      <x:c r="B1409" s="10" t="str">
        <x:v>B</x:v>
      </x:c>
      <x:c r="C1409" s="18" t="n">
        <x:v>-6</x:v>
      </x:c>
      <x:c r="D1409" s="10" t="n">
        <x:v>560</x:v>
      </x:c>
      <x:c r="E1409" s="10" t="n">
        <x:v>0</x:v>
      </x:c>
      <x:c r="F1409" s="10" t="n">
        <x:v>0</x:v>
      </x:c>
      <x:c r="G1409" s="10" t="n">
        <x:f>SUM(D1409:F1409)</x:f>
        <x:v>560</x:v>
      </x:c>
    </x:row>
    <x:row r="1410" ht="24" customHeight="1">
      <x:c r="A1410" s="10" t="str">
        <x:v>S03-07</x:v>
      </x:c>
      <x:c r="B1410" s="10" t="str">
        <x:v>B</x:v>
      </x:c>
      <x:c r="C1410" s="18" t="n">
        <x:v>-5.9999999</x:v>
      </x:c>
      <x:c r="D1410" s="10" t="n">
        <x:v>560</x:v>
      </x:c>
      <x:c r="E1410" s="10" t="n">
        <x:v>0</x:v>
      </x:c>
      <x:c r="F1410" s="10" t="n">
        <x:v>0</x:v>
      </x:c>
      <x:c r="G1410" s="10" t="n">
        <x:f>SUM(D1410:F1410)</x:f>
        <x:v>560</x:v>
      </x:c>
    </x:row>
    <x:row r="1411" ht="24" customHeight="1">
      <x:c r="A1411" s="10" t="str">
        <x:v>S03-07</x:v>
      </x:c>
      <x:c r="B1411" s="10" t="str">
        <x:v>B</x:v>
      </x:c>
      <x:c r="C1411" s="18" t="n">
        <x:v>-1e-7</x:v>
      </x:c>
      <x:c r="D1411" s="10" t="n">
        <x:v>560</x:v>
      </x:c>
      <x:c r="E1411" s="10" t="n">
        <x:v>0</x:v>
      </x:c>
      <x:c r="F1411" s="10" t="n">
        <x:v>0</x:v>
      </x:c>
      <x:c r="G1411" s="10" t="n">
        <x:f>SUM(D1411:F1411)</x:f>
        <x:v>560</x:v>
      </x:c>
    </x:row>
    <x:row r="1412" ht="24" customHeight="1">
      <x:c r="A1412" s="10" t="str">
        <x:v>S03-07</x:v>
      </x:c>
      <x:c r="B1412" s="10" t="str">
        <x:v>B</x:v>
      </x:c>
      <x:c r="C1412" s="18" t="n">
        <x:v>0</x:v>
      </x:c>
      <x:c r="D1412" s="10" t="n">
        <x:v>560</x:v>
      </x:c>
      <x:c r="E1412" s="10" t="n">
        <x:v>0</x:v>
      </x:c>
      <x:c r="F1412" s="10" t="n">
        <x:v>0</x:v>
      </x:c>
      <x:c r="G1412" s="10" t="n">
        <x:f>SUM(D1412:F1412)</x:f>
        <x:v>560</x:v>
      </x:c>
    </x:row>
    <x:row r="1413" ht="24" customHeight="1">
      <x:c r="A1413" s="10" t="str">
        <x:v>S03-07</x:v>
      </x:c>
      <x:c r="B1413" s="10" t="str">
        <x:v>B</x:v>
      </x:c>
      <x:c r="C1413" s="18" t="n">
        <x:v>1e-7</x:v>
      </x:c>
      <x:c r="D1413" s="10" t="n">
        <x:v>560</x:v>
      </x:c>
      <x:c r="E1413" s="10" t="n">
        <x:v>0</x:v>
      </x:c>
      <x:c r="F1413" s="10" t="n">
        <x:v>0</x:v>
      </x:c>
      <x:c r="G1413" s="10" t="n">
        <x:f>SUM(D1413:F1413)</x:f>
        <x:v>560</x:v>
      </x:c>
    </x:row>
    <x:row r="1414" ht="24" customHeight="1">
      <x:c r="A1414" s="10" t="str">
        <x:v>S03-07</x:v>
      </x:c>
      <x:c r="B1414" s="10" t="str">
        <x:v>B</x:v>
      </x:c>
      <x:c r="C1414" s="18" t="n">
        <x:v>0.888333233</x:v>
      </x:c>
      <x:c r="D1414" s="10" t="n">
        <x:v>560</x:v>
      </x:c>
      <x:c r="E1414" s="10" t="n">
        <x:v>0</x:v>
      </x:c>
      <x:c r="F1414" s="10" t="n">
        <x:v>0</x:v>
      </x:c>
      <x:c r="G1414" s="10" t="n">
        <x:f>SUM(D1414:F1414)</x:f>
        <x:v>560</x:v>
      </x:c>
    </x:row>
    <x:row r="1415" ht="24" customHeight="1">
      <x:c r="A1415" s="10" t="str">
        <x:v>S03-07</x:v>
      </x:c>
      <x:c r="B1415" s="10" t="str">
        <x:v>B</x:v>
      </x:c>
      <x:c r="C1415" s="18" t="n">
        <x:v>0.888333333</x:v>
      </x:c>
      <x:c r="D1415" s="10" t="n">
        <x:v>560</x:v>
      </x:c>
      <x:c r="E1415" s="10" t="n">
        <x:v>0</x:v>
      </x:c>
      <x:c r="F1415" s="10" t="n">
        <x:v>0.004096</x:v>
      </x:c>
      <x:c r="G1415" s="10" t="n">
        <x:f>SUM(D1415:F1415)</x:f>
        <x:v>560.004096</x:v>
      </x:c>
    </x:row>
    <x:row r="1416" ht="24" customHeight="1">
      <x:c r="A1416" s="10" t="str">
        <x:v>S03-07</x:v>
      </x:c>
      <x:c r="B1416" s="10" t="str">
        <x:v>B</x:v>
      </x:c>
      <x:c r="C1416" s="18" t="n">
        <x:v>0.888333433</x:v>
      </x:c>
      <x:c r="D1416" s="10" t="n">
        <x:v>560</x:v>
      </x:c>
      <x:c r="E1416" s="10" t="n">
        <x:v>0</x:v>
      </x:c>
      <x:c r="F1416" s="10" t="n">
        <x:v>0.004096</x:v>
      </x:c>
      <x:c r="G1416" s="10" t="n">
        <x:f>SUM(D1416:F1416)</x:f>
        <x:v>560.004096</x:v>
      </x:c>
    </x:row>
    <x:row r="1417" ht="24" customHeight="1">
      <x:c r="A1417" s="10" t="str">
        <x:v>S03-07</x:v>
      </x:c>
      <x:c r="B1417" s="10" t="str">
        <x:v>B</x:v>
      </x:c>
      <x:c r="C1417" s="18" t="n">
        <x:v>1.289333233</x:v>
      </x:c>
      <x:c r="D1417" s="10" t="n">
        <x:v>560</x:v>
      </x:c>
      <x:c r="E1417" s="10" t="n">
        <x:v>0</x:v>
      </x:c>
      <x:c r="F1417" s="10" t="n">
        <x:v>0.004096</x:v>
      </x:c>
      <x:c r="G1417" s="10" t="n">
        <x:f>SUM(D1417:F1417)</x:f>
        <x:v>560.004096</x:v>
      </x:c>
    </x:row>
    <x:row r="1418" ht="24" customHeight="1">
      <x:c r="A1418" s="10" t="str">
        <x:v>S03-07</x:v>
      </x:c>
      <x:c r="B1418" s="10" t="str">
        <x:v>B</x:v>
      </x:c>
      <x:c r="C1418" s="18" t="n">
        <x:v>1.289333333</x:v>
      </x:c>
      <x:c r="D1418" s="10" t="n">
        <x:v>560</x:v>
      </x:c>
      <x:c r="E1418" s="10" t="n">
        <x:v>0.0096</x:v>
      </x:c>
      <x:c r="F1418" s="10" t="n">
        <x:v>0.004096</x:v>
      </x:c>
      <x:c r="G1418" s="10" t="n">
        <x:f>SUM(D1418:F1418)</x:f>
        <x:v>560.013696</x:v>
      </x:c>
    </x:row>
    <x:row r="1419" ht="24" customHeight="1">
      <x:c r="A1419" s="10" t="str">
        <x:v>S03-07</x:v>
      </x:c>
      <x:c r="B1419" s="10" t="str">
        <x:v>B</x:v>
      </x:c>
      <x:c r="C1419" s="18" t="n">
        <x:v>1.289333433</x:v>
      </x:c>
      <x:c r="D1419" s="10" t="n">
        <x:v>560</x:v>
      </x:c>
      <x:c r="E1419" s="10" t="n">
        <x:v>0.009600019</x:v>
      </x:c>
      <x:c r="F1419" s="10" t="n">
        <x:v>0.004096</x:v>
      </x:c>
      <x:c r="G1419" s="10" t="n">
        <x:f>SUM(D1419:F1419)</x:f>
        <x:v>560.013696019</x:v>
      </x:c>
    </x:row>
    <x:row r="1420" ht="24" customHeight="1">
      <x:c r="A1420" s="10" t="str">
        <x:v>S03-07</x:v>
      </x:c>
      <x:c r="B1420" s="10" t="str">
        <x:v>B</x:v>
      </x:c>
      <x:c r="C1420" s="18" t="n">
        <x:v>1.329333233</x:v>
      </x:c>
      <x:c r="D1420" s="10" t="n">
        <x:v>560</x:v>
      </x:c>
      <x:c r="E1420" s="10" t="n">
        <x:v>0.017279981</x:v>
      </x:c>
      <x:c r="F1420" s="10" t="n">
        <x:v>0.004096</x:v>
      </x:c>
      <x:c r="G1420" s="10" t="n">
        <x:f>SUM(D1420:F1420)</x:f>
        <x:v>560.021375981</x:v>
      </x:c>
    </x:row>
    <x:row r="1421" ht="24" customHeight="1">
      <x:c r="A1421" s="10" t="str">
        <x:v>S03-07</x:v>
      </x:c>
      <x:c r="B1421" s="10" t="str">
        <x:v>B</x:v>
      </x:c>
      <x:c r="C1421" s="18" t="n">
        <x:v>1.329333333</x:v>
      </x:c>
      <x:c r="D1421" s="10" t="n">
        <x:v>560</x:v>
      </x:c>
      <x:c r="E1421" s="10" t="n">
        <x:v>0.01728</x:v>
      </x:c>
      <x:c r="F1421" s="10" t="n">
        <x:v>0.004096</x:v>
      </x:c>
      <x:c r="G1421" s="10" t="n">
        <x:f>SUM(D1421:F1421)</x:f>
        <x:v>560.021376</x:v>
      </x:c>
    </x:row>
    <x:row r="1422" ht="24" customHeight="1">
      <x:c r="A1422" s="10" t="str">
        <x:v>S03-07</x:v>
      </x:c>
      <x:c r="B1422" s="10" t="str">
        <x:v>B</x:v>
      </x:c>
      <x:c r="C1422" s="18" t="n">
        <x:v>1.329333433</x:v>
      </x:c>
      <x:c r="D1422" s="10" t="n">
        <x:v>560</x:v>
      </x:c>
      <x:c r="E1422" s="10" t="n">
        <x:v>0.017280014</x:v>
      </x:c>
      <x:c r="F1422" s="10" t="n">
        <x:v>0.004096</x:v>
      </x:c>
      <x:c r="G1422" s="10" t="n">
        <x:f>SUM(D1422:F1422)</x:f>
        <x:v>560.021376014</x:v>
      </x:c>
    </x:row>
    <x:row r="1423" ht="24" customHeight="1">
      <x:c r="A1423" s="10" t="str">
        <x:v>S03-07</x:v>
      </x:c>
      <x:c r="B1423" s="10" t="str">
        <x:v>B</x:v>
      </x:c>
      <x:c r="C1423" s="18" t="n">
        <x:v>1.943833233</x:v>
      </x:c>
      <x:c r="D1423" s="10" t="n">
        <x:v>560</x:v>
      </x:c>
      <x:c r="E1423" s="10" t="n">
        <x:v>0.105767986</x:v>
      </x:c>
      <x:c r="F1423" s="10" t="n">
        <x:v>0.004096</x:v>
      </x:c>
      <x:c r="G1423" s="10" t="n">
        <x:f>SUM(D1423:F1423)</x:f>
        <x:v>560.109863986</x:v>
      </x:c>
    </x:row>
    <x:row r="1424" ht="24" customHeight="1">
      <x:c r="A1424" s="10" t="str">
        <x:v>S03-07</x:v>
      </x:c>
      <x:c r="B1424" s="10" t="str">
        <x:v>B</x:v>
      </x:c>
      <x:c r="C1424" s="18" t="n">
        <x:v>1.943833333</x:v>
      </x:c>
      <x:c r="D1424" s="10" t="n">
        <x:v>560</x:v>
      </x:c>
      <x:c r="E1424" s="10" t="n">
        <x:v>0.105768</x:v>
      </x:c>
      <x:c r="F1424" s="10" t="n">
        <x:v>0.004096</x:v>
      </x:c>
      <x:c r="G1424" s="10" t="n">
        <x:f>SUM(D1424:F1424)</x:f>
        <x:v>560.109864</x:v>
      </x:c>
    </x:row>
    <x:row r="1425" ht="24" customHeight="1">
      <x:c r="A1425" s="10" t="str">
        <x:v>S03-07</x:v>
      </x:c>
      <x:c r="B1425" s="10" t="str">
        <x:v>B</x:v>
      </x:c>
      <x:c r="C1425" s="18" t="n">
        <x:v>1.943833433</x:v>
      </x:c>
      <x:c r="D1425" s="10" t="n">
        <x:v>560</x:v>
      </x:c>
      <x:c r="E1425" s="10" t="n">
        <x:v>0.105767995</x:v>
      </x:c>
      <x:c r="F1425" s="10" t="n">
        <x:v>0.004096</x:v>
      </x:c>
      <x:c r="G1425" s="10" t="n">
        <x:f>SUM(D1425:F1425)</x:f>
        <x:v>560.109863995</x:v>
      </x:c>
    </x:row>
    <x:row r="1426" ht="24" customHeight="1">
      <x:c r="A1426" s="10" t="str">
        <x:v>S03-07</x:v>
      </x:c>
      <x:c r="B1426" s="10" t="str">
        <x:v>B</x:v>
      </x:c>
      <x:c r="C1426" s="18" t="n">
        <x:v>4.147333233</x:v>
      </x:c>
      <x:c r="D1426" s="10" t="n">
        <x:v>560</x:v>
      </x:c>
      <x:c r="E1426" s="10" t="n">
        <x:v>5e-9</x:v>
      </x:c>
      <x:c r="F1426" s="10" t="n">
        <x:v>0.004096</x:v>
      </x:c>
      <x:c r="G1426" s="10" t="n">
        <x:f>SUM(D1426:F1426)</x:f>
        <x:v>560.004096005</x:v>
      </x:c>
    </x:row>
    <x:row r="1427" ht="24" customHeight="1">
      <x:c r="A1427" s="10" t="str">
        <x:v>S03-07</x:v>
      </x:c>
      <x:c r="B1427" s="10" t="str">
        <x:v>B</x:v>
      </x:c>
      <x:c r="C1427" s="18" t="n">
        <x:v>4.147333333</x:v>
      </x:c>
      <x:c r="D1427" s="10" t="n">
        <x:v>560</x:v>
      </x:c>
      <x:c r="E1427" s="10" t="n">
        <x:v>0</x:v>
      </x:c>
      <x:c r="F1427" s="10" t="n">
        <x:v>0.008192</x:v>
      </x:c>
      <x:c r="G1427" s="10" t="n">
        <x:f>SUM(D1427:F1427)</x:f>
        <x:v>560.008192</x:v>
      </x:c>
    </x:row>
    <x:row r="1428" ht="24" customHeight="1">
      <x:c r="A1428" s="10" t="str">
        <x:v>S03-07</x:v>
      </x:c>
      <x:c r="B1428" s="10" t="str">
        <x:v>B</x:v>
      </x:c>
      <x:c r="C1428" s="18" t="n">
        <x:v>4.147333433</x:v>
      </x:c>
      <x:c r="D1428" s="10" t="n">
        <x:v>560</x:v>
      </x:c>
      <x:c r="E1428" s="10" t="n">
        <x:v>0</x:v>
      </x:c>
      <x:c r="F1428" s="10" t="n">
        <x:v>0.004096</x:v>
      </x:c>
      <x:c r="G1428" s="10" t="n">
        <x:f>SUM(D1428:F1428)</x:f>
        <x:v>560.004096</x:v>
      </x:c>
    </x:row>
    <x:row r="1429" ht="24" customHeight="1">
      <x:c r="A1429" s="10" t="str">
        <x:v>S03-07</x:v>
      </x:c>
      <x:c r="B1429" s="10" t="str">
        <x:v>B</x:v>
      </x:c>
      <x:c r="C1429" s="18" t="n">
        <x:v>4.556333233</x:v>
      </x:c>
      <x:c r="D1429" s="10" t="n">
        <x:v>560</x:v>
      </x:c>
      <x:c r="E1429" s="10" t="n">
        <x:v>0</x:v>
      </x:c>
      <x:c r="F1429" s="10" t="n">
        <x:v>0.004096</x:v>
      </x:c>
      <x:c r="G1429" s="10" t="n">
        <x:f>SUM(D1429:F1429)</x:f>
        <x:v>560.004096</x:v>
      </x:c>
    </x:row>
    <x:row r="1430" ht="24" customHeight="1">
      <x:c r="A1430" s="10" t="str">
        <x:v>S03-07</x:v>
      </x:c>
      <x:c r="B1430" s="10" t="str">
        <x:v>B</x:v>
      </x:c>
      <x:c r="C1430" s="18" t="n">
        <x:v>4.556333333</x:v>
      </x:c>
      <x:c r="D1430" s="10" t="n">
        <x:v>560</x:v>
      </x:c>
      <x:c r="E1430" s="10" t="n">
        <x:v>0.0096</x:v>
      </x:c>
      <x:c r="F1430" s="10" t="n">
        <x:v>0.004096</x:v>
      </x:c>
      <x:c r="G1430" s="10" t="n">
        <x:f>SUM(D1430:F1430)</x:f>
        <x:v>560.013696</x:v>
      </x:c>
    </x:row>
    <x:row r="1431" ht="24" customHeight="1">
      <x:c r="A1431" s="10" t="str">
        <x:v>S03-07</x:v>
      </x:c>
      <x:c r="B1431" s="10" t="str">
        <x:v>B</x:v>
      </x:c>
      <x:c r="C1431" s="18" t="n">
        <x:v>4.556333433</x:v>
      </x:c>
      <x:c r="D1431" s="10" t="n">
        <x:v>560</x:v>
      </x:c>
      <x:c r="E1431" s="10" t="n">
        <x:v>0.009600019</x:v>
      </x:c>
      <x:c r="F1431" s="10" t="n">
        <x:v>0.004096</x:v>
      </x:c>
      <x:c r="G1431" s="10" t="n">
        <x:f>SUM(D1431:F1431)</x:f>
        <x:v>560.013696019</x:v>
      </x:c>
    </x:row>
    <x:row r="1432" ht="24" customHeight="1">
      <x:c r="A1432" s="10" t="str">
        <x:v>S03-07</x:v>
      </x:c>
      <x:c r="B1432" s="10" t="str">
        <x:v>B</x:v>
      </x:c>
      <x:c r="C1432" s="18" t="n">
        <x:v>4.596333233</x:v>
      </x:c>
      <x:c r="D1432" s="10" t="n">
        <x:v>560</x:v>
      </x:c>
      <x:c r="E1432" s="10" t="n">
        <x:v>0.017279981</x:v>
      </x:c>
      <x:c r="F1432" s="10" t="n">
        <x:v>0.004096</x:v>
      </x:c>
      <x:c r="G1432" s="10" t="n">
        <x:f>SUM(D1432:F1432)</x:f>
        <x:v>560.021375981</x:v>
      </x:c>
    </x:row>
    <x:row r="1433" ht="24" customHeight="1">
      <x:c r="A1433" s="10" t="str">
        <x:v>S03-07</x:v>
      </x:c>
      <x:c r="B1433" s="10" t="str">
        <x:v>B</x:v>
      </x:c>
      <x:c r="C1433" s="18" t="n">
        <x:v>4.596333333</x:v>
      </x:c>
      <x:c r="D1433" s="10" t="n">
        <x:v>560</x:v>
      </x:c>
      <x:c r="E1433" s="10" t="n">
        <x:v>0.01728</x:v>
      </x:c>
      <x:c r="F1433" s="10" t="n">
        <x:v>0.004096</x:v>
      </x:c>
      <x:c r="G1433" s="10" t="n">
        <x:f>SUM(D1433:F1433)</x:f>
        <x:v>560.021376</x:v>
      </x:c>
    </x:row>
    <x:row r="1434" ht="24" customHeight="1">
      <x:c r="A1434" s="10" t="str">
        <x:v>S03-07</x:v>
      </x:c>
      <x:c r="B1434" s="10" t="str">
        <x:v>B</x:v>
      </x:c>
      <x:c r="C1434" s="18" t="n">
        <x:v>4.596333433</x:v>
      </x:c>
      <x:c r="D1434" s="10" t="n">
        <x:v>560</x:v>
      </x:c>
      <x:c r="E1434" s="10" t="n">
        <x:v>0.017280014</x:v>
      </x:c>
      <x:c r="F1434" s="10" t="n">
        <x:v>0.004096</x:v>
      </x:c>
      <x:c r="G1434" s="10" t="n">
        <x:f>SUM(D1434:F1434)</x:f>
        <x:v>560.021376014</x:v>
      </x:c>
    </x:row>
    <x:row r="1435" ht="24" customHeight="1">
      <x:c r="A1435" s="10" t="str">
        <x:v>S03-07</x:v>
      </x:c>
      <x:c r="B1435" s="10" t="str">
        <x:v>B</x:v>
      </x:c>
      <x:c r="C1435" s="18" t="n">
        <x:v>6.510833233</x:v>
      </x:c>
      <x:c r="D1435" s="10" t="n">
        <x:v>560</x:v>
      </x:c>
      <x:c r="E1435" s="10" t="n">
        <x:v>0.292967986</x:v>
      </x:c>
      <x:c r="F1435" s="10" t="n">
        <x:v>0.004096</x:v>
      </x:c>
      <x:c r="G1435" s="10" t="n">
        <x:f>SUM(D1435:F1435)</x:f>
        <x:v>560.297063986</x:v>
      </x:c>
    </x:row>
    <x:row r="1436" ht="24" customHeight="1">
      <x:c r="A1436" s="10" t="str">
        <x:v>S03-07</x:v>
      </x:c>
      <x:c r="B1436" s="10" t="str">
        <x:v>B</x:v>
      </x:c>
      <x:c r="C1436" s="18" t="n">
        <x:v>6.510833333</x:v>
      </x:c>
      <x:c r="D1436" s="10" t="n">
        <x:v>560</x:v>
      </x:c>
      <x:c r="E1436" s="10" t="n">
        <x:v>0.292968</x:v>
      </x:c>
      <x:c r="F1436" s="10" t="n">
        <x:v>0.004096</x:v>
      </x:c>
      <x:c r="G1436" s="10" t="n">
        <x:f>SUM(D1436:F1436)</x:f>
        <x:v>560.297064</x:v>
      </x:c>
    </x:row>
    <x:row r="1437" ht="24" customHeight="1">
      <x:c r="A1437" s="10" t="str">
        <x:v>S03-07</x:v>
      </x:c>
      <x:c r="B1437" s="10" t="str">
        <x:v>B</x:v>
      </x:c>
      <x:c r="C1437" s="18" t="n">
        <x:v>6.510833433</x:v>
      </x:c>
      <x:c r="D1437" s="10" t="n">
        <x:v>560</x:v>
      </x:c>
      <x:c r="E1437" s="10" t="n">
        <x:v>0.292967995</x:v>
      </x:c>
      <x:c r="F1437" s="10" t="n">
        <x:v>0.004096</x:v>
      </x:c>
      <x:c r="G1437" s="10" t="n">
        <x:f>SUM(D1437:F1437)</x:f>
        <x:v>560.297063995</x:v>
      </x:c>
    </x:row>
    <x:row r="1438" ht="24" customHeight="1">
      <x:c r="A1438" s="10" t="str">
        <x:v>S03-07</x:v>
      </x:c>
      <x:c r="B1438" s="10" t="str">
        <x:v>B</x:v>
      </x:c>
      <x:c r="C1438" s="18" t="n">
        <x:v>12.614333233</x:v>
      </x:c>
      <x:c r="D1438" s="10" t="n">
        <x:v>560</x:v>
      </x:c>
      <x:c r="E1438" s="10" t="n">
        <x:v>5e-9</x:v>
      </x:c>
      <x:c r="F1438" s="10" t="n">
        <x:v>0.004096</x:v>
      </x:c>
      <x:c r="G1438" s="10" t="n">
        <x:f>SUM(D1438:F1438)</x:f>
        <x:v>560.004096005</x:v>
      </x:c>
    </x:row>
    <x:row r="1439" ht="24" customHeight="1">
      <x:c r="A1439" s="10" t="str">
        <x:v>S03-07</x:v>
      </x:c>
      <x:c r="B1439" s="10" t="str">
        <x:v>B</x:v>
      </x:c>
      <x:c r="C1439" s="18" t="n">
        <x:v>12.614333333</x:v>
      </x:c>
      <x:c r="D1439" s="10" t="n">
        <x:v>560</x:v>
      </x:c>
      <x:c r="E1439" s="10" t="n">
        <x:v>0</x:v>
      </x:c>
      <x:c r="F1439" s="10" t="n">
        <x:v>0.004096</x:v>
      </x:c>
      <x:c r="G1439" s="10" t="n">
        <x:f>SUM(D1439:F1439)</x:f>
        <x:v>560.004096</x:v>
      </x:c>
    </x:row>
    <x:row r="1440" ht="24" customHeight="1">
      <x:c r="A1440" s="10" t="str">
        <x:v>S03-07</x:v>
      </x:c>
      <x:c r="B1440" s="10" t="str">
        <x:v>B</x:v>
      </x:c>
      <x:c r="C1440" s="18" t="n">
        <x:v>12.614333433</x:v>
      </x:c>
      <x:c r="D1440" s="10" t="n">
        <x:v>560</x:v>
      </x:c>
      <x:c r="E1440" s="10" t="n">
        <x:v>0</x:v>
      </x:c>
      <x:c r="F1440" s="10" t="n">
        <x:v>0</x:v>
      </x:c>
      <x:c r="G1440" s="10" t="n">
        <x:f>SUM(D1440:F1440)</x:f>
        <x:v>560</x:v>
      </x:c>
    </x:row>
    <x:row r="1441" ht="24" customHeight="1">
      <x:c r="A1441" s="10" t="str">
        <x:v>S03-08</x:v>
      </x:c>
      <x:c r="B1441" s="10" t="str">
        <x:v>A</x:v>
      </x:c>
      <x:c r="C1441" s="18" t="n">
        <x:v>-6.0000001</x:v>
      </x:c>
      <x:c r="D1441" s="10" t="n">
        <x:v>560</x:v>
      </x:c>
      <x:c r="E1441" s="10" t="n">
        <x:v>0</x:v>
      </x:c>
      <x:c r="F1441" s="10" t="n">
        <x:v>0</x:v>
      </x:c>
      <x:c r="G1441" s="10" t="n">
        <x:f>SUM(D1441:F1441)</x:f>
        <x:v>560</x:v>
      </x:c>
    </x:row>
    <x:row r="1442" ht="24" customHeight="1">
      <x:c r="A1442" s="10" t="str">
        <x:v>S03-08</x:v>
      </x:c>
      <x:c r="B1442" s="10" t="str">
        <x:v>A</x:v>
      </x:c>
      <x:c r="C1442" s="18" t="n">
        <x:v>-6</x:v>
      </x:c>
      <x:c r="D1442" s="10" t="n">
        <x:v>560</x:v>
      </x:c>
      <x:c r="E1442" s="10" t="n">
        <x:v>0</x:v>
      </x:c>
      <x:c r="F1442" s="10" t="n">
        <x:v>0</x:v>
      </x:c>
      <x:c r="G1442" s="10" t="n">
        <x:f>SUM(D1442:F1442)</x:f>
        <x:v>560</x:v>
      </x:c>
    </x:row>
    <x:row r="1443" ht="24" customHeight="1">
      <x:c r="A1443" s="10" t="str">
        <x:v>S03-08</x:v>
      </x:c>
      <x:c r="B1443" s="10" t="str">
        <x:v>A</x:v>
      </x:c>
      <x:c r="C1443" s="18" t="n">
        <x:v>-5.9999999</x:v>
      </x:c>
      <x:c r="D1443" s="10" t="n">
        <x:v>560</x:v>
      </x:c>
      <x:c r="E1443" s="10" t="n">
        <x:v>0</x:v>
      </x:c>
      <x:c r="F1443" s="10" t="n">
        <x:v>0</x:v>
      </x:c>
      <x:c r="G1443" s="10" t="n">
        <x:f>SUM(D1443:F1443)</x:f>
        <x:v>560</x:v>
      </x:c>
    </x:row>
    <x:row r="1444" ht="24" customHeight="1">
      <x:c r="A1444" s="10" t="str">
        <x:v>S03-08</x:v>
      </x:c>
      <x:c r="B1444" s="10" t="str">
        <x:v>A</x:v>
      </x:c>
      <x:c r="C1444" s="18" t="n">
        <x:v>-1.4000001</x:v>
      </x:c>
      <x:c r="D1444" s="10" t="n">
        <x:v>560</x:v>
      </x:c>
      <x:c r="E1444" s="10" t="n">
        <x:v>0</x:v>
      </x:c>
      <x:c r="F1444" s="10" t="n">
        <x:v>0</x:v>
      </x:c>
      <x:c r="G1444" s="10" t="n">
        <x:f>SUM(D1444:F1444)</x:f>
        <x:v>560</x:v>
      </x:c>
    </x:row>
    <x:row r="1445" ht="24" customHeight="1">
      <x:c r="A1445" s="10" t="str">
        <x:v>S03-08</x:v>
      </x:c>
      <x:c r="B1445" s="10" t="str">
        <x:v>A</x:v>
      </x:c>
      <x:c r="C1445" s="18" t="n">
        <x:v>-1.4</x:v>
      </x:c>
      <x:c r="D1445" s="10" t="n">
        <x:v>560</x:v>
      </x:c>
      <x:c r="E1445" s="10" t="n">
        <x:v>0</x:v>
      </x:c>
      <x:c r="F1445" s="10" t="n">
        <x:v>0.004096</x:v>
      </x:c>
      <x:c r="G1445" s="10" t="n">
        <x:f>SUM(D1445:F1445)</x:f>
        <x:v>560.004096</x:v>
      </x:c>
    </x:row>
    <x:row r="1446" ht="24" customHeight="1">
      <x:c r="A1446" s="10" t="str">
        <x:v>S03-08</x:v>
      </x:c>
      <x:c r="B1446" s="10" t="str">
        <x:v>A</x:v>
      </x:c>
      <x:c r="C1446" s="18" t="n">
        <x:v>-1.3999999</x:v>
      </x:c>
      <x:c r="D1446" s="10" t="n">
        <x:v>560</x:v>
      </x:c>
      <x:c r="E1446" s="10" t="n">
        <x:v>0</x:v>
      </x:c>
      <x:c r="F1446" s="10" t="n">
        <x:v>0.004096</x:v>
      </x:c>
      <x:c r="G1446" s="10" t="n">
        <x:f>SUM(D1446:F1446)</x:f>
        <x:v>560.004096</x:v>
      </x:c>
    </x:row>
    <x:row r="1447" ht="24" customHeight="1">
      <x:c r="A1447" s="10" t="str">
        <x:v>S03-08</x:v>
      </x:c>
      <x:c r="B1447" s="10" t="str">
        <x:v>A</x:v>
      </x:c>
      <x:c r="C1447" s="18" t="n">
        <x:v>-1.0000001</x:v>
      </x:c>
      <x:c r="D1447" s="10" t="n">
        <x:v>560</x:v>
      </x:c>
      <x:c r="E1447" s="10" t="n">
        <x:v>0</x:v>
      </x:c>
      <x:c r="F1447" s="10" t="n">
        <x:v>0.004096</x:v>
      </x:c>
      <x:c r="G1447" s="10" t="n">
        <x:f>SUM(D1447:F1447)</x:f>
        <x:v>560.004096</x:v>
      </x:c>
    </x:row>
    <x:row r="1448" ht="24" customHeight="1">
      <x:c r="A1448" s="10" t="str">
        <x:v>S03-08</x:v>
      </x:c>
      <x:c r="B1448" s="10" t="str">
        <x:v>A</x:v>
      </x:c>
      <x:c r="C1448" s="18" t="n">
        <x:v>-1</x:v>
      </x:c>
      <x:c r="D1448" s="10" t="n">
        <x:v>560</x:v>
      </x:c>
      <x:c r="E1448" s="10" t="n">
        <x:v>0</x:v>
      </x:c>
      <x:c r="F1448" s="10" t="n">
        <x:v>0.008192</x:v>
      </x:c>
      <x:c r="G1448" s="10" t="n">
        <x:f>SUM(D1448:F1448)</x:f>
        <x:v>560.008192</x:v>
      </x:c>
    </x:row>
    <x:row r="1449" ht="24" customHeight="1">
      <x:c r="A1449" s="10" t="str">
        <x:v>S03-08</x:v>
      </x:c>
      <x:c r="B1449" s="10" t="str">
        <x:v>A</x:v>
      </x:c>
      <x:c r="C1449" s="18" t="n">
        <x:v>-0.9999999</x:v>
      </x:c>
      <x:c r="D1449" s="10" t="n">
        <x:v>560</x:v>
      </x:c>
      <x:c r="E1449" s="10" t="n">
        <x:v>0</x:v>
      </x:c>
      <x:c r="F1449" s="10" t="n">
        <x:v>0.008192</x:v>
      </x:c>
      <x:c r="G1449" s="10" t="n">
        <x:f>SUM(D1449:F1449)</x:f>
        <x:v>560.008192</x:v>
      </x:c>
    </x:row>
    <x:row r="1450" ht="24" customHeight="1">
      <x:c r="A1450" s="10" t="str">
        <x:v>S03-08</x:v>
      </x:c>
      <x:c r="B1450" s="10" t="str">
        <x:v>A</x:v>
      </x:c>
      <x:c r="C1450" s="18" t="n">
        <x:v>-0.9990001</x:v>
      </x:c>
      <x:c r="D1450" s="10" t="n">
        <x:v>560</x:v>
      </x:c>
      <x:c r="E1450" s="10" t="n">
        <x:v>0</x:v>
      </x:c>
      <x:c r="F1450" s="10" t="n">
        <x:v>0.008192</x:v>
      </x:c>
      <x:c r="G1450" s="10" t="n">
        <x:f>SUM(D1450:F1450)</x:f>
        <x:v>560.008192</x:v>
      </x:c>
    </x:row>
    <x:row r="1451" ht="24" customHeight="1">
      <x:c r="A1451" s="10" t="str">
        <x:v>S03-08</x:v>
      </x:c>
      <x:c r="B1451" s="10" t="str">
        <x:v>A</x:v>
      </x:c>
      <x:c r="C1451" s="18" t="n">
        <x:v>-0.999</x:v>
      </x:c>
      <x:c r="D1451" s="10" t="n">
        <x:v>560</x:v>
      </x:c>
      <x:c r="E1451" s="10" t="n">
        <x:v>0.0096</x:v>
      </x:c>
      <x:c r="F1451" s="10" t="n">
        <x:v>0.008192</x:v>
      </x:c>
      <x:c r="G1451" s="10" t="n">
        <x:f>SUM(D1451:F1451)</x:f>
        <x:v>560.017792</x:v>
      </x:c>
    </x:row>
    <x:row r="1452" ht="24" customHeight="1">
      <x:c r="A1452" s="10" t="str">
        <x:v>S03-08</x:v>
      </x:c>
      <x:c r="B1452" s="10" t="str">
        <x:v>A</x:v>
      </x:c>
      <x:c r="C1452" s="18" t="n">
        <x:v>-0.9989999</x:v>
      </x:c>
      <x:c r="D1452" s="10" t="n">
        <x:v>560</x:v>
      </x:c>
      <x:c r="E1452" s="10" t="n">
        <x:v>0.009600019</x:v>
      </x:c>
      <x:c r="F1452" s="10" t="n">
        <x:v>0.008192</x:v>
      </x:c>
      <x:c r="G1452" s="10" t="n">
        <x:f>SUM(D1452:F1452)</x:f>
        <x:v>560.017792019</x:v>
      </x:c>
    </x:row>
    <x:row r="1453" ht="24" customHeight="1">
      <x:c r="A1453" s="10" t="str">
        <x:v>S03-08</x:v>
      </x:c>
      <x:c r="B1453" s="10" t="str">
        <x:v>A</x:v>
      </x:c>
      <x:c r="C1453" s="18" t="n">
        <x:v>-0.5900001</x:v>
      </x:c>
      <x:c r="D1453" s="10" t="n">
        <x:v>560</x:v>
      </x:c>
      <x:c r="E1453" s="10" t="n">
        <x:v>0.088127981</x:v>
      </x:c>
      <x:c r="F1453" s="10" t="n">
        <x:v>0.008192</x:v>
      </x:c>
      <x:c r="G1453" s="10" t="n">
        <x:f>SUM(D1453:F1453)</x:f>
        <x:v>560.096319981</x:v>
      </x:c>
    </x:row>
    <x:row r="1454" ht="24" customHeight="1">
      <x:c r="A1454" s="10" t="str">
        <x:v>S03-08</x:v>
      </x:c>
      <x:c r="B1454" s="10" t="str">
        <x:v>A</x:v>
      </x:c>
      <x:c r="C1454" s="18" t="n">
        <x:v>-0.59</x:v>
      </x:c>
      <x:c r="D1454" s="10" t="n">
        <x:v>560</x:v>
      </x:c>
      <x:c r="E1454" s="10" t="n">
        <x:v>0.097728</x:v>
      </x:c>
      <x:c r="F1454" s="10" t="n">
        <x:v>0.008192</x:v>
      </x:c>
      <x:c r="G1454" s="10" t="n">
        <x:f>SUM(D1454:F1454)</x:f>
        <x:v>560.10592</x:v>
      </x:c>
    </x:row>
    <x:row r="1455" ht="24" customHeight="1">
      <x:c r="A1455" s="10" t="str">
        <x:v>S03-08</x:v>
      </x:c>
      <x:c r="B1455" s="10" t="str">
        <x:v>A</x:v>
      </x:c>
      <x:c r="C1455" s="18" t="n">
        <x:v>-0.5899999</x:v>
      </x:c>
      <x:c r="D1455" s="10" t="n">
        <x:v>560</x:v>
      </x:c>
      <x:c r="E1455" s="10" t="n">
        <x:v>0.097728038</x:v>
      </x:c>
      <x:c r="F1455" s="10" t="n">
        <x:v>0.008192</x:v>
      </x:c>
      <x:c r="G1455" s="10" t="n">
        <x:f>SUM(D1455:F1455)</x:f>
        <x:v>560.105920038</x:v>
      </x:c>
    </x:row>
    <x:row r="1456" ht="24" customHeight="1">
      <x:c r="A1456" s="10" t="str">
        <x:v>S03-08</x:v>
      </x:c>
      <x:c r="B1456" s="10" t="str">
        <x:v>A</x:v>
      </x:c>
      <x:c r="C1456" s="18" t="n">
        <x:v>-0.3415001</x:v>
      </x:c>
      <x:c r="D1456" s="10" t="n">
        <x:v>560</x:v>
      </x:c>
      <x:c r="E1456" s="10" t="n">
        <x:v>0.193151962</x:v>
      </x:c>
      <x:c r="F1456" s="10" t="n">
        <x:v>0.008192</x:v>
      </x:c>
      <x:c r="G1456" s="10" t="n">
        <x:f>SUM(D1456:F1456)</x:f>
        <x:v>560.201343962</x:v>
      </x:c>
    </x:row>
    <x:row r="1457" ht="24" customHeight="1">
      <x:c r="A1457" s="10" t="str">
        <x:v>S03-08</x:v>
      </x:c>
      <x:c r="B1457" s="10" t="str">
        <x:v>A</x:v>
      </x:c>
      <x:c r="C1457" s="18" t="n">
        <x:v>-0.3415</x:v>
      </x:c>
      <x:c r="D1457" s="10" t="n">
        <x:v>560</x:v>
      </x:c>
      <x:c r="E1457" s="10" t="n">
        <x:v>0.193152</x:v>
      </x:c>
      <x:c r="F1457" s="10" t="n">
        <x:v>0.008192</x:v>
      </x:c>
      <x:c r="G1457" s="10" t="n">
        <x:f>SUM(D1457:F1457)</x:f>
        <x:v>560.2013440000001</x:v>
      </x:c>
    </x:row>
    <x:row r="1458" ht="24" customHeight="1">
      <x:c r="A1458" s="10" t="str">
        <x:v>S03-08</x:v>
      </x:c>
      <x:c r="B1458" s="10" t="str">
        <x:v>A</x:v>
      </x:c>
      <x:c r="C1458" s="18" t="n">
        <x:v>-0.3414999</x:v>
      </x:c>
      <x:c r="D1458" s="10" t="n">
        <x:v>560</x:v>
      </x:c>
      <x:c r="E1458" s="10" t="n">
        <x:v>0.193152019</x:v>
      </x:c>
      <x:c r="F1458" s="10" t="n">
        <x:v>0.008192</x:v>
      </x:c>
      <x:c r="G1458" s="10" t="n">
        <x:f>SUM(D1458:F1458)</x:f>
        <x:v>560.201344019</x:v>
      </x:c>
    </x:row>
    <x:row r="1459" ht="24" customHeight="1">
      <x:c r="A1459" s="10" t="str">
        <x:v>S03-08</x:v>
      </x:c>
      <x:c r="B1459" s="10" t="str">
        <x:v>A</x:v>
      </x:c>
      <x:c r="C1459" s="18" t="n">
        <x:v>-1e-7</x:v>
      </x:c>
      <x:c r="D1459" s="10" t="n">
        <x:v>560</x:v>
      </x:c>
      <x:c r="E1459" s="10" t="n">
        <x:v>0.258719981</x:v>
      </x:c>
      <x:c r="F1459" s="10" t="n">
        <x:v>0.008192</x:v>
      </x:c>
      <x:c r="G1459" s="10" t="n">
        <x:f>SUM(D1459:F1459)</x:f>
        <x:v>560.266911981</x:v>
      </x:c>
    </x:row>
    <x:row r="1460" ht="24" customHeight="1">
      <x:c r="A1460" s="10" t="str">
        <x:v>S03-08</x:v>
      </x:c>
      <x:c r="B1460" s="10" t="str">
        <x:v>A</x:v>
      </x:c>
      <x:c r="C1460" s="18" t="n">
        <x:v>0</x:v>
      </x:c>
      <x:c r="D1460" s="10" t="n">
        <x:v>560</x:v>
      </x:c>
      <x:c r="E1460" s="10" t="n">
        <x:v>0.25872</x:v>
      </x:c>
      <x:c r="F1460" s="10" t="n">
        <x:v>0.008192</x:v>
      </x:c>
      <x:c r="G1460" s="10" t="n">
        <x:f>SUM(D1460:F1460)</x:f>
        <x:v>560.266912</x:v>
      </x:c>
    </x:row>
    <x:row r="1461" ht="24" customHeight="1">
      <x:c r="A1461" s="10" t="str">
        <x:v>S03-08</x:v>
      </x:c>
      <x:c r="B1461" s="10" t="str">
        <x:v>A</x:v>
      </x:c>
      <x:c r="C1461" s="18" t="n">
        <x:v>1e-7</x:v>
      </x:c>
      <x:c r="D1461" s="10" t="n">
        <x:v>560</x:v>
      </x:c>
      <x:c r="E1461" s="10" t="n">
        <x:v>0.258720019</x:v>
      </x:c>
      <x:c r="F1461" s="10" t="n">
        <x:v>0.008192</x:v>
      </x:c>
      <x:c r="G1461" s="10" t="n">
        <x:f>SUM(D1461:F1461)</x:f>
        <x:v>560.266912019</x:v>
      </x:c>
    </x:row>
    <x:row r="1462" ht="24" customHeight="1">
      <x:c r="A1462" s="10" t="str">
        <x:v>S03-08</x:v>
      </x:c>
      <x:c r="B1462" s="10" t="str">
        <x:v>A</x:v>
      </x:c>
      <x:c r="C1462" s="18" t="n">
        <x:v>0.916666567</x:v>
      </x:c>
      <x:c r="D1462" s="10" t="n">
        <x:v>560</x:v>
      </x:c>
      <x:c r="E1462" s="10" t="n">
        <x:v>0.434719981</x:v>
      </x:c>
      <x:c r="F1462" s="10" t="n">
        <x:v>0.008192</x:v>
      </x:c>
      <x:c r="G1462" s="10" t="n">
        <x:f>SUM(D1462:F1462)</x:f>
        <x:v>560.442911981</x:v>
      </x:c>
    </x:row>
    <x:row r="1463" ht="24" customHeight="1">
      <x:c r="A1463" s="10" t="str">
        <x:v>S03-08</x:v>
      </x:c>
      <x:c r="B1463" s="10" t="str">
        <x:v>A</x:v>
      </x:c>
      <x:c r="C1463" s="18" t="n">
        <x:v>0.916666667</x:v>
      </x:c>
      <x:c r="D1463" s="10" t="n">
        <x:v>560</x:v>
      </x:c>
      <x:c r="E1463" s="10" t="n">
        <x:v>0.43472</x:v>
      </x:c>
      <x:c r="F1463" s="10" t="n">
        <x:v>0.008192</x:v>
      </x:c>
      <x:c r="G1463" s="10" t="n">
        <x:f>SUM(D1463:F1463)</x:f>
        <x:v>560.442912</x:v>
      </x:c>
    </x:row>
    <x:row r="1464" ht="24" customHeight="1">
      <x:c r="A1464" s="10" t="str">
        <x:v>S03-08</x:v>
      </x:c>
      <x:c r="B1464" s="10" t="str">
        <x:v>A</x:v>
      </x:c>
      <x:c r="C1464" s="18" t="n">
        <x:v>0.916666767</x:v>
      </x:c>
      <x:c r="D1464" s="10" t="n">
        <x:v>560</x:v>
      </x:c>
      <x:c r="E1464" s="10" t="n">
        <x:v>0.434720019</x:v>
      </x:c>
      <x:c r="F1464" s="10" t="n">
        <x:v>0.008192</x:v>
      </x:c>
      <x:c r="G1464" s="10" t="n">
        <x:f>SUM(D1464:F1464)</x:f>
        <x:v>560.442912019</x:v>
      </x:c>
    </x:row>
    <x:row r="1465" ht="24" customHeight="1">
      <x:c r="A1465" s="10" t="str">
        <x:v>S03-08</x:v>
      </x:c>
      <x:c r="B1465" s="10" t="str">
        <x:v>A</x:v>
      </x:c>
      <x:c r="C1465" s="18" t="n">
        <x:v>0.956666567</x:v>
      </x:c>
      <x:c r="D1465" s="10" t="n">
        <x:v>560</x:v>
      </x:c>
      <x:c r="E1465" s="10" t="n">
        <x:v>0.442399981</x:v>
      </x:c>
      <x:c r="F1465" s="10" t="n">
        <x:v>0.008192</x:v>
      </x:c>
      <x:c r="G1465" s="10" t="n">
        <x:f>SUM(D1465:F1465)</x:f>
        <x:v>560.450591981</x:v>
      </x:c>
    </x:row>
    <x:row r="1466" ht="24" customHeight="1">
      <x:c r="A1466" s="10" t="str">
        <x:v>S03-08</x:v>
      </x:c>
      <x:c r="B1466" s="10" t="str">
        <x:v>A</x:v>
      </x:c>
      <x:c r="C1466" s="18" t="n">
        <x:v>0.956666667</x:v>
      </x:c>
      <x:c r="D1466" s="10" t="n">
        <x:v>560</x:v>
      </x:c>
      <x:c r="E1466" s="10" t="n">
        <x:v>0.4424</x:v>
      </x:c>
      <x:c r="F1466" s="10" t="n">
        <x:v>0.008192</x:v>
      </x:c>
      <x:c r="G1466" s="10" t="n">
        <x:f>SUM(D1466:F1466)</x:f>
        <x:v>560.450592</x:v>
      </x:c>
    </x:row>
    <x:row r="1467" ht="24" customHeight="1">
      <x:c r="A1467" s="10" t="str">
        <x:v>S03-08</x:v>
      </x:c>
      <x:c r="B1467" s="10" t="str">
        <x:v>A</x:v>
      </x:c>
      <x:c r="C1467" s="18" t="n">
        <x:v>0.956666767</x:v>
      </x:c>
      <x:c r="D1467" s="10" t="n">
        <x:v>560</x:v>
      </x:c>
      <x:c r="E1467" s="10" t="n">
        <x:v>0.442400014</x:v>
      </x:c>
      <x:c r="F1467" s="10" t="n">
        <x:v>0.008192</x:v>
      </x:c>
      <x:c r="G1467" s="10" t="n">
        <x:f>SUM(D1467:F1467)</x:f>
        <x:v>560.450592014</x:v>
      </x:c>
    </x:row>
    <x:row r="1468" ht="24" customHeight="1">
      <x:c r="A1468" s="10" t="str">
        <x:v>S03-08</x:v>
      </x:c>
      <x:c r="B1468" s="10" t="str">
        <x:v>A</x:v>
      </x:c>
      <x:c r="C1468" s="18" t="n">
        <x:v>1.016666567</x:v>
      </x:c>
      <x:c r="D1468" s="10" t="n">
        <x:v>560</x:v>
      </x:c>
      <x:c r="E1468" s="10" t="n">
        <x:v>0.451039986</x:v>
      </x:c>
      <x:c r="F1468" s="10" t="n">
        <x:v>0.008192</x:v>
      </x:c>
      <x:c r="G1468" s="10" t="n">
        <x:f>SUM(D1468:F1468)</x:f>
        <x:v>560.459231986</x:v>
      </x:c>
    </x:row>
    <x:row r="1469" ht="24" customHeight="1">
      <x:c r="A1469" s="10" t="str">
        <x:v>S03-08</x:v>
      </x:c>
      <x:c r="B1469" s="10" t="str">
        <x:v>A</x:v>
      </x:c>
      <x:c r="C1469" s="18" t="n">
        <x:v>1.016666667</x:v>
      </x:c>
      <x:c r="D1469" s="10" t="n">
        <x:v>560</x:v>
      </x:c>
      <x:c r="E1469" s="10" t="n">
        <x:v>0.45104</x:v>
      </x:c>
      <x:c r="F1469" s="10" t="n">
        <x:v>0.008192</x:v>
      </x:c>
      <x:c r="G1469" s="10" t="n">
        <x:f>SUM(D1469:F1469)</x:f>
        <x:v>560.459232</x:v>
      </x:c>
    </x:row>
    <x:row r="1470" ht="24" customHeight="1">
      <x:c r="A1470" s="10" t="str">
        <x:v>S03-08</x:v>
      </x:c>
      <x:c r="B1470" s="10" t="str">
        <x:v>A</x:v>
      </x:c>
      <x:c r="C1470" s="18" t="n">
        <x:v>1.016666767</x:v>
      </x:c>
      <x:c r="D1470" s="10" t="n">
        <x:v>560</x:v>
      </x:c>
      <x:c r="E1470" s="10" t="n">
        <x:v>0.132959995</x:v>
      </x:c>
      <x:c r="F1470" s="10" t="n">
        <x:v>0.004096</x:v>
      </x:c>
      <x:c r="G1470" s="10" t="n">
        <x:f>SUM(D1470:F1470)</x:f>
        <x:v>560.137055995</x:v>
      </x:c>
    </x:row>
    <x:row r="1471" ht="24" customHeight="1">
      <x:c r="A1471" s="10" t="str">
        <x:v>S03-08</x:v>
      </x:c>
      <x:c r="B1471" s="10" t="str">
        <x:v>A</x:v>
      </x:c>
      <x:c r="C1471" s="18" t="n">
        <x:v>3.436666567</x:v>
      </x:c>
      <x:c r="D1471" s="10" t="n">
        <x:v>560</x:v>
      </x:c>
      <x:c r="E1471" s="10" t="n">
        <x:v>0.016800005</x:v>
      </x:c>
      <x:c r="F1471" s="10" t="n">
        <x:v>0.004096</x:v>
      </x:c>
      <x:c r="G1471" s="10" t="n">
        <x:f>SUM(D1471:F1471)</x:f>
        <x:v>560.020896005</x:v>
      </x:c>
    </x:row>
    <x:row r="1472" ht="24" customHeight="1">
      <x:c r="A1472" s="10" t="str">
        <x:v>S03-08</x:v>
      </x:c>
      <x:c r="B1472" s="10" t="str">
        <x:v>A</x:v>
      </x:c>
      <x:c r="C1472" s="18" t="n">
        <x:v>3.436666667</x:v>
      </x:c>
      <x:c r="D1472" s="10" t="n">
        <x:v>560</x:v>
      </x:c>
      <x:c r="E1472" s="10" t="n">
        <x:v>0.0168</x:v>
      </x:c>
      <x:c r="F1472" s="10" t="n">
        <x:v>0.008192</x:v>
      </x:c>
      <x:c r="G1472" s="10" t="n">
        <x:f>SUM(D1472:F1472)</x:f>
        <x:v>560.024992</x:v>
      </x:c>
    </x:row>
    <x:row r="1473" ht="24" customHeight="1">
      <x:c r="A1473" s="10" t="str">
        <x:v>S03-08</x:v>
      </x:c>
      <x:c r="B1473" s="10" t="str">
        <x:v>A</x:v>
      </x:c>
      <x:c r="C1473" s="18" t="n">
        <x:v>3.436666767</x:v>
      </x:c>
      <x:c r="D1473" s="10" t="n">
        <x:v>560</x:v>
      </x:c>
      <x:c r="E1473" s="10" t="n">
        <x:v>0.016799995</x:v>
      </x:c>
      <x:c r="F1473" s="10" t="n">
        <x:v>0.008192</x:v>
      </x:c>
      <x:c r="G1473" s="10" t="n">
        <x:f>SUM(D1473:F1473)</x:f>
        <x:v>560.024991995</x:v>
      </x:c>
    </x:row>
    <x:row r="1474" ht="24" customHeight="1">
      <x:c r="A1474" s="10" t="str">
        <x:v>S03-08</x:v>
      </x:c>
      <x:c r="B1474" s="10" t="str">
        <x:v>A</x:v>
      </x:c>
      <x:c r="C1474" s="18" t="n">
        <x:v>3.786666567</x:v>
      </x:c>
      <x:c r="D1474" s="10" t="n">
        <x:v>560</x:v>
      </x:c>
      <x:c r="E1474" s="10" t="n">
        <x:v>5e-9</x:v>
      </x:c>
      <x:c r="F1474" s="10" t="n">
        <x:v>0.008192</x:v>
      </x:c>
      <x:c r="G1474" s="10" t="n">
        <x:f>SUM(D1474:F1474)</x:f>
        <x:v>560.008192005</x:v>
      </x:c>
    </x:row>
    <x:row r="1475" ht="24" customHeight="1">
      <x:c r="A1475" s="10" t="str">
        <x:v>S03-08</x:v>
      </x:c>
      <x:c r="B1475" s="10" t="str">
        <x:v>A</x:v>
      </x:c>
      <x:c r="C1475" s="18" t="n">
        <x:v>3.786666667</x:v>
      </x:c>
      <x:c r="D1475" s="10" t="n">
        <x:v>560</x:v>
      </x:c>
      <x:c r="E1475" s="10" t="n">
        <x:v>0</x:v>
      </x:c>
      <x:c r="F1475" s="10" t="n">
        <x:v>0.008192</x:v>
      </x:c>
      <x:c r="G1475" s="10" t="n">
        <x:f>SUM(D1475:F1475)</x:f>
        <x:v>560.008192</x:v>
      </x:c>
    </x:row>
    <x:row r="1476" ht="24" customHeight="1">
      <x:c r="A1476" s="10" t="str">
        <x:v>S03-08</x:v>
      </x:c>
      <x:c r="B1476" s="10" t="str">
        <x:v>A</x:v>
      </x:c>
      <x:c r="C1476" s="18" t="n">
        <x:v>3.786666767</x:v>
      </x:c>
      <x:c r="D1476" s="10" t="n">
        <x:v>560</x:v>
      </x:c>
      <x:c r="E1476" s="10" t="n">
        <x:v>0</x:v>
      </x:c>
      <x:c r="F1476" s="10" t="n">
        <x:v>0.004096</x:v>
      </x:c>
      <x:c r="G1476" s="10" t="n">
        <x:f>SUM(D1476:F1476)</x:f>
        <x:v>560.004096</x:v>
      </x:c>
    </x:row>
    <x:row r="1477" ht="24" customHeight="1">
      <x:c r="A1477" s="10" t="str">
        <x:v>S03-08</x:v>
      </x:c>
      <x:c r="B1477" s="10" t="str">
        <x:v>A</x:v>
      </x:c>
      <x:c r="C1477" s="18" t="n">
        <x:v>3.845666567</x:v>
      </x:c>
      <x:c r="D1477" s="10" t="n">
        <x:v>560</x:v>
      </x:c>
      <x:c r="E1477" s="10" t="n">
        <x:v>0</x:v>
      </x:c>
      <x:c r="F1477" s="10" t="n">
        <x:v>0.004096</x:v>
      </x:c>
      <x:c r="G1477" s="10" t="n">
        <x:f>SUM(D1477:F1477)</x:f>
        <x:v>560.004096</x:v>
      </x:c>
    </x:row>
    <x:row r="1478" ht="24" customHeight="1">
      <x:c r="A1478" s="10" t="str">
        <x:v>S03-08</x:v>
      </x:c>
      <x:c r="B1478" s="10" t="str">
        <x:v>A</x:v>
      </x:c>
      <x:c r="C1478" s="18" t="n">
        <x:v>3.845666667</x:v>
      </x:c>
      <x:c r="D1478" s="10" t="n">
        <x:v>560</x:v>
      </x:c>
      <x:c r="E1478" s="10" t="n">
        <x:v>0.0096</x:v>
      </x:c>
      <x:c r="F1478" s="10" t="n">
        <x:v>0.004096</x:v>
      </x:c>
      <x:c r="G1478" s="10" t="n">
        <x:f>SUM(D1478:F1478)</x:f>
        <x:v>560.013696</x:v>
      </x:c>
    </x:row>
    <x:row r="1479" ht="24" customHeight="1">
      <x:c r="A1479" s="10" t="str">
        <x:v>S03-08</x:v>
      </x:c>
      <x:c r="B1479" s="10" t="str">
        <x:v>A</x:v>
      </x:c>
      <x:c r="C1479" s="18" t="n">
        <x:v>3.845666767</x:v>
      </x:c>
      <x:c r="D1479" s="10" t="n">
        <x:v>560</x:v>
      </x:c>
      <x:c r="E1479" s="10" t="n">
        <x:v>0.009600019</x:v>
      </x:c>
      <x:c r="F1479" s="10" t="n">
        <x:v>0.004096</x:v>
      </x:c>
      <x:c r="G1479" s="10" t="n">
        <x:f>SUM(D1479:F1479)</x:f>
        <x:v>560.013696019</x:v>
      </x:c>
    </x:row>
    <x:row r="1480" ht="24" customHeight="1">
      <x:c r="A1480" s="10" t="str">
        <x:v>S03-08</x:v>
      </x:c>
      <x:c r="B1480" s="10" t="str">
        <x:v>A</x:v>
      </x:c>
      <x:c r="C1480" s="18" t="n">
        <x:v>3.885666567</x:v>
      </x:c>
      <x:c r="D1480" s="10" t="n">
        <x:v>560</x:v>
      </x:c>
      <x:c r="E1480" s="10" t="n">
        <x:v>0.017279981</x:v>
      </x:c>
      <x:c r="F1480" s="10" t="n">
        <x:v>0.004096</x:v>
      </x:c>
      <x:c r="G1480" s="10" t="n">
        <x:f>SUM(D1480:F1480)</x:f>
        <x:v>560.021375981</x:v>
      </x:c>
    </x:row>
    <x:row r="1481" ht="24" customHeight="1">
      <x:c r="A1481" s="10" t="str">
        <x:v>S03-08</x:v>
      </x:c>
      <x:c r="B1481" s="10" t="str">
        <x:v>A</x:v>
      </x:c>
      <x:c r="C1481" s="18" t="n">
        <x:v>3.885666667</x:v>
      </x:c>
      <x:c r="D1481" s="10" t="n">
        <x:v>560</x:v>
      </x:c>
      <x:c r="E1481" s="10" t="n">
        <x:v>0.01728</x:v>
      </x:c>
      <x:c r="F1481" s="10" t="n">
        <x:v>0.004096</x:v>
      </x:c>
      <x:c r="G1481" s="10" t="n">
        <x:f>SUM(D1481:F1481)</x:f>
        <x:v>560.021376</x:v>
      </x:c>
    </x:row>
    <x:row r="1482" ht="24" customHeight="1">
      <x:c r="A1482" s="10" t="str">
        <x:v>S03-08</x:v>
      </x:c>
      <x:c r="B1482" s="10" t="str">
        <x:v>A</x:v>
      </x:c>
      <x:c r="C1482" s="18" t="n">
        <x:v>3.885666767</x:v>
      </x:c>
      <x:c r="D1482" s="10" t="n">
        <x:v>560</x:v>
      </x:c>
      <x:c r="E1482" s="10" t="n">
        <x:v>0.017280014</x:v>
      </x:c>
      <x:c r="F1482" s="10" t="n">
        <x:v>0.004096</x:v>
      </x:c>
      <x:c r="G1482" s="10" t="n">
        <x:f>SUM(D1482:F1482)</x:f>
        <x:v>560.021376014</x:v>
      </x:c>
    </x:row>
    <x:row r="1483" ht="24" customHeight="1">
      <x:c r="A1483" s="10" t="str">
        <x:v>S03-08</x:v>
      </x:c>
      <x:c r="B1483" s="10" t="str">
        <x:v>A</x:v>
      </x:c>
      <x:c r="C1483" s="18" t="n">
        <x:v>5.803166567</x:v>
      </x:c>
      <x:c r="D1483" s="10" t="n">
        <x:v>560</x:v>
      </x:c>
      <x:c r="E1483" s="10" t="n">
        <x:v>0.293399986</x:v>
      </x:c>
      <x:c r="F1483" s="10" t="n">
        <x:v>0.004096</x:v>
      </x:c>
      <x:c r="G1483" s="10" t="n">
        <x:f>SUM(D1483:F1483)</x:f>
        <x:v>560.2974959860001</x:v>
      </x:c>
    </x:row>
    <x:row r="1484" ht="24" customHeight="1">
      <x:c r="A1484" s="10" t="str">
        <x:v>S03-08</x:v>
      </x:c>
      <x:c r="B1484" s="10" t="str">
        <x:v>A</x:v>
      </x:c>
      <x:c r="C1484" s="18" t="n">
        <x:v>5.803166667</x:v>
      </x:c>
      <x:c r="D1484" s="10" t="n">
        <x:v>560</x:v>
      </x:c>
      <x:c r="E1484" s="10" t="n">
        <x:v>0.2934</x:v>
      </x:c>
      <x:c r="F1484" s="10" t="n">
        <x:v>0.004096</x:v>
      </x:c>
      <x:c r="G1484" s="10" t="n">
        <x:f>SUM(D1484:F1484)</x:f>
        <x:v>560.297496</x:v>
      </x:c>
    </x:row>
    <x:row r="1485" ht="24" customHeight="1">
      <x:c r="A1485" s="10" t="str">
        <x:v>S03-08</x:v>
      </x:c>
      <x:c r="B1485" s="10" t="str">
        <x:v>A</x:v>
      </x:c>
      <x:c r="C1485" s="18" t="n">
        <x:v>5.803166767</x:v>
      </x:c>
      <x:c r="D1485" s="10" t="n">
        <x:v>560</x:v>
      </x:c>
      <x:c r="E1485" s="10" t="n">
        <x:v>0.293399995</x:v>
      </x:c>
      <x:c r="F1485" s="10" t="n">
        <x:v>0.004096</x:v>
      </x:c>
      <x:c r="G1485" s="10" t="n">
        <x:f>SUM(D1485:F1485)</x:f>
        <x:v>560.297495995</x:v>
      </x:c>
    </x:row>
    <x:row r="1486" ht="24" customHeight="1">
      <x:c r="A1486" s="10" t="str">
        <x:v>S03-08</x:v>
      </x:c>
      <x:c r="B1486" s="10" t="str">
        <x:v>A</x:v>
      </x:c>
      <x:c r="C1486" s="18" t="n">
        <x:v>11.915666567</x:v>
      </x:c>
      <x:c r="D1486" s="10" t="n">
        <x:v>560</x:v>
      </x:c>
      <x:c r="E1486" s="10" t="n">
        <x:v>5e-9</x:v>
      </x:c>
      <x:c r="F1486" s="10" t="n">
        <x:v>0.004096</x:v>
      </x:c>
      <x:c r="G1486" s="10" t="n">
        <x:f>SUM(D1486:F1486)</x:f>
        <x:v>560.004096005</x:v>
      </x:c>
    </x:row>
    <x:row r="1487" ht="24" customHeight="1">
      <x:c r="A1487" s="10" t="str">
        <x:v>S03-08</x:v>
      </x:c>
      <x:c r="B1487" s="10" t="str">
        <x:v>A</x:v>
      </x:c>
      <x:c r="C1487" s="18" t="n">
        <x:v>11.915666667</x:v>
      </x:c>
      <x:c r="D1487" s="10" t="n">
        <x:v>560</x:v>
      </x:c>
      <x:c r="E1487" s="10" t="n">
        <x:v>0</x:v>
      </x:c>
      <x:c r="F1487" s="10" t="n">
        <x:v>0.004096</x:v>
      </x:c>
      <x:c r="G1487" s="10" t="n">
        <x:f>SUM(D1487:F1487)</x:f>
        <x:v>560.004096</x:v>
      </x:c>
    </x:row>
    <x:row r="1488" ht="24" customHeight="1">
      <x:c r="A1488" s="10" t="str">
        <x:v>S03-08</x:v>
      </x:c>
      <x:c r="B1488" s="10" t="str">
        <x:v>A</x:v>
      </x:c>
      <x:c r="C1488" s="18" t="n">
        <x:v>11.915666767</x:v>
      </x:c>
      <x:c r="D1488" s="10" t="n">
        <x:v>560</x:v>
      </x:c>
      <x:c r="E1488" s="10" t="n">
        <x:v>0</x:v>
      </x:c>
      <x:c r="F1488" s="10" t="n">
        <x:v>0</x:v>
      </x:c>
      <x:c r="G1488" s="10" t="n">
        <x:f>SUM(D1488:F1488)</x:f>
        <x:v>560</x:v>
      </x:c>
    </x:row>
    <x:row r="1489" ht="24" customHeight="1">
      <x:c r="A1489" s="10" t="str">
        <x:v>S03-08</x:v>
      </x:c>
      <x:c r="B1489" s="10" t="str">
        <x:v>B</x:v>
      </x:c>
      <x:c r="C1489" s="18" t="n">
        <x:v>-6.0000001</x:v>
      </x:c>
      <x:c r="D1489" s="10" t="n">
        <x:v>560</x:v>
      </x:c>
      <x:c r="E1489" s="10" t="n">
        <x:v>0</x:v>
      </x:c>
      <x:c r="F1489" s="10" t="n">
        <x:v>0</x:v>
      </x:c>
      <x:c r="G1489" s="10" t="n">
        <x:f>SUM(D1489:F1489)</x:f>
        <x:v>560</x:v>
      </x:c>
    </x:row>
    <x:row r="1490" ht="24" customHeight="1">
      <x:c r="A1490" s="10" t="str">
        <x:v>S03-08</x:v>
      </x:c>
      <x:c r="B1490" s="10" t="str">
        <x:v>B</x:v>
      </x:c>
      <x:c r="C1490" s="18" t="n">
        <x:v>-6</x:v>
      </x:c>
      <x:c r="D1490" s="10" t="n">
        <x:v>560</x:v>
      </x:c>
      <x:c r="E1490" s="10" t="n">
        <x:v>0</x:v>
      </x:c>
      <x:c r="F1490" s="10" t="n">
        <x:v>0</x:v>
      </x:c>
      <x:c r="G1490" s="10" t="n">
        <x:f>SUM(D1490:F1490)</x:f>
        <x:v>560</x:v>
      </x:c>
    </x:row>
    <x:row r="1491" ht="24" customHeight="1">
      <x:c r="A1491" s="10" t="str">
        <x:v>S03-08</x:v>
      </x:c>
      <x:c r="B1491" s="10" t="str">
        <x:v>B</x:v>
      </x:c>
      <x:c r="C1491" s="18" t="n">
        <x:v>-5.9999999</x:v>
      </x:c>
      <x:c r="D1491" s="10" t="n">
        <x:v>560</x:v>
      </x:c>
      <x:c r="E1491" s="10" t="n">
        <x:v>0</x:v>
      </x:c>
      <x:c r="F1491" s="10" t="n">
        <x:v>0</x:v>
      </x:c>
      <x:c r="G1491" s="10" t="n">
        <x:f>SUM(D1491:F1491)</x:f>
        <x:v>560</x:v>
      </x:c>
    </x:row>
    <x:row r="1492" ht="24" customHeight="1">
      <x:c r="A1492" s="10" t="str">
        <x:v>S03-08</x:v>
      </x:c>
      <x:c r="B1492" s="10" t="str">
        <x:v>B</x:v>
      </x:c>
      <x:c r="C1492" s="18" t="n">
        <x:v>-1e-7</x:v>
      </x:c>
      <x:c r="D1492" s="10" t="n">
        <x:v>560</x:v>
      </x:c>
      <x:c r="E1492" s="10" t="n">
        <x:v>0</x:v>
      </x:c>
      <x:c r="F1492" s="10" t="n">
        <x:v>0</x:v>
      </x:c>
      <x:c r="G1492" s="10" t="n">
        <x:f>SUM(D1492:F1492)</x:f>
        <x:v>560</x:v>
      </x:c>
    </x:row>
    <x:row r="1493" ht="24" customHeight="1">
      <x:c r="A1493" s="10" t="str">
        <x:v>S03-08</x:v>
      </x:c>
      <x:c r="B1493" s="10" t="str">
        <x:v>B</x:v>
      </x:c>
      <x:c r="C1493" s="18" t="n">
        <x:v>0</x:v>
      </x:c>
      <x:c r="D1493" s="10" t="n">
        <x:v>560</x:v>
      </x:c>
      <x:c r="E1493" s="10" t="n">
        <x:v>0</x:v>
      </x:c>
      <x:c r="F1493" s="10" t="n">
        <x:v>0</x:v>
      </x:c>
      <x:c r="G1493" s="10" t="n">
        <x:f>SUM(D1493:F1493)</x:f>
        <x:v>560</x:v>
      </x:c>
    </x:row>
    <x:row r="1494" ht="24" customHeight="1">
      <x:c r="A1494" s="10" t="str">
        <x:v>S03-08</x:v>
      </x:c>
      <x:c r="B1494" s="10" t="str">
        <x:v>B</x:v>
      </x:c>
      <x:c r="C1494" s="18" t="n">
        <x:v>1e-7</x:v>
      </x:c>
      <x:c r="D1494" s="10" t="n">
        <x:v>560</x:v>
      </x:c>
      <x:c r="E1494" s="10" t="n">
        <x:v>0</x:v>
      </x:c>
      <x:c r="F1494" s="10" t="n">
        <x:v>0</x:v>
      </x:c>
      <x:c r="G1494" s="10" t="n">
        <x:f>SUM(D1494:F1494)</x:f>
        <x:v>560</x:v>
      </x:c>
    </x:row>
    <x:row r="1495" ht="24" customHeight="1">
      <x:c r="A1495" s="10" t="str">
        <x:v>S03-08</x:v>
      </x:c>
      <x:c r="B1495" s="10" t="str">
        <x:v>B</x:v>
      </x:c>
      <x:c r="C1495" s="18" t="n">
        <x:v>0.916666567</x:v>
      </x:c>
      <x:c r="D1495" s="10" t="n">
        <x:v>560</x:v>
      </x:c>
      <x:c r="E1495" s="10" t="n">
        <x:v>0</x:v>
      </x:c>
      <x:c r="F1495" s="10" t="n">
        <x:v>0</x:v>
      </x:c>
      <x:c r="G1495" s="10" t="n">
        <x:f>SUM(D1495:F1495)</x:f>
        <x:v>560</x:v>
      </x:c>
    </x:row>
    <x:row r="1496" ht="24" customHeight="1">
      <x:c r="A1496" s="10" t="str">
        <x:v>S03-08</x:v>
      </x:c>
      <x:c r="B1496" s="10" t="str">
        <x:v>B</x:v>
      </x:c>
      <x:c r="C1496" s="18" t="n">
        <x:v>0.916666667</x:v>
      </x:c>
      <x:c r="D1496" s="10" t="n">
        <x:v>560</x:v>
      </x:c>
      <x:c r="E1496" s="10" t="n">
        <x:v>0</x:v>
      </x:c>
      <x:c r="F1496" s="10" t="n">
        <x:v>0.004096</x:v>
      </x:c>
      <x:c r="G1496" s="10" t="n">
        <x:f>SUM(D1496:F1496)</x:f>
        <x:v>560.004096</x:v>
      </x:c>
    </x:row>
    <x:row r="1497" ht="24" customHeight="1">
      <x:c r="A1497" s="10" t="str">
        <x:v>S03-08</x:v>
      </x:c>
      <x:c r="B1497" s="10" t="str">
        <x:v>B</x:v>
      </x:c>
      <x:c r="C1497" s="18" t="n">
        <x:v>0.916666767</x:v>
      </x:c>
      <x:c r="D1497" s="10" t="n">
        <x:v>560</x:v>
      </x:c>
      <x:c r="E1497" s="10" t="n">
        <x:v>0</x:v>
      </x:c>
      <x:c r="F1497" s="10" t="n">
        <x:v>0.004096</x:v>
      </x:c>
      <x:c r="G1497" s="10" t="n">
        <x:f>SUM(D1497:F1497)</x:f>
        <x:v>560.004096</x:v>
      </x:c>
    </x:row>
    <x:row r="1498" ht="24" customHeight="1">
      <x:c r="A1498" s="10" t="str">
        <x:v>S03-08</x:v>
      </x:c>
      <x:c r="B1498" s="10" t="str">
        <x:v>B</x:v>
      </x:c>
      <x:c r="C1498" s="18" t="n">
        <x:v>1.317666567</x:v>
      </x:c>
      <x:c r="D1498" s="10" t="n">
        <x:v>560</x:v>
      </x:c>
      <x:c r="E1498" s="10" t="n">
        <x:v>0</x:v>
      </x:c>
      <x:c r="F1498" s="10" t="n">
        <x:v>0.004096</x:v>
      </x:c>
      <x:c r="G1498" s="10" t="n">
        <x:f>SUM(D1498:F1498)</x:f>
        <x:v>560.004096</x:v>
      </x:c>
    </x:row>
    <x:row r="1499" ht="24" customHeight="1">
      <x:c r="A1499" s="10" t="str">
        <x:v>S03-08</x:v>
      </x:c>
      <x:c r="B1499" s="10" t="str">
        <x:v>B</x:v>
      </x:c>
      <x:c r="C1499" s="18" t="n">
        <x:v>1.317666667</x:v>
      </x:c>
      <x:c r="D1499" s="10" t="n">
        <x:v>560</x:v>
      </x:c>
      <x:c r="E1499" s="10" t="n">
        <x:v>0.0096</x:v>
      </x:c>
      <x:c r="F1499" s="10" t="n">
        <x:v>0.004096</x:v>
      </x:c>
      <x:c r="G1499" s="10" t="n">
        <x:f>SUM(D1499:F1499)</x:f>
        <x:v>560.013696</x:v>
      </x:c>
    </x:row>
    <x:row r="1500" ht="24" customHeight="1">
      <x:c r="A1500" s="10" t="str">
        <x:v>S03-08</x:v>
      </x:c>
      <x:c r="B1500" s="10" t="str">
        <x:v>B</x:v>
      </x:c>
      <x:c r="C1500" s="18" t="n">
        <x:v>1.317666767</x:v>
      </x:c>
      <x:c r="D1500" s="10" t="n">
        <x:v>560</x:v>
      </x:c>
      <x:c r="E1500" s="10" t="n">
        <x:v>0.009600019</x:v>
      </x:c>
      <x:c r="F1500" s="10" t="n">
        <x:v>0.004096</x:v>
      </x:c>
      <x:c r="G1500" s="10" t="n">
        <x:f>SUM(D1500:F1500)</x:f>
        <x:v>560.013696019</x:v>
      </x:c>
    </x:row>
    <x:row r="1501" ht="24" customHeight="1">
      <x:c r="A1501" s="10" t="str">
        <x:v>S03-08</x:v>
      </x:c>
      <x:c r="B1501" s="10" t="str">
        <x:v>B</x:v>
      </x:c>
      <x:c r="C1501" s="18" t="n">
        <x:v>1.357666567</x:v>
      </x:c>
      <x:c r="D1501" s="10" t="n">
        <x:v>560</x:v>
      </x:c>
      <x:c r="E1501" s="10" t="n">
        <x:v>0.017279981</x:v>
      </x:c>
      <x:c r="F1501" s="10" t="n">
        <x:v>0.004096</x:v>
      </x:c>
      <x:c r="G1501" s="10" t="n">
        <x:f>SUM(D1501:F1501)</x:f>
        <x:v>560.021375981</x:v>
      </x:c>
    </x:row>
    <x:row r="1502" ht="24" customHeight="1">
      <x:c r="A1502" s="10" t="str">
        <x:v>S03-08</x:v>
      </x:c>
      <x:c r="B1502" s="10" t="str">
        <x:v>B</x:v>
      </x:c>
      <x:c r="C1502" s="18" t="n">
        <x:v>1.357666667</x:v>
      </x:c>
      <x:c r="D1502" s="10" t="n">
        <x:v>560</x:v>
      </x:c>
      <x:c r="E1502" s="10" t="n">
        <x:v>0.01728</x:v>
      </x:c>
      <x:c r="F1502" s="10" t="n">
        <x:v>0.004096</x:v>
      </x:c>
      <x:c r="G1502" s="10" t="n">
        <x:f>SUM(D1502:F1502)</x:f>
        <x:v>560.021376</x:v>
      </x:c>
    </x:row>
    <x:row r="1503" ht="24" customHeight="1">
      <x:c r="A1503" s="10" t="str">
        <x:v>S03-08</x:v>
      </x:c>
      <x:c r="B1503" s="10" t="str">
        <x:v>B</x:v>
      </x:c>
      <x:c r="C1503" s="18" t="n">
        <x:v>1.357666767</x:v>
      </x:c>
      <x:c r="D1503" s="10" t="n">
        <x:v>560</x:v>
      </x:c>
      <x:c r="E1503" s="10" t="n">
        <x:v>0.017280014</x:v>
      </x:c>
      <x:c r="F1503" s="10" t="n">
        <x:v>0.004096</x:v>
      </x:c>
      <x:c r="G1503" s="10" t="n">
        <x:f>SUM(D1503:F1503)</x:f>
        <x:v>560.021376014</x:v>
      </x:c>
    </x:row>
    <x:row r="1504" ht="24" customHeight="1">
      <x:c r="A1504" s="10" t="str">
        <x:v>S03-08</x:v>
      </x:c>
      <x:c r="B1504" s="10" t="str">
        <x:v>B</x:v>
      </x:c>
      <x:c r="C1504" s="18" t="n">
        <x:v>1.975166567</x:v>
      </x:c>
      <x:c r="D1504" s="10" t="n">
        <x:v>560</x:v>
      </x:c>
      <x:c r="E1504" s="10" t="n">
        <x:v>0.106199986</x:v>
      </x:c>
      <x:c r="F1504" s="10" t="n">
        <x:v>0.004096</x:v>
      </x:c>
      <x:c r="G1504" s="10" t="n">
        <x:f>SUM(D1504:F1504)</x:f>
        <x:v>560.110295986</x:v>
      </x:c>
    </x:row>
    <x:row r="1505" ht="24" customHeight="1">
      <x:c r="A1505" s="10" t="str">
        <x:v>S03-08</x:v>
      </x:c>
      <x:c r="B1505" s="10" t="str">
        <x:v>B</x:v>
      </x:c>
      <x:c r="C1505" s="18" t="n">
        <x:v>1.975166667</x:v>
      </x:c>
      <x:c r="D1505" s="10" t="n">
        <x:v>560</x:v>
      </x:c>
      <x:c r="E1505" s="10" t="n">
        <x:v>0.1062</x:v>
      </x:c>
      <x:c r="F1505" s="10" t="n">
        <x:v>0.004096</x:v>
      </x:c>
      <x:c r="G1505" s="10" t="n">
        <x:f>SUM(D1505:F1505)</x:f>
        <x:v>560.110296</x:v>
      </x:c>
    </x:row>
    <x:row r="1506" ht="24" customHeight="1">
      <x:c r="A1506" s="10" t="str">
        <x:v>S03-08</x:v>
      </x:c>
      <x:c r="B1506" s="10" t="str">
        <x:v>B</x:v>
      </x:c>
      <x:c r="C1506" s="18" t="n">
        <x:v>1.975166767</x:v>
      </x:c>
      <x:c r="D1506" s="10" t="n">
        <x:v>560</x:v>
      </x:c>
      <x:c r="E1506" s="10" t="n">
        <x:v>0.106199995</x:v>
      </x:c>
      <x:c r="F1506" s="10" t="n">
        <x:v>0.004096</x:v>
      </x:c>
      <x:c r="G1506" s="10" t="n">
        <x:f>SUM(D1506:F1506)</x:f>
        <x:v>560.110295995</x:v>
      </x:c>
    </x:row>
    <x:row r="1507" ht="24" customHeight="1">
      <x:c r="A1507" s="10" t="str">
        <x:v>S03-08</x:v>
      </x:c>
      <x:c r="B1507" s="10" t="str">
        <x:v>B</x:v>
      </x:c>
      <x:c r="C1507" s="18" t="n">
        <x:v>4.187666567</x:v>
      </x:c>
      <x:c r="D1507" s="10" t="n">
        <x:v>560</x:v>
      </x:c>
      <x:c r="E1507" s="10" t="n">
        <x:v>5e-9</x:v>
      </x:c>
      <x:c r="F1507" s="10" t="n">
        <x:v>0.004096</x:v>
      </x:c>
      <x:c r="G1507" s="10" t="n">
        <x:f>SUM(D1507:F1507)</x:f>
        <x:v>560.004096005</x:v>
      </x:c>
    </x:row>
    <x:row r="1508" ht="24" customHeight="1">
      <x:c r="A1508" s="10" t="str">
        <x:v>S03-08</x:v>
      </x:c>
      <x:c r="B1508" s="10" t="str">
        <x:v>B</x:v>
      </x:c>
      <x:c r="C1508" s="18" t="n">
        <x:v>4.187666667</x:v>
      </x:c>
      <x:c r="D1508" s="10" t="n">
        <x:v>560</x:v>
      </x:c>
      <x:c r="E1508" s="10" t="n">
        <x:v>0</x:v>
      </x:c>
      <x:c r="F1508" s="10" t="n">
        <x:v>0.008192</x:v>
      </x:c>
      <x:c r="G1508" s="10" t="n">
        <x:f>SUM(D1508:F1508)</x:f>
        <x:v>560.008192</x:v>
      </x:c>
    </x:row>
    <x:row r="1509" ht="24" customHeight="1">
      <x:c r="A1509" s="10" t="str">
        <x:v>S03-08</x:v>
      </x:c>
      <x:c r="B1509" s="10" t="str">
        <x:v>B</x:v>
      </x:c>
      <x:c r="C1509" s="18" t="n">
        <x:v>4.187666767</x:v>
      </x:c>
      <x:c r="D1509" s="10" t="n">
        <x:v>560</x:v>
      </x:c>
      <x:c r="E1509" s="10" t="n">
        <x:v>0</x:v>
      </x:c>
      <x:c r="F1509" s="10" t="n">
        <x:v>0.004096</x:v>
      </x:c>
      <x:c r="G1509" s="10" t="n">
        <x:f>SUM(D1509:F1509)</x:f>
        <x:v>560.004096</x:v>
      </x:c>
    </x:row>
    <x:row r="1510" ht="24" customHeight="1">
      <x:c r="A1510" s="10" t="str">
        <x:v>S03-08</x:v>
      </x:c>
      <x:c r="B1510" s="10" t="str">
        <x:v>B</x:v>
      </x:c>
      <x:c r="C1510" s="18" t="n">
        <x:v>4.596666567</x:v>
      </x:c>
      <x:c r="D1510" s="10" t="n">
        <x:v>560</x:v>
      </x:c>
      <x:c r="E1510" s="10" t="n">
        <x:v>0</x:v>
      </x:c>
      <x:c r="F1510" s="10" t="n">
        <x:v>0.004096</x:v>
      </x:c>
      <x:c r="G1510" s="10" t="n">
        <x:f>SUM(D1510:F1510)</x:f>
        <x:v>560.004096</x:v>
      </x:c>
    </x:row>
    <x:row r="1511" ht="24" customHeight="1">
      <x:c r="A1511" s="10" t="str">
        <x:v>S03-08</x:v>
      </x:c>
      <x:c r="B1511" s="10" t="str">
        <x:v>B</x:v>
      </x:c>
      <x:c r="C1511" s="18" t="n">
        <x:v>4.596666667</x:v>
      </x:c>
      <x:c r="D1511" s="10" t="n">
        <x:v>560</x:v>
      </x:c>
      <x:c r="E1511" s="10" t="n">
        <x:v>0.0096</x:v>
      </x:c>
      <x:c r="F1511" s="10" t="n">
        <x:v>0.004096</x:v>
      </x:c>
      <x:c r="G1511" s="10" t="n">
        <x:f>SUM(D1511:F1511)</x:f>
        <x:v>560.013696</x:v>
      </x:c>
    </x:row>
    <x:row r="1512" ht="24" customHeight="1">
      <x:c r="A1512" s="10" t="str">
        <x:v>S03-08</x:v>
      </x:c>
      <x:c r="B1512" s="10" t="str">
        <x:v>B</x:v>
      </x:c>
      <x:c r="C1512" s="18" t="n">
        <x:v>4.596666767</x:v>
      </x:c>
      <x:c r="D1512" s="10" t="n">
        <x:v>560</x:v>
      </x:c>
      <x:c r="E1512" s="10" t="n">
        <x:v>0.009600019</x:v>
      </x:c>
      <x:c r="F1512" s="10" t="n">
        <x:v>0.004096</x:v>
      </x:c>
      <x:c r="G1512" s="10" t="n">
        <x:f>SUM(D1512:F1512)</x:f>
        <x:v>560.013696019</x:v>
      </x:c>
    </x:row>
    <x:row r="1513" ht="24" customHeight="1">
      <x:c r="A1513" s="10" t="str">
        <x:v>S03-08</x:v>
      </x:c>
      <x:c r="B1513" s="10" t="str">
        <x:v>B</x:v>
      </x:c>
      <x:c r="C1513" s="18" t="n">
        <x:v>4.636666567</x:v>
      </x:c>
      <x:c r="D1513" s="10" t="n">
        <x:v>560</x:v>
      </x:c>
      <x:c r="E1513" s="10" t="n">
        <x:v>0.017279981</x:v>
      </x:c>
      <x:c r="F1513" s="10" t="n">
        <x:v>0.004096</x:v>
      </x:c>
      <x:c r="G1513" s="10" t="n">
        <x:f>SUM(D1513:F1513)</x:f>
        <x:v>560.021375981</x:v>
      </x:c>
    </x:row>
    <x:row r="1514" ht="24" customHeight="1">
      <x:c r="A1514" s="10" t="str">
        <x:v>S03-08</x:v>
      </x:c>
      <x:c r="B1514" s="10" t="str">
        <x:v>B</x:v>
      </x:c>
      <x:c r="C1514" s="18" t="n">
        <x:v>4.636666667</x:v>
      </x:c>
      <x:c r="D1514" s="10" t="n">
        <x:v>560</x:v>
      </x:c>
      <x:c r="E1514" s="10" t="n">
        <x:v>0.01728</x:v>
      </x:c>
      <x:c r="F1514" s="10" t="n">
        <x:v>0.004096</x:v>
      </x:c>
      <x:c r="G1514" s="10" t="n">
        <x:f>SUM(D1514:F1514)</x:f>
        <x:v>560.021376</x:v>
      </x:c>
    </x:row>
    <x:row r="1515" ht="24" customHeight="1">
      <x:c r="A1515" s="10" t="str">
        <x:v>S03-08</x:v>
      </x:c>
      <x:c r="B1515" s="10" t="str">
        <x:v>B</x:v>
      </x:c>
      <x:c r="C1515" s="18" t="n">
        <x:v>4.636666767</x:v>
      </x:c>
      <x:c r="D1515" s="10" t="n">
        <x:v>560</x:v>
      </x:c>
      <x:c r="E1515" s="10" t="n">
        <x:v>0.017280014</x:v>
      </x:c>
      <x:c r="F1515" s="10" t="n">
        <x:v>0.004096</x:v>
      </x:c>
      <x:c r="G1515" s="10" t="n">
        <x:f>SUM(D1515:F1515)</x:f>
        <x:v>560.021376014</x:v>
      </x:c>
    </x:row>
    <x:row r="1516" ht="24" customHeight="1">
      <x:c r="A1516" s="10" t="str">
        <x:v>S03-08</x:v>
      </x:c>
      <x:c r="B1516" s="10" t="str">
        <x:v>B</x:v>
      </x:c>
      <x:c r="C1516" s="18" t="n">
        <x:v>6.554166567</x:v>
      </x:c>
      <x:c r="D1516" s="10" t="n">
        <x:v>560</x:v>
      </x:c>
      <x:c r="E1516" s="10" t="n">
        <x:v>0.293399986</x:v>
      </x:c>
      <x:c r="F1516" s="10" t="n">
        <x:v>0.004096</x:v>
      </x:c>
      <x:c r="G1516" s="10" t="n">
        <x:f>SUM(D1516:F1516)</x:f>
        <x:v>560.2974959860001</x:v>
      </x:c>
    </x:row>
    <x:row r="1517" ht="24" customHeight="1">
      <x:c r="A1517" s="10" t="str">
        <x:v>S03-08</x:v>
      </x:c>
      <x:c r="B1517" s="10" t="str">
        <x:v>B</x:v>
      </x:c>
      <x:c r="C1517" s="18" t="n">
        <x:v>6.554166667</x:v>
      </x:c>
      <x:c r="D1517" s="10" t="n">
        <x:v>560</x:v>
      </x:c>
      <x:c r="E1517" s="10" t="n">
        <x:v>0.2934</x:v>
      </x:c>
      <x:c r="F1517" s="10" t="n">
        <x:v>0.004096</x:v>
      </x:c>
      <x:c r="G1517" s="10" t="n">
        <x:f>SUM(D1517:F1517)</x:f>
        <x:v>560.297496</x:v>
      </x:c>
    </x:row>
    <x:row r="1518" ht="24" customHeight="1">
      <x:c r="A1518" s="10" t="str">
        <x:v>S03-08</x:v>
      </x:c>
      <x:c r="B1518" s="10" t="str">
        <x:v>B</x:v>
      </x:c>
      <x:c r="C1518" s="18" t="n">
        <x:v>6.554166767</x:v>
      </x:c>
      <x:c r="D1518" s="10" t="n">
        <x:v>560</x:v>
      </x:c>
      <x:c r="E1518" s="10" t="n">
        <x:v>0.293399995</x:v>
      </x:c>
      <x:c r="F1518" s="10" t="n">
        <x:v>0.004096</x:v>
      </x:c>
      <x:c r="G1518" s="10" t="n">
        <x:f>SUM(D1518:F1518)</x:f>
        <x:v>560.297495995</x:v>
      </x:c>
    </x:row>
    <x:row r="1519" ht="24" customHeight="1">
      <x:c r="A1519" s="10" t="str">
        <x:v>S03-08</x:v>
      </x:c>
      <x:c r="B1519" s="10" t="str">
        <x:v>B</x:v>
      </x:c>
      <x:c r="C1519" s="18" t="n">
        <x:v>12.666666567</x:v>
      </x:c>
      <x:c r="D1519" s="10" t="n">
        <x:v>560</x:v>
      </x:c>
      <x:c r="E1519" s="10" t="n">
        <x:v>5e-9</x:v>
      </x:c>
      <x:c r="F1519" s="10" t="n">
        <x:v>0.004096</x:v>
      </x:c>
      <x:c r="G1519" s="10" t="n">
        <x:f>SUM(D1519:F1519)</x:f>
        <x:v>560.004096005</x:v>
      </x:c>
    </x:row>
    <x:row r="1520" ht="24" customHeight="1">
      <x:c r="A1520" s="10" t="str">
        <x:v>S03-08</x:v>
      </x:c>
      <x:c r="B1520" s="10" t="str">
        <x:v>B</x:v>
      </x:c>
      <x:c r="C1520" s="18" t="n">
        <x:v>12.666666667</x:v>
      </x:c>
      <x:c r="D1520" s="10" t="n">
        <x:v>560</x:v>
      </x:c>
      <x:c r="E1520" s="10" t="n">
        <x:v>0</x:v>
      </x:c>
      <x:c r="F1520" s="10" t="n">
        <x:v>0.004096</x:v>
      </x:c>
      <x:c r="G1520" s="10" t="n">
        <x:f>SUM(D1520:F1520)</x:f>
        <x:v>560.004096</x:v>
      </x:c>
    </x:row>
    <x:row r="1521" ht="24" customHeight="1">
      <x:c r="A1521" s="10" t="str">
        <x:v>S03-08</x:v>
      </x:c>
      <x:c r="B1521" s="10" t="str">
        <x:v>B</x:v>
      </x:c>
      <x:c r="C1521" s="18" t="n">
        <x:v>12.666666767</x:v>
      </x:c>
      <x:c r="D1521" s="10" t="n">
        <x:v>560</x:v>
      </x:c>
      <x:c r="E1521" s="10" t="n">
        <x:v>0</x:v>
      </x:c>
      <x:c r="F1521" s="10" t="n">
        <x:v>0</x:v>
      </x:c>
      <x:c r="G1521" s="10" t="n">
        <x:f>SUM(D1521:F1521)</x:f>
        <x:v>560</x:v>
      </x:c>
    </x:row>
    <x:row r="1522" ht="24" customHeight="1">
      <x:c r="A1522" s="10" t="str">
        <x:v>S03-09</x:v>
      </x:c>
      <x:c r="B1522" s="10" t="str">
        <x:v>A</x:v>
      </x:c>
      <x:c r="C1522" s="18" t="n">
        <x:v>-6.0000001</x:v>
      </x:c>
      <x:c r="D1522" s="10" t="n">
        <x:v>560</x:v>
      </x:c>
      <x:c r="E1522" s="10" t="n">
        <x:v>0</x:v>
      </x:c>
      <x:c r="F1522" s="10" t="n">
        <x:v>0</x:v>
      </x:c>
      <x:c r="G1522" s="10" t="n">
        <x:f>SUM(D1522:F1522)</x:f>
        <x:v>560</x:v>
      </x:c>
    </x:row>
    <x:row r="1523" ht="24" customHeight="1">
      <x:c r="A1523" s="10" t="str">
        <x:v>S03-09</x:v>
      </x:c>
      <x:c r="B1523" s="10" t="str">
        <x:v>A</x:v>
      </x:c>
      <x:c r="C1523" s="18" t="n">
        <x:v>-6</x:v>
      </x:c>
      <x:c r="D1523" s="10" t="n">
        <x:v>560</x:v>
      </x:c>
      <x:c r="E1523" s="10" t="n">
        <x:v>0</x:v>
      </x:c>
      <x:c r="F1523" s="10" t="n">
        <x:v>0</x:v>
      </x:c>
      <x:c r="G1523" s="10" t="n">
        <x:f>SUM(D1523:F1523)</x:f>
        <x:v>560</x:v>
      </x:c>
    </x:row>
    <x:row r="1524" ht="24" customHeight="1">
      <x:c r="A1524" s="10" t="str">
        <x:v>S03-09</x:v>
      </x:c>
      <x:c r="B1524" s="10" t="str">
        <x:v>A</x:v>
      </x:c>
      <x:c r="C1524" s="18" t="n">
        <x:v>-5.9999999</x:v>
      </x:c>
      <x:c r="D1524" s="10" t="n">
        <x:v>560</x:v>
      </x:c>
      <x:c r="E1524" s="10" t="n">
        <x:v>0</x:v>
      </x:c>
      <x:c r="F1524" s="10" t="n">
        <x:v>0</x:v>
      </x:c>
      <x:c r="G1524" s="10" t="n">
        <x:f>SUM(D1524:F1524)</x:f>
        <x:v>560</x:v>
      </x:c>
    </x:row>
    <x:row r="1525" ht="24" customHeight="1">
      <x:c r="A1525" s="10" t="str">
        <x:v>S03-09</x:v>
      </x:c>
      <x:c r="B1525" s="10" t="str">
        <x:v>A</x:v>
      </x:c>
      <x:c r="C1525" s="18" t="n">
        <x:v>-1.4000001</x:v>
      </x:c>
      <x:c r="D1525" s="10" t="n">
        <x:v>560</x:v>
      </x:c>
      <x:c r="E1525" s="10" t="n">
        <x:v>0</x:v>
      </x:c>
      <x:c r="F1525" s="10" t="n">
        <x:v>0</x:v>
      </x:c>
      <x:c r="G1525" s="10" t="n">
        <x:f>SUM(D1525:F1525)</x:f>
        <x:v>560</x:v>
      </x:c>
    </x:row>
    <x:row r="1526" ht="24" customHeight="1">
      <x:c r="A1526" s="10" t="str">
        <x:v>S03-09</x:v>
      </x:c>
      <x:c r="B1526" s="10" t="str">
        <x:v>A</x:v>
      </x:c>
      <x:c r="C1526" s="18" t="n">
        <x:v>-1.4</x:v>
      </x:c>
      <x:c r="D1526" s="10" t="n">
        <x:v>560</x:v>
      </x:c>
      <x:c r="E1526" s="10" t="n">
        <x:v>0</x:v>
      </x:c>
      <x:c r="F1526" s="10" t="n">
        <x:v>0.004096</x:v>
      </x:c>
      <x:c r="G1526" s="10" t="n">
        <x:f>SUM(D1526:F1526)</x:f>
        <x:v>560.004096</x:v>
      </x:c>
    </x:row>
    <x:row r="1527" ht="24" customHeight="1">
      <x:c r="A1527" s="10" t="str">
        <x:v>S03-09</x:v>
      </x:c>
      <x:c r="B1527" s="10" t="str">
        <x:v>A</x:v>
      </x:c>
      <x:c r="C1527" s="18" t="n">
        <x:v>-1.3999999</x:v>
      </x:c>
      <x:c r="D1527" s="10" t="n">
        <x:v>560</x:v>
      </x:c>
      <x:c r="E1527" s="10" t="n">
        <x:v>0</x:v>
      </x:c>
      <x:c r="F1527" s="10" t="n">
        <x:v>0.004096</x:v>
      </x:c>
      <x:c r="G1527" s="10" t="n">
        <x:f>SUM(D1527:F1527)</x:f>
        <x:v>560.004096</x:v>
      </x:c>
    </x:row>
    <x:row r="1528" ht="24" customHeight="1">
      <x:c r="A1528" s="10" t="str">
        <x:v>S03-09</x:v>
      </x:c>
      <x:c r="B1528" s="10" t="str">
        <x:v>A</x:v>
      </x:c>
      <x:c r="C1528" s="18" t="n">
        <x:v>-1.0000001</x:v>
      </x:c>
      <x:c r="D1528" s="10" t="n">
        <x:v>560</x:v>
      </x:c>
      <x:c r="E1528" s="10" t="n">
        <x:v>0</x:v>
      </x:c>
      <x:c r="F1528" s="10" t="n">
        <x:v>0.004096</x:v>
      </x:c>
      <x:c r="G1528" s="10" t="n">
        <x:f>SUM(D1528:F1528)</x:f>
        <x:v>560.004096</x:v>
      </x:c>
    </x:row>
    <x:row r="1529" ht="24" customHeight="1">
      <x:c r="A1529" s="10" t="str">
        <x:v>S03-09</x:v>
      </x:c>
      <x:c r="B1529" s="10" t="str">
        <x:v>A</x:v>
      </x:c>
      <x:c r="C1529" s="18" t="n">
        <x:v>-1</x:v>
      </x:c>
      <x:c r="D1529" s="10" t="n">
        <x:v>560</x:v>
      </x:c>
      <x:c r="E1529" s="10" t="n">
        <x:v>0</x:v>
      </x:c>
      <x:c r="F1529" s="10" t="n">
        <x:v>0.008192</x:v>
      </x:c>
      <x:c r="G1529" s="10" t="n">
        <x:f>SUM(D1529:F1529)</x:f>
        <x:v>560.008192</x:v>
      </x:c>
    </x:row>
    <x:row r="1530" ht="24" customHeight="1">
      <x:c r="A1530" s="10" t="str">
        <x:v>S03-09</x:v>
      </x:c>
      <x:c r="B1530" s="10" t="str">
        <x:v>A</x:v>
      </x:c>
      <x:c r="C1530" s="18" t="n">
        <x:v>-0.9999999</x:v>
      </x:c>
      <x:c r="D1530" s="10" t="n">
        <x:v>560</x:v>
      </x:c>
      <x:c r="E1530" s="10" t="n">
        <x:v>0</x:v>
      </x:c>
      <x:c r="F1530" s="10" t="n">
        <x:v>0.008192</x:v>
      </x:c>
      <x:c r="G1530" s="10" t="n">
        <x:f>SUM(D1530:F1530)</x:f>
        <x:v>560.008192</x:v>
      </x:c>
    </x:row>
    <x:row r="1531" ht="24" customHeight="1">
      <x:c r="A1531" s="10" t="str">
        <x:v>S03-09</x:v>
      </x:c>
      <x:c r="B1531" s="10" t="str">
        <x:v>A</x:v>
      </x:c>
      <x:c r="C1531" s="18" t="n">
        <x:v>-0.9990001</x:v>
      </x:c>
      <x:c r="D1531" s="10" t="n">
        <x:v>560</x:v>
      </x:c>
      <x:c r="E1531" s="10" t="n">
        <x:v>0</x:v>
      </x:c>
      <x:c r="F1531" s="10" t="n">
        <x:v>0.008192</x:v>
      </x:c>
      <x:c r="G1531" s="10" t="n">
        <x:f>SUM(D1531:F1531)</x:f>
        <x:v>560.008192</x:v>
      </x:c>
    </x:row>
    <x:row r="1532" ht="24" customHeight="1">
      <x:c r="A1532" s="10" t="str">
        <x:v>S03-09</x:v>
      </x:c>
      <x:c r="B1532" s="10" t="str">
        <x:v>A</x:v>
      </x:c>
      <x:c r="C1532" s="18" t="n">
        <x:v>-0.999</x:v>
      </x:c>
      <x:c r="D1532" s="10" t="n">
        <x:v>560</x:v>
      </x:c>
      <x:c r="E1532" s="10" t="n">
        <x:v>0.0096</x:v>
      </x:c>
      <x:c r="F1532" s="10" t="n">
        <x:v>0.008192</x:v>
      </x:c>
      <x:c r="G1532" s="10" t="n">
        <x:f>SUM(D1532:F1532)</x:f>
        <x:v>560.017792</x:v>
      </x:c>
    </x:row>
    <x:row r="1533" ht="24" customHeight="1">
      <x:c r="A1533" s="10" t="str">
        <x:v>S03-09</x:v>
      </x:c>
      <x:c r="B1533" s="10" t="str">
        <x:v>A</x:v>
      </x:c>
      <x:c r="C1533" s="18" t="n">
        <x:v>-0.9989999</x:v>
      </x:c>
      <x:c r="D1533" s="10" t="n">
        <x:v>560</x:v>
      </x:c>
      <x:c r="E1533" s="10" t="n">
        <x:v>0.009600019</x:v>
      </x:c>
      <x:c r="F1533" s="10" t="n">
        <x:v>0.008192</x:v>
      </x:c>
      <x:c r="G1533" s="10" t="n">
        <x:f>SUM(D1533:F1533)</x:f>
        <x:v>560.017792019</x:v>
      </x:c>
    </x:row>
    <x:row r="1534" ht="24" customHeight="1">
      <x:c r="A1534" s="10" t="str">
        <x:v>S03-09</x:v>
      </x:c>
      <x:c r="B1534" s="10" t="str">
        <x:v>A</x:v>
      </x:c>
      <x:c r="C1534" s="18" t="n">
        <x:v>-0.5900001</x:v>
      </x:c>
      <x:c r="D1534" s="10" t="n">
        <x:v>560</x:v>
      </x:c>
      <x:c r="E1534" s="10" t="n">
        <x:v>0.088127981</x:v>
      </x:c>
      <x:c r="F1534" s="10" t="n">
        <x:v>0.008192</x:v>
      </x:c>
      <x:c r="G1534" s="10" t="n">
        <x:f>SUM(D1534:F1534)</x:f>
        <x:v>560.096319981</x:v>
      </x:c>
    </x:row>
    <x:row r="1535" ht="24" customHeight="1">
      <x:c r="A1535" s="10" t="str">
        <x:v>S03-09</x:v>
      </x:c>
      <x:c r="B1535" s="10" t="str">
        <x:v>A</x:v>
      </x:c>
      <x:c r="C1535" s="18" t="n">
        <x:v>-0.59</x:v>
      </x:c>
      <x:c r="D1535" s="10" t="n">
        <x:v>560</x:v>
      </x:c>
      <x:c r="E1535" s="10" t="n">
        <x:v>0.097728</x:v>
      </x:c>
      <x:c r="F1535" s="10" t="n">
        <x:v>0.008192</x:v>
      </x:c>
      <x:c r="G1535" s="10" t="n">
        <x:f>SUM(D1535:F1535)</x:f>
        <x:v>560.10592</x:v>
      </x:c>
    </x:row>
    <x:row r="1536" ht="24" customHeight="1">
      <x:c r="A1536" s="10" t="str">
        <x:v>S03-09</x:v>
      </x:c>
      <x:c r="B1536" s="10" t="str">
        <x:v>A</x:v>
      </x:c>
      <x:c r="C1536" s="18" t="n">
        <x:v>-0.5899999</x:v>
      </x:c>
      <x:c r="D1536" s="10" t="n">
        <x:v>560</x:v>
      </x:c>
      <x:c r="E1536" s="10" t="n">
        <x:v>0.097728038</x:v>
      </x:c>
      <x:c r="F1536" s="10" t="n">
        <x:v>0.008192</x:v>
      </x:c>
      <x:c r="G1536" s="10" t="n">
        <x:f>SUM(D1536:F1536)</x:f>
        <x:v>560.105920038</x:v>
      </x:c>
    </x:row>
    <x:row r="1537" ht="24" customHeight="1">
      <x:c r="A1537" s="10" t="str">
        <x:v>S03-09</x:v>
      </x:c>
      <x:c r="B1537" s="10" t="str">
        <x:v>A</x:v>
      </x:c>
      <x:c r="C1537" s="18" t="n">
        <x:v>-0.3385001</x:v>
      </x:c>
      <x:c r="D1537" s="10" t="n">
        <x:v>560</x:v>
      </x:c>
      <x:c r="E1537" s="10" t="n">
        <x:v>0.194303962</x:v>
      </x:c>
      <x:c r="F1537" s="10" t="n">
        <x:v>0.008192</x:v>
      </x:c>
      <x:c r="G1537" s="10" t="n">
        <x:f>SUM(D1537:F1537)</x:f>
        <x:v>560.2024959620001</x:v>
      </x:c>
    </x:row>
    <x:row r="1538" ht="24" customHeight="1">
      <x:c r="A1538" s="10" t="str">
        <x:v>S03-09</x:v>
      </x:c>
      <x:c r="B1538" s="10" t="str">
        <x:v>A</x:v>
      </x:c>
      <x:c r="C1538" s="18" t="n">
        <x:v>-0.3385</x:v>
      </x:c>
      <x:c r="D1538" s="10" t="n">
        <x:v>560</x:v>
      </x:c>
      <x:c r="E1538" s="10" t="n">
        <x:v>0.194304</x:v>
      </x:c>
      <x:c r="F1538" s="10" t="n">
        <x:v>0.008192</x:v>
      </x:c>
      <x:c r="G1538" s="10" t="n">
        <x:f>SUM(D1538:F1538)</x:f>
        <x:v>560.202496</x:v>
      </x:c>
    </x:row>
    <x:row r="1539" ht="24" customHeight="1">
      <x:c r="A1539" s="10" t="str">
        <x:v>S03-09</x:v>
      </x:c>
      <x:c r="B1539" s="10" t="str">
        <x:v>A</x:v>
      </x:c>
      <x:c r="C1539" s="18" t="n">
        <x:v>-0.3384999</x:v>
      </x:c>
      <x:c r="D1539" s="10" t="n">
        <x:v>560</x:v>
      </x:c>
      <x:c r="E1539" s="10" t="n">
        <x:v>0.194304019</x:v>
      </x:c>
      <x:c r="F1539" s="10" t="n">
        <x:v>0.008192</x:v>
      </x:c>
      <x:c r="G1539" s="10" t="n">
        <x:f>SUM(D1539:F1539)</x:f>
        <x:v>560.202496019</x:v>
      </x:c>
    </x:row>
    <x:row r="1540" ht="24" customHeight="1">
      <x:c r="A1540" s="10" t="str">
        <x:v>S03-09</x:v>
      </x:c>
      <x:c r="B1540" s="10" t="str">
        <x:v>A</x:v>
      </x:c>
      <x:c r="C1540" s="18" t="n">
        <x:v>-1e-7</x:v>
      </x:c>
      <x:c r="D1540" s="10" t="n">
        <x:v>560</x:v>
      </x:c>
      <x:c r="E1540" s="10" t="n">
        <x:v>0.259295981</x:v>
      </x:c>
      <x:c r="F1540" s="10" t="n">
        <x:v>0.008192</x:v>
      </x:c>
      <x:c r="G1540" s="10" t="n">
        <x:f>SUM(D1540:F1540)</x:f>
        <x:v>560.267487981</x:v>
      </x:c>
    </x:row>
    <x:row r="1541" ht="24" customHeight="1">
      <x:c r="A1541" s="10" t="str">
        <x:v>S03-09</x:v>
      </x:c>
      <x:c r="B1541" s="10" t="str">
        <x:v>A</x:v>
      </x:c>
      <x:c r="C1541" s="18" t="n">
        <x:v>0</x:v>
      </x:c>
      <x:c r="D1541" s="10" t="n">
        <x:v>560</x:v>
      </x:c>
      <x:c r="E1541" s="10" t="n">
        <x:v>0.259296</x:v>
      </x:c>
      <x:c r="F1541" s="10" t="n">
        <x:v>0.008192</x:v>
      </x:c>
      <x:c r="G1541" s="10" t="n">
        <x:f>SUM(D1541:F1541)</x:f>
        <x:v>560.267488</x:v>
      </x:c>
    </x:row>
    <x:row r="1542" ht="24" customHeight="1">
      <x:c r="A1542" s="10" t="str">
        <x:v>S03-09</x:v>
      </x:c>
      <x:c r="B1542" s="10" t="str">
        <x:v>A</x:v>
      </x:c>
      <x:c r="C1542" s="18" t="n">
        <x:v>1e-7</x:v>
      </x:c>
      <x:c r="D1542" s="10" t="n">
        <x:v>560</x:v>
      </x:c>
      <x:c r="E1542" s="10" t="n">
        <x:v>0.259296019</x:v>
      </x:c>
      <x:c r="F1542" s="10" t="n">
        <x:v>0.008192</x:v>
      </x:c>
      <x:c r="G1542" s="10" t="n">
        <x:f>SUM(D1542:F1542)</x:f>
        <x:v>560.267488019</x:v>
      </x:c>
    </x:row>
    <x:row r="1543" ht="24" customHeight="1">
      <x:c r="A1543" s="10" t="str">
        <x:v>S03-09</x:v>
      </x:c>
      <x:c r="B1543" s="10" t="str">
        <x:v>A</x:v>
      </x:c>
      <x:c r="C1543" s="18" t="n">
        <x:v>0.8699999</x:v>
      </x:c>
      <x:c r="D1543" s="10" t="n">
        <x:v>560</x:v>
      </x:c>
      <x:c r="E1543" s="10" t="n">
        <x:v>0.426335981</x:v>
      </x:c>
      <x:c r="F1543" s="10" t="n">
        <x:v>0.008192</x:v>
      </x:c>
      <x:c r="G1543" s="10" t="n">
        <x:f>SUM(D1543:F1543)</x:f>
        <x:v>560.434527981</x:v>
      </x:c>
    </x:row>
    <x:row r="1544" ht="24" customHeight="1">
      <x:c r="A1544" s="10" t="str">
        <x:v>S03-09</x:v>
      </x:c>
      <x:c r="B1544" s="10" t="str">
        <x:v>A</x:v>
      </x:c>
      <x:c r="C1544" s="18" t="n">
        <x:v>0.87</x:v>
      </x:c>
      <x:c r="D1544" s="10" t="n">
        <x:v>560</x:v>
      </x:c>
      <x:c r="E1544" s="10" t="n">
        <x:v>0.426336</x:v>
      </x:c>
      <x:c r="F1544" s="10" t="n">
        <x:v>0.008192</x:v>
      </x:c>
      <x:c r="G1544" s="10" t="n">
        <x:f>SUM(D1544:F1544)</x:f>
        <x:v>560.434528</x:v>
      </x:c>
    </x:row>
    <x:row r="1545" ht="24" customHeight="1">
      <x:c r="A1545" s="10" t="str">
        <x:v>S03-09</x:v>
      </x:c>
      <x:c r="B1545" s="10" t="str">
        <x:v>A</x:v>
      </x:c>
      <x:c r="C1545" s="18" t="n">
        <x:v>0.8700001</x:v>
      </x:c>
      <x:c r="D1545" s="10" t="n">
        <x:v>560</x:v>
      </x:c>
      <x:c r="E1545" s="10" t="n">
        <x:v>0.426336019</x:v>
      </x:c>
      <x:c r="F1545" s="10" t="n">
        <x:v>0.008192</x:v>
      </x:c>
      <x:c r="G1545" s="10" t="n">
        <x:f>SUM(D1545:F1545)</x:f>
        <x:v>560.434528019</x:v>
      </x:c>
    </x:row>
    <x:row r="1546" ht="24" customHeight="1">
      <x:c r="A1546" s="10" t="str">
        <x:v>S03-09</x:v>
      </x:c>
      <x:c r="B1546" s="10" t="str">
        <x:v>A</x:v>
      </x:c>
      <x:c r="C1546" s="18" t="n">
        <x:v>0.9099999</x:v>
      </x:c>
      <x:c r="D1546" s="10" t="n">
        <x:v>560</x:v>
      </x:c>
      <x:c r="E1546" s="10" t="n">
        <x:v>0.434015981</x:v>
      </x:c>
      <x:c r="F1546" s="10" t="n">
        <x:v>0.008192</x:v>
      </x:c>
      <x:c r="G1546" s="10" t="n">
        <x:f>SUM(D1546:F1546)</x:f>
        <x:v>560.442207981</x:v>
      </x:c>
    </x:row>
    <x:row r="1547" ht="24" customHeight="1">
      <x:c r="A1547" s="10" t="str">
        <x:v>S03-09</x:v>
      </x:c>
      <x:c r="B1547" s="10" t="str">
        <x:v>A</x:v>
      </x:c>
      <x:c r="C1547" s="18" t="n">
        <x:v>0.91</x:v>
      </x:c>
      <x:c r="D1547" s="10" t="n">
        <x:v>560</x:v>
      </x:c>
      <x:c r="E1547" s="10" t="n">
        <x:v>0.434016</x:v>
      </x:c>
      <x:c r="F1547" s="10" t="n">
        <x:v>0.008192</x:v>
      </x:c>
      <x:c r="G1547" s="10" t="n">
        <x:f>SUM(D1547:F1547)</x:f>
        <x:v>560.442208</x:v>
      </x:c>
    </x:row>
    <x:row r="1548" ht="24" customHeight="1">
      <x:c r="A1548" s="10" t="str">
        <x:v>S03-09</x:v>
      </x:c>
      <x:c r="B1548" s="10" t="str">
        <x:v>A</x:v>
      </x:c>
      <x:c r="C1548" s="18" t="n">
        <x:v>0.9100001</x:v>
      </x:c>
      <x:c r="D1548" s="10" t="n">
        <x:v>560</x:v>
      </x:c>
      <x:c r="E1548" s="10" t="n">
        <x:v>0.434016014</x:v>
      </x:c>
      <x:c r="F1548" s="10" t="n">
        <x:v>0.008192</x:v>
      </x:c>
      <x:c r="G1548" s="10" t="n">
        <x:f>SUM(D1548:F1548)</x:f>
        <x:v>560.442208014</x:v>
      </x:c>
    </x:row>
    <x:row r="1549" ht="24" customHeight="1">
      <x:c r="A1549" s="10" t="str">
        <x:v>S03-09</x:v>
      </x:c>
      <x:c r="B1549" s="10" t="str">
        <x:v>A</x:v>
      </x:c>
      <x:c r="C1549" s="18" t="n">
        <x:v>0.9699999</x:v>
      </x:c>
      <x:c r="D1549" s="10" t="n">
        <x:v>560</x:v>
      </x:c>
      <x:c r="E1549" s="10" t="n">
        <x:v>0.442655986</x:v>
      </x:c>
      <x:c r="F1549" s="10" t="n">
        <x:v>0.008192</x:v>
      </x:c>
      <x:c r="G1549" s="10" t="n">
        <x:f>SUM(D1549:F1549)</x:f>
        <x:v>560.450847986</x:v>
      </x:c>
    </x:row>
    <x:row r="1550" ht="24" customHeight="1">
      <x:c r="A1550" s="10" t="str">
        <x:v>S03-09</x:v>
      </x:c>
      <x:c r="B1550" s="10" t="str">
        <x:v>A</x:v>
      </x:c>
      <x:c r="C1550" s="18" t="n">
        <x:v>0.97</x:v>
      </x:c>
      <x:c r="D1550" s="10" t="n">
        <x:v>560</x:v>
      </x:c>
      <x:c r="E1550" s="10" t="n">
        <x:v>0.442656</x:v>
      </x:c>
      <x:c r="F1550" s="10" t="n">
        <x:v>0.008192</x:v>
      </x:c>
      <x:c r="G1550" s="10" t="n">
        <x:f>SUM(D1550:F1550)</x:f>
        <x:v>560.4508480000001</x:v>
      </x:c>
    </x:row>
    <x:row r="1551" ht="24" customHeight="1">
      <x:c r="A1551" s="10" t="str">
        <x:v>S03-09</x:v>
      </x:c>
      <x:c r="B1551" s="10" t="str">
        <x:v>A</x:v>
      </x:c>
      <x:c r="C1551" s="18" t="n">
        <x:v>0.9700001</x:v>
      </x:c>
      <x:c r="D1551" s="10" t="n">
        <x:v>560</x:v>
      </x:c>
      <x:c r="E1551" s="10" t="n">
        <x:v>0.133535995</x:v>
      </x:c>
      <x:c r="F1551" s="10" t="n">
        <x:v>0.004096</x:v>
      </x:c>
      <x:c r="G1551" s="10" t="n">
        <x:f>SUM(D1551:F1551)</x:f>
        <x:v>560.137631995</x:v>
      </x:c>
    </x:row>
    <x:row r="1552" ht="24" customHeight="1">
      <x:c r="A1552" s="10" t="str">
        <x:v>S03-09</x:v>
      </x:c>
      <x:c r="B1552" s="10" t="str">
        <x:v>A</x:v>
      </x:c>
      <x:c r="C1552" s="18" t="n">
        <x:v>3.3899999</x:v>
      </x:c>
      <x:c r="D1552" s="10" t="n">
        <x:v>560</x:v>
      </x:c>
      <x:c r="E1552" s="10" t="n">
        <x:v>0.017376005</x:v>
      </x:c>
      <x:c r="F1552" s="10" t="n">
        <x:v>0.004096</x:v>
      </x:c>
      <x:c r="G1552" s="10" t="n">
        <x:f>SUM(D1552:F1552)</x:f>
        <x:v>560.021472005</x:v>
      </x:c>
    </x:row>
    <x:row r="1553" ht="24" customHeight="1">
      <x:c r="A1553" s="10" t="str">
        <x:v>S03-09</x:v>
      </x:c>
      <x:c r="B1553" s="10" t="str">
        <x:v>A</x:v>
      </x:c>
      <x:c r="C1553" s="18" t="n">
        <x:v>3.39</x:v>
      </x:c>
      <x:c r="D1553" s="10" t="n">
        <x:v>560</x:v>
      </x:c>
      <x:c r="E1553" s="10" t="n">
        <x:v>0.017376</x:v>
      </x:c>
      <x:c r="F1553" s="10" t="n">
        <x:v>0.008192</x:v>
      </x:c>
      <x:c r="G1553" s="10" t="n">
        <x:f>SUM(D1553:F1553)</x:f>
        <x:v>560.025568</x:v>
      </x:c>
    </x:row>
    <x:row r="1554" ht="24" customHeight="1">
      <x:c r="A1554" s="10" t="str">
        <x:v>S03-09</x:v>
      </x:c>
      <x:c r="B1554" s="10" t="str">
        <x:v>A</x:v>
      </x:c>
      <x:c r="C1554" s="18" t="n">
        <x:v>3.3900001</x:v>
      </x:c>
      <x:c r="D1554" s="10" t="n">
        <x:v>560</x:v>
      </x:c>
      <x:c r="E1554" s="10" t="n">
        <x:v>0.017375995</x:v>
      </x:c>
      <x:c r="F1554" s="10" t="n">
        <x:v>0.008192</x:v>
      </x:c>
      <x:c r="G1554" s="10" t="n">
        <x:f>SUM(D1554:F1554)</x:f>
        <x:v>560.025567995</x:v>
      </x:c>
    </x:row>
    <x:row r="1555" ht="24" customHeight="1">
      <x:c r="A1555" s="10" t="str">
        <x:v>S03-09</x:v>
      </x:c>
      <x:c r="B1555" s="10" t="str">
        <x:v>A</x:v>
      </x:c>
      <x:c r="C1555" s="18" t="n">
        <x:v>3.7519999</x:v>
      </x:c>
      <x:c r="D1555" s="10" t="n">
        <x:v>560</x:v>
      </x:c>
      <x:c r="E1555" s="10" t="n">
        <x:v>5e-9</x:v>
      </x:c>
      <x:c r="F1555" s="10" t="n">
        <x:v>0.008192</x:v>
      </x:c>
      <x:c r="G1555" s="10" t="n">
        <x:f>SUM(D1555:F1555)</x:f>
        <x:v>560.008192005</x:v>
      </x:c>
    </x:row>
    <x:row r="1556" ht="24" customHeight="1">
      <x:c r="A1556" s="10" t="str">
        <x:v>S03-09</x:v>
      </x:c>
      <x:c r="B1556" s="10" t="str">
        <x:v>A</x:v>
      </x:c>
      <x:c r="C1556" s="18" t="n">
        <x:v>3.752</x:v>
      </x:c>
      <x:c r="D1556" s="10" t="n">
        <x:v>560</x:v>
      </x:c>
      <x:c r="E1556" s="10" t="n">
        <x:v>0</x:v>
      </x:c>
      <x:c r="F1556" s="10" t="n">
        <x:v>0.008192</x:v>
      </x:c>
      <x:c r="G1556" s="10" t="n">
        <x:f>SUM(D1556:F1556)</x:f>
        <x:v>560.008192</x:v>
      </x:c>
    </x:row>
    <x:row r="1557" ht="24" customHeight="1">
      <x:c r="A1557" s="10" t="str">
        <x:v>S03-09</x:v>
      </x:c>
      <x:c r="B1557" s="10" t="str">
        <x:v>A</x:v>
      </x:c>
      <x:c r="C1557" s="18" t="n">
        <x:v>3.7520001</x:v>
      </x:c>
      <x:c r="D1557" s="10" t="n">
        <x:v>560</x:v>
      </x:c>
      <x:c r="E1557" s="10" t="n">
        <x:v>0</x:v>
      </x:c>
      <x:c r="F1557" s="10" t="n">
        <x:v>0.004096</x:v>
      </x:c>
      <x:c r="G1557" s="10" t="n">
        <x:f>SUM(D1557:F1557)</x:f>
        <x:v>560.004096</x:v>
      </x:c>
    </x:row>
    <x:row r="1558" ht="24" customHeight="1">
      <x:c r="A1558" s="10" t="str">
        <x:v>S03-09</x:v>
      </x:c>
      <x:c r="B1558" s="10" t="str">
        <x:v>A</x:v>
      </x:c>
      <x:c r="C1558" s="18" t="n">
        <x:v>3.7989999</x:v>
      </x:c>
      <x:c r="D1558" s="10" t="n">
        <x:v>560</x:v>
      </x:c>
      <x:c r="E1558" s="10" t="n">
        <x:v>0</x:v>
      </x:c>
      <x:c r="F1558" s="10" t="n">
        <x:v>0.004096</x:v>
      </x:c>
      <x:c r="G1558" s="10" t="n">
        <x:f>SUM(D1558:F1558)</x:f>
        <x:v>560.004096</x:v>
      </x:c>
    </x:row>
    <x:row r="1559" ht="24" customHeight="1">
      <x:c r="A1559" s="10" t="str">
        <x:v>S03-09</x:v>
      </x:c>
      <x:c r="B1559" s="10" t="str">
        <x:v>A</x:v>
      </x:c>
      <x:c r="C1559" s="18" t="n">
        <x:v>3.799</x:v>
      </x:c>
      <x:c r="D1559" s="10" t="n">
        <x:v>560</x:v>
      </x:c>
      <x:c r="E1559" s="10" t="n">
        <x:v>0.0096</x:v>
      </x:c>
      <x:c r="F1559" s="10" t="n">
        <x:v>0.004096</x:v>
      </x:c>
      <x:c r="G1559" s="10" t="n">
        <x:f>SUM(D1559:F1559)</x:f>
        <x:v>560.013696</x:v>
      </x:c>
    </x:row>
    <x:row r="1560" ht="24" customHeight="1">
      <x:c r="A1560" s="10" t="str">
        <x:v>S03-09</x:v>
      </x:c>
      <x:c r="B1560" s="10" t="str">
        <x:v>A</x:v>
      </x:c>
      <x:c r="C1560" s="18" t="n">
        <x:v>3.7990001</x:v>
      </x:c>
      <x:c r="D1560" s="10" t="n">
        <x:v>560</x:v>
      </x:c>
      <x:c r="E1560" s="10" t="n">
        <x:v>0.009600019</x:v>
      </x:c>
      <x:c r="F1560" s="10" t="n">
        <x:v>0.004096</x:v>
      </x:c>
      <x:c r="G1560" s="10" t="n">
        <x:f>SUM(D1560:F1560)</x:f>
        <x:v>560.013696019</x:v>
      </x:c>
    </x:row>
    <x:row r="1561" ht="24" customHeight="1">
      <x:c r="A1561" s="10" t="str">
        <x:v>S03-09</x:v>
      </x:c>
      <x:c r="B1561" s="10" t="str">
        <x:v>A</x:v>
      </x:c>
      <x:c r="C1561" s="18" t="n">
        <x:v>3.8389999</x:v>
      </x:c>
      <x:c r="D1561" s="10" t="n">
        <x:v>560</x:v>
      </x:c>
      <x:c r="E1561" s="10" t="n">
        <x:v>0.017279981</x:v>
      </x:c>
      <x:c r="F1561" s="10" t="n">
        <x:v>0.004096</x:v>
      </x:c>
      <x:c r="G1561" s="10" t="n">
        <x:f>SUM(D1561:F1561)</x:f>
        <x:v>560.021375981</x:v>
      </x:c>
    </x:row>
    <x:row r="1562" ht="24" customHeight="1">
      <x:c r="A1562" s="10" t="str">
        <x:v>S03-09</x:v>
      </x:c>
      <x:c r="B1562" s="10" t="str">
        <x:v>A</x:v>
      </x:c>
      <x:c r="C1562" s="18" t="n">
        <x:v>3.839</x:v>
      </x:c>
      <x:c r="D1562" s="10" t="n">
        <x:v>560</x:v>
      </x:c>
      <x:c r="E1562" s="10" t="n">
        <x:v>0.01728</x:v>
      </x:c>
      <x:c r="F1562" s="10" t="n">
        <x:v>0.004096</x:v>
      </x:c>
      <x:c r="G1562" s="10" t="n">
        <x:f>SUM(D1562:F1562)</x:f>
        <x:v>560.021376</x:v>
      </x:c>
    </x:row>
    <x:row r="1563" ht="24" customHeight="1">
      <x:c r="A1563" s="10" t="str">
        <x:v>S03-09</x:v>
      </x:c>
      <x:c r="B1563" s="10" t="str">
        <x:v>A</x:v>
      </x:c>
      <x:c r="C1563" s="18" t="n">
        <x:v>3.8390001</x:v>
      </x:c>
      <x:c r="D1563" s="10" t="n">
        <x:v>560</x:v>
      </x:c>
      <x:c r="E1563" s="10" t="n">
        <x:v>0.017280014</x:v>
      </x:c>
      <x:c r="F1563" s="10" t="n">
        <x:v>0.004096</x:v>
      </x:c>
      <x:c r="G1563" s="10" t="n">
        <x:f>SUM(D1563:F1563)</x:f>
        <x:v>560.021376014</x:v>
      </x:c>
    </x:row>
    <x:row r="1564" ht="24" customHeight="1">
      <x:c r="A1564" s="10" t="str">
        <x:v>S03-09</x:v>
      </x:c>
      <x:c r="B1564" s="10" t="str">
        <x:v>A</x:v>
      </x:c>
      <x:c r="C1564" s="18" t="n">
        <x:v>5.7594999</x:v>
      </x:c>
      <x:c r="D1564" s="10" t="n">
        <x:v>560</x:v>
      </x:c>
      <x:c r="E1564" s="10" t="n">
        <x:v>0.293831986</x:v>
      </x:c>
      <x:c r="F1564" s="10" t="n">
        <x:v>0.004096</x:v>
      </x:c>
      <x:c r="G1564" s="10" t="n">
        <x:f>SUM(D1564:F1564)</x:f>
        <x:v>560.297927986</x:v>
      </x:c>
    </x:row>
    <x:row r="1565" ht="24" customHeight="1">
      <x:c r="A1565" s="10" t="str">
        <x:v>S03-09</x:v>
      </x:c>
      <x:c r="B1565" s="10" t="str">
        <x:v>A</x:v>
      </x:c>
      <x:c r="C1565" s="18" t="n">
        <x:v>5.7595</x:v>
      </x:c>
      <x:c r="D1565" s="10" t="n">
        <x:v>560</x:v>
      </x:c>
      <x:c r="E1565" s="10" t="n">
        <x:v>0.293832</x:v>
      </x:c>
      <x:c r="F1565" s="10" t="n">
        <x:v>0.004096</x:v>
      </x:c>
      <x:c r="G1565" s="10" t="n">
        <x:f>SUM(D1565:F1565)</x:f>
        <x:v>560.297928</x:v>
      </x:c>
    </x:row>
    <x:row r="1566" ht="24" customHeight="1">
      <x:c r="A1566" s="10" t="str">
        <x:v>S03-09</x:v>
      </x:c>
      <x:c r="B1566" s="10" t="str">
        <x:v>A</x:v>
      </x:c>
      <x:c r="C1566" s="18" t="n">
        <x:v>5.7595001</x:v>
      </x:c>
      <x:c r="D1566" s="10" t="n">
        <x:v>560</x:v>
      </x:c>
      <x:c r="E1566" s="10" t="n">
        <x:v>0.293831995</x:v>
      </x:c>
      <x:c r="F1566" s="10" t="n">
        <x:v>0.004096</x:v>
      </x:c>
      <x:c r="G1566" s="10" t="n">
        <x:f>SUM(D1566:F1566)</x:f>
        <x:v>560.297927995</x:v>
      </x:c>
    </x:row>
    <x:row r="1567" ht="24" customHeight="1">
      <x:c r="A1567" s="10" t="str">
        <x:v>S03-09</x:v>
      </x:c>
      <x:c r="B1567" s="10" t="str">
        <x:v>A</x:v>
      </x:c>
      <x:c r="C1567" s="18" t="n">
        <x:v>11.8809999</x:v>
      </x:c>
      <x:c r="D1567" s="10" t="n">
        <x:v>560</x:v>
      </x:c>
      <x:c r="E1567" s="10" t="n">
        <x:v>5e-9</x:v>
      </x:c>
      <x:c r="F1567" s="10" t="n">
        <x:v>0.004096</x:v>
      </x:c>
      <x:c r="G1567" s="10" t="n">
        <x:f>SUM(D1567:F1567)</x:f>
        <x:v>560.004096005</x:v>
      </x:c>
    </x:row>
    <x:row r="1568" ht="24" customHeight="1">
      <x:c r="A1568" s="10" t="str">
        <x:v>S03-09</x:v>
      </x:c>
      <x:c r="B1568" s="10" t="str">
        <x:v>A</x:v>
      </x:c>
      <x:c r="C1568" s="18" t="n">
        <x:v>11.881</x:v>
      </x:c>
      <x:c r="D1568" s="10" t="n">
        <x:v>560</x:v>
      </x:c>
      <x:c r="E1568" s="10" t="n">
        <x:v>0</x:v>
      </x:c>
      <x:c r="F1568" s="10" t="n">
        <x:v>0.004096</x:v>
      </x:c>
      <x:c r="G1568" s="10" t="n">
        <x:f>SUM(D1568:F1568)</x:f>
        <x:v>560.004096</x:v>
      </x:c>
    </x:row>
    <x:row r="1569" ht="24" customHeight="1">
      <x:c r="A1569" s="10" t="str">
        <x:v>S03-09</x:v>
      </x:c>
      <x:c r="B1569" s="10" t="str">
        <x:v>A</x:v>
      </x:c>
      <x:c r="C1569" s="18" t="n">
        <x:v>11.8810001</x:v>
      </x:c>
      <x:c r="D1569" s="10" t="n">
        <x:v>560</x:v>
      </x:c>
      <x:c r="E1569" s="10" t="n">
        <x:v>0</x:v>
      </x:c>
      <x:c r="F1569" s="10" t="n">
        <x:v>0</x:v>
      </x:c>
      <x:c r="G1569" s="10" t="n">
        <x:f>SUM(D1569:F1569)</x:f>
        <x:v>560</x:v>
      </x:c>
    </x:row>
    <x:row r="1570" ht="24" customHeight="1">
      <x:c r="A1570" s="10" t="str">
        <x:v>S03-09</x:v>
      </x:c>
      <x:c r="B1570" s="10" t="str">
        <x:v>B</x:v>
      </x:c>
      <x:c r="C1570" s="18" t="n">
        <x:v>-6.0000001</x:v>
      </x:c>
      <x:c r="D1570" s="10" t="n">
        <x:v>560</x:v>
      </x:c>
      <x:c r="E1570" s="10" t="n">
        <x:v>0</x:v>
      </x:c>
      <x:c r="F1570" s="10" t="n">
        <x:v>0</x:v>
      </x:c>
      <x:c r="G1570" s="10" t="n">
        <x:f>SUM(D1570:F1570)</x:f>
        <x:v>560</x:v>
      </x:c>
    </x:row>
    <x:row r="1571" ht="24" customHeight="1">
      <x:c r="A1571" s="10" t="str">
        <x:v>S03-09</x:v>
      </x:c>
      <x:c r="B1571" s="10" t="str">
        <x:v>B</x:v>
      </x:c>
      <x:c r="C1571" s="18" t="n">
        <x:v>-6</x:v>
      </x:c>
      <x:c r="D1571" s="10" t="n">
        <x:v>560</x:v>
      </x:c>
      <x:c r="E1571" s="10" t="n">
        <x:v>0</x:v>
      </x:c>
      <x:c r="F1571" s="10" t="n">
        <x:v>0</x:v>
      </x:c>
      <x:c r="G1571" s="10" t="n">
        <x:f>SUM(D1571:F1571)</x:f>
        <x:v>560</x:v>
      </x:c>
    </x:row>
    <x:row r="1572" ht="24" customHeight="1">
      <x:c r="A1572" s="10" t="str">
        <x:v>S03-09</x:v>
      </x:c>
      <x:c r="B1572" s="10" t="str">
        <x:v>B</x:v>
      </x:c>
      <x:c r="C1572" s="18" t="n">
        <x:v>-5.9999999</x:v>
      </x:c>
      <x:c r="D1572" s="10" t="n">
        <x:v>560</x:v>
      </x:c>
      <x:c r="E1572" s="10" t="n">
        <x:v>0</x:v>
      </x:c>
      <x:c r="F1572" s="10" t="n">
        <x:v>0</x:v>
      </x:c>
      <x:c r="G1572" s="10" t="n">
        <x:f>SUM(D1572:F1572)</x:f>
        <x:v>560</x:v>
      </x:c>
    </x:row>
    <x:row r="1573" ht="24" customHeight="1">
      <x:c r="A1573" s="10" t="str">
        <x:v>S03-09</x:v>
      </x:c>
      <x:c r="B1573" s="10" t="str">
        <x:v>B</x:v>
      </x:c>
      <x:c r="C1573" s="18" t="n">
        <x:v>-1e-7</x:v>
      </x:c>
      <x:c r="D1573" s="10" t="n">
        <x:v>560</x:v>
      </x:c>
      <x:c r="E1573" s="10" t="n">
        <x:v>0</x:v>
      </x:c>
      <x:c r="F1573" s="10" t="n">
        <x:v>0</x:v>
      </x:c>
      <x:c r="G1573" s="10" t="n">
        <x:f>SUM(D1573:F1573)</x:f>
        <x:v>560</x:v>
      </x:c>
    </x:row>
    <x:row r="1574" ht="24" customHeight="1">
      <x:c r="A1574" s="10" t="str">
        <x:v>S03-09</x:v>
      </x:c>
      <x:c r="B1574" s="10" t="str">
        <x:v>B</x:v>
      </x:c>
      <x:c r="C1574" s="18" t="n">
        <x:v>0</x:v>
      </x:c>
      <x:c r="D1574" s="10" t="n">
        <x:v>560</x:v>
      </x:c>
      <x:c r="E1574" s="10" t="n">
        <x:v>0</x:v>
      </x:c>
      <x:c r="F1574" s="10" t="n">
        <x:v>0</x:v>
      </x:c>
      <x:c r="G1574" s="10" t="n">
        <x:f>SUM(D1574:F1574)</x:f>
        <x:v>560</x:v>
      </x:c>
    </x:row>
    <x:row r="1575" ht="24" customHeight="1">
      <x:c r="A1575" s="10" t="str">
        <x:v>S03-09</x:v>
      </x:c>
      <x:c r="B1575" s="10" t="str">
        <x:v>B</x:v>
      </x:c>
      <x:c r="C1575" s="18" t="n">
        <x:v>1e-7</x:v>
      </x:c>
      <x:c r="D1575" s="10" t="n">
        <x:v>560</x:v>
      </x:c>
      <x:c r="E1575" s="10" t="n">
        <x:v>0</x:v>
      </x:c>
      <x:c r="F1575" s="10" t="n">
        <x:v>0</x:v>
      </x:c>
      <x:c r="G1575" s="10" t="n">
        <x:f>SUM(D1575:F1575)</x:f>
        <x:v>560</x:v>
      </x:c>
    </x:row>
    <x:row r="1576" ht="24" customHeight="1">
      <x:c r="A1576" s="10" t="str">
        <x:v>S03-09</x:v>
      </x:c>
      <x:c r="B1576" s="10" t="str">
        <x:v>B</x:v>
      </x:c>
      <x:c r="C1576" s="18" t="n">
        <x:v>0.8699999</x:v>
      </x:c>
      <x:c r="D1576" s="10" t="n">
        <x:v>560</x:v>
      </x:c>
      <x:c r="E1576" s="10" t="n">
        <x:v>0</x:v>
      </x:c>
      <x:c r="F1576" s="10" t="n">
        <x:v>0</x:v>
      </x:c>
      <x:c r="G1576" s="10" t="n">
        <x:f>SUM(D1576:F1576)</x:f>
        <x:v>560</x:v>
      </x:c>
    </x:row>
    <x:row r="1577" ht="24" customHeight="1">
      <x:c r="A1577" s="10" t="str">
        <x:v>S03-09</x:v>
      </x:c>
      <x:c r="B1577" s="10" t="str">
        <x:v>B</x:v>
      </x:c>
      <x:c r="C1577" s="18" t="n">
        <x:v>0.87</x:v>
      </x:c>
      <x:c r="D1577" s="10" t="n">
        <x:v>560</x:v>
      </x:c>
      <x:c r="E1577" s="10" t="n">
        <x:v>0</x:v>
      </x:c>
      <x:c r="F1577" s="10" t="n">
        <x:v>0.004096</x:v>
      </x:c>
      <x:c r="G1577" s="10" t="n">
        <x:f>SUM(D1577:F1577)</x:f>
        <x:v>560.004096</x:v>
      </x:c>
    </x:row>
    <x:row r="1578" ht="24" customHeight="1">
      <x:c r="A1578" s="10" t="str">
        <x:v>S03-09</x:v>
      </x:c>
      <x:c r="B1578" s="10" t="str">
        <x:v>B</x:v>
      </x:c>
      <x:c r="C1578" s="18" t="n">
        <x:v>0.8700001</x:v>
      </x:c>
      <x:c r="D1578" s="10" t="n">
        <x:v>560</x:v>
      </x:c>
      <x:c r="E1578" s="10" t="n">
        <x:v>0</x:v>
      </x:c>
      <x:c r="F1578" s="10" t="n">
        <x:v>0.004096</x:v>
      </x:c>
      <x:c r="G1578" s="10" t="n">
        <x:f>SUM(D1578:F1578)</x:f>
        <x:v>560.004096</x:v>
      </x:c>
    </x:row>
    <x:row r="1579" ht="24" customHeight="1">
      <x:c r="A1579" s="10" t="str">
        <x:v>S03-09</x:v>
      </x:c>
      <x:c r="B1579" s="10" t="str">
        <x:v>B</x:v>
      </x:c>
      <x:c r="C1579" s="18" t="n">
        <x:v>1.2709999</x:v>
      </x:c>
      <x:c r="D1579" s="10" t="n">
        <x:v>560</x:v>
      </x:c>
      <x:c r="E1579" s="10" t="n">
        <x:v>0</x:v>
      </x:c>
      <x:c r="F1579" s="10" t="n">
        <x:v>0.004096</x:v>
      </x:c>
      <x:c r="G1579" s="10" t="n">
        <x:f>SUM(D1579:F1579)</x:f>
        <x:v>560.004096</x:v>
      </x:c>
    </x:row>
    <x:row r="1580" ht="24" customHeight="1">
      <x:c r="A1580" s="10" t="str">
        <x:v>S03-09</x:v>
      </x:c>
      <x:c r="B1580" s="10" t="str">
        <x:v>B</x:v>
      </x:c>
      <x:c r="C1580" s="18" t="n">
        <x:v>1.271</x:v>
      </x:c>
      <x:c r="D1580" s="10" t="n">
        <x:v>560</x:v>
      </x:c>
      <x:c r="E1580" s="10" t="n">
        <x:v>0.0096</x:v>
      </x:c>
      <x:c r="F1580" s="10" t="n">
        <x:v>0.004096</x:v>
      </x:c>
      <x:c r="G1580" s="10" t="n">
        <x:f>SUM(D1580:F1580)</x:f>
        <x:v>560.013696</x:v>
      </x:c>
    </x:row>
    <x:row r="1581" ht="24" customHeight="1">
      <x:c r="A1581" s="10" t="str">
        <x:v>S03-09</x:v>
      </x:c>
      <x:c r="B1581" s="10" t="str">
        <x:v>B</x:v>
      </x:c>
      <x:c r="C1581" s="18" t="n">
        <x:v>1.2710001</x:v>
      </x:c>
      <x:c r="D1581" s="10" t="n">
        <x:v>560</x:v>
      </x:c>
      <x:c r="E1581" s="10" t="n">
        <x:v>0.009600019</x:v>
      </x:c>
      <x:c r="F1581" s="10" t="n">
        <x:v>0.004096</x:v>
      </x:c>
      <x:c r="G1581" s="10" t="n">
        <x:f>SUM(D1581:F1581)</x:f>
        <x:v>560.013696019</x:v>
      </x:c>
    </x:row>
    <x:row r="1582" ht="24" customHeight="1">
      <x:c r="A1582" s="10" t="str">
        <x:v>S03-09</x:v>
      </x:c>
      <x:c r="B1582" s="10" t="str">
        <x:v>B</x:v>
      </x:c>
      <x:c r="C1582" s="18" t="n">
        <x:v>1.3109999</x:v>
      </x:c>
      <x:c r="D1582" s="10" t="n">
        <x:v>560</x:v>
      </x:c>
      <x:c r="E1582" s="10" t="n">
        <x:v>0.017279981</x:v>
      </x:c>
      <x:c r="F1582" s="10" t="n">
        <x:v>0.004096</x:v>
      </x:c>
      <x:c r="G1582" s="10" t="n">
        <x:f>SUM(D1582:F1582)</x:f>
        <x:v>560.021375981</x:v>
      </x:c>
    </x:row>
    <x:row r="1583" ht="24" customHeight="1">
      <x:c r="A1583" s="10" t="str">
        <x:v>S03-09</x:v>
      </x:c>
      <x:c r="B1583" s="10" t="str">
        <x:v>B</x:v>
      </x:c>
      <x:c r="C1583" s="18" t="n">
        <x:v>1.311</x:v>
      </x:c>
      <x:c r="D1583" s="10" t="n">
        <x:v>560</x:v>
      </x:c>
      <x:c r="E1583" s="10" t="n">
        <x:v>0.01728</x:v>
      </x:c>
      <x:c r="F1583" s="10" t="n">
        <x:v>0.004096</x:v>
      </x:c>
      <x:c r="G1583" s="10" t="n">
        <x:f>SUM(D1583:F1583)</x:f>
        <x:v>560.021376</x:v>
      </x:c>
    </x:row>
    <x:row r="1584" ht="24" customHeight="1">
      <x:c r="A1584" s="10" t="str">
        <x:v>S03-09</x:v>
      </x:c>
      <x:c r="B1584" s="10" t="str">
        <x:v>B</x:v>
      </x:c>
      <x:c r="C1584" s="18" t="n">
        <x:v>1.3110001</x:v>
      </x:c>
      <x:c r="D1584" s="10" t="n">
        <x:v>560</x:v>
      </x:c>
      <x:c r="E1584" s="10" t="n">
        <x:v>0.017280014</x:v>
      </x:c>
      <x:c r="F1584" s="10" t="n">
        <x:v>0.004096</x:v>
      </x:c>
      <x:c r="G1584" s="10" t="n">
        <x:f>SUM(D1584:F1584)</x:f>
        <x:v>560.021376014</x:v>
      </x:c>
    </x:row>
    <x:row r="1585" ht="24" customHeight="1">
      <x:c r="A1585" s="10" t="str">
        <x:v>S03-09</x:v>
      </x:c>
      <x:c r="B1585" s="10" t="str">
        <x:v>B</x:v>
      </x:c>
      <x:c r="C1585" s="18" t="n">
        <x:v>1.9314999</x:v>
      </x:c>
      <x:c r="D1585" s="10" t="n">
        <x:v>560</x:v>
      </x:c>
      <x:c r="E1585" s="10" t="n">
        <x:v>0.106631986</x:v>
      </x:c>
      <x:c r="F1585" s="10" t="n">
        <x:v>0.004096</x:v>
      </x:c>
      <x:c r="G1585" s="10" t="n">
        <x:f>SUM(D1585:F1585)</x:f>
        <x:v>560.110727986</x:v>
      </x:c>
    </x:row>
    <x:row r="1586" ht="24" customHeight="1">
      <x:c r="A1586" s="10" t="str">
        <x:v>S03-09</x:v>
      </x:c>
      <x:c r="B1586" s="10" t="str">
        <x:v>B</x:v>
      </x:c>
      <x:c r="C1586" s="18" t="n">
        <x:v>1.9315</x:v>
      </x:c>
      <x:c r="D1586" s="10" t="n">
        <x:v>560</x:v>
      </x:c>
      <x:c r="E1586" s="10" t="n">
        <x:v>0.106632</x:v>
      </x:c>
      <x:c r="F1586" s="10" t="n">
        <x:v>0.004096</x:v>
      </x:c>
      <x:c r="G1586" s="10" t="n">
        <x:f>SUM(D1586:F1586)</x:f>
        <x:v>560.110728</x:v>
      </x:c>
    </x:row>
    <x:row r="1587" ht="24" customHeight="1">
      <x:c r="A1587" s="10" t="str">
        <x:v>S03-09</x:v>
      </x:c>
      <x:c r="B1587" s="10" t="str">
        <x:v>B</x:v>
      </x:c>
      <x:c r="C1587" s="18" t="n">
        <x:v>1.9315001</x:v>
      </x:c>
      <x:c r="D1587" s="10" t="n">
        <x:v>560</x:v>
      </x:c>
      <x:c r="E1587" s="10" t="n">
        <x:v>0.106631995</x:v>
      </x:c>
      <x:c r="F1587" s="10" t="n">
        <x:v>0.004096</x:v>
      </x:c>
      <x:c r="G1587" s="10" t="n">
        <x:f>SUM(D1587:F1587)</x:f>
        <x:v>560.110727995</x:v>
      </x:c>
    </x:row>
    <x:row r="1588" ht="24" customHeight="1">
      <x:c r="A1588" s="10" t="str">
        <x:v>S03-09</x:v>
      </x:c>
      <x:c r="B1588" s="10" t="str">
        <x:v>B</x:v>
      </x:c>
      <x:c r="C1588" s="18" t="n">
        <x:v>4.1529999</x:v>
      </x:c>
      <x:c r="D1588" s="10" t="n">
        <x:v>560</x:v>
      </x:c>
      <x:c r="E1588" s="10" t="n">
        <x:v>5e-9</x:v>
      </x:c>
      <x:c r="F1588" s="10" t="n">
        <x:v>0.004096</x:v>
      </x:c>
      <x:c r="G1588" s="10" t="n">
        <x:f>SUM(D1588:F1588)</x:f>
        <x:v>560.004096005</x:v>
      </x:c>
    </x:row>
    <x:row r="1589" ht="24" customHeight="1">
      <x:c r="A1589" s="10" t="str">
        <x:v>S03-09</x:v>
      </x:c>
      <x:c r="B1589" s="10" t="str">
        <x:v>B</x:v>
      </x:c>
      <x:c r="C1589" s="18" t="n">
        <x:v>4.153</x:v>
      </x:c>
      <x:c r="D1589" s="10" t="n">
        <x:v>560</x:v>
      </x:c>
      <x:c r="E1589" s="10" t="n">
        <x:v>0</x:v>
      </x:c>
      <x:c r="F1589" s="10" t="n">
        <x:v>0.008192</x:v>
      </x:c>
      <x:c r="G1589" s="10" t="n">
        <x:f>SUM(D1589:F1589)</x:f>
        <x:v>560.008192</x:v>
      </x:c>
    </x:row>
    <x:row r="1590" ht="24" customHeight="1">
      <x:c r="A1590" s="10" t="str">
        <x:v>S03-09</x:v>
      </x:c>
      <x:c r="B1590" s="10" t="str">
        <x:v>B</x:v>
      </x:c>
      <x:c r="C1590" s="18" t="n">
        <x:v>4.1530001</x:v>
      </x:c>
      <x:c r="D1590" s="10" t="n">
        <x:v>560</x:v>
      </x:c>
      <x:c r="E1590" s="10" t="n">
        <x:v>0</x:v>
      </x:c>
      <x:c r="F1590" s="10" t="n">
        <x:v>0.004096</x:v>
      </x:c>
      <x:c r="G1590" s="10" t="n">
        <x:f>SUM(D1590:F1590)</x:f>
        <x:v>560.004096</x:v>
      </x:c>
    </x:row>
    <x:row r="1591" ht="24" customHeight="1">
      <x:c r="A1591" s="10" t="str">
        <x:v>S03-09</x:v>
      </x:c>
      <x:c r="B1591" s="10" t="str">
        <x:v>B</x:v>
      </x:c>
      <x:c r="C1591" s="18" t="n">
        <x:v>4.5619999</x:v>
      </x:c>
      <x:c r="D1591" s="10" t="n">
        <x:v>560</x:v>
      </x:c>
      <x:c r="E1591" s="10" t="n">
        <x:v>0</x:v>
      </x:c>
      <x:c r="F1591" s="10" t="n">
        <x:v>0.004096</x:v>
      </x:c>
      <x:c r="G1591" s="10" t="n">
        <x:f>SUM(D1591:F1591)</x:f>
        <x:v>560.004096</x:v>
      </x:c>
    </x:row>
    <x:row r="1592" ht="24" customHeight="1">
      <x:c r="A1592" s="10" t="str">
        <x:v>S03-09</x:v>
      </x:c>
      <x:c r="B1592" s="10" t="str">
        <x:v>B</x:v>
      </x:c>
      <x:c r="C1592" s="18" t="n">
        <x:v>4.562</x:v>
      </x:c>
      <x:c r="D1592" s="10" t="n">
        <x:v>560</x:v>
      </x:c>
      <x:c r="E1592" s="10" t="n">
        <x:v>0.0096</x:v>
      </x:c>
      <x:c r="F1592" s="10" t="n">
        <x:v>0.004096</x:v>
      </x:c>
      <x:c r="G1592" s="10" t="n">
        <x:f>SUM(D1592:F1592)</x:f>
        <x:v>560.013696</x:v>
      </x:c>
    </x:row>
    <x:row r="1593" ht="24" customHeight="1">
      <x:c r="A1593" s="10" t="str">
        <x:v>S03-09</x:v>
      </x:c>
      <x:c r="B1593" s="10" t="str">
        <x:v>B</x:v>
      </x:c>
      <x:c r="C1593" s="18" t="n">
        <x:v>4.5620001</x:v>
      </x:c>
      <x:c r="D1593" s="10" t="n">
        <x:v>560</x:v>
      </x:c>
      <x:c r="E1593" s="10" t="n">
        <x:v>0.009600019</x:v>
      </x:c>
      <x:c r="F1593" s="10" t="n">
        <x:v>0.004096</x:v>
      </x:c>
      <x:c r="G1593" s="10" t="n">
        <x:f>SUM(D1593:F1593)</x:f>
        <x:v>560.013696019</x:v>
      </x:c>
    </x:row>
    <x:row r="1594" ht="24" customHeight="1">
      <x:c r="A1594" s="10" t="str">
        <x:v>S03-09</x:v>
      </x:c>
      <x:c r="B1594" s="10" t="str">
        <x:v>B</x:v>
      </x:c>
      <x:c r="C1594" s="18" t="n">
        <x:v>4.6019999</x:v>
      </x:c>
      <x:c r="D1594" s="10" t="n">
        <x:v>560</x:v>
      </x:c>
      <x:c r="E1594" s="10" t="n">
        <x:v>0.017279981</x:v>
      </x:c>
      <x:c r="F1594" s="10" t="n">
        <x:v>0.004096</x:v>
      </x:c>
      <x:c r="G1594" s="10" t="n">
        <x:f>SUM(D1594:F1594)</x:f>
        <x:v>560.021375981</x:v>
      </x:c>
    </x:row>
    <x:row r="1595" ht="24" customHeight="1">
      <x:c r="A1595" s="10" t="str">
        <x:v>S03-09</x:v>
      </x:c>
      <x:c r="B1595" s="10" t="str">
        <x:v>B</x:v>
      </x:c>
      <x:c r="C1595" s="18" t="n">
        <x:v>4.602</x:v>
      </x:c>
      <x:c r="D1595" s="10" t="n">
        <x:v>560</x:v>
      </x:c>
      <x:c r="E1595" s="10" t="n">
        <x:v>0.01728</x:v>
      </x:c>
      <x:c r="F1595" s="10" t="n">
        <x:v>0.004096</x:v>
      </x:c>
      <x:c r="G1595" s="10" t="n">
        <x:f>SUM(D1595:F1595)</x:f>
        <x:v>560.021376</x:v>
      </x:c>
    </x:row>
    <x:row r="1596" ht="24" customHeight="1">
      <x:c r="A1596" s="10" t="str">
        <x:v>S03-09</x:v>
      </x:c>
      <x:c r="B1596" s="10" t="str">
        <x:v>B</x:v>
      </x:c>
      <x:c r="C1596" s="18" t="n">
        <x:v>4.6020001</x:v>
      </x:c>
      <x:c r="D1596" s="10" t="n">
        <x:v>560</x:v>
      </x:c>
      <x:c r="E1596" s="10" t="n">
        <x:v>0.017280014</x:v>
      </x:c>
      <x:c r="F1596" s="10" t="n">
        <x:v>0.004096</x:v>
      </x:c>
      <x:c r="G1596" s="10" t="n">
        <x:f>SUM(D1596:F1596)</x:f>
        <x:v>560.021376014</x:v>
      </x:c>
    </x:row>
    <x:row r="1597" ht="24" customHeight="1">
      <x:c r="A1597" s="10" t="str">
        <x:v>S03-09</x:v>
      </x:c>
      <x:c r="B1597" s="10" t="str">
        <x:v>B</x:v>
      </x:c>
      <x:c r="C1597" s="18" t="n">
        <x:v>6.5224999</x:v>
      </x:c>
      <x:c r="D1597" s="10" t="n">
        <x:v>560</x:v>
      </x:c>
      <x:c r="E1597" s="10" t="n">
        <x:v>0.293831986</x:v>
      </x:c>
      <x:c r="F1597" s="10" t="n">
        <x:v>0.004096</x:v>
      </x:c>
      <x:c r="G1597" s="10" t="n">
        <x:f>SUM(D1597:F1597)</x:f>
        <x:v>560.297927986</x:v>
      </x:c>
    </x:row>
    <x:row r="1598" ht="24" customHeight="1">
      <x:c r="A1598" s="10" t="str">
        <x:v>S03-09</x:v>
      </x:c>
      <x:c r="B1598" s="10" t="str">
        <x:v>B</x:v>
      </x:c>
      <x:c r="C1598" s="18" t="n">
        <x:v>6.5225</x:v>
      </x:c>
      <x:c r="D1598" s="10" t="n">
        <x:v>560</x:v>
      </x:c>
      <x:c r="E1598" s="10" t="n">
        <x:v>0.293832</x:v>
      </x:c>
      <x:c r="F1598" s="10" t="n">
        <x:v>0.004096</x:v>
      </x:c>
      <x:c r="G1598" s="10" t="n">
        <x:f>SUM(D1598:F1598)</x:f>
        <x:v>560.297928</x:v>
      </x:c>
    </x:row>
    <x:row r="1599" ht="24" customHeight="1">
      <x:c r="A1599" s="10" t="str">
        <x:v>S03-09</x:v>
      </x:c>
      <x:c r="B1599" s="10" t="str">
        <x:v>B</x:v>
      </x:c>
      <x:c r="C1599" s="18" t="n">
        <x:v>6.5225001</x:v>
      </x:c>
      <x:c r="D1599" s="10" t="n">
        <x:v>560</x:v>
      </x:c>
      <x:c r="E1599" s="10" t="n">
        <x:v>0.293831995</x:v>
      </x:c>
      <x:c r="F1599" s="10" t="n">
        <x:v>0.004096</x:v>
      </x:c>
      <x:c r="G1599" s="10" t="n">
        <x:f>SUM(D1599:F1599)</x:f>
        <x:v>560.297927995</x:v>
      </x:c>
    </x:row>
    <x:row r="1600" ht="24" customHeight="1">
      <x:c r="A1600" s="10" t="str">
        <x:v>S03-09</x:v>
      </x:c>
      <x:c r="B1600" s="10" t="str">
        <x:v>B</x:v>
      </x:c>
      <x:c r="C1600" s="18" t="n">
        <x:v>12.6439999</x:v>
      </x:c>
      <x:c r="D1600" s="10" t="n">
        <x:v>560</x:v>
      </x:c>
      <x:c r="E1600" s="10" t="n">
        <x:v>5e-9</x:v>
      </x:c>
      <x:c r="F1600" s="10" t="n">
        <x:v>0.004096</x:v>
      </x:c>
      <x:c r="G1600" s="10" t="n">
        <x:f>SUM(D1600:F1600)</x:f>
        <x:v>560.004096005</x:v>
      </x:c>
    </x:row>
    <x:row r="1601" ht="24" customHeight="1">
      <x:c r="A1601" s="10" t="str">
        <x:v>S03-09</x:v>
      </x:c>
      <x:c r="B1601" s="10" t="str">
        <x:v>B</x:v>
      </x:c>
      <x:c r="C1601" s="18" t="n">
        <x:v>12.644</x:v>
      </x:c>
      <x:c r="D1601" s="10" t="n">
        <x:v>560</x:v>
      </x:c>
      <x:c r="E1601" s="10" t="n">
        <x:v>0</x:v>
      </x:c>
      <x:c r="F1601" s="10" t="n">
        <x:v>0.004096</x:v>
      </x:c>
      <x:c r="G1601" s="10" t="n">
        <x:f>SUM(D1601:F1601)</x:f>
        <x:v>560.004096</x:v>
      </x:c>
    </x:row>
    <x:row r="1602" ht="24" customHeight="1">
      <x:c r="A1602" s="10" t="str">
        <x:v>S03-09</x:v>
      </x:c>
      <x:c r="B1602" s="10" t="str">
        <x:v>B</x:v>
      </x:c>
      <x:c r="C1602" s="18" t="n">
        <x:v>12.6440001</x:v>
      </x:c>
      <x:c r="D1602" s="10" t="n">
        <x:v>560</x:v>
      </x:c>
      <x:c r="E1602" s="10" t="n">
        <x:v>0</x:v>
      </x:c>
      <x:c r="F1602" s="10" t="n">
        <x:v>0</x:v>
      </x:c>
      <x:c r="G1602" s="10" t="n">
        <x:f>SUM(D1602:F1602)</x:f>
        <x:v>560</x:v>
      </x:c>
    </x:row>
    <x:row r="1603" ht="24" customHeight="1">
      <x:c r="A1603" s="10" t="str">
        <x:v>S03-10</x:v>
      </x:c>
      <x:c r="B1603" s="10" t="str">
        <x:v>A</x:v>
      </x:c>
      <x:c r="C1603" s="18" t="n">
        <x:v>-6.0000001</x:v>
      </x:c>
      <x:c r="D1603" s="10" t="n">
        <x:v>560</x:v>
      </x:c>
      <x:c r="E1603" s="10" t="n">
        <x:v>0</x:v>
      </x:c>
      <x:c r="F1603" s="10" t="n">
        <x:v>0</x:v>
      </x:c>
      <x:c r="G1603" s="10" t="n">
        <x:f>SUM(D1603:F1603)</x:f>
        <x:v>560</x:v>
      </x:c>
    </x:row>
    <x:row r="1604" ht="24" customHeight="1">
      <x:c r="A1604" s="10" t="str">
        <x:v>S03-10</x:v>
      </x:c>
      <x:c r="B1604" s="10" t="str">
        <x:v>A</x:v>
      </x:c>
      <x:c r="C1604" s="18" t="n">
        <x:v>-6</x:v>
      </x:c>
      <x:c r="D1604" s="10" t="n">
        <x:v>560</x:v>
      </x:c>
      <x:c r="E1604" s="10" t="n">
        <x:v>0</x:v>
      </x:c>
      <x:c r="F1604" s="10" t="n">
        <x:v>0</x:v>
      </x:c>
      <x:c r="G1604" s="10" t="n">
        <x:f>SUM(D1604:F1604)</x:f>
        <x:v>560</x:v>
      </x:c>
    </x:row>
    <x:row r="1605" ht="24" customHeight="1">
      <x:c r="A1605" s="10" t="str">
        <x:v>S03-10</x:v>
      </x:c>
      <x:c r="B1605" s="10" t="str">
        <x:v>A</x:v>
      </x:c>
      <x:c r="C1605" s="18" t="n">
        <x:v>-5.9999999</x:v>
      </x:c>
      <x:c r="D1605" s="10" t="n">
        <x:v>560</x:v>
      </x:c>
      <x:c r="E1605" s="10" t="n">
        <x:v>0</x:v>
      </x:c>
      <x:c r="F1605" s="10" t="n">
        <x:v>0</x:v>
      </x:c>
      <x:c r="G1605" s="10" t="n">
        <x:f>SUM(D1605:F1605)</x:f>
        <x:v>560</x:v>
      </x:c>
    </x:row>
    <x:row r="1606" ht="24" customHeight="1">
      <x:c r="A1606" s="10" t="str">
        <x:v>S03-10</x:v>
      </x:c>
      <x:c r="B1606" s="10" t="str">
        <x:v>A</x:v>
      </x:c>
      <x:c r="C1606" s="18" t="n">
        <x:v>-1.4000001</x:v>
      </x:c>
      <x:c r="D1606" s="10" t="n">
        <x:v>560</x:v>
      </x:c>
      <x:c r="E1606" s="10" t="n">
        <x:v>0</x:v>
      </x:c>
      <x:c r="F1606" s="10" t="n">
        <x:v>0</x:v>
      </x:c>
      <x:c r="G1606" s="10" t="n">
        <x:f>SUM(D1606:F1606)</x:f>
        <x:v>560</x:v>
      </x:c>
    </x:row>
    <x:row r="1607" ht="24" customHeight="1">
      <x:c r="A1607" s="10" t="str">
        <x:v>S03-10</x:v>
      </x:c>
      <x:c r="B1607" s="10" t="str">
        <x:v>A</x:v>
      </x:c>
      <x:c r="C1607" s="18" t="n">
        <x:v>-1.4</x:v>
      </x:c>
      <x:c r="D1607" s="10" t="n">
        <x:v>560</x:v>
      </x:c>
      <x:c r="E1607" s="10" t="n">
        <x:v>0</x:v>
      </x:c>
      <x:c r="F1607" s="10" t="n">
        <x:v>0.004096</x:v>
      </x:c>
      <x:c r="G1607" s="10" t="n">
        <x:f>SUM(D1607:F1607)</x:f>
        <x:v>560.004096</x:v>
      </x:c>
    </x:row>
    <x:row r="1608" ht="24" customHeight="1">
      <x:c r="A1608" s="10" t="str">
        <x:v>S03-10</x:v>
      </x:c>
      <x:c r="B1608" s="10" t="str">
        <x:v>A</x:v>
      </x:c>
      <x:c r="C1608" s="18" t="n">
        <x:v>-1.3999999</x:v>
      </x:c>
      <x:c r="D1608" s="10" t="n">
        <x:v>560</x:v>
      </x:c>
      <x:c r="E1608" s="10" t="n">
        <x:v>0</x:v>
      </x:c>
      <x:c r="F1608" s="10" t="n">
        <x:v>0.004096</x:v>
      </x:c>
      <x:c r="G1608" s="10" t="n">
        <x:f>SUM(D1608:F1608)</x:f>
        <x:v>560.004096</x:v>
      </x:c>
    </x:row>
    <x:row r="1609" ht="24" customHeight="1">
      <x:c r="A1609" s="10" t="str">
        <x:v>S03-10</x:v>
      </x:c>
      <x:c r="B1609" s="10" t="str">
        <x:v>A</x:v>
      </x:c>
      <x:c r="C1609" s="18" t="n">
        <x:v>-1.0000001</x:v>
      </x:c>
      <x:c r="D1609" s="10" t="n">
        <x:v>560</x:v>
      </x:c>
      <x:c r="E1609" s="10" t="n">
        <x:v>0</x:v>
      </x:c>
      <x:c r="F1609" s="10" t="n">
        <x:v>0.004096</x:v>
      </x:c>
      <x:c r="G1609" s="10" t="n">
        <x:f>SUM(D1609:F1609)</x:f>
        <x:v>560.004096</x:v>
      </x:c>
    </x:row>
    <x:row r="1610" ht="24" customHeight="1">
      <x:c r="A1610" s="10" t="str">
        <x:v>S03-10</x:v>
      </x:c>
      <x:c r="B1610" s="10" t="str">
        <x:v>A</x:v>
      </x:c>
      <x:c r="C1610" s="18" t="n">
        <x:v>-1</x:v>
      </x:c>
      <x:c r="D1610" s="10" t="n">
        <x:v>560</x:v>
      </x:c>
      <x:c r="E1610" s="10" t="n">
        <x:v>0</x:v>
      </x:c>
      <x:c r="F1610" s="10" t="n">
        <x:v>0.008192</x:v>
      </x:c>
      <x:c r="G1610" s="10" t="n">
        <x:f>SUM(D1610:F1610)</x:f>
        <x:v>560.008192</x:v>
      </x:c>
    </x:row>
    <x:row r="1611" ht="24" customHeight="1">
      <x:c r="A1611" s="10" t="str">
        <x:v>S03-10</x:v>
      </x:c>
      <x:c r="B1611" s="10" t="str">
        <x:v>A</x:v>
      </x:c>
      <x:c r="C1611" s="18" t="n">
        <x:v>-0.9999999</x:v>
      </x:c>
      <x:c r="D1611" s="10" t="n">
        <x:v>560</x:v>
      </x:c>
      <x:c r="E1611" s="10" t="n">
        <x:v>0</x:v>
      </x:c>
      <x:c r="F1611" s="10" t="n">
        <x:v>0.008192</x:v>
      </x:c>
      <x:c r="G1611" s="10" t="n">
        <x:f>SUM(D1611:F1611)</x:f>
        <x:v>560.008192</x:v>
      </x:c>
    </x:row>
    <x:row r="1612" ht="24" customHeight="1">
      <x:c r="A1612" s="10" t="str">
        <x:v>S03-10</x:v>
      </x:c>
      <x:c r="B1612" s="10" t="str">
        <x:v>A</x:v>
      </x:c>
      <x:c r="C1612" s="18" t="n">
        <x:v>-0.9990001</x:v>
      </x:c>
      <x:c r="D1612" s="10" t="n">
        <x:v>560</x:v>
      </x:c>
      <x:c r="E1612" s="10" t="n">
        <x:v>0</x:v>
      </x:c>
      <x:c r="F1612" s="10" t="n">
        <x:v>0.008192</x:v>
      </x:c>
      <x:c r="G1612" s="10" t="n">
        <x:f>SUM(D1612:F1612)</x:f>
        <x:v>560.008192</x:v>
      </x:c>
    </x:row>
    <x:row r="1613" ht="24" customHeight="1">
      <x:c r="A1613" s="10" t="str">
        <x:v>S03-10</x:v>
      </x:c>
      <x:c r="B1613" s="10" t="str">
        <x:v>A</x:v>
      </x:c>
      <x:c r="C1613" s="18" t="n">
        <x:v>-0.999</x:v>
      </x:c>
      <x:c r="D1613" s="10" t="n">
        <x:v>560</x:v>
      </x:c>
      <x:c r="E1613" s="10" t="n">
        <x:v>0.0096</x:v>
      </x:c>
      <x:c r="F1613" s="10" t="n">
        <x:v>0.008192</x:v>
      </x:c>
      <x:c r="G1613" s="10" t="n">
        <x:f>SUM(D1613:F1613)</x:f>
        <x:v>560.017792</x:v>
      </x:c>
    </x:row>
    <x:row r="1614" ht="24" customHeight="1">
      <x:c r="A1614" s="10" t="str">
        <x:v>S03-10</x:v>
      </x:c>
      <x:c r="B1614" s="10" t="str">
        <x:v>A</x:v>
      </x:c>
      <x:c r="C1614" s="18" t="n">
        <x:v>-0.9989999</x:v>
      </x:c>
      <x:c r="D1614" s="10" t="n">
        <x:v>560</x:v>
      </x:c>
      <x:c r="E1614" s="10" t="n">
        <x:v>0.009600019</x:v>
      </x:c>
      <x:c r="F1614" s="10" t="n">
        <x:v>0.008192</x:v>
      </x:c>
      <x:c r="G1614" s="10" t="n">
        <x:f>SUM(D1614:F1614)</x:f>
        <x:v>560.017792019</x:v>
      </x:c>
    </x:row>
    <x:row r="1615" ht="24" customHeight="1">
      <x:c r="A1615" s="10" t="str">
        <x:v>S03-10</x:v>
      </x:c>
      <x:c r="B1615" s="10" t="str">
        <x:v>A</x:v>
      </x:c>
      <x:c r="C1615" s="18" t="n">
        <x:v>-0.5900001</x:v>
      </x:c>
      <x:c r="D1615" s="10" t="n">
        <x:v>560</x:v>
      </x:c>
      <x:c r="E1615" s="10" t="n">
        <x:v>0.088127981</x:v>
      </x:c>
      <x:c r="F1615" s="10" t="n">
        <x:v>0.008192</x:v>
      </x:c>
      <x:c r="G1615" s="10" t="n">
        <x:f>SUM(D1615:F1615)</x:f>
        <x:v>560.096319981</x:v>
      </x:c>
    </x:row>
    <x:row r="1616" ht="24" customHeight="1">
      <x:c r="A1616" s="10" t="str">
        <x:v>S03-10</x:v>
      </x:c>
      <x:c r="B1616" s="10" t="str">
        <x:v>A</x:v>
      </x:c>
      <x:c r="C1616" s="18" t="n">
        <x:v>-0.59</x:v>
      </x:c>
      <x:c r="D1616" s="10" t="n">
        <x:v>560</x:v>
      </x:c>
      <x:c r="E1616" s="10" t="n">
        <x:v>0.097728</x:v>
      </x:c>
      <x:c r="F1616" s="10" t="n">
        <x:v>0.008192</x:v>
      </x:c>
      <x:c r="G1616" s="10" t="n">
        <x:f>SUM(D1616:F1616)</x:f>
        <x:v>560.10592</x:v>
      </x:c>
    </x:row>
    <x:row r="1617" ht="24" customHeight="1">
      <x:c r="A1617" s="10" t="str">
        <x:v>S03-10</x:v>
      </x:c>
      <x:c r="B1617" s="10" t="str">
        <x:v>A</x:v>
      </x:c>
      <x:c r="C1617" s="18" t="n">
        <x:v>-0.5899999</x:v>
      </x:c>
      <x:c r="D1617" s="10" t="n">
        <x:v>560</x:v>
      </x:c>
      <x:c r="E1617" s="10" t="n">
        <x:v>0.097728038</x:v>
      </x:c>
      <x:c r="F1617" s="10" t="n">
        <x:v>0.008192</x:v>
      </x:c>
      <x:c r="G1617" s="10" t="n">
        <x:f>SUM(D1617:F1617)</x:f>
        <x:v>560.105920038</x:v>
      </x:c>
    </x:row>
    <x:row r="1618" ht="24" customHeight="1">
      <x:c r="A1618" s="10" t="str">
        <x:v>S03-10</x:v>
      </x:c>
      <x:c r="B1618" s="10" t="str">
        <x:v>A</x:v>
      </x:c>
      <x:c r="C1618" s="18" t="n">
        <x:v>-0.3355001</x:v>
      </x:c>
      <x:c r="D1618" s="10" t="n">
        <x:v>560</x:v>
      </x:c>
      <x:c r="E1618" s="10" t="n">
        <x:v>0.195455962</x:v>
      </x:c>
      <x:c r="F1618" s="10" t="n">
        <x:v>0.008192</x:v>
      </x:c>
      <x:c r="G1618" s="10" t="n">
        <x:f>SUM(D1618:F1618)</x:f>
        <x:v>560.203647962</x:v>
      </x:c>
    </x:row>
    <x:row r="1619" ht="24" customHeight="1">
      <x:c r="A1619" s="10" t="str">
        <x:v>S03-10</x:v>
      </x:c>
      <x:c r="B1619" s="10" t="str">
        <x:v>A</x:v>
      </x:c>
      <x:c r="C1619" s="18" t="n">
        <x:v>-0.3355</x:v>
      </x:c>
      <x:c r="D1619" s="10" t="n">
        <x:v>560</x:v>
      </x:c>
      <x:c r="E1619" s="10" t="n">
        <x:v>0.195456</x:v>
      </x:c>
      <x:c r="F1619" s="10" t="n">
        <x:v>0.008192</x:v>
      </x:c>
      <x:c r="G1619" s="10" t="n">
        <x:f>SUM(D1619:F1619)</x:f>
        <x:v>560.203648</x:v>
      </x:c>
    </x:row>
    <x:row r="1620" ht="24" customHeight="1">
      <x:c r="A1620" s="10" t="str">
        <x:v>S03-10</x:v>
      </x:c>
      <x:c r="B1620" s="10" t="str">
        <x:v>A</x:v>
      </x:c>
      <x:c r="C1620" s="18" t="n">
        <x:v>-0.3354999</x:v>
      </x:c>
      <x:c r="D1620" s="10" t="n">
        <x:v>560</x:v>
      </x:c>
      <x:c r="E1620" s="10" t="n">
        <x:v>0.195456019</x:v>
      </x:c>
      <x:c r="F1620" s="10" t="n">
        <x:v>0.008192</x:v>
      </x:c>
      <x:c r="G1620" s="10" t="n">
        <x:f>SUM(D1620:F1620)</x:f>
        <x:v>560.203648019</x:v>
      </x:c>
    </x:row>
    <x:row r="1621" ht="24" customHeight="1">
      <x:c r="A1621" s="10" t="str">
        <x:v>S03-10</x:v>
      </x:c>
      <x:c r="B1621" s="10" t="str">
        <x:v>A</x:v>
      </x:c>
      <x:c r="C1621" s="18" t="n">
        <x:v>-1e-7</x:v>
      </x:c>
      <x:c r="D1621" s="10" t="n">
        <x:v>560</x:v>
      </x:c>
      <x:c r="E1621" s="10" t="n">
        <x:v>0.259871981</x:v>
      </x:c>
      <x:c r="F1621" s="10" t="n">
        <x:v>0.008192</x:v>
      </x:c>
      <x:c r="G1621" s="10" t="n">
        <x:f>SUM(D1621:F1621)</x:f>
        <x:v>560.268063981</x:v>
      </x:c>
    </x:row>
    <x:row r="1622" ht="24" customHeight="1">
      <x:c r="A1622" s="10" t="str">
        <x:v>S03-10</x:v>
      </x:c>
      <x:c r="B1622" s="10" t="str">
        <x:v>A</x:v>
      </x:c>
      <x:c r="C1622" s="18" t="n">
        <x:v>0</x:v>
      </x:c>
      <x:c r="D1622" s="10" t="n">
        <x:v>560</x:v>
      </x:c>
      <x:c r="E1622" s="10" t="n">
        <x:v>0.259872</x:v>
      </x:c>
      <x:c r="F1622" s="10" t="n">
        <x:v>0.008192</x:v>
      </x:c>
      <x:c r="G1622" s="10" t="n">
        <x:f>SUM(D1622:F1622)</x:f>
        <x:v>560.268064</x:v>
      </x:c>
    </x:row>
    <x:row r="1623" ht="24" customHeight="1">
      <x:c r="A1623" s="10" t="str">
        <x:v>S03-10</x:v>
      </x:c>
      <x:c r="B1623" s="10" t="str">
        <x:v>A</x:v>
      </x:c>
      <x:c r="C1623" s="18" t="n">
        <x:v>1e-7</x:v>
      </x:c>
      <x:c r="D1623" s="10" t="n">
        <x:v>560</x:v>
      </x:c>
      <x:c r="E1623" s="10" t="n">
        <x:v>0.259872019</x:v>
      </x:c>
      <x:c r="F1623" s="10" t="n">
        <x:v>0.008192</x:v>
      </x:c>
      <x:c r="G1623" s="10" t="n">
        <x:f>SUM(D1623:F1623)</x:f>
        <x:v>560.268064019</x:v>
      </x:c>
    </x:row>
    <x:row r="1624" ht="24" customHeight="1">
      <x:c r="A1624" s="10" t="str">
        <x:v>S03-10</x:v>
      </x:c>
      <x:c r="B1624" s="10" t="str">
        <x:v>A</x:v>
      </x:c>
      <x:c r="C1624" s="18" t="n">
        <x:v>0.898333233</x:v>
      </x:c>
      <x:c r="D1624" s="10" t="n">
        <x:v>560</x:v>
      </x:c>
      <x:c r="E1624" s="10" t="n">
        <x:v>0.432351981</x:v>
      </x:c>
      <x:c r="F1624" s="10" t="n">
        <x:v>0.008192</x:v>
      </x:c>
      <x:c r="G1624" s="10" t="n">
        <x:f>SUM(D1624:F1624)</x:f>
        <x:v>560.440543981</x:v>
      </x:c>
    </x:row>
    <x:row r="1625" ht="24" customHeight="1">
      <x:c r="A1625" s="10" t="str">
        <x:v>S03-10</x:v>
      </x:c>
      <x:c r="B1625" s="10" t="str">
        <x:v>A</x:v>
      </x:c>
      <x:c r="C1625" s="18" t="n">
        <x:v>0.898333333</x:v>
      </x:c>
      <x:c r="D1625" s="10" t="n">
        <x:v>560</x:v>
      </x:c>
      <x:c r="E1625" s="10" t="n">
        <x:v>0.432352</x:v>
      </x:c>
      <x:c r="F1625" s="10" t="n">
        <x:v>0.008192</x:v>
      </x:c>
      <x:c r="G1625" s="10" t="n">
        <x:f>SUM(D1625:F1625)</x:f>
        <x:v>560.440544</x:v>
      </x:c>
    </x:row>
    <x:row r="1626" ht="24" customHeight="1">
      <x:c r="A1626" s="10" t="str">
        <x:v>S03-10</x:v>
      </x:c>
      <x:c r="B1626" s="10" t="str">
        <x:v>A</x:v>
      </x:c>
      <x:c r="C1626" s="18" t="n">
        <x:v>0.898333433</x:v>
      </x:c>
      <x:c r="D1626" s="10" t="n">
        <x:v>560</x:v>
      </x:c>
      <x:c r="E1626" s="10" t="n">
        <x:v>0.432352019</x:v>
      </x:c>
      <x:c r="F1626" s="10" t="n">
        <x:v>0.008192</x:v>
      </x:c>
      <x:c r="G1626" s="10" t="n">
        <x:f>SUM(D1626:F1626)</x:f>
        <x:v>560.440544019</x:v>
      </x:c>
    </x:row>
    <x:row r="1627" ht="24" customHeight="1">
      <x:c r="A1627" s="10" t="str">
        <x:v>S03-10</x:v>
      </x:c>
      <x:c r="B1627" s="10" t="str">
        <x:v>A</x:v>
      </x:c>
      <x:c r="C1627" s="18" t="n">
        <x:v>0.938333233</x:v>
      </x:c>
      <x:c r="D1627" s="10" t="n">
        <x:v>560</x:v>
      </x:c>
      <x:c r="E1627" s="10" t="n">
        <x:v>0.440031981</x:v>
      </x:c>
      <x:c r="F1627" s="10" t="n">
        <x:v>0.008192</x:v>
      </x:c>
      <x:c r="G1627" s="10" t="n">
        <x:f>SUM(D1627:F1627)</x:f>
        <x:v>560.448223981</x:v>
      </x:c>
    </x:row>
    <x:row r="1628" ht="24" customHeight="1">
      <x:c r="A1628" s="10" t="str">
        <x:v>S03-10</x:v>
      </x:c>
      <x:c r="B1628" s="10" t="str">
        <x:v>A</x:v>
      </x:c>
      <x:c r="C1628" s="18" t="n">
        <x:v>0.938333333</x:v>
      </x:c>
      <x:c r="D1628" s="10" t="n">
        <x:v>560</x:v>
      </x:c>
      <x:c r="E1628" s="10" t="n">
        <x:v>0.440032</x:v>
      </x:c>
      <x:c r="F1628" s="10" t="n">
        <x:v>0.008192</x:v>
      </x:c>
      <x:c r="G1628" s="10" t="n">
        <x:f>SUM(D1628:F1628)</x:f>
        <x:v>560.448224</x:v>
      </x:c>
    </x:row>
    <x:row r="1629" ht="24" customHeight="1">
      <x:c r="A1629" s="10" t="str">
        <x:v>S03-10</x:v>
      </x:c>
      <x:c r="B1629" s="10" t="str">
        <x:v>A</x:v>
      </x:c>
      <x:c r="C1629" s="18" t="n">
        <x:v>0.938333433</x:v>
      </x:c>
      <x:c r="D1629" s="10" t="n">
        <x:v>560</x:v>
      </x:c>
      <x:c r="E1629" s="10" t="n">
        <x:v>0.440032014</x:v>
      </x:c>
      <x:c r="F1629" s="10" t="n">
        <x:v>0.008192</x:v>
      </x:c>
      <x:c r="G1629" s="10" t="n">
        <x:f>SUM(D1629:F1629)</x:f>
        <x:v>560.4482240140001</x:v>
      </x:c>
    </x:row>
    <x:row r="1630" ht="24" customHeight="1">
      <x:c r="A1630" s="10" t="str">
        <x:v>S03-10</x:v>
      </x:c>
      <x:c r="B1630" s="10" t="str">
        <x:v>A</x:v>
      </x:c>
      <x:c r="C1630" s="18" t="n">
        <x:v>0.998333233</x:v>
      </x:c>
      <x:c r="D1630" s="10" t="n">
        <x:v>560</x:v>
      </x:c>
      <x:c r="E1630" s="10" t="n">
        <x:v>0.448671986</x:v>
      </x:c>
      <x:c r="F1630" s="10" t="n">
        <x:v>0.008192</x:v>
      </x:c>
      <x:c r="G1630" s="10" t="n">
        <x:f>SUM(D1630:F1630)</x:f>
        <x:v>560.456863986</x:v>
      </x:c>
    </x:row>
    <x:row r="1631" ht="24" customHeight="1">
      <x:c r="A1631" s="10" t="str">
        <x:v>S03-10</x:v>
      </x:c>
      <x:c r="B1631" s="10" t="str">
        <x:v>A</x:v>
      </x:c>
      <x:c r="C1631" s="18" t="n">
        <x:v>0.998333333</x:v>
      </x:c>
      <x:c r="D1631" s="10" t="n">
        <x:v>560</x:v>
      </x:c>
      <x:c r="E1631" s="10" t="n">
        <x:v>0.448672</x:v>
      </x:c>
      <x:c r="F1631" s="10" t="n">
        <x:v>0.008192</x:v>
      </x:c>
      <x:c r="G1631" s="10" t="n">
        <x:f>SUM(D1631:F1631)</x:f>
        <x:v>560.456864</x:v>
      </x:c>
    </x:row>
    <x:row r="1632" ht="24" customHeight="1">
      <x:c r="A1632" s="10" t="str">
        <x:v>S03-10</x:v>
      </x:c>
      <x:c r="B1632" s="10" t="str">
        <x:v>A</x:v>
      </x:c>
      <x:c r="C1632" s="18" t="n">
        <x:v>0.998333433</x:v>
      </x:c>
      <x:c r="D1632" s="10" t="n">
        <x:v>560</x:v>
      </x:c>
      <x:c r="E1632" s="10" t="n">
        <x:v>0.134111995</x:v>
      </x:c>
      <x:c r="F1632" s="10" t="n">
        <x:v>0.004096</x:v>
      </x:c>
      <x:c r="G1632" s="10" t="n">
        <x:f>SUM(D1632:F1632)</x:f>
        <x:v>560.138207995</x:v>
      </x:c>
    </x:row>
    <x:row r="1633" ht="24" customHeight="1">
      <x:c r="A1633" s="10" t="str">
        <x:v>S03-10</x:v>
      </x:c>
      <x:c r="B1633" s="10" t="str">
        <x:v>A</x:v>
      </x:c>
      <x:c r="C1633" s="18" t="n">
        <x:v>3.418333233</x:v>
      </x:c>
      <x:c r="D1633" s="10" t="n">
        <x:v>560</x:v>
      </x:c>
      <x:c r="E1633" s="10" t="n">
        <x:v>0.017952005</x:v>
      </x:c>
      <x:c r="F1633" s="10" t="n">
        <x:v>0.004096</x:v>
      </x:c>
      <x:c r="G1633" s="10" t="n">
        <x:f>SUM(D1633:F1633)</x:f>
        <x:v>560.022048005</x:v>
      </x:c>
    </x:row>
    <x:row r="1634" ht="24" customHeight="1">
      <x:c r="A1634" s="10" t="str">
        <x:v>S03-10</x:v>
      </x:c>
      <x:c r="B1634" s="10" t="str">
        <x:v>A</x:v>
      </x:c>
      <x:c r="C1634" s="18" t="n">
        <x:v>3.418333333</x:v>
      </x:c>
      <x:c r="D1634" s="10" t="n">
        <x:v>560</x:v>
      </x:c>
      <x:c r="E1634" s="10" t="n">
        <x:v>0.017952</x:v>
      </x:c>
      <x:c r="F1634" s="10" t="n">
        <x:v>0.008192</x:v>
      </x:c>
      <x:c r="G1634" s="10" t="n">
        <x:f>SUM(D1634:F1634)</x:f>
        <x:v>560.026144</x:v>
      </x:c>
    </x:row>
    <x:row r="1635" ht="24" customHeight="1">
      <x:c r="A1635" s="10" t="str">
        <x:v>S03-10</x:v>
      </x:c>
      <x:c r="B1635" s="10" t="str">
        <x:v>A</x:v>
      </x:c>
      <x:c r="C1635" s="18" t="n">
        <x:v>3.418333433</x:v>
      </x:c>
      <x:c r="D1635" s="10" t="n">
        <x:v>560</x:v>
      </x:c>
      <x:c r="E1635" s="10" t="n">
        <x:v>0.017951995</x:v>
      </x:c>
      <x:c r="F1635" s="10" t="n">
        <x:v>0.008192</x:v>
      </x:c>
      <x:c r="G1635" s="10" t="n">
        <x:f>SUM(D1635:F1635)</x:f>
        <x:v>560.026143995</x:v>
      </x:c>
    </x:row>
    <x:row r="1636" ht="24" customHeight="1">
      <x:c r="A1636" s="10" t="str">
        <x:v>S03-10</x:v>
      </x:c>
      <x:c r="B1636" s="10" t="str">
        <x:v>A</x:v>
      </x:c>
      <x:c r="C1636" s="18" t="n">
        <x:v>3.792333233</x:v>
      </x:c>
      <x:c r="D1636" s="10" t="n">
        <x:v>560</x:v>
      </x:c>
      <x:c r="E1636" s="10" t="n">
        <x:v>5e-9</x:v>
      </x:c>
      <x:c r="F1636" s="10" t="n">
        <x:v>0.008192</x:v>
      </x:c>
      <x:c r="G1636" s="10" t="n">
        <x:f>SUM(D1636:F1636)</x:f>
        <x:v>560.008192005</x:v>
      </x:c>
    </x:row>
    <x:row r="1637" ht="24" customHeight="1">
      <x:c r="A1637" s="10" t="str">
        <x:v>S03-10</x:v>
      </x:c>
      <x:c r="B1637" s="10" t="str">
        <x:v>A</x:v>
      </x:c>
      <x:c r="C1637" s="18" t="n">
        <x:v>3.792333333</x:v>
      </x:c>
      <x:c r="D1637" s="10" t="n">
        <x:v>560</x:v>
      </x:c>
      <x:c r="E1637" s="10" t="n">
        <x:v>0</x:v>
      </x:c>
      <x:c r="F1637" s="10" t="n">
        <x:v>0.008192</x:v>
      </x:c>
      <x:c r="G1637" s="10" t="n">
        <x:f>SUM(D1637:F1637)</x:f>
        <x:v>560.008192</x:v>
      </x:c>
    </x:row>
    <x:row r="1638" ht="24" customHeight="1">
      <x:c r="A1638" s="10" t="str">
        <x:v>S03-10</x:v>
      </x:c>
      <x:c r="B1638" s="10" t="str">
        <x:v>A</x:v>
      </x:c>
      <x:c r="C1638" s="18" t="n">
        <x:v>3.792333433</x:v>
      </x:c>
      <x:c r="D1638" s="10" t="n">
        <x:v>560</x:v>
      </x:c>
      <x:c r="E1638" s="10" t="n">
        <x:v>0</x:v>
      </x:c>
      <x:c r="F1638" s="10" t="n">
        <x:v>0.004096</x:v>
      </x:c>
      <x:c r="G1638" s="10" t="n">
        <x:f>SUM(D1638:F1638)</x:f>
        <x:v>560.004096</x:v>
      </x:c>
    </x:row>
    <x:row r="1639" ht="24" customHeight="1">
      <x:c r="A1639" s="10" t="str">
        <x:v>S03-10</x:v>
      </x:c>
      <x:c r="B1639" s="10" t="str">
        <x:v>A</x:v>
      </x:c>
      <x:c r="C1639" s="18" t="n">
        <x:v>3.827333233</x:v>
      </x:c>
      <x:c r="D1639" s="10" t="n">
        <x:v>560</x:v>
      </x:c>
      <x:c r="E1639" s="10" t="n">
        <x:v>0</x:v>
      </x:c>
      <x:c r="F1639" s="10" t="n">
        <x:v>0.004096</x:v>
      </x:c>
      <x:c r="G1639" s="10" t="n">
        <x:f>SUM(D1639:F1639)</x:f>
        <x:v>560.004096</x:v>
      </x:c>
    </x:row>
    <x:row r="1640" ht="24" customHeight="1">
      <x:c r="A1640" s="10" t="str">
        <x:v>S03-10</x:v>
      </x:c>
      <x:c r="B1640" s="10" t="str">
        <x:v>A</x:v>
      </x:c>
      <x:c r="C1640" s="18" t="n">
        <x:v>3.827333333</x:v>
      </x:c>
      <x:c r="D1640" s="10" t="n">
        <x:v>560</x:v>
      </x:c>
      <x:c r="E1640" s="10" t="n">
        <x:v>0.0096</x:v>
      </x:c>
      <x:c r="F1640" s="10" t="n">
        <x:v>0.004096</x:v>
      </x:c>
      <x:c r="G1640" s="10" t="n">
        <x:f>SUM(D1640:F1640)</x:f>
        <x:v>560.013696</x:v>
      </x:c>
    </x:row>
    <x:row r="1641" ht="24" customHeight="1">
      <x:c r="A1641" s="10" t="str">
        <x:v>S03-10</x:v>
      </x:c>
      <x:c r="B1641" s="10" t="str">
        <x:v>A</x:v>
      </x:c>
      <x:c r="C1641" s="18" t="n">
        <x:v>3.827333433</x:v>
      </x:c>
      <x:c r="D1641" s="10" t="n">
        <x:v>560</x:v>
      </x:c>
      <x:c r="E1641" s="10" t="n">
        <x:v>0.009600019</x:v>
      </x:c>
      <x:c r="F1641" s="10" t="n">
        <x:v>0.004096</x:v>
      </x:c>
      <x:c r="G1641" s="10" t="n">
        <x:f>SUM(D1641:F1641)</x:f>
        <x:v>560.013696019</x:v>
      </x:c>
    </x:row>
    <x:row r="1642" ht="24" customHeight="1">
      <x:c r="A1642" s="10" t="str">
        <x:v>S03-10</x:v>
      </x:c>
      <x:c r="B1642" s="10" t="str">
        <x:v>A</x:v>
      </x:c>
      <x:c r="C1642" s="18" t="n">
        <x:v>3.867333233</x:v>
      </x:c>
      <x:c r="D1642" s="10" t="n">
        <x:v>560</x:v>
      </x:c>
      <x:c r="E1642" s="10" t="n">
        <x:v>0.017279981</x:v>
      </x:c>
      <x:c r="F1642" s="10" t="n">
        <x:v>0.004096</x:v>
      </x:c>
      <x:c r="G1642" s="10" t="n">
        <x:f>SUM(D1642:F1642)</x:f>
        <x:v>560.021375981</x:v>
      </x:c>
    </x:row>
    <x:row r="1643" ht="24" customHeight="1">
      <x:c r="A1643" s="10" t="str">
        <x:v>S03-10</x:v>
      </x:c>
      <x:c r="B1643" s="10" t="str">
        <x:v>A</x:v>
      </x:c>
      <x:c r="C1643" s="18" t="n">
        <x:v>3.867333333</x:v>
      </x:c>
      <x:c r="D1643" s="10" t="n">
        <x:v>560</x:v>
      </x:c>
      <x:c r="E1643" s="10" t="n">
        <x:v>0.01728</x:v>
      </x:c>
      <x:c r="F1643" s="10" t="n">
        <x:v>0.004096</x:v>
      </x:c>
      <x:c r="G1643" s="10" t="n">
        <x:f>SUM(D1643:F1643)</x:f>
        <x:v>560.021376</x:v>
      </x:c>
    </x:row>
    <x:row r="1644" ht="24" customHeight="1">
      <x:c r="A1644" s="10" t="str">
        <x:v>S03-10</x:v>
      </x:c>
      <x:c r="B1644" s="10" t="str">
        <x:v>A</x:v>
      </x:c>
      <x:c r="C1644" s="18" t="n">
        <x:v>3.867333433</x:v>
      </x:c>
      <x:c r="D1644" s="10" t="n">
        <x:v>560</x:v>
      </x:c>
      <x:c r="E1644" s="10" t="n">
        <x:v>0.017280014</x:v>
      </x:c>
      <x:c r="F1644" s="10" t="n">
        <x:v>0.004096</x:v>
      </x:c>
      <x:c r="G1644" s="10" t="n">
        <x:f>SUM(D1644:F1644)</x:f>
        <x:v>560.021376014</x:v>
      </x:c>
    </x:row>
    <x:row r="1645" ht="24" customHeight="1">
      <x:c r="A1645" s="10" t="str">
        <x:v>S03-10</x:v>
      </x:c>
      <x:c r="B1645" s="10" t="str">
        <x:v>A</x:v>
      </x:c>
      <x:c r="C1645" s="18" t="n">
        <x:v>5.790833233</x:v>
      </x:c>
      <x:c r="D1645" s="10" t="n">
        <x:v>560</x:v>
      </x:c>
      <x:c r="E1645" s="10" t="n">
        <x:v>0.294263986</x:v>
      </x:c>
      <x:c r="F1645" s="10" t="n">
        <x:v>0.004096</x:v>
      </x:c>
      <x:c r="G1645" s="10" t="n">
        <x:f>SUM(D1645:F1645)</x:f>
        <x:v>560.298359986</x:v>
      </x:c>
    </x:row>
    <x:row r="1646" ht="24" customHeight="1">
      <x:c r="A1646" s="10" t="str">
        <x:v>S03-10</x:v>
      </x:c>
      <x:c r="B1646" s="10" t="str">
        <x:v>A</x:v>
      </x:c>
      <x:c r="C1646" s="18" t="n">
        <x:v>5.790833333</x:v>
      </x:c>
      <x:c r="D1646" s="10" t="n">
        <x:v>560</x:v>
      </x:c>
      <x:c r="E1646" s="10" t="n">
        <x:v>0.294264</x:v>
      </x:c>
      <x:c r="F1646" s="10" t="n">
        <x:v>0.004096</x:v>
      </x:c>
      <x:c r="G1646" s="10" t="n">
        <x:f>SUM(D1646:F1646)</x:f>
        <x:v>560.29836</x:v>
      </x:c>
    </x:row>
    <x:row r="1647" ht="24" customHeight="1">
      <x:c r="A1647" s="10" t="str">
        <x:v>S03-10</x:v>
      </x:c>
      <x:c r="B1647" s="10" t="str">
        <x:v>A</x:v>
      </x:c>
      <x:c r="C1647" s="18" t="n">
        <x:v>5.790833433</x:v>
      </x:c>
      <x:c r="D1647" s="10" t="n">
        <x:v>560</x:v>
      </x:c>
      <x:c r="E1647" s="10" t="n">
        <x:v>0.294263995</x:v>
      </x:c>
      <x:c r="F1647" s="10" t="n">
        <x:v>0.004096</x:v>
      </x:c>
      <x:c r="G1647" s="10" t="n">
        <x:f>SUM(D1647:F1647)</x:f>
        <x:v>560.298359995</x:v>
      </x:c>
    </x:row>
    <x:row r="1648" ht="24" customHeight="1">
      <x:c r="A1648" s="10" t="str">
        <x:v>S03-10</x:v>
      </x:c>
      <x:c r="B1648" s="10" t="str">
        <x:v>A</x:v>
      </x:c>
      <x:c r="C1648" s="18" t="n">
        <x:v>11.921333233</x:v>
      </x:c>
      <x:c r="D1648" s="10" t="n">
        <x:v>560</x:v>
      </x:c>
      <x:c r="E1648" s="10" t="n">
        <x:v>5e-9</x:v>
      </x:c>
      <x:c r="F1648" s="10" t="n">
        <x:v>0.004096</x:v>
      </x:c>
      <x:c r="G1648" s="10" t="n">
        <x:f>SUM(D1648:F1648)</x:f>
        <x:v>560.004096005</x:v>
      </x:c>
    </x:row>
    <x:row r="1649" ht="24" customHeight="1">
      <x:c r="A1649" s="10" t="str">
        <x:v>S03-10</x:v>
      </x:c>
      <x:c r="B1649" s="10" t="str">
        <x:v>A</x:v>
      </x:c>
      <x:c r="C1649" s="18" t="n">
        <x:v>11.921333333</x:v>
      </x:c>
      <x:c r="D1649" s="10" t="n">
        <x:v>560</x:v>
      </x:c>
      <x:c r="E1649" s="10" t="n">
        <x:v>0</x:v>
      </x:c>
      <x:c r="F1649" s="10" t="n">
        <x:v>0.004096</x:v>
      </x:c>
      <x:c r="G1649" s="10" t="n">
        <x:f>SUM(D1649:F1649)</x:f>
        <x:v>560.004096</x:v>
      </x:c>
    </x:row>
    <x:row r="1650" ht="24" customHeight="1">
      <x:c r="A1650" s="10" t="str">
        <x:v>S03-10</x:v>
      </x:c>
      <x:c r="B1650" s="10" t="str">
        <x:v>A</x:v>
      </x:c>
      <x:c r="C1650" s="18" t="n">
        <x:v>11.921333433</x:v>
      </x:c>
      <x:c r="D1650" s="10" t="n">
        <x:v>560</x:v>
      </x:c>
      <x:c r="E1650" s="10" t="n">
        <x:v>0</x:v>
      </x:c>
      <x:c r="F1650" s="10" t="n">
        <x:v>0</x:v>
      </x:c>
      <x:c r="G1650" s="10" t="n">
        <x:f>SUM(D1650:F1650)</x:f>
        <x:v>560</x:v>
      </x:c>
    </x:row>
    <x:row r="1651" ht="24" customHeight="1">
      <x:c r="A1651" s="10" t="str">
        <x:v>S03-10</x:v>
      </x:c>
      <x:c r="B1651" s="10" t="str">
        <x:v>B</x:v>
      </x:c>
      <x:c r="C1651" s="18" t="n">
        <x:v>-6.0000001</x:v>
      </x:c>
      <x:c r="D1651" s="10" t="n">
        <x:v>560</x:v>
      </x:c>
      <x:c r="E1651" s="10" t="n">
        <x:v>0</x:v>
      </x:c>
      <x:c r="F1651" s="10" t="n">
        <x:v>0</x:v>
      </x:c>
      <x:c r="G1651" s="10" t="n">
        <x:f>SUM(D1651:F1651)</x:f>
        <x:v>560</x:v>
      </x:c>
    </x:row>
    <x:row r="1652" ht="24" customHeight="1">
      <x:c r="A1652" s="10" t="str">
        <x:v>S03-10</x:v>
      </x:c>
      <x:c r="B1652" s="10" t="str">
        <x:v>B</x:v>
      </x:c>
      <x:c r="C1652" s="18" t="n">
        <x:v>-6</x:v>
      </x:c>
      <x:c r="D1652" s="10" t="n">
        <x:v>560</x:v>
      </x:c>
      <x:c r="E1652" s="10" t="n">
        <x:v>0</x:v>
      </x:c>
      <x:c r="F1652" s="10" t="n">
        <x:v>0</x:v>
      </x:c>
      <x:c r="G1652" s="10" t="n">
        <x:f>SUM(D1652:F1652)</x:f>
        <x:v>560</x:v>
      </x:c>
    </x:row>
    <x:row r="1653" ht="24" customHeight="1">
      <x:c r="A1653" s="10" t="str">
        <x:v>S03-10</x:v>
      </x:c>
      <x:c r="B1653" s="10" t="str">
        <x:v>B</x:v>
      </x:c>
      <x:c r="C1653" s="18" t="n">
        <x:v>-5.9999999</x:v>
      </x:c>
      <x:c r="D1653" s="10" t="n">
        <x:v>560</x:v>
      </x:c>
      <x:c r="E1653" s="10" t="n">
        <x:v>0</x:v>
      </x:c>
      <x:c r="F1653" s="10" t="n">
        <x:v>0</x:v>
      </x:c>
      <x:c r="G1653" s="10" t="n">
        <x:f>SUM(D1653:F1653)</x:f>
        <x:v>560</x:v>
      </x:c>
    </x:row>
    <x:row r="1654" ht="24" customHeight="1">
      <x:c r="A1654" s="10" t="str">
        <x:v>S03-10</x:v>
      </x:c>
      <x:c r="B1654" s="10" t="str">
        <x:v>B</x:v>
      </x:c>
      <x:c r="C1654" s="18" t="n">
        <x:v>-1e-7</x:v>
      </x:c>
      <x:c r="D1654" s="10" t="n">
        <x:v>560</x:v>
      </x:c>
      <x:c r="E1654" s="10" t="n">
        <x:v>0</x:v>
      </x:c>
      <x:c r="F1654" s="10" t="n">
        <x:v>0</x:v>
      </x:c>
      <x:c r="G1654" s="10" t="n">
        <x:f>SUM(D1654:F1654)</x:f>
        <x:v>560</x:v>
      </x:c>
    </x:row>
    <x:row r="1655" ht="24" customHeight="1">
      <x:c r="A1655" s="10" t="str">
        <x:v>S03-10</x:v>
      </x:c>
      <x:c r="B1655" s="10" t="str">
        <x:v>B</x:v>
      </x:c>
      <x:c r="C1655" s="18" t="n">
        <x:v>0</x:v>
      </x:c>
      <x:c r="D1655" s="10" t="n">
        <x:v>560</x:v>
      </x:c>
      <x:c r="E1655" s="10" t="n">
        <x:v>0</x:v>
      </x:c>
      <x:c r="F1655" s="10" t="n">
        <x:v>0</x:v>
      </x:c>
      <x:c r="G1655" s="10" t="n">
        <x:f>SUM(D1655:F1655)</x:f>
        <x:v>560</x:v>
      </x:c>
    </x:row>
    <x:row r="1656" ht="24" customHeight="1">
      <x:c r="A1656" s="10" t="str">
        <x:v>S03-10</x:v>
      </x:c>
      <x:c r="B1656" s="10" t="str">
        <x:v>B</x:v>
      </x:c>
      <x:c r="C1656" s="18" t="n">
        <x:v>1e-7</x:v>
      </x:c>
      <x:c r="D1656" s="10" t="n">
        <x:v>560</x:v>
      </x:c>
      <x:c r="E1656" s="10" t="n">
        <x:v>0</x:v>
      </x:c>
      <x:c r="F1656" s="10" t="n">
        <x:v>0</x:v>
      </x:c>
      <x:c r="G1656" s="10" t="n">
        <x:f>SUM(D1656:F1656)</x:f>
        <x:v>560</x:v>
      </x:c>
    </x:row>
    <x:row r="1657" ht="24" customHeight="1">
      <x:c r="A1657" s="10" t="str">
        <x:v>S03-10</x:v>
      </x:c>
      <x:c r="B1657" s="10" t="str">
        <x:v>B</x:v>
      </x:c>
      <x:c r="C1657" s="18" t="n">
        <x:v>0.898333233</x:v>
      </x:c>
      <x:c r="D1657" s="10" t="n">
        <x:v>560</x:v>
      </x:c>
      <x:c r="E1657" s="10" t="n">
        <x:v>0</x:v>
      </x:c>
      <x:c r="F1657" s="10" t="n">
        <x:v>0</x:v>
      </x:c>
      <x:c r="G1657" s="10" t="n">
        <x:f>SUM(D1657:F1657)</x:f>
        <x:v>560</x:v>
      </x:c>
    </x:row>
    <x:row r="1658" ht="24" customHeight="1">
      <x:c r="A1658" s="10" t="str">
        <x:v>S03-10</x:v>
      </x:c>
      <x:c r="B1658" s="10" t="str">
        <x:v>B</x:v>
      </x:c>
      <x:c r="C1658" s="18" t="n">
        <x:v>0.898333333</x:v>
      </x:c>
      <x:c r="D1658" s="10" t="n">
        <x:v>560</x:v>
      </x:c>
      <x:c r="E1658" s="10" t="n">
        <x:v>0</x:v>
      </x:c>
      <x:c r="F1658" s="10" t="n">
        <x:v>0.004096</x:v>
      </x:c>
      <x:c r="G1658" s="10" t="n">
        <x:f>SUM(D1658:F1658)</x:f>
        <x:v>560.004096</x:v>
      </x:c>
    </x:row>
    <x:row r="1659" ht="24" customHeight="1">
      <x:c r="A1659" s="10" t="str">
        <x:v>S03-10</x:v>
      </x:c>
      <x:c r="B1659" s="10" t="str">
        <x:v>B</x:v>
      </x:c>
      <x:c r="C1659" s="18" t="n">
        <x:v>0.898333433</x:v>
      </x:c>
      <x:c r="D1659" s="10" t="n">
        <x:v>560</x:v>
      </x:c>
      <x:c r="E1659" s="10" t="n">
        <x:v>0</x:v>
      </x:c>
      <x:c r="F1659" s="10" t="n">
        <x:v>0.004096</x:v>
      </x:c>
      <x:c r="G1659" s="10" t="n">
        <x:f>SUM(D1659:F1659)</x:f>
        <x:v>560.004096</x:v>
      </x:c>
    </x:row>
    <x:row r="1660" ht="24" customHeight="1">
      <x:c r="A1660" s="10" t="str">
        <x:v>S03-10</x:v>
      </x:c>
      <x:c r="B1660" s="10" t="str">
        <x:v>B</x:v>
      </x:c>
      <x:c r="C1660" s="18" t="n">
        <x:v>1.299333233</x:v>
      </x:c>
      <x:c r="D1660" s="10" t="n">
        <x:v>560</x:v>
      </x:c>
      <x:c r="E1660" s="10" t="n">
        <x:v>0</x:v>
      </x:c>
      <x:c r="F1660" s="10" t="n">
        <x:v>0.004096</x:v>
      </x:c>
      <x:c r="G1660" s="10" t="n">
        <x:f>SUM(D1660:F1660)</x:f>
        <x:v>560.004096</x:v>
      </x:c>
    </x:row>
    <x:row r="1661" ht="24" customHeight="1">
      <x:c r="A1661" s="10" t="str">
        <x:v>S03-10</x:v>
      </x:c>
      <x:c r="B1661" s="10" t="str">
        <x:v>B</x:v>
      </x:c>
      <x:c r="C1661" s="18" t="n">
        <x:v>1.299333333</x:v>
      </x:c>
      <x:c r="D1661" s="10" t="n">
        <x:v>560</x:v>
      </x:c>
      <x:c r="E1661" s="10" t="n">
        <x:v>0.0096</x:v>
      </x:c>
      <x:c r="F1661" s="10" t="n">
        <x:v>0.004096</x:v>
      </x:c>
      <x:c r="G1661" s="10" t="n">
        <x:f>SUM(D1661:F1661)</x:f>
        <x:v>560.013696</x:v>
      </x:c>
    </x:row>
    <x:row r="1662" ht="24" customHeight="1">
      <x:c r="A1662" s="10" t="str">
        <x:v>S03-10</x:v>
      </x:c>
      <x:c r="B1662" s="10" t="str">
        <x:v>B</x:v>
      </x:c>
      <x:c r="C1662" s="18" t="n">
        <x:v>1.299333433</x:v>
      </x:c>
      <x:c r="D1662" s="10" t="n">
        <x:v>560</x:v>
      </x:c>
      <x:c r="E1662" s="10" t="n">
        <x:v>0.009600019</x:v>
      </x:c>
      <x:c r="F1662" s="10" t="n">
        <x:v>0.004096</x:v>
      </x:c>
      <x:c r="G1662" s="10" t="n">
        <x:f>SUM(D1662:F1662)</x:f>
        <x:v>560.013696019</x:v>
      </x:c>
    </x:row>
    <x:row r="1663" ht="24" customHeight="1">
      <x:c r="A1663" s="10" t="str">
        <x:v>S03-10</x:v>
      </x:c>
      <x:c r="B1663" s="10" t="str">
        <x:v>B</x:v>
      </x:c>
      <x:c r="C1663" s="18" t="n">
        <x:v>1.339333233</x:v>
      </x:c>
      <x:c r="D1663" s="10" t="n">
        <x:v>560</x:v>
      </x:c>
      <x:c r="E1663" s="10" t="n">
        <x:v>0.017279981</x:v>
      </x:c>
      <x:c r="F1663" s="10" t="n">
        <x:v>0.004096</x:v>
      </x:c>
      <x:c r="G1663" s="10" t="n">
        <x:f>SUM(D1663:F1663)</x:f>
        <x:v>560.021375981</x:v>
      </x:c>
    </x:row>
    <x:row r="1664" ht="24" customHeight="1">
      <x:c r="A1664" s="10" t="str">
        <x:v>S03-10</x:v>
      </x:c>
      <x:c r="B1664" s="10" t="str">
        <x:v>B</x:v>
      </x:c>
      <x:c r="C1664" s="18" t="n">
        <x:v>1.339333333</x:v>
      </x:c>
      <x:c r="D1664" s="10" t="n">
        <x:v>560</x:v>
      </x:c>
      <x:c r="E1664" s="10" t="n">
        <x:v>0.01728</x:v>
      </x:c>
      <x:c r="F1664" s="10" t="n">
        <x:v>0.004096</x:v>
      </x:c>
      <x:c r="G1664" s="10" t="n">
        <x:f>SUM(D1664:F1664)</x:f>
        <x:v>560.021376</x:v>
      </x:c>
    </x:row>
    <x:row r="1665" ht="24" customHeight="1">
      <x:c r="A1665" s="10" t="str">
        <x:v>S03-10</x:v>
      </x:c>
      <x:c r="B1665" s="10" t="str">
        <x:v>B</x:v>
      </x:c>
      <x:c r="C1665" s="18" t="n">
        <x:v>1.339333433</x:v>
      </x:c>
      <x:c r="D1665" s="10" t="n">
        <x:v>560</x:v>
      </x:c>
      <x:c r="E1665" s="10" t="n">
        <x:v>0.017280014</x:v>
      </x:c>
      <x:c r="F1665" s="10" t="n">
        <x:v>0.004096</x:v>
      </x:c>
      <x:c r="G1665" s="10" t="n">
        <x:f>SUM(D1665:F1665)</x:f>
        <x:v>560.021376014</x:v>
      </x:c>
    </x:row>
    <x:row r="1666" ht="24" customHeight="1">
      <x:c r="A1666" s="10" t="str">
        <x:v>S03-10</x:v>
      </x:c>
      <x:c r="B1666" s="10" t="str">
        <x:v>B</x:v>
      </x:c>
      <x:c r="C1666" s="18" t="n">
        <x:v>1.962833233</x:v>
      </x:c>
      <x:c r="D1666" s="10" t="n">
        <x:v>560</x:v>
      </x:c>
      <x:c r="E1666" s="10" t="n">
        <x:v>0.107063986</x:v>
      </x:c>
      <x:c r="F1666" s="10" t="n">
        <x:v>0.004096</x:v>
      </x:c>
      <x:c r="G1666" s="10" t="n">
        <x:f>SUM(D1666:F1666)</x:f>
        <x:v>560.111159986</x:v>
      </x:c>
    </x:row>
    <x:row r="1667" ht="24" customHeight="1">
      <x:c r="A1667" s="10" t="str">
        <x:v>S03-10</x:v>
      </x:c>
      <x:c r="B1667" s="10" t="str">
        <x:v>B</x:v>
      </x:c>
      <x:c r="C1667" s="18" t="n">
        <x:v>1.962833333</x:v>
      </x:c>
      <x:c r="D1667" s="10" t="n">
        <x:v>560</x:v>
      </x:c>
      <x:c r="E1667" s="10" t="n">
        <x:v>0.107064</x:v>
      </x:c>
      <x:c r="F1667" s="10" t="n">
        <x:v>0.004096</x:v>
      </x:c>
      <x:c r="G1667" s="10" t="n">
        <x:f>SUM(D1667:F1667)</x:f>
        <x:v>560.11116</x:v>
      </x:c>
    </x:row>
    <x:row r="1668" ht="24" customHeight="1">
      <x:c r="A1668" s="10" t="str">
        <x:v>S03-10</x:v>
      </x:c>
      <x:c r="B1668" s="10" t="str">
        <x:v>B</x:v>
      </x:c>
      <x:c r="C1668" s="18" t="n">
        <x:v>1.962833433</x:v>
      </x:c>
      <x:c r="D1668" s="10" t="n">
        <x:v>560</x:v>
      </x:c>
      <x:c r="E1668" s="10" t="n">
        <x:v>0.107063995</x:v>
      </x:c>
      <x:c r="F1668" s="10" t="n">
        <x:v>0.004096</x:v>
      </x:c>
      <x:c r="G1668" s="10" t="n">
        <x:f>SUM(D1668:F1668)</x:f>
        <x:v>560.111159995</x:v>
      </x:c>
    </x:row>
    <x:row r="1669" ht="24" customHeight="1">
      <x:c r="A1669" s="10" t="str">
        <x:v>S03-10</x:v>
      </x:c>
      <x:c r="B1669" s="10" t="str">
        <x:v>B</x:v>
      </x:c>
      <x:c r="C1669" s="18" t="n">
        <x:v>4.193333233</x:v>
      </x:c>
      <x:c r="D1669" s="10" t="n">
        <x:v>560</x:v>
      </x:c>
      <x:c r="E1669" s="10" t="n">
        <x:v>5e-9</x:v>
      </x:c>
      <x:c r="F1669" s="10" t="n">
        <x:v>0.004096</x:v>
      </x:c>
      <x:c r="G1669" s="10" t="n">
        <x:f>SUM(D1669:F1669)</x:f>
        <x:v>560.004096005</x:v>
      </x:c>
    </x:row>
    <x:row r="1670" ht="24" customHeight="1">
      <x:c r="A1670" s="10" t="str">
        <x:v>S03-10</x:v>
      </x:c>
      <x:c r="B1670" s="10" t="str">
        <x:v>B</x:v>
      </x:c>
      <x:c r="C1670" s="18" t="n">
        <x:v>4.193333333</x:v>
      </x:c>
      <x:c r="D1670" s="10" t="n">
        <x:v>560</x:v>
      </x:c>
      <x:c r="E1670" s="10" t="n">
        <x:v>0</x:v>
      </x:c>
      <x:c r="F1670" s="10" t="n">
        <x:v>0.008192</x:v>
      </x:c>
      <x:c r="G1670" s="10" t="n">
        <x:f>SUM(D1670:F1670)</x:f>
        <x:v>560.008192</x:v>
      </x:c>
    </x:row>
    <x:row r="1671" ht="24" customHeight="1">
      <x:c r="A1671" s="10" t="str">
        <x:v>S03-10</x:v>
      </x:c>
      <x:c r="B1671" s="10" t="str">
        <x:v>B</x:v>
      </x:c>
      <x:c r="C1671" s="18" t="n">
        <x:v>4.193333433</x:v>
      </x:c>
      <x:c r="D1671" s="10" t="n">
        <x:v>560</x:v>
      </x:c>
      <x:c r="E1671" s="10" t="n">
        <x:v>0</x:v>
      </x:c>
      <x:c r="F1671" s="10" t="n">
        <x:v>0.004096</x:v>
      </x:c>
      <x:c r="G1671" s="10" t="n">
        <x:f>SUM(D1671:F1671)</x:f>
        <x:v>560.004096</x:v>
      </x:c>
    </x:row>
    <x:row r="1672" ht="24" customHeight="1">
      <x:c r="A1672" s="10" t="str">
        <x:v>S03-10</x:v>
      </x:c>
      <x:c r="B1672" s="10" t="str">
        <x:v>B</x:v>
      </x:c>
      <x:c r="C1672" s="18" t="n">
        <x:v>4.602333233</x:v>
      </x:c>
      <x:c r="D1672" s="10" t="n">
        <x:v>560</x:v>
      </x:c>
      <x:c r="E1672" s="10" t="n">
        <x:v>0</x:v>
      </x:c>
      <x:c r="F1672" s="10" t="n">
        <x:v>0.004096</x:v>
      </x:c>
      <x:c r="G1672" s="10" t="n">
        <x:f>SUM(D1672:F1672)</x:f>
        <x:v>560.004096</x:v>
      </x:c>
    </x:row>
    <x:row r="1673" ht="24" customHeight="1">
      <x:c r="A1673" s="10" t="str">
        <x:v>S03-10</x:v>
      </x:c>
      <x:c r="B1673" s="10" t="str">
        <x:v>B</x:v>
      </x:c>
      <x:c r="C1673" s="18" t="n">
        <x:v>4.602333333</x:v>
      </x:c>
      <x:c r="D1673" s="10" t="n">
        <x:v>560</x:v>
      </x:c>
      <x:c r="E1673" s="10" t="n">
        <x:v>0.0096</x:v>
      </x:c>
      <x:c r="F1673" s="10" t="n">
        <x:v>0.004096</x:v>
      </x:c>
      <x:c r="G1673" s="10" t="n">
        <x:f>SUM(D1673:F1673)</x:f>
        <x:v>560.013696</x:v>
      </x:c>
    </x:row>
    <x:row r="1674" ht="24" customHeight="1">
      <x:c r="A1674" s="10" t="str">
        <x:v>S03-10</x:v>
      </x:c>
      <x:c r="B1674" s="10" t="str">
        <x:v>B</x:v>
      </x:c>
      <x:c r="C1674" s="18" t="n">
        <x:v>4.602333433</x:v>
      </x:c>
      <x:c r="D1674" s="10" t="n">
        <x:v>560</x:v>
      </x:c>
      <x:c r="E1674" s="10" t="n">
        <x:v>0.009600019</x:v>
      </x:c>
      <x:c r="F1674" s="10" t="n">
        <x:v>0.004096</x:v>
      </x:c>
      <x:c r="G1674" s="10" t="n">
        <x:f>SUM(D1674:F1674)</x:f>
        <x:v>560.013696019</x:v>
      </x:c>
    </x:row>
    <x:row r="1675" ht="24" customHeight="1">
      <x:c r="A1675" s="10" t="str">
        <x:v>S03-10</x:v>
      </x:c>
      <x:c r="B1675" s="10" t="str">
        <x:v>B</x:v>
      </x:c>
      <x:c r="C1675" s="18" t="n">
        <x:v>4.642333233</x:v>
      </x:c>
      <x:c r="D1675" s="10" t="n">
        <x:v>560</x:v>
      </x:c>
      <x:c r="E1675" s="10" t="n">
        <x:v>0.017279981</x:v>
      </x:c>
      <x:c r="F1675" s="10" t="n">
        <x:v>0.004096</x:v>
      </x:c>
      <x:c r="G1675" s="10" t="n">
        <x:f>SUM(D1675:F1675)</x:f>
        <x:v>560.021375981</x:v>
      </x:c>
    </x:row>
    <x:row r="1676" ht="24" customHeight="1">
      <x:c r="A1676" s="10" t="str">
        <x:v>S03-10</x:v>
      </x:c>
      <x:c r="B1676" s="10" t="str">
        <x:v>B</x:v>
      </x:c>
      <x:c r="C1676" s="18" t="n">
        <x:v>4.642333333</x:v>
      </x:c>
      <x:c r="D1676" s="10" t="n">
        <x:v>560</x:v>
      </x:c>
      <x:c r="E1676" s="10" t="n">
        <x:v>0.01728</x:v>
      </x:c>
      <x:c r="F1676" s="10" t="n">
        <x:v>0.004096</x:v>
      </x:c>
      <x:c r="G1676" s="10" t="n">
        <x:f>SUM(D1676:F1676)</x:f>
        <x:v>560.021376</x:v>
      </x:c>
    </x:row>
    <x:row r="1677" ht="24" customHeight="1">
      <x:c r="A1677" s="10" t="str">
        <x:v>S03-10</x:v>
      </x:c>
      <x:c r="B1677" s="10" t="str">
        <x:v>B</x:v>
      </x:c>
      <x:c r="C1677" s="18" t="n">
        <x:v>4.642333433</x:v>
      </x:c>
      <x:c r="D1677" s="10" t="n">
        <x:v>560</x:v>
      </x:c>
      <x:c r="E1677" s="10" t="n">
        <x:v>0.017280014</x:v>
      </x:c>
      <x:c r="F1677" s="10" t="n">
        <x:v>0.004096</x:v>
      </x:c>
      <x:c r="G1677" s="10" t="n">
        <x:f>SUM(D1677:F1677)</x:f>
        <x:v>560.021376014</x:v>
      </x:c>
    </x:row>
    <x:row r="1678" ht="24" customHeight="1">
      <x:c r="A1678" s="10" t="str">
        <x:v>S03-10</x:v>
      </x:c>
      <x:c r="B1678" s="10" t="str">
        <x:v>B</x:v>
      </x:c>
      <x:c r="C1678" s="18" t="n">
        <x:v>6.565833233</x:v>
      </x:c>
      <x:c r="D1678" s="10" t="n">
        <x:v>560</x:v>
      </x:c>
      <x:c r="E1678" s="10" t="n">
        <x:v>0.294263986</x:v>
      </x:c>
      <x:c r="F1678" s="10" t="n">
        <x:v>0.004096</x:v>
      </x:c>
      <x:c r="G1678" s="10" t="n">
        <x:f>SUM(D1678:F1678)</x:f>
        <x:v>560.298359986</x:v>
      </x:c>
    </x:row>
    <x:row r="1679" ht="24" customHeight="1">
      <x:c r="A1679" s="10" t="str">
        <x:v>S03-10</x:v>
      </x:c>
      <x:c r="B1679" s="10" t="str">
        <x:v>B</x:v>
      </x:c>
      <x:c r="C1679" s="18" t="n">
        <x:v>6.565833333</x:v>
      </x:c>
      <x:c r="D1679" s="10" t="n">
        <x:v>560</x:v>
      </x:c>
      <x:c r="E1679" s="10" t="n">
        <x:v>0.294264</x:v>
      </x:c>
      <x:c r="F1679" s="10" t="n">
        <x:v>0.004096</x:v>
      </x:c>
      <x:c r="G1679" s="10" t="n">
        <x:f>SUM(D1679:F1679)</x:f>
        <x:v>560.29836</x:v>
      </x:c>
    </x:row>
    <x:row r="1680" ht="24" customHeight="1">
      <x:c r="A1680" s="10" t="str">
        <x:v>S03-10</x:v>
      </x:c>
      <x:c r="B1680" s="10" t="str">
        <x:v>B</x:v>
      </x:c>
      <x:c r="C1680" s="18" t="n">
        <x:v>6.565833433</x:v>
      </x:c>
      <x:c r="D1680" s="10" t="n">
        <x:v>560</x:v>
      </x:c>
      <x:c r="E1680" s="10" t="n">
        <x:v>0.294263995</x:v>
      </x:c>
      <x:c r="F1680" s="10" t="n">
        <x:v>0.004096</x:v>
      </x:c>
      <x:c r="G1680" s="10" t="n">
        <x:f>SUM(D1680:F1680)</x:f>
        <x:v>560.298359995</x:v>
      </x:c>
    </x:row>
    <x:row r="1681" ht="24" customHeight="1">
      <x:c r="A1681" s="10" t="str">
        <x:v>S03-10</x:v>
      </x:c>
      <x:c r="B1681" s="10" t="str">
        <x:v>B</x:v>
      </x:c>
      <x:c r="C1681" s="18" t="n">
        <x:v>12.696333233</x:v>
      </x:c>
      <x:c r="D1681" s="10" t="n">
        <x:v>560</x:v>
      </x:c>
      <x:c r="E1681" s="10" t="n">
        <x:v>5e-9</x:v>
      </x:c>
      <x:c r="F1681" s="10" t="n">
        <x:v>0.004096</x:v>
      </x:c>
      <x:c r="G1681" s="10" t="n">
        <x:f>SUM(D1681:F1681)</x:f>
        <x:v>560.004096005</x:v>
      </x:c>
    </x:row>
    <x:row r="1682" ht="24" customHeight="1">
      <x:c r="A1682" s="10" t="str">
        <x:v>S03-10</x:v>
      </x:c>
      <x:c r="B1682" s="10" t="str">
        <x:v>B</x:v>
      </x:c>
      <x:c r="C1682" s="18" t="n">
        <x:v>12.696333333</x:v>
      </x:c>
      <x:c r="D1682" s="10" t="n">
        <x:v>560</x:v>
      </x:c>
      <x:c r="E1682" s="10" t="n">
        <x:v>0</x:v>
      </x:c>
      <x:c r="F1682" s="10" t="n">
        <x:v>0.004096</x:v>
      </x:c>
      <x:c r="G1682" s="10" t="n">
        <x:f>SUM(D1682:F1682)</x:f>
        <x:v>560.004096</x:v>
      </x:c>
    </x:row>
    <x:row r="1683" ht="24" customHeight="1">
      <x:c r="A1683" s="10" t="str">
        <x:v>S03-10</x:v>
      </x:c>
      <x:c r="B1683" s="10" t="str">
        <x:v>B</x:v>
      </x:c>
      <x:c r="C1683" s="18" t="n">
        <x:v>12.696333433</x:v>
      </x:c>
      <x:c r="D1683" s="10" t="n">
        <x:v>560</x:v>
      </x:c>
      <x:c r="E1683" s="10" t="n">
        <x:v>0</x:v>
      </x:c>
      <x:c r="F1683" s="10" t="n">
        <x:v>0</x:v>
      </x:c>
      <x:c r="G1683" s="10" t="n">
        <x:f>SUM(D1683:F1683)</x:f>
        <x:v>560</x:v>
      </x:c>
    </x:row>
    <x:row r="1684" ht="24" customHeight="1">
      <x:c r="A1684" s="10" t="str">
        <x:v>S04-01</x:v>
      </x:c>
      <x:c r="B1684" s="10" t="str">
        <x:v>A</x:v>
      </x:c>
      <x:c r="C1684" s="18" t="n">
        <x:v>-6.0000001</x:v>
      </x:c>
      <x:c r="D1684" s="10" t="n">
        <x:v>560</x:v>
      </x:c>
      <x:c r="E1684" s="10" t="n">
        <x:v>0</x:v>
      </x:c>
      <x:c r="F1684" s="10" t="n">
        <x:v>0</x:v>
      </x:c>
      <x:c r="G1684" s="10" t="n">
        <x:f>SUM(D1684:F1684)</x:f>
        <x:v>560</x:v>
      </x:c>
    </x:row>
    <x:row r="1685" ht="24" customHeight="1">
      <x:c r="A1685" s="10" t="str">
        <x:v>S04-01</x:v>
      </x:c>
      <x:c r="B1685" s="10" t="str">
        <x:v>A</x:v>
      </x:c>
      <x:c r="C1685" s="18" t="n">
        <x:v>-6</x:v>
      </x:c>
      <x:c r="D1685" s="10" t="n">
        <x:v>560</x:v>
      </x:c>
      <x:c r="E1685" s="10" t="n">
        <x:v>0</x:v>
      </x:c>
      <x:c r="F1685" s="10" t="n">
        <x:v>0</x:v>
      </x:c>
      <x:c r="G1685" s="10" t="n">
        <x:f>SUM(D1685:F1685)</x:f>
        <x:v>560</x:v>
      </x:c>
    </x:row>
    <x:row r="1686" ht="24" customHeight="1">
      <x:c r="A1686" s="10" t="str">
        <x:v>S04-01</x:v>
      </x:c>
      <x:c r="B1686" s="10" t="str">
        <x:v>A</x:v>
      </x:c>
      <x:c r="C1686" s="18" t="n">
        <x:v>-5.9999999</x:v>
      </x:c>
      <x:c r="D1686" s="10" t="n">
        <x:v>560</x:v>
      </x:c>
      <x:c r="E1686" s="10" t="n">
        <x:v>0</x:v>
      </x:c>
      <x:c r="F1686" s="10" t="n">
        <x:v>0</x:v>
      </x:c>
      <x:c r="G1686" s="10" t="n">
        <x:f>SUM(D1686:F1686)</x:f>
        <x:v>560</x:v>
      </x:c>
    </x:row>
    <x:row r="1687" ht="24" customHeight="1">
      <x:c r="A1687" s="10" t="str">
        <x:v>S04-01</x:v>
      </x:c>
      <x:c r="B1687" s="10" t="str">
        <x:v>A</x:v>
      </x:c>
      <x:c r="C1687" s="18" t="n">
        <x:v>-1.0000001</x:v>
      </x:c>
      <x:c r="D1687" s="10" t="n">
        <x:v>560</x:v>
      </x:c>
      <x:c r="E1687" s="10" t="n">
        <x:v>0</x:v>
      </x:c>
      <x:c r="F1687" s="10" t="n">
        <x:v>0</x:v>
      </x:c>
      <x:c r="G1687" s="10" t="n">
        <x:f>SUM(D1687:F1687)</x:f>
        <x:v>560</x:v>
      </x:c>
    </x:row>
    <x:row r="1688" ht="24" customHeight="1">
      <x:c r="A1688" s="10" t="str">
        <x:v>S04-01</x:v>
      </x:c>
      <x:c r="B1688" s="10" t="str">
        <x:v>A</x:v>
      </x:c>
      <x:c r="C1688" s="18" t="n">
        <x:v>-1</x:v>
      </x:c>
      <x:c r="D1688" s="10" t="n">
        <x:v>560</x:v>
      </x:c>
      <x:c r="E1688" s="10" t="n">
        <x:v>0</x:v>
      </x:c>
      <x:c r="F1688" s="10" t="n">
        <x:v>0.004096</x:v>
      </x:c>
      <x:c r="G1688" s="10" t="n">
        <x:f>SUM(D1688:F1688)</x:f>
        <x:v>560.004096</x:v>
      </x:c>
    </x:row>
    <x:row r="1689" ht="24" customHeight="1">
      <x:c r="A1689" s="10" t="str">
        <x:v>S04-01</x:v>
      </x:c>
      <x:c r="B1689" s="10" t="str">
        <x:v>A</x:v>
      </x:c>
      <x:c r="C1689" s="18" t="n">
        <x:v>-0.9999999</x:v>
      </x:c>
      <x:c r="D1689" s="10" t="n">
        <x:v>560</x:v>
      </x:c>
      <x:c r="E1689" s="10" t="n">
        <x:v>0</x:v>
      </x:c>
      <x:c r="F1689" s="10" t="n">
        <x:v>0.004096</x:v>
      </x:c>
      <x:c r="G1689" s="10" t="n">
        <x:f>SUM(D1689:F1689)</x:f>
        <x:v>560.004096</x:v>
      </x:c>
    </x:row>
    <x:row r="1690" ht="24" customHeight="1">
      <x:c r="A1690" s="10" t="str">
        <x:v>S04-01</x:v>
      </x:c>
      <x:c r="B1690" s="10" t="str">
        <x:v>A</x:v>
      </x:c>
      <x:c r="C1690" s="18" t="n">
        <x:v>-0.5900001</x:v>
      </x:c>
      <x:c r="D1690" s="10" t="n">
        <x:v>560</x:v>
      </x:c>
      <x:c r="E1690" s="10" t="n">
        <x:v>0</x:v>
      </x:c>
      <x:c r="F1690" s="10" t="n">
        <x:v>0.004096</x:v>
      </x:c>
      <x:c r="G1690" s="10" t="n">
        <x:f>SUM(D1690:F1690)</x:f>
        <x:v>560.004096</x:v>
      </x:c>
    </x:row>
    <x:row r="1691" ht="24" customHeight="1">
      <x:c r="A1691" s="10" t="str">
        <x:v>S04-01</x:v>
      </x:c>
      <x:c r="B1691" s="10" t="str">
        <x:v>A</x:v>
      </x:c>
      <x:c r="C1691" s="18" t="n">
        <x:v>-0.59</x:v>
      </x:c>
      <x:c r="D1691" s="10" t="n">
        <x:v>560</x:v>
      </x:c>
      <x:c r="E1691" s="10" t="n">
        <x:v>0.0096</x:v>
      </x:c>
      <x:c r="F1691" s="10" t="n">
        <x:v>0.004096</x:v>
      </x:c>
      <x:c r="G1691" s="10" t="n">
        <x:f>SUM(D1691:F1691)</x:f>
        <x:v>560.013696</x:v>
      </x:c>
    </x:row>
    <x:row r="1692" ht="24" customHeight="1">
      <x:c r="A1692" s="10" t="str">
        <x:v>S04-01</x:v>
      </x:c>
      <x:c r="B1692" s="10" t="str">
        <x:v>A</x:v>
      </x:c>
      <x:c r="C1692" s="18" t="n">
        <x:v>-0.5899999</x:v>
      </x:c>
      <x:c r="D1692" s="10" t="n">
        <x:v>560</x:v>
      </x:c>
      <x:c r="E1692" s="10" t="n">
        <x:v>0.009600019</x:v>
      </x:c>
      <x:c r="F1692" s="10" t="n">
        <x:v>0.004096</x:v>
      </x:c>
      <x:c r="G1692" s="10" t="n">
        <x:f>SUM(D1692:F1692)</x:f>
        <x:v>560.013696019</x:v>
      </x:c>
    </x:row>
    <x:row r="1693" ht="24" customHeight="1">
      <x:c r="A1693" s="10" t="str">
        <x:v>S04-01</x:v>
      </x:c>
      <x:c r="B1693" s="10" t="str">
        <x:v>A</x:v>
      </x:c>
      <x:c r="C1693" s="18" t="n">
        <x:v>-1e-7</x:v>
      </x:c>
      <x:c r="D1693" s="10" t="n">
        <x:v>560</x:v>
      </x:c>
      <x:c r="E1693" s="10" t="n">
        <x:v>0.122879981</x:v>
      </x:c>
      <x:c r="F1693" s="10" t="n">
        <x:v>0.004096</x:v>
      </x:c>
      <x:c r="G1693" s="10" t="n">
        <x:f>SUM(D1693:F1693)</x:f>
        <x:v>560.126975981</x:v>
      </x:c>
    </x:row>
    <x:row r="1694" ht="24" customHeight="1">
      <x:c r="A1694" s="10" t="str">
        <x:v>S04-01</x:v>
      </x:c>
      <x:c r="B1694" s="10" t="str">
        <x:v>A</x:v>
      </x:c>
      <x:c r="C1694" s="18" t="n">
        <x:v>0</x:v>
      </x:c>
      <x:c r="D1694" s="10" t="n">
        <x:v>560</x:v>
      </x:c>
      <x:c r="E1694" s="10" t="n">
        <x:v>0.12288</x:v>
      </x:c>
      <x:c r="F1694" s="10" t="n">
        <x:v>0.004096</x:v>
      </x:c>
      <x:c r="G1694" s="10" t="n">
        <x:f>SUM(D1694:F1694)</x:f>
        <x:v>560.126976</x:v>
      </x:c>
    </x:row>
    <x:row r="1695" ht="24" customHeight="1">
      <x:c r="A1695" s="10" t="str">
        <x:v>S04-01</x:v>
      </x:c>
      <x:c r="B1695" s="10" t="str">
        <x:v>A</x:v>
      </x:c>
      <x:c r="C1695" s="18" t="n">
        <x:v>1e-7</x:v>
      </x:c>
      <x:c r="D1695" s="10" t="n">
        <x:v>560</x:v>
      </x:c>
      <x:c r="E1695" s="10" t="n">
        <x:v>0.122880019</x:v>
      </x:c>
      <x:c r="F1695" s="10" t="n">
        <x:v>0.004096</x:v>
      </x:c>
      <x:c r="G1695" s="10" t="n">
        <x:f>SUM(D1695:F1695)</x:f>
        <x:v>560.126976019</x:v>
      </x:c>
    </x:row>
    <x:row r="1696" ht="24" customHeight="1">
      <x:c r="A1696" s="10" t="str">
        <x:v>S04-01</x:v>
      </x:c>
      <x:c r="B1696" s="10" t="str">
        <x:v>A</x:v>
      </x:c>
      <x:c r="C1696" s="18" t="n">
        <x:v>0.868333233</x:v>
      </x:c>
      <x:c r="D1696" s="10" t="n">
        <x:v>560</x:v>
      </x:c>
      <x:c r="E1696" s="10" t="n">
        <x:v>0.289599981</x:v>
      </x:c>
      <x:c r="F1696" s="10" t="n">
        <x:v>0.004096</x:v>
      </x:c>
      <x:c r="G1696" s="10" t="n">
        <x:f>SUM(D1696:F1696)</x:f>
        <x:v>560.293695981</x:v>
      </x:c>
    </x:row>
    <x:row r="1697" ht="24" customHeight="1">
      <x:c r="A1697" s="10" t="str">
        <x:v>S04-01</x:v>
      </x:c>
      <x:c r="B1697" s="10" t="str">
        <x:v>A</x:v>
      </x:c>
      <x:c r="C1697" s="18" t="n">
        <x:v>0.868333333</x:v>
      </x:c>
      <x:c r="D1697" s="10" t="n">
        <x:v>560</x:v>
      </x:c>
      <x:c r="E1697" s="10" t="n">
        <x:v>0.2896</x:v>
      </x:c>
      <x:c r="F1697" s="10" t="n">
        <x:v>0.008192</x:v>
      </x:c>
      <x:c r="G1697" s="10" t="n">
        <x:f>SUM(D1697:F1697)</x:f>
        <x:v>560.297792</x:v>
      </x:c>
    </x:row>
    <x:row r="1698" ht="24" customHeight="1">
      <x:c r="A1698" s="10" t="str">
        <x:v>S04-01</x:v>
      </x:c>
      <x:c r="B1698" s="10" t="str">
        <x:v>A</x:v>
      </x:c>
      <x:c r="C1698" s="18" t="n">
        <x:v>0.868333433</x:v>
      </x:c>
      <x:c r="D1698" s="10" t="n">
        <x:v>560</x:v>
      </x:c>
      <x:c r="E1698" s="10" t="n">
        <x:v>0.289600019</x:v>
      </x:c>
      <x:c r="F1698" s="10" t="n">
        <x:v>0.008192</x:v>
      </x:c>
      <x:c r="G1698" s="10" t="n">
        <x:f>SUM(D1698:F1698)</x:f>
        <x:v>560.297792019</x:v>
      </x:c>
    </x:row>
    <x:row r="1699" ht="24" customHeight="1">
      <x:c r="A1699" s="10" t="str">
        <x:v>S04-01</x:v>
      </x:c>
      <x:c r="B1699" s="10" t="str">
        <x:v>A</x:v>
      </x:c>
      <x:c r="C1699" s="18" t="n">
        <x:v>0.968333233</x:v>
      </x:c>
      <x:c r="D1699" s="10" t="n">
        <x:v>560</x:v>
      </x:c>
      <x:c r="E1699" s="10" t="n">
        <x:v>0.308799981</x:v>
      </x:c>
      <x:c r="F1699" s="10" t="n">
        <x:v>0.008192</x:v>
      </x:c>
      <x:c r="G1699" s="10" t="n">
        <x:f>SUM(D1699:F1699)</x:f>
        <x:v>560.316991981</x:v>
      </x:c>
    </x:row>
    <x:row r="1700" ht="24" customHeight="1">
      <x:c r="A1700" s="10" t="str">
        <x:v>S04-01</x:v>
      </x:c>
      <x:c r="B1700" s="10" t="str">
        <x:v>A</x:v>
      </x:c>
      <x:c r="C1700" s="18" t="n">
        <x:v>0.968333333</x:v>
      </x:c>
      <x:c r="D1700" s="10" t="n">
        <x:v>560</x:v>
      </x:c>
      <x:c r="E1700" s="10" t="n">
        <x:v>0.3088</x:v>
      </x:c>
      <x:c r="F1700" s="10" t="n">
        <x:v>0.008192</x:v>
      </x:c>
      <x:c r="G1700" s="10" t="n">
        <x:f>SUM(D1700:F1700)</x:f>
        <x:v>560.316992</x:v>
      </x:c>
    </x:row>
    <x:row r="1701" ht="24" customHeight="1">
      <x:c r="A1701" s="10" t="str">
        <x:v>S04-01</x:v>
      </x:c>
      <x:c r="B1701" s="10" t="str">
        <x:v>A</x:v>
      </x:c>
      <x:c r="C1701" s="18" t="n">
        <x:v>0.968333433</x:v>
      </x:c>
      <x:c r="D1701" s="10" t="n">
        <x:v>560</x:v>
      </x:c>
      <x:c r="E1701" s="10" t="n">
        <x:v>0</x:v>
      </x:c>
      <x:c r="F1701" s="10" t="n">
        <x:v>0.004096</x:v>
      </x:c>
      <x:c r="G1701" s="10" t="n">
        <x:f>SUM(D1701:F1701)</x:f>
        <x:v>560.004096</x:v>
      </x:c>
    </x:row>
    <x:row r="1702" ht="24" customHeight="1">
      <x:c r="A1702" s="10" t="str">
        <x:v>S04-01</x:v>
      </x:c>
      <x:c r="B1702" s="10" t="str">
        <x:v>A</x:v>
      </x:c>
      <x:c r="C1702" s="18" t="n">
        <x:v>1.275666566</x:v>
      </x:c>
      <x:c r="D1702" s="10" t="n">
        <x:v>560</x:v>
      </x:c>
      <x:c r="E1702" s="10" t="n">
        <x:v>0</x:v>
      </x:c>
      <x:c r="F1702" s="10" t="n">
        <x:v>0.004096</x:v>
      </x:c>
      <x:c r="G1702" s="10" t="n">
        <x:f>SUM(D1702:F1702)</x:f>
        <x:v>560.004096</x:v>
      </x:c>
    </x:row>
    <x:row r="1703" ht="24" customHeight="1">
      <x:c r="A1703" s="10" t="str">
        <x:v>S04-01</x:v>
      </x:c>
      <x:c r="B1703" s="10" t="str">
        <x:v>A</x:v>
      </x:c>
      <x:c r="C1703" s="18" t="n">
        <x:v>1.275666666</x:v>
      </x:c>
      <x:c r="D1703" s="10" t="n">
        <x:v>560</x:v>
      </x:c>
      <x:c r="E1703" s="10" t="n">
        <x:v>0.0096</x:v>
      </x:c>
      <x:c r="F1703" s="10" t="n">
        <x:v>0.004096</x:v>
      </x:c>
      <x:c r="G1703" s="10" t="n">
        <x:f>SUM(D1703:F1703)</x:f>
        <x:v>560.013696</x:v>
      </x:c>
    </x:row>
    <x:row r="1704" ht="24" customHeight="1">
      <x:c r="A1704" s="10" t="str">
        <x:v>S04-01</x:v>
      </x:c>
      <x:c r="B1704" s="10" t="str">
        <x:v>A</x:v>
      </x:c>
      <x:c r="C1704" s="18" t="n">
        <x:v>1.275666766</x:v>
      </x:c>
      <x:c r="D1704" s="10" t="n">
        <x:v>560</x:v>
      </x:c>
      <x:c r="E1704" s="10" t="n">
        <x:v>0.009600019</x:v>
      </x:c>
      <x:c r="F1704" s="10" t="n">
        <x:v>0.004096</x:v>
      </x:c>
      <x:c r="G1704" s="10" t="n">
        <x:f>SUM(D1704:F1704)</x:f>
        <x:v>560.013696019</x:v>
      </x:c>
    </x:row>
    <x:row r="1705" ht="24" customHeight="1">
      <x:c r="A1705" s="10" t="str">
        <x:v>S04-01</x:v>
      </x:c>
      <x:c r="B1705" s="10" t="str">
        <x:v>A</x:v>
      </x:c>
      <x:c r="C1705" s="18" t="n">
        <x:v>1.315666566</x:v>
      </x:c>
      <x:c r="D1705" s="10" t="n">
        <x:v>560</x:v>
      </x:c>
      <x:c r="E1705" s="10" t="n">
        <x:v>0.017279981</x:v>
      </x:c>
      <x:c r="F1705" s="10" t="n">
        <x:v>0.004096</x:v>
      </x:c>
      <x:c r="G1705" s="10" t="n">
        <x:f>SUM(D1705:F1705)</x:f>
        <x:v>560.021375981</x:v>
      </x:c>
    </x:row>
    <x:row r="1706" ht="24" customHeight="1">
      <x:c r="A1706" s="10" t="str">
        <x:v>S04-01</x:v>
      </x:c>
      <x:c r="B1706" s="10" t="str">
        <x:v>A</x:v>
      </x:c>
      <x:c r="C1706" s="18" t="n">
        <x:v>1.315666666</x:v>
      </x:c>
      <x:c r="D1706" s="10" t="n">
        <x:v>560</x:v>
      </x:c>
      <x:c r="E1706" s="10" t="n">
        <x:v>0.01728</x:v>
      </x:c>
      <x:c r="F1706" s="10" t="n">
        <x:v>0.004096</x:v>
      </x:c>
      <x:c r="G1706" s="10" t="n">
        <x:f>SUM(D1706:F1706)</x:f>
        <x:v>560.021376</x:v>
      </x:c>
    </x:row>
    <x:row r="1707" ht="24" customHeight="1">
      <x:c r="A1707" s="10" t="str">
        <x:v>S04-01</x:v>
      </x:c>
      <x:c r="B1707" s="10" t="str">
        <x:v>A</x:v>
      </x:c>
      <x:c r="C1707" s="18" t="n">
        <x:v>1.315666766</x:v>
      </x:c>
      <x:c r="D1707" s="10" t="n">
        <x:v>560</x:v>
      </x:c>
      <x:c r="E1707" s="10" t="n">
        <x:v>0.017280014</x:v>
      </x:c>
      <x:c r="F1707" s="10" t="n">
        <x:v>0.004096</x:v>
      </x:c>
      <x:c r="G1707" s="10" t="n">
        <x:f>SUM(D1707:F1707)</x:f>
        <x:v>560.021376014</x:v>
      </x:c>
    </x:row>
    <x:row r="1708" ht="24" customHeight="1">
      <x:c r="A1708" s="10" t="str">
        <x:v>S04-01</x:v>
      </x:c>
      <x:c r="B1708" s="10" t="str">
        <x:v>A</x:v>
      </x:c>
      <x:c r="C1708" s="18" t="n">
        <x:v>2.112166566</x:v>
      </x:c>
      <x:c r="D1708" s="10" t="n">
        <x:v>560</x:v>
      </x:c>
      <x:c r="E1708" s="10" t="n">
        <x:v>0.131975986</x:v>
      </x:c>
      <x:c r="F1708" s="10" t="n">
        <x:v>0.004096</x:v>
      </x:c>
      <x:c r="G1708" s="10" t="n">
        <x:f>SUM(D1708:F1708)</x:f>
        <x:v>560.136071986</x:v>
      </x:c>
    </x:row>
    <x:row r="1709" ht="24" customHeight="1">
      <x:c r="A1709" s="10" t="str">
        <x:v>S04-01</x:v>
      </x:c>
      <x:c r="B1709" s="10" t="str">
        <x:v>A</x:v>
      </x:c>
      <x:c r="C1709" s="18" t="n">
        <x:v>2.112166666</x:v>
      </x:c>
      <x:c r="D1709" s="10" t="n">
        <x:v>560</x:v>
      </x:c>
      <x:c r="E1709" s="10" t="n">
        <x:v>0.131976</x:v>
      </x:c>
      <x:c r="F1709" s="10" t="n">
        <x:v>0.004096</x:v>
      </x:c>
      <x:c r="G1709" s="10" t="n">
        <x:f>SUM(D1709:F1709)</x:f>
        <x:v>560.136072</x:v>
      </x:c>
    </x:row>
    <x:row r="1710" ht="24" customHeight="1">
      <x:c r="A1710" s="10" t="str">
        <x:v>S04-01</x:v>
      </x:c>
      <x:c r="B1710" s="10" t="str">
        <x:v>A</x:v>
      </x:c>
      <x:c r="C1710" s="18" t="n">
        <x:v>2.112166766</x:v>
      </x:c>
      <x:c r="D1710" s="10" t="n">
        <x:v>560</x:v>
      </x:c>
      <x:c r="E1710" s="10" t="n">
        <x:v>0.131975995</x:v>
      </x:c>
      <x:c r="F1710" s="10" t="n">
        <x:v>0.004096</x:v>
      </x:c>
      <x:c r="G1710" s="10" t="n">
        <x:f>SUM(D1710:F1710)</x:f>
        <x:v>560.136071995</x:v>
      </x:c>
    </x:row>
    <x:row r="1711" ht="24" customHeight="1">
      <x:c r="A1711" s="10" t="str">
        <x:v>S04-01</x:v>
      </x:c>
      <x:c r="B1711" s="10" t="str">
        <x:v>A</x:v>
      </x:c>
      <x:c r="C1711" s="18" t="n">
        <x:v>4.861666566</x:v>
      </x:c>
      <x:c r="D1711" s="10" t="n">
        <x:v>560</x:v>
      </x:c>
      <x:c r="E1711" s="10" t="n">
        <x:v>5e-9</x:v>
      </x:c>
      <x:c r="F1711" s="10" t="n">
        <x:v>0.004096</x:v>
      </x:c>
      <x:c r="G1711" s="10" t="n">
        <x:f>SUM(D1711:F1711)</x:f>
        <x:v>560.004096005</x:v>
      </x:c>
    </x:row>
    <x:row r="1712" ht="24" customHeight="1">
      <x:c r="A1712" s="10" t="str">
        <x:v>S04-01</x:v>
      </x:c>
      <x:c r="B1712" s="10" t="str">
        <x:v>A</x:v>
      </x:c>
      <x:c r="C1712" s="18" t="n">
        <x:v>4.861666666</x:v>
      </x:c>
      <x:c r="D1712" s="10" t="n">
        <x:v>560</x:v>
      </x:c>
      <x:c r="E1712" s="10" t="n">
        <x:v>0</x:v>
      </x:c>
      <x:c r="F1712" s="10" t="n">
        <x:v>0.004096</x:v>
      </x:c>
      <x:c r="G1712" s="10" t="n">
        <x:f>SUM(D1712:F1712)</x:f>
        <x:v>560.004096</x:v>
      </x:c>
    </x:row>
    <x:row r="1713" ht="24" customHeight="1">
      <x:c r="A1713" s="10" t="str">
        <x:v>S04-01</x:v>
      </x:c>
      <x:c r="B1713" s="10" t="str">
        <x:v>A</x:v>
      </x:c>
      <x:c r="C1713" s="18" t="n">
        <x:v>4.861666766</x:v>
      </x:c>
      <x:c r="D1713" s="10" t="n">
        <x:v>560</x:v>
      </x:c>
      <x:c r="E1713" s="10" t="n">
        <x:v>0</x:v>
      </x:c>
      <x:c r="F1713" s="10" t="n">
        <x:v>0</x:v>
      </x:c>
      <x:c r="G1713" s="10" t="n">
        <x:f>SUM(D1713:F1713)</x:f>
        <x:v>560</x:v>
      </x:c>
    </x:row>
    <x:row r="1714" ht="24" customHeight="1">
      <x:c r="A1714" s="10" t="str">
        <x:v>S04-01</x:v>
      </x:c>
      <x:c r="B1714" s="10" t="str">
        <x:v>B</x:v>
      </x:c>
      <x:c r="C1714" s="18" t="n">
        <x:v>-6.0000001</x:v>
      </x:c>
      <x:c r="D1714" s="10" t="n">
        <x:v>560</x:v>
      </x:c>
      <x:c r="E1714" s="10" t="n">
        <x:v>0</x:v>
      </x:c>
      <x:c r="F1714" s="10" t="n">
        <x:v>0</x:v>
      </x:c>
      <x:c r="G1714" s="10" t="n">
        <x:f>SUM(D1714:F1714)</x:f>
        <x:v>560</x:v>
      </x:c>
    </x:row>
    <x:row r="1715" ht="24" customHeight="1">
      <x:c r="A1715" s="10" t="str">
        <x:v>S04-01</x:v>
      </x:c>
      <x:c r="B1715" s="10" t="str">
        <x:v>B</x:v>
      </x:c>
      <x:c r="C1715" s="18" t="n">
        <x:v>-6</x:v>
      </x:c>
      <x:c r="D1715" s="10" t="n">
        <x:v>560</x:v>
      </x:c>
      <x:c r="E1715" s="10" t="n">
        <x:v>0</x:v>
      </x:c>
      <x:c r="F1715" s="10" t="n">
        <x:v>0</x:v>
      </x:c>
      <x:c r="G1715" s="10" t="n">
        <x:f>SUM(D1715:F1715)</x:f>
        <x:v>560</x:v>
      </x:c>
    </x:row>
    <x:row r="1716" ht="24" customHeight="1">
      <x:c r="A1716" s="10" t="str">
        <x:v>S04-01</x:v>
      </x:c>
      <x:c r="B1716" s="10" t="str">
        <x:v>B</x:v>
      </x:c>
      <x:c r="C1716" s="18" t="n">
        <x:v>-5.9999999</x:v>
      </x:c>
      <x:c r="D1716" s="10" t="n">
        <x:v>560</x:v>
      </x:c>
      <x:c r="E1716" s="10" t="n">
        <x:v>0</x:v>
      </x:c>
      <x:c r="F1716" s="10" t="n">
        <x:v>0</x:v>
      </x:c>
      <x:c r="G1716" s="10" t="n">
        <x:f>SUM(D1716:F1716)</x:f>
        <x:v>560</x:v>
      </x:c>
    </x:row>
    <x:row r="1717" ht="24" customHeight="1">
      <x:c r="A1717" s="10" t="str">
        <x:v>S04-01</x:v>
      </x:c>
      <x:c r="B1717" s="10" t="str">
        <x:v>B</x:v>
      </x:c>
      <x:c r="C1717" s="18" t="n">
        <x:v>-1e-7</x:v>
      </x:c>
      <x:c r="D1717" s="10" t="n">
        <x:v>560</x:v>
      </x:c>
      <x:c r="E1717" s="10" t="n">
        <x:v>0</x:v>
      </x:c>
      <x:c r="F1717" s="10" t="n">
        <x:v>0</x:v>
      </x:c>
      <x:c r="G1717" s="10" t="n">
        <x:f>SUM(D1717:F1717)</x:f>
        <x:v>560</x:v>
      </x:c>
    </x:row>
    <x:row r="1718" ht="24" customHeight="1">
      <x:c r="A1718" s="10" t="str">
        <x:v>S04-01</x:v>
      </x:c>
      <x:c r="B1718" s="10" t="str">
        <x:v>B</x:v>
      </x:c>
      <x:c r="C1718" s="18" t="n">
        <x:v>0</x:v>
      </x:c>
      <x:c r="D1718" s="10" t="n">
        <x:v>560</x:v>
      </x:c>
      <x:c r="E1718" s="10" t="n">
        <x:v>0</x:v>
      </x:c>
      <x:c r="F1718" s="10" t="n">
        <x:v>0</x:v>
      </x:c>
      <x:c r="G1718" s="10" t="n">
        <x:f>SUM(D1718:F1718)</x:f>
        <x:v>560</x:v>
      </x:c>
    </x:row>
    <x:row r="1719" ht="24" customHeight="1">
      <x:c r="A1719" s="10" t="str">
        <x:v>S04-01</x:v>
      </x:c>
      <x:c r="B1719" s="10" t="str">
        <x:v>B</x:v>
      </x:c>
      <x:c r="C1719" s="18" t="n">
        <x:v>1e-7</x:v>
      </x:c>
      <x:c r="D1719" s="10" t="n">
        <x:v>560</x:v>
      </x:c>
      <x:c r="E1719" s="10" t="n">
        <x:v>0</x:v>
      </x:c>
      <x:c r="F1719" s="10" t="n">
        <x:v>0</x:v>
      </x:c>
      <x:c r="G1719" s="10" t="n">
        <x:f>SUM(D1719:F1719)</x:f>
        <x:v>560</x:v>
      </x:c>
    </x:row>
    <x:row r="1720" ht="24" customHeight="1">
      <x:c r="A1720" s="10" t="str">
        <x:v>S04-01</x:v>
      </x:c>
      <x:c r="B1720" s="10" t="str">
        <x:v>B</x:v>
      </x:c>
      <x:c r="C1720" s="18" t="n">
        <x:v>0.868333233</x:v>
      </x:c>
      <x:c r="D1720" s="10" t="n">
        <x:v>560</x:v>
      </x:c>
      <x:c r="E1720" s="10" t="n">
        <x:v>0</x:v>
      </x:c>
      <x:c r="F1720" s="10" t="n">
        <x:v>0</x:v>
      </x:c>
      <x:c r="G1720" s="10" t="n">
        <x:f>SUM(D1720:F1720)</x:f>
        <x:v>560</x:v>
      </x:c>
    </x:row>
    <x:row r="1721" ht="24" customHeight="1">
      <x:c r="A1721" s="10" t="str">
        <x:v>S04-01</x:v>
      </x:c>
      <x:c r="B1721" s="10" t="str">
        <x:v>B</x:v>
      </x:c>
      <x:c r="C1721" s="18" t="n">
        <x:v>0.868333333</x:v>
      </x:c>
      <x:c r="D1721" s="10" t="n">
        <x:v>560</x:v>
      </x:c>
      <x:c r="E1721" s="10" t="n">
        <x:v>0</x:v>
      </x:c>
      <x:c r="F1721" s="10" t="n">
        <x:v>0.004096</x:v>
      </x:c>
      <x:c r="G1721" s="10" t="n">
        <x:f>SUM(D1721:F1721)</x:f>
        <x:v>560.004096</x:v>
      </x:c>
    </x:row>
    <x:row r="1722" ht="24" customHeight="1">
      <x:c r="A1722" s="10" t="str">
        <x:v>S04-01</x:v>
      </x:c>
      <x:c r="B1722" s="10" t="str">
        <x:v>B</x:v>
      </x:c>
      <x:c r="C1722" s="18" t="n">
        <x:v>0.868333433</x:v>
      </x:c>
      <x:c r="D1722" s="10" t="n">
        <x:v>560</x:v>
      </x:c>
      <x:c r="E1722" s="10" t="n">
        <x:v>0</x:v>
      </x:c>
      <x:c r="F1722" s="10" t="n">
        <x:v>0.004096</x:v>
      </x:c>
      <x:c r="G1722" s="10" t="n">
        <x:f>SUM(D1722:F1722)</x:f>
        <x:v>560.004096</x:v>
      </x:c>
    </x:row>
    <x:row r="1723" ht="24" customHeight="1">
      <x:c r="A1723" s="10" t="str">
        <x:v>S04-01</x:v>
      </x:c>
      <x:c r="B1723" s="10" t="str">
        <x:v>B</x:v>
      </x:c>
      <x:c r="C1723" s="18" t="n">
        <x:v>1.275666566</x:v>
      </x:c>
      <x:c r="D1723" s="10" t="n">
        <x:v>560</x:v>
      </x:c>
      <x:c r="E1723" s="10" t="n">
        <x:v>0</x:v>
      </x:c>
      <x:c r="F1723" s="10" t="n">
        <x:v>0.004096</x:v>
      </x:c>
      <x:c r="G1723" s="10" t="n">
        <x:f>SUM(D1723:F1723)</x:f>
        <x:v>560.004096</x:v>
      </x:c>
    </x:row>
    <x:row r="1724" ht="24" customHeight="1">
      <x:c r="A1724" s="10" t="str">
        <x:v>S04-01</x:v>
      </x:c>
      <x:c r="B1724" s="10" t="str">
        <x:v>B</x:v>
      </x:c>
      <x:c r="C1724" s="18" t="n">
        <x:v>1.275666666</x:v>
      </x:c>
      <x:c r="D1724" s="10" t="n">
        <x:v>560</x:v>
      </x:c>
      <x:c r="E1724" s="10" t="n">
        <x:v>0.0096</x:v>
      </x:c>
      <x:c r="F1724" s="10" t="n">
        <x:v>0.004096</x:v>
      </x:c>
      <x:c r="G1724" s="10" t="n">
        <x:f>SUM(D1724:F1724)</x:f>
        <x:v>560.013696</x:v>
      </x:c>
    </x:row>
    <x:row r="1725" ht="24" customHeight="1">
      <x:c r="A1725" s="10" t="str">
        <x:v>S04-01</x:v>
      </x:c>
      <x:c r="B1725" s="10" t="str">
        <x:v>B</x:v>
      </x:c>
      <x:c r="C1725" s="18" t="n">
        <x:v>1.275666766</x:v>
      </x:c>
      <x:c r="D1725" s="10" t="n">
        <x:v>560</x:v>
      </x:c>
      <x:c r="E1725" s="10" t="n">
        <x:v>0.009600019</x:v>
      </x:c>
      <x:c r="F1725" s="10" t="n">
        <x:v>0.004096</x:v>
      </x:c>
      <x:c r="G1725" s="10" t="n">
        <x:f>SUM(D1725:F1725)</x:f>
        <x:v>560.013696019</x:v>
      </x:c>
    </x:row>
    <x:row r="1726" ht="24" customHeight="1">
      <x:c r="A1726" s="10" t="str">
        <x:v>S04-01</x:v>
      </x:c>
      <x:c r="B1726" s="10" t="str">
        <x:v>B</x:v>
      </x:c>
      <x:c r="C1726" s="18" t="n">
        <x:v>1.315666566</x:v>
      </x:c>
      <x:c r="D1726" s="10" t="n">
        <x:v>560</x:v>
      </x:c>
      <x:c r="E1726" s="10" t="n">
        <x:v>0.017279981</x:v>
      </x:c>
      <x:c r="F1726" s="10" t="n">
        <x:v>0.004096</x:v>
      </x:c>
      <x:c r="G1726" s="10" t="n">
        <x:f>SUM(D1726:F1726)</x:f>
        <x:v>560.021375981</x:v>
      </x:c>
    </x:row>
    <x:row r="1727" ht="24" customHeight="1">
      <x:c r="A1727" s="10" t="str">
        <x:v>S04-01</x:v>
      </x:c>
      <x:c r="B1727" s="10" t="str">
        <x:v>B</x:v>
      </x:c>
      <x:c r="C1727" s="18" t="n">
        <x:v>1.315666666</x:v>
      </x:c>
      <x:c r="D1727" s="10" t="n">
        <x:v>560</x:v>
      </x:c>
      <x:c r="E1727" s="10" t="n">
        <x:v>0.01728</x:v>
      </x:c>
      <x:c r="F1727" s="10" t="n">
        <x:v>0.004096</x:v>
      </x:c>
      <x:c r="G1727" s="10" t="n">
        <x:f>SUM(D1727:F1727)</x:f>
        <x:v>560.021376</x:v>
      </x:c>
    </x:row>
    <x:row r="1728" ht="24" customHeight="1">
      <x:c r="A1728" s="10" t="str">
        <x:v>S04-01</x:v>
      </x:c>
      <x:c r="B1728" s="10" t="str">
        <x:v>B</x:v>
      </x:c>
      <x:c r="C1728" s="18" t="n">
        <x:v>1.315666766</x:v>
      </x:c>
      <x:c r="D1728" s="10" t="n">
        <x:v>560</x:v>
      </x:c>
      <x:c r="E1728" s="10" t="n">
        <x:v>0.017280014</x:v>
      </x:c>
      <x:c r="F1728" s="10" t="n">
        <x:v>0.004096</x:v>
      </x:c>
      <x:c r="G1728" s="10" t="n">
        <x:f>SUM(D1728:F1728)</x:f>
        <x:v>560.021376014</x:v>
      </x:c>
    </x:row>
    <x:row r="1729" ht="24" customHeight="1">
      <x:c r="A1729" s="10" t="str">
        <x:v>S04-01</x:v>
      </x:c>
      <x:c r="B1729" s="10" t="str">
        <x:v>B</x:v>
      </x:c>
      <x:c r="C1729" s="18" t="n">
        <x:v>2.112166566</x:v>
      </x:c>
      <x:c r="D1729" s="10" t="n">
        <x:v>560</x:v>
      </x:c>
      <x:c r="E1729" s="10" t="n">
        <x:v>0.131975986</x:v>
      </x:c>
      <x:c r="F1729" s="10" t="n">
        <x:v>0.004096</x:v>
      </x:c>
      <x:c r="G1729" s="10" t="n">
        <x:f>SUM(D1729:F1729)</x:f>
        <x:v>560.136071986</x:v>
      </x:c>
    </x:row>
    <x:row r="1730" ht="24" customHeight="1">
      <x:c r="A1730" s="10" t="str">
        <x:v>S04-01</x:v>
      </x:c>
      <x:c r="B1730" s="10" t="str">
        <x:v>B</x:v>
      </x:c>
      <x:c r="C1730" s="18" t="n">
        <x:v>2.112166666</x:v>
      </x:c>
      <x:c r="D1730" s="10" t="n">
        <x:v>560</x:v>
      </x:c>
      <x:c r="E1730" s="10" t="n">
        <x:v>0.131976</x:v>
      </x:c>
      <x:c r="F1730" s="10" t="n">
        <x:v>0.004096</x:v>
      </x:c>
      <x:c r="G1730" s="10" t="n">
        <x:f>SUM(D1730:F1730)</x:f>
        <x:v>560.136072</x:v>
      </x:c>
    </x:row>
    <x:row r="1731" ht="24" customHeight="1">
      <x:c r="A1731" s="10" t="str">
        <x:v>S04-01</x:v>
      </x:c>
      <x:c r="B1731" s="10" t="str">
        <x:v>B</x:v>
      </x:c>
      <x:c r="C1731" s="18" t="n">
        <x:v>2.112166766</x:v>
      </x:c>
      <x:c r="D1731" s="10" t="n">
        <x:v>560</x:v>
      </x:c>
      <x:c r="E1731" s="10" t="n">
        <x:v>0.131975995</x:v>
      </x:c>
      <x:c r="F1731" s="10" t="n">
        <x:v>0.004096</x:v>
      </x:c>
      <x:c r="G1731" s="10" t="n">
        <x:f>SUM(D1731:F1731)</x:f>
        <x:v>560.136071995</x:v>
      </x:c>
    </x:row>
    <x:row r="1732" ht="24" customHeight="1">
      <x:c r="A1732" s="10" t="str">
        <x:v>S04-01</x:v>
      </x:c>
      <x:c r="B1732" s="10" t="str">
        <x:v>B</x:v>
      </x:c>
      <x:c r="C1732" s="18" t="n">
        <x:v>4.861666566</x:v>
      </x:c>
      <x:c r="D1732" s="10" t="n">
        <x:v>560</x:v>
      </x:c>
      <x:c r="E1732" s="10" t="n">
        <x:v>5e-9</x:v>
      </x:c>
      <x:c r="F1732" s="10" t="n">
        <x:v>0.004096</x:v>
      </x:c>
      <x:c r="G1732" s="10" t="n">
        <x:f>SUM(D1732:F1732)</x:f>
        <x:v>560.004096005</x:v>
      </x:c>
    </x:row>
    <x:row r="1733" ht="24" customHeight="1">
      <x:c r="A1733" s="10" t="str">
        <x:v>S04-01</x:v>
      </x:c>
      <x:c r="B1733" s="10" t="str">
        <x:v>B</x:v>
      </x:c>
      <x:c r="C1733" s="18" t="n">
        <x:v>4.861666666</x:v>
      </x:c>
      <x:c r="D1733" s="10" t="n">
        <x:v>560</x:v>
      </x:c>
      <x:c r="E1733" s="10" t="n">
        <x:v>0</x:v>
      </x:c>
      <x:c r="F1733" s="10" t="n">
        <x:v>0.004096</x:v>
      </x:c>
      <x:c r="G1733" s="10" t="n">
        <x:f>SUM(D1733:F1733)</x:f>
        <x:v>560.004096</x:v>
      </x:c>
    </x:row>
    <x:row r="1734" ht="24" customHeight="1">
      <x:c r="A1734" s="10" t="str">
        <x:v>S04-01</x:v>
      </x:c>
      <x:c r="B1734" s="10" t="str">
        <x:v>B</x:v>
      </x:c>
      <x:c r="C1734" s="18" t="n">
        <x:v>4.861666766</x:v>
      </x:c>
      <x:c r="D1734" s="10" t="n">
        <x:v>560</x:v>
      </x:c>
      <x:c r="E1734" s="10" t="n">
        <x:v>0</x:v>
      </x:c>
      <x:c r="F1734" s="10" t="n">
        <x:v>0</x:v>
      </x:c>
      <x:c r="G1734" s="10" t="n">
        <x:f>SUM(D1734:F1734)</x:f>
        <x:v>560</x:v>
      </x:c>
    </x:row>
    <x:row r="1735" ht="24" customHeight="1">
      <x:c r="A1735" s="10" t="str">
        <x:v>S04-02</x:v>
      </x:c>
      <x:c r="B1735" s="10" t="str">
        <x:v>A</x:v>
      </x:c>
      <x:c r="C1735" s="18" t="n">
        <x:v>-6.0000001</x:v>
      </x:c>
      <x:c r="D1735" s="10" t="n">
        <x:v>560</x:v>
      </x:c>
      <x:c r="E1735" s="10" t="n">
        <x:v>0</x:v>
      </x:c>
      <x:c r="F1735" s="10" t="n">
        <x:v>0</x:v>
      </x:c>
      <x:c r="G1735" s="10" t="n">
        <x:f>SUM(D1735:F1735)</x:f>
        <x:v>560</x:v>
      </x:c>
    </x:row>
    <x:row r="1736" ht="24" customHeight="1">
      <x:c r="A1736" s="10" t="str">
        <x:v>S04-02</x:v>
      </x:c>
      <x:c r="B1736" s="10" t="str">
        <x:v>A</x:v>
      </x:c>
      <x:c r="C1736" s="18" t="n">
        <x:v>-6</x:v>
      </x:c>
      <x:c r="D1736" s="10" t="n">
        <x:v>560</x:v>
      </x:c>
      <x:c r="E1736" s="10" t="n">
        <x:v>0</x:v>
      </x:c>
      <x:c r="F1736" s="10" t="n">
        <x:v>0</x:v>
      </x:c>
      <x:c r="G1736" s="10" t="n">
        <x:f>SUM(D1736:F1736)</x:f>
        <x:v>560</x:v>
      </x:c>
    </x:row>
    <x:row r="1737" ht="24" customHeight="1">
      <x:c r="A1737" s="10" t="str">
        <x:v>S04-02</x:v>
      </x:c>
      <x:c r="B1737" s="10" t="str">
        <x:v>A</x:v>
      </x:c>
      <x:c r="C1737" s="18" t="n">
        <x:v>-5.9999999</x:v>
      </x:c>
      <x:c r="D1737" s="10" t="n">
        <x:v>560</x:v>
      </x:c>
      <x:c r="E1737" s="10" t="n">
        <x:v>0</x:v>
      </x:c>
      <x:c r="F1737" s="10" t="n">
        <x:v>0</x:v>
      </x:c>
      <x:c r="G1737" s="10" t="n">
        <x:f>SUM(D1737:F1737)</x:f>
        <x:v>560</x:v>
      </x:c>
    </x:row>
    <x:row r="1738" ht="24" customHeight="1">
      <x:c r="A1738" s="10" t="str">
        <x:v>S04-02</x:v>
      </x:c>
      <x:c r="B1738" s="10" t="str">
        <x:v>A</x:v>
      </x:c>
      <x:c r="C1738" s="18" t="n">
        <x:v>-1.0000001</x:v>
      </x:c>
      <x:c r="D1738" s="10" t="n">
        <x:v>560</x:v>
      </x:c>
      <x:c r="E1738" s="10" t="n">
        <x:v>0</x:v>
      </x:c>
      <x:c r="F1738" s="10" t="n">
        <x:v>0</x:v>
      </x:c>
      <x:c r="G1738" s="10" t="n">
        <x:f>SUM(D1738:F1738)</x:f>
        <x:v>560</x:v>
      </x:c>
    </x:row>
    <x:row r="1739" ht="24" customHeight="1">
      <x:c r="A1739" s="10" t="str">
        <x:v>S04-02</x:v>
      </x:c>
      <x:c r="B1739" s="10" t="str">
        <x:v>A</x:v>
      </x:c>
      <x:c r="C1739" s="18" t="n">
        <x:v>-1</x:v>
      </x:c>
      <x:c r="D1739" s="10" t="n">
        <x:v>560</x:v>
      </x:c>
      <x:c r="E1739" s="10" t="n">
        <x:v>0</x:v>
      </x:c>
      <x:c r="F1739" s="10" t="n">
        <x:v>0.004096</x:v>
      </x:c>
      <x:c r="G1739" s="10" t="n">
        <x:f>SUM(D1739:F1739)</x:f>
        <x:v>560.004096</x:v>
      </x:c>
    </x:row>
    <x:row r="1740" ht="24" customHeight="1">
      <x:c r="A1740" s="10" t="str">
        <x:v>S04-02</x:v>
      </x:c>
      <x:c r="B1740" s="10" t="str">
        <x:v>A</x:v>
      </x:c>
      <x:c r="C1740" s="18" t="n">
        <x:v>-0.9999999</x:v>
      </x:c>
      <x:c r="D1740" s="10" t="n">
        <x:v>560</x:v>
      </x:c>
      <x:c r="E1740" s="10" t="n">
        <x:v>0</x:v>
      </x:c>
      <x:c r="F1740" s="10" t="n">
        <x:v>0.004096</x:v>
      </x:c>
      <x:c r="G1740" s="10" t="n">
        <x:f>SUM(D1740:F1740)</x:f>
        <x:v>560.004096</x:v>
      </x:c>
    </x:row>
    <x:row r="1741" ht="24" customHeight="1">
      <x:c r="A1741" s="10" t="str">
        <x:v>S04-02</x:v>
      </x:c>
      <x:c r="B1741" s="10" t="str">
        <x:v>A</x:v>
      </x:c>
      <x:c r="C1741" s="18" t="n">
        <x:v>-0.5900001</x:v>
      </x:c>
      <x:c r="D1741" s="10" t="n">
        <x:v>560</x:v>
      </x:c>
      <x:c r="E1741" s="10" t="n">
        <x:v>0</x:v>
      </x:c>
      <x:c r="F1741" s="10" t="n">
        <x:v>0.004096</x:v>
      </x:c>
      <x:c r="G1741" s="10" t="n">
        <x:f>SUM(D1741:F1741)</x:f>
        <x:v>560.004096</x:v>
      </x:c>
    </x:row>
    <x:row r="1742" ht="24" customHeight="1">
      <x:c r="A1742" s="10" t="str">
        <x:v>S04-02</x:v>
      </x:c>
      <x:c r="B1742" s="10" t="str">
        <x:v>A</x:v>
      </x:c>
      <x:c r="C1742" s="18" t="n">
        <x:v>-0.59</x:v>
      </x:c>
      <x:c r="D1742" s="10" t="n">
        <x:v>560</x:v>
      </x:c>
      <x:c r="E1742" s="10" t="n">
        <x:v>0.0096</x:v>
      </x:c>
      <x:c r="F1742" s="10" t="n">
        <x:v>0.004096</x:v>
      </x:c>
      <x:c r="G1742" s="10" t="n">
        <x:f>SUM(D1742:F1742)</x:f>
        <x:v>560.013696</x:v>
      </x:c>
    </x:row>
    <x:row r="1743" ht="24" customHeight="1">
      <x:c r="A1743" s="10" t="str">
        <x:v>S04-02</x:v>
      </x:c>
      <x:c r="B1743" s="10" t="str">
        <x:v>A</x:v>
      </x:c>
      <x:c r="C1743" s="18" t="n">
        <x:v>-0.5899999</x:v>
      </x:c>
      <x:c r="D1743" s="10" t="n">
        <x:v>560</x:v>
      </x:c>
      <x:c r="E1743" s="10" t="n">
        <x:v>0.009600019</x:v>
      </x:c>
      <x:c r="F1743" s="10" t="n">
        <x:v>0.004096</x:v>
      </x:c>
      <x:c r="G1743" s="10" t="n">
        <x:f>SUM(D1743:F1743)</x:f>
        <x:v>560.013696019</x:v>
      </x:c>
    </x:row>
    <x:row r="1744" ht="24" customHeight="1">
      <x:c r="A1744" s="10" t="str">
        <x:v>S04-02</x:v>
      </x:c>
      <x:c r="B1744" s="10" t="str">
        <x:v>A</x:v>
      </x:c>
      <x:c r="C1744" s="18" t="n">
        <x:v>-1e-7</x:v>
      </x:c>
      <x:c r="D1744" s="10" t="n">
        <x:v>560</x:v>
      </x:c>
      <x:c r="E1744" s="10" t="n">
        <x:v>0.122879981</x:v>
      </x:c>
      <x:c r="F1744" s="10" t="n">
        <x:v>0.004096</x:v>
      </x:c>
      <x:c r="G1744" s="10" t="n">
        <x:f>SUM(D1744:F1744)</x:f>
        <x:v>560.126975981</x:v>
      </x:c>
    </x:row>
    <x:row r="1745" ht="24" customHeight="1">
      <x:c r="A1745" s="10" t="str">
        <x:v>S04-02</x:v>
      </x:c>
      <x:c r="B1745" s="10" t="str">
        <x:v>A</x:v>
      </x:c>
      <x:c r="C1745" s="18" t="n">
        <x:v>0</x:v>
      </x:c>
      <x:c r="D1745" s="10" t="n">
        <x:v>560</x:v>
      </x:c>
      <x:c r="E1745" s="10" t="n">
        <x:v>0.12288</x:v>
      </x:c>
      <x:c r="F1745" s="10" t="n">
        <x:v>0.004096</x:v>
      </x:c>
      <x:c r="G1745" s="10" t="n">
        <x:f>SUM(D1745:F1745)</x:f>
        <x:v>560.126976</x:v>
      </x:c>
    </x:row>
    <x:row r="1746" ht="24" customHeight="1">
      <x:c r="A1746" s="10" t="str">
        <x:v>S04-02</x:v>
      </x:c>
      <x:c r="B1746" s="10" t="str">
        <x:v>A</x:v>
      </x:c>
      <x:c r="C1746" s="18" t="n">
        <x:v>1e-7</x:v>
      </x:c>
      <x:c r="D1746" s="10" t="n">
        <x:v>560</x:v>
      </x:c>
      <x:c r="E1746" s="10" t="n">
        <x:v>0.122880019</x:v>
      </x:c>
      <x:c r="F1746" s="10" t="n">
        <x:v>0.004096</x:v>
      </x:c>
      <x:c r="G1746" s="10" t="n">
        <x:f>SUM(D1746:F1746)</x:f>
        <x:v>560.126976019</x:v>
      </x:c>
    </x:row>
    <x:row r="1747" ht="24" customHeight="1">
      <x:c r="A1747" s="10" t="str">
        <x:v>S04-02</x:v>
      </x:c>
      <x:c r="B1747" s="10" t="str">
        <x:v>A</x:v>
      </x:c>
      <x:c r="C1747" s="18" t="n">
        <x:v>0.896666567</x:v>
      </x:c>
      <x:c r="D1747" s="10" t="n">
        <x:v>560</x:v>
      </x:c>
      <x:c r="E1747" s="10" t="n">
        <x:v>0.295039981</x:v>
      </x:c>
      <x:c r="F1747" s="10" t="n">
        <x:v>0.004096</x:v>
      </x:c>
      <x:c r="G1747" s="10" t="n">
        <x:f>SUM(D1747:F1747)</x:f>
        <x:v>560.299135981</x:v>
      </x:c>
    </x:row>
    <x:row r="1748" ht="24" customHeight="1">
      <x:c r="A1748" s="10" t="str">
        <x:v>S04-02</x:v>
      </x:c>
      <x:c r="B1748" s="10" t="str">
        <x:v>A</x:v>
      </x:c>
      <x:c r="C1748" s="18" t="n">
        <x:v>0.896666667</x:v>
      </x:c>
      <x:c r="D1748" s="10" t="n">
        <x:v>560</x:v>
      </x:c>
      <x:c r="E1748" s="10" t="n">
        <x:v>0.29504</x:v>
      </x:c>
      <x:c r="F1748" s="10" t="n">
        <x:v>0.008192</x:v>
      </x:c>
      <x:c r="G1748" s="10" t="n">
        <x:f>SUM(D1748:F1748)</x:f>
        <x:v>560.303232</x:v>
      </x:c>
    </x:row>
    <x:row r="1749" ht="24" customHeight="1">
      <x:c r="A1749" s="10" t="str">
        <x:v>S04-02</x:v>
      </x:c>
      <x:c r="B1749" s="10" t="str">
        <x:v>A</x:v>
      </x:c>
      <x:c r="C1749" s="18" t="n">
        <x:v>0.896666767</x:v>
      </x:c>
      <x:c r="D1749" s="10" t="n">
        <x:v>560</x:v>
      </x:c>
      <x:c r="E1749" s="10" t="n">
        <x:v>0.295040019</x:v>
      </x:c>
      <x:c r="F1749" s="10" t="n">
        <x:v>0.008192</x:v>
      </x:c>
      <x:c r="G1749" s="10" t="n">
        <x:f>SUM(D1749:F1749)</x:f>
        <x:v>560.303232019</x:v>
      </x:c>
    </x:row>
    <x:row r="1750" ht="24" customHeight="1">
      <x:c r="A1750" s="10" t="str">
        <x:v>S04-02</x:v>
      </x:c>
      <x:c r="B1750" s="10" t="str">
        <x:v>A</x:v>
      </x:c>
      <x:c r="C1750" s="18" t="n">
        <x:v>0.996666567</x:v>
      </x:c>
      <x:c r="D1750" s="10" t="n">
        <x:v>560</x:v>
      </x:c>
      <x:c r="E1750" s="10" t="n">
        <x:v>0.314239981</x:v>
      </x:c>
      <x:c r="F1750" s="10" t="n">
        <x:v>0.008192</x:v>
      </x:c>
      <x:c r="G1750" s="10" t="n">
        <x:f>SUM(D1750:F1750)</x:f>
        <x:v>560.322431981</x:v>
      </x:c>
    </x:row>
    <x:row r="1751" ht="24" customHeight="1">
      <x:c r="A1751" s="10" t="str">
        <x:v>S04-02</x:v>
      </x:c>
      <x:c r="B1751" s="10" t="str">
        <x:v>A</x:v>
      </x:c>
      <x:c r="C1751" s="18" t="n">
        <x:v>0.996666667</x:v>
      </x:c>
      <x:c r="D1751" s="10" t="n">
        <x:v>560</x:v>
      </x:c>
      <x:c r="E1751" s="10" t="n">
        <x:v>0.31424</x:v>
      </x:c>
      <x:c r="F1751" s="10" t="n">
        <x:v>0.008192</x:v>
      </x:c>
      <x:c r="G1751" s="10" t="n">
        <x:f>SUM(D1751:F1751)</x:f>
        <x:v>560.322432</x:v>
      </x:c>
    </x:row>
    <x:row r="1752" ht="24" customHeight="1">
      <x:c r="A1752" s="10" t="str">
        <x:v>S04-02</x:v>
      </x:c>
      <x:c r="B1752" s="10" t="str">
        <x:v>A</x:v>
      </x:c>
      <x:c r="C1752" s="18" t="n">
        <x:v>0.996666767</x:v>
      </x:c>
      <x:c r="D1752" s="10" t="n">
        <x:v>560</x:v>
      </x:c>
      <x:c r="E1752" s="10" t="n">
        <x:v>0</x:v>
      </x:c>
      <x:c r="F1752" s="10" t="n">
        <x:v>0.004096</x:v>
      </x:c>
      <x:c r="G1752" s="10" t="n">
        <x:f>SUM(D1752:F1752)</x:f>
        <x:v>560.004096</x:v>
      </x:c>
    </x:row>
    <x:row r="1753" ht="24" customHeight="1">
      <x:c r="A1753" s="10" t="str">
        <x:v>S04-02</x:v>
      </x:c>
      <x:c r="B1753" s="10" t="str">
        <x:v>A</x:v>
      </x:c>
      <x:c r="C1753" s="18" t="n">
        <x:v>1.3039999</x:v>
      </x:c>
      <x:c r="D1753" s="10" t="n">
        <x:v>560</x:v>
      </x:c>
      <x:c r="E1753" s="10" t="n">
        <x:v>0</x:v>
      </x:c>
      <x:c r="F1753" s="10" t="n">
        <x:v>0.004096</x:v>
      </x:c>
      <x:c r="G1753" s="10" t="n">
        <x:f>SUM(D1753:F1753)</x:f>
        <x:v>560.004096</x:v>
      </x:c>
    </x:row>
    <x:row r="1754" ht="24" customHeight="1">
      <x:c r="A1754" s="10" t="str">
        <x:v>S04-02</x:v>
      </x:c>
      <x:c r="B1754" s="10" t="str">
        <x:v>A</x:v>
      </x:c>
      <x:c r="C1754" s="18" t="n">
        <x:v>1.304</x:v>
      </x:c>
      <x:c r="D1754" s="10" t="n">
        <x:v>560</x:v>
      </x:c>
      <x:c r="E1754" s="10" t="n">
        <x:v>0.0096</x:v>
      </x:c>
      <x:c r="F1754" s="10" t="n">
        <x:v>0.004096</x:v>
      </x:c>
      <x:c r="G1754" s="10" t="n">
        <x:f>SUM(D1754:F1754)</x:f>
        <x:v>560.013696</x:v>
      </x:c>
    </x:row>
    <x:row r="1755" ht="24" customHeight="1">
      <x:c r="A1755" s="10" t="str">
        <x:v>S04-02</x:v>
      </x:c>
      <x:c r="B1755" s="10" t="str">
        <x:v>A</x:v>
      </x:c>
      <x:c r="C1755" s="18" t="n">
        <x:v>1.3040001</x:v>
      </x:c>
      <x:c r="D1755" s="10" t="n">
        <x:v>560</x:v>
      </x:c>
      <x:c r="E1755" s="10" t="n">
        <x:v>0.009600019</x:v>
      </x:c>
      <x:c r="F1755" s="10" t="n">
        <x:v>0.004096</x:v>
      </x:c>
      <x:c r="G1755" s="10" t="n">
        <x:f>SUM(D1755:F1755)</x:f>
        <x:v>560.013696019</x:v>
      </x:c>
    </x:row>
    <x:row r="1756" ht="24" customHeight="1">
      <x:c r="A1756" s="10" t="str">
        <x:v>S04-02</x:v>
      </x:c>
      <x:c r="B1756" s="10" t="str">
        <x:v>A</x:v>
      </x:c>
      <x:c r="C1756" s="18" t="n">
        <x:v>1.3439999</x:v>
      </x:c>
      <x:c r="D1756" s="10" t="n">
        <x:v>560</x:v>
      </x:c>
      <x:c r="E1756" s="10" t="n">
        <x:v>0.017279981</x:v>
      </x:c>
      <x:c r="F1756" s="10" t="n">
        <x:v>0.004096</x:v>
      </x:c>
      <x:c r="G1756" s="10" t="n">
        <x:f>SUM(D1756:F1756)</x:f>
        <x:v>560.021375981</x:v>
      </x:c>
    </x:row>
    <x:row r="1757" ht="24" customHeight="1">
      <x:c r="A1757" s="10" t="str">
        <x:v>S04-02</x:v>
      </x:c>
      <x:c r="B1757" s="10" t="str">
        <x:v>A</x:v>
      </x:c>
      <x:c r="C1757" s="18" t="n">
        <x:v>1.344</x:v>
      </x:c>
      <x:c r="D1757" s="10" t="n">
        <x:v>560</x:v>
      </x:c>
      <x:c r="E1757" s="10" t="n">
        <x:v>0.01728</x:v>
      </x:c>
      <x:c r="F1757" s="10" t="n">
        <x:v>0.004096</x:v>
      </x:c>
      <x:c r="G1757" s="10" t="n">
        <x:f>SUM(D1757:F1757)</x:f>
        <x:v>560.021376</x:v>
      </x:c>
    </x:row>
    <x:row r="1758" ht="24" customHeight="1">
      <x:c r="A1758" s="10" t="str">
        <x:v>S04-02</x:v>
      </x:c>
      <x:c r="B1758" s="10" t="str">
        <x:v>A</x:v>
      </x:c>
      <x:c r="C1758" s="18" t="n">
        <x:v>1.3440001</x:v>
      </x:c>
      <x:c r="D1758" s="10" t="n">
        <x:v>560</x:v>
      </x:c>
      <x:c r="E1758" s="10" t="n">
        <x:v>0.017280014</x:v>
      </x:c>
      <x:c r="F1758" s="10" t="n">
        <x:v>0.004096</x:v>
      </x:c>
      <x:c r="G1758" s="10" t="n">
        <x:f>SUM(D1758:F1758)</x:f>
        <x:v>560.021376014</x:v>
      </x:c>
    </x:row>
    <x:row r="1759" ht="24" customHeight="1">
      <x:c r="A1759" s="10" t="str">
        <x:v>S04-02</x:v>
      </x:c>
      <x:c r="B1759" s="10" t="str">
        <x:v>A</x:v>
      </x:c>
      <x:c r="C1759" s="18" t="n">
        <x:v>2.1434999</x:v>
      </x:c>
      <x:c r="D1759" s="10" t="n">
        <x:v>560</x:v>
      </x:c>
      <x:c r="E1759" s="10" t="n">
        <x:v>0.132407986</x:v>
      </x:c>
      <x:c r="F1759" s="10" t="n">
        <x:v>0.004096</x:v>
      </x:c>
      <x:c r="G1759" s="10" t="n">
        <x:f>SUM(D1759:F1759)</x:f>
        <x:v>560.136503986</x:v>
      </x:c>
    </x:row>
    <x:row r="1760" ht="24" customHeight="1">
      <x:c r="A1760" s="10" t="str">
        <x:v>S04-02</x:v>
      </x:c>
      <x:c r="B1760" s="10" t="str">
        <x:v>A</x:v>
      </x:c>
      <x:c r="C1760" s="18" t="n">
        <x:v>2.1435</x:v>
      </x:c>
      <x:c r="D1760" s="10" t="n">
        <x:v>560</x:v>
      </x:c>
      <x:c r="E1760" s="10" t="n">
        <x:v>0.132408</x:v>
      </x:c>
      <x:c r="F1760" s="10" t="n">
        <x:v>0.004096</x:v>
      </x:c>
      <x:c r="G1760" s="10" t="n">
        <x:f>SUM(D1760:F1760)</x:f>
        <x:v>560.1365040000001</x:v>
      </x:c>
    </x:row>
    <x:row r="1761" ht="24" customHeight="1">
      <x:c r="A1761" s="10" t="str">
        <x:v>S04-02</x:v>
      </x:c>
      <x:c r="B1761" s="10" t="str">
        <x:v>A</x:v>
      </x:c>
      <x:c r="C1761" s="18" t="n">
        <x:v>2.1435001</x:v>
      </x:c>
      <x:c r="D1761" s="10" t="n">
        <x:v>560</x:v>
      </x:c>
      <x:c r="E1761" s="10" t="n">
        <x:v>0.132407995</x:v>
      </x:c>
      <x:c r="F1761" s="10" t="n">
        <x:v>0.004096</x:v>
      </x:c>
      <x:c r="G1761" s="10" t="n">
        <x:f>SUM(D1761:F1761)</x:f>
        <x:v>560.136503995</x:v>
      </x:c>
    </x:row>
    <x:row r="1762" ht="24" customHeight="1">
      <x:c r="A1762" s="10" t="str">
        <x:v>S04-02</x:v>
      </x:c>
      <x:c r="B1762" s="10" t="str">
        <x:v>A</x:v>
      </x:c>
      <x:c r="C1762" s="18" t="n">
        <x:v>4.9019999</x:v>
      </x:c>
      <x:c r="D1762" s="10" t="n">
        <x:v>560</x:v>
      </x:c>
      <x:c r="E1762" s="10" t="n">
        <x:v>5e-9</x:v>
      </x:c>
      <x:c r="F1762" s="10" t="n">
        <x:v>0.004096</x:v>
      </x:c>
      <x:c r="G1762" s="10" t="n">
        <x:f>SUM(D1762:F1762)</x:f>
        <x:v>560.004096005</x:v>
      </x:c>
    </x:row>
    <x:row r="1763" ht="24" customHeight="1">
      <x:c r="A1763" s="10" t="str">
        <x:v>S04-02</x:v>
      </x:c>
      <x:c r="B1763" s="10" t="str">
        <x:v>A</x:v>
      </x:c>
      <x:c r="C1763" s="18" t="n">
        <x:v>4.902</x:v>
      </x:c>
      <x:c r="D1763" s="10" t="n">
        <x:v>560</x:v>
      </x:c>
      <x:c r="E1763" s="10" t="n">
        <x:v>0</x:v>
      </x:c>
      <x:c r="F1763" s="10" t="n">
        <x:v>0.004096</x:v>
      </x:c>
      <x:c r="G1763" s="10" t="n">
        <x:f>SUM(D1763:F1763)</x:f>
        <x:v>560.004096</x:v>
      </x:c>
    </x:row>
    <x:row r="1764" ht="24" customHeight="1">
      <x:c r="A1764" s="10" t="str">
        <x:v>S04-02</x:v>
      </x:c>
      <x:c r="B1764" s="10" t="str">
        <x:v>A</x:v>
      </x:c>
      <x:c r="C1764" s="18" t="n">
        <x:v>4.9020001</x:v>
      </x:c>
      <x:c r="D1764" s="10" t="n">
        <x:v>560</x:v>
      </x:c>
      <x:c r="E1764" s="10" t="n">
        <x:v>0</x:v>
      </x:c>
      <x:c r="F1764" s="10" t="n">
        <x:v>0</x:v>
      </x:c>
      <x:c r="G1764" s="10" t="n">
        <x:f>SUM(D1764:F1764)</x:f>
        <x:v>560</x:v>
      </x:c>
    </x:row>
    <x:row r="1765" ht="24" customHeight="1">
      <x:c r="A1765" s="10" t="str">
        <x:v>S04-02</x:v>
      </x:c>
      <x:c r="B1765" s="10" t="str">
        <x:v>B</x:v>
      </x:c>
      <x:c r="C1765" s="18" t="n">
        <x:v>-6.0000001</x:v>
      </x:c>
      <x:c r="D1765" s="10" t="n">
        <x:v>560</x:v>
      </x:c>
      <x:c r="E1765" s="10" t="n">
        <x:v>0</x:v>
      </x:c>
      <x:c r="F1765" s="10" t="n">
        <x:v>0</x:v>
      </x:c>
      <x:c r="G1765" s="10" t="n">
        <x:f>SUM(D1765:F1765)</x:f>
        <x:v>560</x:v>
      </x:c>
    </x:row>
    <x:row r="1766" ht="24" customHeight="1">
      <x:c r="A1766" s="10" t="str">
        <x:v>S04-02</x:v>
      </x:c>
      <x:c r="B1766" s="10" t="str">
        <x:v>B</x:v>
      </x:c>
      <x:c r="C1766" s="18" t="n">
        <x:v>-6</x:v>
      </x:c>
      <x:c r="D1766" s="10" t="n">
        <x:v>560</x:v>
      </x:c>
      <x:c r="E1766" s="10" t="n">
        <x:v>0</x:v>
      </x:c>
      <x:c r="F1766" s="10" t="n">
        <x:v>0</x:v>
      </x:c>
      <x:c r="G1766" s="10" t="n">
        <x:f>SUM(D1766:F1766)</x:f>
        <x:v>560</x:v>
      </x:c>
    </x:row>
    <x:row r="1767" ht="24" customHeight="1">
      <x:c r="A1767" s="10" t="str">
        <x:v>S04-02</x:v>
      </x:c>
      <x:c r="B1767" s="10" t="str">
        <x:v>B</x:v>
      </x:c>
      <x:c r="C1767" s="18" t="n">
        <x:v>-5.9999999</x:v>
      </x:c>
      <x:c r="D1767" s="10" t="n">
        <x:v>560</x:v>
      </x:c>
      <x:c r="E1767" s="10" t="n">
        <x:v>0</x:v>
      </x:c>
      <x:c r="F1767" s="10" t="n">
        <x:v>0</x:v>
      </x:c>
      <x:c r="G1767" s="10" t="n">
        <x:f>SUM(D1767:F1767)</x:f>
        <x:v>560</x:v>
      </x:c>
    </x:row>
    <x:row r="1768" ht="24" customHeight="1">
      <x:c r="A1768" s="10" t="str">
        <x:v>S04-02</x:v>
      </x:c>
      <x:c r="B1768" s="10" t="str">
        <x:v>B</x:v>
      </x:c>
      <x:c r="C1768" s="18" t="n">
        <x:v>-1e-7</x:v>
      </x:c>
      <x:c r="D1768" s="10" t="n">
        <x:v>560</x:v>
      </x:c>
      <x:c r="E1768" s="10" t="n">
        <x:v>0</x:v>
      </x:c>
      <x:c r="F1768" s="10" t="n">
        <x:v>0</x:v>
      </x:c>
      <x:c r="G1768" s="10" t="n">
        <x:f>SUM(D1768:F1768)</x:f>
        <x:v>560</x:v>
      </x:c>
    </x:row>
    <x:row r="1769" ht="24" customHeight="1">
      <x:c r="A1769" s="10" t="str">
        <x:v>S04-02</x:v>
      </x:c>
      <x:c r="B1769" s="10" t="str">
        <x:v>B</x:v>
      </x:c>
      <x:c r="C1769" s="18" t="n">
        <x:v>0</x:v>
      </x:c>
      <x:c r="D1769" s="10" t="n">
        <x:v>560</x:v>
      </x:c>
      <x:c r="E1769" s="10" t="n">
        <x:v>0</x:v>
      </x:c>
      <x:c r="F1769" s="10" t="n">
        <x:v>0</x:v>
      </x:c>
      <x:c r="G1769" s="10" t="n">
        <x:f>SUM(D1769:F1769)</x:f>
        <x:v>560</x:v>
      </x:c>
    </x:row>
    <x:row r="1770" ht="24" customHeight="1">
      <x:c r="A1770" s="10" t="str">
        <x:v>S04-02</x:v>
      </x:c>
      <x:c r="B1770" s="10" t="str">
        <x:v>B</x:v>
      </x:c>
      <x:c r="C1770" s="18" t="n">
        <x:v>1e-7</x:v>
      </x:c>
      <x:c r="D1770" s="10" t="n">
        <x:v>560</x:v>
      </x:c>
      <x:c r="E1770" s="10" t="n">
        <x:v>0</x:v>
      </x:c>
      <x:c r="F1770" s="10" t="n">
        <x:v>0</x:v>
      </x:c>
      <x:c r="G1770" s="10" t="n">
        <x:f>SUM(D1770:F1770)</x:f>
        <x:v>560</x:v>
      </x:c>
    </x:row>
    <x:row r="1771" ht="24" customHeight="1">
      <x:c r="A1771" s="10" t="str">
        <x:v>S04-02</x:v>
      </x:c>
      <x:c r="B1771" s="10" t="str">
        <x:v>B</x:v>
      </x:c>
      <x:c r="C1771" s="18" t="n">
        <x:v>0.896666567</x:v>
      </x:c>
      <x:c r="D1771" s="10" t="n">
        <x:v>560</x:v>
      </x:c>
      <x:c r="E1771" s="10" t="n">
        <x:v>0</x:v>
      </x:c>
      <x:c r="F1771" s="10" t="n">
        <x:v>0</x:v>
      </x:c>
      <x:c r="G1771" s="10" t="n">
        <x:f>SUM(D1771:F1771)</x:f>
        <x:v>560</x:v>
      </x:c>
    </x:row>
    <x:row r="1772" ht="24" customHeight="1">
      <x:c r="A1772" s="10" t="str">
        <x:v>S04-02</x:v>
      </x:c>
      <x:c r="B1772" s="10" t="str">
        <x:v>B</x:v>
      </x:c>
      <x:c r="C1772" s="18" t="n">
        <x:v>0.896666667</x:v>
      </x:c>
      <x:c r="D1772" s="10" t="n">
        <x:v>560</x:v>
      </x:c>
      <x:c r="E1772" s="10" t="n">
        <x:v>0</x:v>
      </x:c>
      <x:c r="F1772" s="10" t="n">
        <x:v>0.004096</x:v>
      </x:c>
      <x:c r="G1772" s="10" t="n">
        <x:f>SUM(D1772:F1772)</x:f>
        <x:v>560.004096</x:v>
      </x:c>
    </x:row>
    <x:row r="1773" ht="24" customHeight="1">
      <x:c r="A1773" s="10" t="str">
        <x:v>S04-02</x:v>
      </x:c>
      <x:c r="B1773" s="10" t="str">
        <x:v>B</x:v>
      </x:c>
      <x:c r="C1773" s="18" t="n">
        <x:v>0.896666767</x:v>
      </x:c>
      <x:c r="D1773" s="10" t="n">
        <x:v>560</x:v>
      </x:c>
      <x:c r="E1773" s="10" t="n">
        <x:v>0</x:v>
      </x:c>
      <x:c r="F1773" s="10" t="n">
        <x:v>0.004096</x:v>
      </x:c>
      <x:c r="G1773" s="10" t="n">
        <x:f>SUM(D1773:F1773)</x:f>
        <x:v>560.004096</x:v>
      </x:c>
    </x:row>
    <x:row r="1774" ht="24" customHeight="1">
      <x:c r="A1774" s="10" t="str">
        <x:v>S04-02</x:v>
      </x:c>
      <x:c r="B1774" s="10" t="str">
        <x:v>B</x:v>
      </x:c>
      <x:c r="C1774" s="18" t="n">
        <x:v>1.3039999</x:v>
      </x:c>
      <x:c r="D1774" s="10" t="n">
        <x:v>560</x:v>
      </x:c>
      <x:c r="E1774" s="10" t="n">
        <x:v>0</x:v>
      </x:c>
      <x:c r="F1774" s="10" t="n">
        <x:v>0.004096</x:v>
      </x:c>
      <x:c r="G1774" s="10" t="n">
        <x:f>SUM(D1774:F1774)</x:f>
        <x:v>560.004096</x:v>
      </x:c>
    </x:row>
    <x:row r="1775" ht="24" customHeight="1">
      <x:c r="A1775" s="10" t="str">
        <x:v>S04-02</x:v>
      </x:c>
      <x:c r="B1775" s="10" t="str">
        <x:v>B</x:v>
      </x:c>
      <x:c r="C1775" s="18" t="n">
        <x:v>1.304</x:v>
      </x:c>
      <x:c r="D1775" s="10" t="n">
        <x:v>560</x:v>
      </x:c>
      <x:c r="E1775" s="10" t="n">
        <x:v>0.0096</x:v>
      </x:c>
      <x:c r="F1775" s="10" t="n">
        <x:v>0.004096</x:v>
      </x:c>
      <x:c r="G1775" s="10" t="n">
        <x:f>SUM(D1775:F1775)</x:f>
        <x:v>560.013696</x:v>
      </x:c>
    </x:row>
    <x:row r="1776" ht="24" customHeight="1">
      <x:c r="A1776" s="10" t="str">
        <x:v>S04-02</x:v>
      </x:c>
      <x:c r="B1776" s="10" t="str">
        <x:v>B</x:v>
      </x:c>
      <x:c r="C1776" s="18" t="n">
        <x:v>1.3040001</x:v>
      </x:c>
      <x:c r="D1776" s="10" t="n">
        <x:v>560</x:v>
      </x:c>
      <x:c r="E1776" s="10" t="n">
        <x:v>0.009600019</x:v>
      </x:c>
      <x:c r="F1776" s="10" t="n">
        <x:v>0.004096</x:v>
      </x:c>
      <x:c r="G1776" s="10" t="n">
        <x:f>SUM(D1776:F1776)</x:f>
        <x:v>560.013696019</x:v>
      </x:c>
    </x:row>
    <x:row r="1777" ht="24" customHeight="1">
      <x:c r="A1777" s="10" t="str">
        <x:v>S04-02</x:v>
      </x:c>
      <x:c r="B1777" s="10" t="str">
        <x:v>B</x:v>
      </x:c>
      <x:c r="C1777" s="18" t="n">
        <x:v>1.3439999</x:v>
      </x:c>
      <x:c r="D1777" s="10" t="n">
        <x:v>560</x:v>
      </x:c>
      <x:c r="E1777" s="10" t="n">
        <x:v>0.017279981</x:v>
      </x:c>
      <x:c r="F1777" s="10" t="n">
        <x:v>0.004096</x:v>
      </x:c>
      <x:c r="G1777" s="10" t="n">
        <x:f>SUM(D1777:F1777)</x:f>
        <x:v>560.021375981</x:v>
      </x:c>
    </x:row>
    <x:row r="1778" ht="24" customHeight="1">
      <x:c r="A1778" s="10" t="str">
        <x:v>S04-02</x:v>
      </x:c>
      <x:c r="B1778" s="10" t="str">
        <x:v>B</x:v>
      </x:c>
      <x:c r="C1778" s="18" t="n">
        <x:v>1.344</x:v>
      </x:c>
      <x:c r="D1778" s="10" t="n">
        <x:v>560</x:v>
      </x:c>
      <x:c r="E1778" s="10" t="n">
        <x:v>0.01728</x:v>
      </x:c>
      <x:c r="F1778" s="10" t="n">
        <x:v>0.004096</x:v>
      </x:c>
      <x:c r="G1778" s="10" t="n">
        <x:f>SUM(D1778:F1778)</x:f>
        <x:v>560.021376</x:v>
      </x:c>
    </x:row>
    <x:row r="1779" ht="24" customHeight="1">
      <x:c r="A1779" s="10" t="str">
        <x:v>S04-02</x:v>
      </x:c>
      <x:c r="B1779" s="10" t="str">
        <x:v>B</x:v>
      </x:c>
      <x:c r="C1779" s="18" t="n">
        <x:v>1.3440001</x:v>
      </x:c>
      <x:c r="D1779" s="10" t="n">
        <x:v>560</x:v>
      </x:c>
      <x:c r="E1779" s="10" t="n">
        <x:v>0.017280014</x:v>
      </x:c>
      <x:c r="F1779" s="10" t="n">
        <x:v>0.004096</x:v>
      </x:c>
      <x:c r="G1779" s="10" t="n">
        <x:f>SUM(D1779:F1779)</x:f>
        <x:v>560.021376014</x:v>
      </x:c>
    </x:row>
    <x:row r="1780" ht="24" customHeight="1">
      <x:c r="A1780" s="10" t="str">
        <x:v>S04-02</x:v>
      </x:c>
      <x:c r="B1780" s="10" t="str">
        <x:v>B</x:v>
      </x:c>
      <x:c r="C1780" s="18" t="n">
        <x:v>2.1434999</x:v>
      </x:c>
      <x:c r="D1780" s="10" t="n">
        <x:v>560</x:v>
      </x:c>
      <x:c r="E1780" s="10" t="n">
        <x:v>0.132407986</x:v>
      </x:c>
      <x:c r="F1780" s="10" t="n">
        <x:v>0.004096</x:v>
      </x:c>
      <x:c r="G1780" s="10" t="n">
        <x:f>SUM(D1780:F1780)</x:f>
        <x:v>560.136503986</x:v>
      </x:c>
    </x:row>
    <x:row r="1781" ht="24" customHeight="1">
      <x:c r="A1781" s="10" t="str">
        <x:v>S04-02</x:v>
      </x:c>
      <x:c r="B1781" s="10" t="str">
        <x:v>B</x:v>
      </x:c>
      <x:c r="C1781" s="18" t="n">
        <x:v>2.1435</x:v>
      </x:c>
      <x:c r="D1781" s="10" t="n">
        <x:v>560</x:v>
      </x:c>
      <x:c r="E1781" s="10" t="n">
        <x:v>0.132408</x:v>
      </x:c>
      <x:c r="F1781" s="10" t="n">
        <x:v>0.004096</x:v>
      </x:c>
      <x:c r="G1781" s="10" t="n">
        <x:f>SUM(D1781:F1781)</x:f>
        <x:v>560.1365040000001</x:v>
      </x:c>
    </x:row>
    <x:row r="1782" ht="24" customHeight="1">
      <x:c r="A1782" s="10" t="str">
        <x:v>S04-02</x:v>
      </x:c>
      <x:c r="B1782" s="10" t="str">
        <x:v>B</x:v>
      </x:c>
      <x:c r="C1782" s="18" t="n">
        <x:v>2.1435001</x:v>
      </x:c>
      <x:c r="D1782" s="10" t="n">
        <x:v>560</x:v>
      </x:c>
      <x:c r="E1782" s="10" t="n">
        <x:v>0.132407995</x:v>
      </x:c>
      <x:c r="F1782" s="10" t="n">
        <x:v>0.004096</x:v>
      </x:c>
      <x:c r="G1782" s="10" t="n">
        <x:f>SUM(D1782:F1782)</x:f>
        <x:v>560.136503995</x:v>
      </x:c>
    </x:row>
    <x:row r="1783" ht="24" customHeight="1">
      <x:c r="A1783" s="10" t="str">
        <x:v>S04-02</x:v>
      </x:c>
      <x:c r="B1783" s="10" t="str">
        <x:v>B</x:v>
      </x:c>
      <x:c r="C1783" s="18" t="n">
        <x:v>4.9019999</x:v>
      </x:c>
      <x:c r="D1783" s="10" t="n">
        <x:v>560</x:v>
      </x:c>
      <x:c r="E1783" s="10" t="n">
        <x:v>5e-9</x:v>
      </x:c>
      <x:c r="F1783" s="10" t="n">
        <x:v>0.004096</x:v>
      </x:c>
      <x:c r="G1783" s="10" t="n">
        <x:f>SUM(D1783:F1783)</x:f>
        <x:v>560.004096005</x:v>
      </x:c>
    </x:row>
    <x:row r="1784" ht="24" customHeight="1">
      <x:c r="A1784" s="10" t="str">
        <x:v>S04-02</x:v>
      </x:c>
      <x:c r="B1784" s="10" t="str">
        <x:v>B</x:v>
      </x:c>
      <x:c r="C1784" s="18" t="n">
        <x:v>4.902</x:v>
      </x:c>
      <x:c r="D1784" s="10" t="n">
        <x:v>560</x:v>
      </x:c>
      <x:c r="E1784" s="10" t="n">
        <x:v>0</x:v>
      </x:c>
      <x:c r="F1784" s="10" t="n">
        <x:v>0.004096</x:v>
      </x:c>
      <x:c r="G1784" s="10" t="n">
        <x:f>SUM(D1784:F1784)</x:f>
        <x:v>560.004096</x:v>
      </x:c>
    </x:row>
    <x:row r="1785" ht="24" customHeight="1">
      <x:c r="A1785" s="10" t="str">
        <x:v>S04-02</x:v>
      </x:c>
      <x:c r="B1785" s="10" t="str">
        <x:v>B</x:v>
      </x:c>
      <x:c r="C1785" s="18" t="n">
        <x:v>4.9020001</x:v>
      </x:c>
      <x:c r="D1785" s="10" t="n">
        <x:v>560</x:v>
      </x:c>
      <x:c r="E1785" s="10" t="n">
        <x:v>0</x:v>
      </x:c>
      <x:c r="F1785" s="10" t="n">
        <x:v>0</x:v>
      </x:c>
      <x:c r="G1785" s="10" t="n">
        <x:f>SUM(D1785:F1785)</x:f>
        <x:v>560</x:v>
      </x:c>
    </x:row>
    <x:row r="1786" ht="24" customHeight="1">
      <x:c r="A1786" s="10" t="str">
        <x:v>S04-03</x:v>
      </x:c>
      <x:c r="B1786" s="10" t="str">
        <x:v>A</x:v>
      </x:c>
      <x:c r="C1786" s="18" t="n">
        <x:v>-6.0000001</x:v>
      </x:c>
      <x:c r="D1786" s="10" t="n">
        <x:v>560</x:v>
      </x:c>
      <x:c r="E1786" s="10" t="n">
        <x:v>0</x:v>
      </x:c>
      <x:c r="F1786" s="10" t="n">
        <x:v>0</x:v>
      </x:c>
      <x:c r="G1786" s="10" t="n">
        <x:f>SUM(D1786:F1786)</x:f>
        <x:v>560</x:v>
      </x:c>
    </x:row>
    <x:row r="1787" ht="24" customHeight="1">
      <x:c r="A1787" s="10" t="str">
        <x:v>S04-03</x:v>
      </x:c>
      <x:c r="B1787" s="10" t="str">
        <x:v>A</x:v>
      </x:c>
      <x:c r="C1787" s="18" t="n">
        <x:v>-6</x:v>
      </x:c>
      <x:c r="D1787" s="10" t="n">
        <x:v>560</x:v>
      </x:c>
      <x:c r="E1787" s="10" t="n">
        <x:v>0</x:v>
      </x:c>
      <x:c r="F1787" s="10" t="n">
        <x:v>0</x:v>
      </x:c>
      <x:c r="G1787" s="10" t="n">
        <x:f>SUM(D1787:F1787)</x:f>
        <x:v>560</x:v>
      </x:c>
    </x:row>
    <x:row r="1788" ht="24" customHeight="1">
      <x:c r="A1788" s="10" t="str">
        <x:v>S04-03</x:v>
      </x:c>
      <x:c r="B1788" s="10" t="str">
        <x:v>A</x:v>
      </x:c>
      <x:c r="C1788" s="18" t="n">
        <x:v>-5.9999999</x:v>
      </x:c>
      <x:c r="D1788" s="10" t="n">
        <x:v>560</x:v>
      </x:c>
      <x:c r="E1788" s="10" t="n">
        <x:v>0</x:v>
      </x:c>
      <x:c r="F1788" s="10" t="n">
        <x:v>0</x:v>
      </x:c>
      <x:c r="G1788" s="10" t="n">
        <x:f>SUM(D1788:F1788)</x:f>
        <x:v>560</x:v>
      </x:c>
    </x:row>
    <x:row r="1789" ht="24" customHeight="1">
      <x:c r="A1789" s="10" t="str">
        <x:v>S04-03</x:v>
      </x:c>
      <x:c r="B1789" s="10" t="str">
        <x:v>A</x:v>
      </x:c>
      <x:c r="C1789" s="18" t="n">
        <x:v>-1.0000001</x:v>
      </x:c>
      <x:c r="D1789" s="10" t="n">
        <x:v>560</x:v>
      </x:c>
      <x:c r="E1789" s="10" t="n">
        <x:v>0</x:v>
      </x:c>
      <x:c r="F1789" s="10" t="n">
        <x:v>0</x:v>
      </x:c>
      <x:c r="G1789" s="10" t="n">
        <x:f>SUM(D1789:F1789)</x:f>
        <x:v>560</x:v>
      </x:c>
    </x:row>
    <x:row r="1790" ht="24" customHeight="1">
      <x:c r="A1790" s="10" t="str">
        <x:v>S04-03</x:v>
      </x:c>
      <x:c r="B1790" s="10" t="str">
        <x:v>A</x:v>
      </x:c>
      <x:c r="C1790" s="18" t="n">
        <x:v>-1</x:v>
      </x:c>
      <x:c r="D1790" s="10" t="n">
        <x:v>560</x:v>
      </x:c>
      <x:c r="E1790" s="10" t="n">
        <x:v>0</x:v>
      </x:c>
      <x:c r="F1790" s="10" t="n">
        <x:v>0.004096</x:v>
      </x:c>
      <x:c r="G1790" s="10" t="n">
        <x:f>SUM(D1790:F1790)</x:f>
        <x:v>560.004096</x:v>
      </x:c>
    </x:row>
    <x:row r="1791" ht="24" customHeight="1">
      <x:c r="A1791" s="10" t="str">
        <x:v>S04-03</x:v>
      </x:c>
      <x:c r="B1791" s="10" t="str">
        <x:v>A</x:v>
      </x:c>
      <x:c r="C1791" s="18" t="n">
        <x:v>-0.9999999</x:v>
      </x:c>
      <x:c r="D1791" s="10" t="n">
        <x:v>560</x:v>
      </x:c>
      <x:c r="E1791" s="10" t="n">
        <x:v>0</x:v>
      </x:c>
      <x:c r="F1791" s="10" t="n">
        <x:v>0.004096</x:v>
      </x:c>
      <x:c r="G1791" s="10" t="n">
        <x:f>SUM(D1791:F1791)</x:f>
        <x:v>560.004096</x:v>
      </x:c>
    </x:row>
    <x:row r="1792" ht="24" customHeight="1">
      <x:c r="A1792" s="10" t="str">
        <x:v>S04-03</x:v>
      </x:c>
      <x:c r="B1792" s="10" t="str">
        <x:v>A</x:v>
      </x:c>
      <x:c r="C1792" s="18" t="n">
        <x:v>-0.5900001</x:v>
      </x:c>
      <x:c r="D1792" s="10" t="n">
        <x:v>560</x:v>
      </x:c>
      <x:c r="E1792" s="10" t="n">
        <x:v>0</x:v>
      </x:c>
      <x:c r="F1792" s="10" t="n">
        <x:v>0.004096</x:v>
      </x:c>
      <x:c r="G1792" s="10" t="n">
        <x:f>SUM(D1792:F1792)</x:f>
        <x:v>560.004096</x:v>
      </x:c>
    </x:row>
    <x:row r="1793" ht="24" customHeight="1">
      <x:c r="A1793" s="10" t="str">
        <x:v>S04-03</x:v>
      </x:c>
      <x:c r="B1793" s="10" t="str">
        <x:v>A</x:v>
      </x:c>
      <x:c r="C1793" s="18" t="n">
        <x:v>-0.59</x:v>
      </x:c>
      <x:c r="D1793" s="10" t="n">
        <x:v>560</x:v>
      </x:c>
      <x:c r="E1793" s="10" t="n">
        <x:v>0.0096</x:v>
      </x:c>
      <x:c r="F1793" s="10" t="n">
        <x:v>0.004096</x:v>
      </x:c>
      <x:c r="G1793" s="10" t="n">
        <x:f>SUM(D1793:F1793)</x:f>
        <x:v>560.013696</x:v>
      </x:c>
    </x:row>
    <x:row r="1794" ht="24" customHeight="1">
      <x:c r="A1794" s="10" t="str">
        <x:v>S04-03</x:v>
      </x:c>
      <x:c r="B1794" s="10" t="str">
        <x:v>A</x:v>
      </x:c>
      <x:c r="C1794" s="18" t="n">
        <x:v>-0.5899999</x:v>
      </x:c>
      <x:c r="D1794" s="10" t="n">
        <x:v>560</x:v>
      </x:c>
      <x:c r="E1794" s="10" t="n">
        <x:v>0.009600019</x:v>
      </x:c>
      <x:c r="F1794" s="10" t="n">
        <x:v>0.004096</x:v>
      </x:c>
      <x:c r="G1794" s="10" t="n">
        <x:f>SUM(D1794:F1794)</x:f>
        <x:v>560.013696019</x:v>
      </x:c>
    </x:row>
    <x:row r="1795" ht="24" customHeight="1">
      <x:c r="A1795" s="10" t="str">
        <x:v>S04-03</x:v>
      </x:c>
      <x:c r="B1795" s="10" t="str">
        <x:v>A</x:v>
      </x:c>
      <x:c r="C1795" s="18" t="n">
        <x:v>-1e-7</x:v>
      </x:c>
      <x:c r="D1795" s="10" t="n">
        <x:v>560</x:v>
      </x:c>
      <x:c r="E1795" s="10" t="n">
        <x:v>0.122879981</x:v>
      </x:c>
      <x:c r="F1795" s="10" t="n">
        <x:v>0.004096</x:v>
      </x:c>
      <x:c r="G1795" s="10" t="n">
        <x:f>SUM(D1795:F1795)</x:f>
        <x:v>560.126975981</x:v>
      </x:c>
    </x:row>
    <x:row r="1796" ht="24" customHeight="1">
      <x:c r="A1796" s="10" t="str">
        <x:v>S04-03</x:v>
      </x:c>
      <x:c r="B1796" s="10" t="str">
        <x:v>A</x:v>
      </x:c>
      <x:c r="C1796" s="18" t="n">
        <x:v>0</x:v>
      </x:c>
      <x:c r="D1796" s="10" t="n">
        <x:v>560</x:v>
      </x:c>
      <x:c r="E1796" s="10" t="n">
        <x:v>0.12288</x:v>
      </x:c>
      <x:c r="F1796" s="10" t="n">
        <x:v>0.004096</x:v>
      </x:c>
      <x:c r="G1796" s="10" t="n">
        <x:f>SUM(D1796:F1796)</x:f>
        <x:v>560.126976</x:v>
      </x:c>
    </x:row>
    <x:row r="1797" ht="24" customHeight="1">
      <x:c r="A1797" s="10" t="str">
        <x:v>S04-03</x:v>
      </x:c>
      <x:c r="B1797" s="10" t="str">
        <x:v>A</x:v>
      </x:c>
      <x:c r="C1797" s="18" t="n">
        <x:v>1e-7</x:v>
      </x:c>
      <x:c r="D1797" s="10" t="n">
        <x:v>560</x:v>
      </x:c>
      <x:c r="E1797" s="10" t="n">
        <x:v>0.122880019</x:v>
      </x:c>
      <x:c r="F1797" s="10" t="n">
        <x:v>0.004096</x:v>
      </x:c>
      <x:c r="G1797" s="10" t="n">
        <x:f>SUM(D1797:F1797)</x:f>
        <x:v>560.126976019</x:v>
      </x:c>
    </x:row>
    <x:row r="1798" ht="24" customHeight="1">
      <x:c r="A1798" s="10" t="str">
        <x:v>S04-03</x:v>
      </x:c>
      <x:c r="B1798" s="10" t="str">
        <x:v>A</x:v>
      </x:c>
      <x:c r="C1798" s="18" t="n">
        <x:v>0.8499999</x:v>
      </x:c>
      <x:c r="D1798" s="10" t="n">
        <x:v>560</x:v>
      </x:c>
      <x:c r="E1798" s="10" t="n">
        <x:v>0.286079981</x:v>
      </x:c>
      <x:c r="F1798" s="10" t="n">
        <x:v>0.004096</x:v>
      </x:c>
      <x:c r="G1798" s="10" t="n">
        <x:f>SUM(D1798:F1798)</x:f>
        <x:v>560.290175981</x:v>
      </x:c>
    </x:row>
    <x:row r="1799" ht="24" customHeight="1">
      <x:c r="A1799" s="10" t="str">
        <x:v>S04-03</x:v>
      </x:c>
      <x:c r="B1799" s="10" t="str">
        <x:v>A</x:v>
      </x:c>
      <x:c r="C1799" s="18" t="n">
        <x:v>0.85</x:v>
      </x:c>
      <x:c r="D1799" s="10" t="n">
        <x:v>560</x:v>
      </x:c>
      <x:c r="E1799" s="10" t="n">
        <x:v>0.28608</x:v>
      </x:c>
      <x:c r="F1799" s="10" t="n">
        <x:v>0.008192</x:v>
      </x:c>
      <x:c r="G1799" s="10" t="n">
        <x:f>SUM(D1799:F1799)</x:f>
        <x:v>560.294272</x:v>
      </x:c>
    </x:row>
    <x:row r="1800" ht="24" customHeight="1">
      <x:c r="A1800" s="10" t="str">
        <x:v>S04-03</x:v>
      </x:c>
      <x:c r="B1800" s="10" t="str">
        <x:v>A</x:v>
      </x:c>
      <x:c r="C1800" s="18" t="n">
        <x:v>0.8500001</x:v>
      </x:c>
      <x:c r="D1800" s="10" t="n">
        <x:v>560</x:v>
      </x:c>
      <x:c r="E1800" s="10" t="n">
        <x:v>0.286080019</x:v>
      </x:c>
      <x:c r="F1800" s="10" t="n">
        <x:v>0.008192</x:v>
      </x:c>
      <x:c r="G1800" s="10" t="n">
        <x:f>SUM(D1800:F1800)</x:f>
        <x:v>560.294272019</x:v>
      </x:c>
    </x:row>
    <x:row r="1801" ht="24" customHeight="1">
      <x:c r="A1801" s="10" t="str">
        <x:v>S04-03</x:v>
      </x:c>
      <x:c r="B1801" s="10" t="str">
        <x:v>A</x:v>
      </x:c>
      <x:c r="C1801" s="18" t="n">
        <x:v>0.9499999</x:v>
      </x:c>
      <x:c r="D1801" s="10" t="n">
        <x:v>560</x:v>
      </x:c>
      <x:c r="E1801" s="10" t="n">
        <x:v>0.305279981</x:v>
      </x:c>
      <x:c r="F1801" s="10" t="n">
        <x:v>0.008192</x:v>
      </x:c>
      <x:c r="G1801" s="10" t="n">
        <x:f>SUM(D1801:F1801)</x:f>
        <x:v>560.313471981</x:v>
      </x:c>
    </x:row>
    <x:row r="1802" ht="24" customHeight="1">
      <x:c r="A1802" s="10" t="str">
        <x:v>S04-03</x:v>
      </x:c>
      <x:c r="B1802" s="10" t="str">
        <x:v>A</x:v>
      </x:c>
      <x:c r="C1802" s="18" t="n">
        <x:v>0.95</x:v>
      </x:c>
      <x:c r="D1802" s="10" t="n">
        <x:v>560</x:v>
      </x:c>
      <x:c r="E1802" s="10" t="n">
        <x:v>0.30528</x:v>
      </x:c>
      <x:c r="F1802" s="10" t="n">
        <x:v>0.008192</x:v>
      </x:c>
      <x:c r="G1802" s="10" t="n">
        <x:f>SUM(D1802:F1802)</x:f>
        <x:v>560.313472</x:v>
      </x:c>
    </x:row>
    <x:row r="1803" ht="24" customHeight="1">
      <x:c r="A1803" s="10" t="str">
        <x:v>S04-03</x:v>
      </x:c>
      <x:c r="B1803" s="10" t="str">
        <x:v>A</x:v>
      </x:c>
      <x:c r="C1803" s="18" t="n">
        <x:v>0.9500001</x:v>
      </x:c>
      <x:c r="D1803" s="10" t="n">
        <x:v>560</x:v>
      </x:c>
      <x:c r="E1803" s="10" t="n">
        <x:v>0</x:v>
      </x:c>
      <x:c r="F1803" s="10" t="n">
        <x:v>0.004096</x:v>
      </x:c>
      <x:c r="G1803" s="10" t="n">
        <x:f>SUM(D1803:F1803)</x:f>
        <x:v>560.004096</x:v>
      </x:c>
    </x:row>
    <x:row r="1804" ht="24" customHeight="1">
      <x:c r="A1804" s="10" t="str">
        <x:v>S04-03</x:v>
      </x:c>
      <x:c r="B1804" s="10" t="str">
        <x:v>A</x:v>
      </x:c>
      <x:c r="C1804" s="18" t="n">
        <x:v>1.257333233</x:v>
      </x:c>
      <x:c r="D1804" s="10" t="n">
        <x:v>560</x:v>
      </x:c>
      <x:c r="E1804" s="10" t="n">
        <x:v>0</x:v>
      </x:c>
      <x:c r="F1804" s="10" t="n">
        <x:v>0.004096</x:v>
      </x:c>
      <x:c r="G1804" s="10" t="n">
        <x:f>SUM(D1804:F1804)</x:f>
        <x:v>560.004096</x:v>
      </x:c>
    </x:row>
    <x:row r="1805" ht="24" customHeight="1">
      <x:c r="A1805" s="10" t="str">
        <x:v>S04-03</x:v>
      </x:c>
      <x:c r="B1805" s="10" t="str">
        <x:v>A</x:v>
      </x:c>
      <x:c r="C1805" s="18" t="n">
        <x:v>1.257333333</x:v>
      </x:c>
      <x:c r="D1805" s="10" t="n">
        <x:v>560</x:v>
      </x:c>
      <x:c r="E1805" s="10" t="n">
        <x:v>0.0096</x:v>
      </x:c>
      <x:c r="F1805" s="10" t="n">
        <x:v>0.004096</x:v>
      </x:c>
      <x:c r="G1805" s="10" t="n">
        <x:f>SUM(D1805:F1805)</x:f>
        <x:v>560.013696</x:v>
      </x:c>
    </x:row>
    <x:row r="1806" ht="24" customHeight="1">
      <x:c r="A1806" s="10" t="str">
        <x:v>S04-03</x:v>
      </x:c>
      <x:c r="B1806" s="10" t="str">
        <x:v>A</x:v>
      </x:c>
      <x:c r="C1806" s="18" t="n">
        <x:v>1.257333433</x:v>
      </x:c>
      <x:c r="D1806" s="10" t="n">
        <x:v>560</x:v>
      </x:c>
      <x:c r="E1806" s="10" t="n">
        <x:v>0.009600019</x:v>
      </x:c>
      <x:c r="F1806" s="10" t="n">
        <x:v>0.004096</x:v>
      </x:c>
      <x:c r="G1806" s="10" t="n">
        <x:f>SUM(D1806:F1806)</x:f>
        <x:v>560.013696019</x:v>
      </x:c>
    </x:row>
    <x:row r="1807" ht="24" customHeight="1">
      <x:c r="A1807" s="10" t="str">
        <x:v>S04-03</x:v>
      </x:c>
      <x:c r="B1807" s="10" t="str">
        <x:v>A</x:v>
      </x:c>
      <x:c r="C1807" s="18" t="n">
        <x:v>1.297333233</x:v>
      </x:c>
      <x:c r="D1807" s="10" t="n">
        <x:v>560</x:v>
      </x:c>
      <x:c r="E1807" s="10" t="n">
        <x:v>0.017279981</x:v>
      </x:c>
      <x:c r="F1807" s="10" t="n">
        <x:v>0.004096</x:v>
      </x:c>
      <x:c r="G1807" s="10" t="n">
        <x:f>SUM(D1807:F1807)</x:f>
        <x:v>560.021375981</x:v>
      </x:c>
    </x:row>
    <x:row r="1808" ht="24" customHeight="1">
      <x:c r="A1808" s="10" t="str">
        <x:v>S04-03</x:v>
      </x:c>
      <x:c r="B1808" s="10" t="str">
        <x:v>A</x:v>
      </x:c>
      <x:c r="C1808" s="18" t="n">
        <x:v>1.297333333</x:v>
      </x:c>
      <x:c r="D1808" s="10" t="n">
        <x:v>560</x:v>
      </x:c>
      <x:c r="E1808" s="10" t="n">
        <x:v>0.01728</x:v>
      </x:c>
      <x:c r="F1808" s="10" t="n">
        <x:v>0.004096</x:v>
      </x:c>
      <x:c r="G1808" s="10" t="n">
        <x:f>SUM(D1808:F1808)</x:f>
        <x:v>560.021376</x:v>
      </x:c>
    </x:row>
    <x:row r="1809" ht="24" customHeight="1">
      <x:c r="A1809" s="10" t="str">
        <x:v>S04-03</x:v>
      </x:c>
      <x:c r="B1809" s="10" t="str">
        <x:v>A</x:v>
      </x:c>
      <x:c r="C1809" s="18" t="n">
        <x:v>1.297333433</x:v>
      </x:c>
      <x:c r="D1809" s="10" t="n">
        <x:v>560</x:v>
      </x:c>
      <x:c r="E1809" s="10" t="n">
        <x:v>0.017280014</x:v>
      </x:c>
      <x:c r="F1809" s="10" t="n">
        <x:v>0.004096</x:v>
      </x:c>
      <x:c r="G1809" s="10" t="n">
        <x:f>SUM(D1809:F1809)</x:f>
        <x:v>560.021376014</x:v>
      </x:c>
    </x:row>
    <x:row r="1810" ht="24" customHeight="1">
      <x:c r="A1810" s="10" t="str">
        <x:v>S04-03</x:v>
      </x:c>
      <x:c r="B1810" s="10" t="str">
        <x:v>A</x:v>
      </x:c>
      <x:c r="C1810" s="18" t="n">
        <x:v>2.099833233</x:v>
      </x:c>
      <x:c r="D1810" s="10" t="n">
        <x:v>560</x:v>
      </x:c>
      <x:c r="E1810" s="10" t="n">
        <x:v>0.132839986</x:v>
      </x:c>
      <x:c r="F1810" s="10" t="n">
        <x:v>0.004096</x:v>
      </x:c>
      <x:c r="G1810" s="10" t="n">
        <x:f>SUM(D1810:F1810)</x:f>
        <x:v>560.136935986</x:v>
      </x:c>
    </x:row>
    <x:row r="1811" ht="24" customHeight="1">
      <x:c r="A1811" s="10" t="str">
        <x:v>S04-03</x:v>
      </x:c>
      <x:c r="B1811" s="10" t="str">
        <x:v>A</x:v>
      </x:c>
      <x:c r="C1811" s="18" t="n">
        <x:v>2.099833333</x:v>
      </x:c>
      <x:c r="D1811" s="10" t="n">
        <x:v>560</x:v>
      </x:c>
      <x:c r="E1811" s="10" t="n">
        <x:v>0.13284</x:v>
      </x:c>
      <x:c r="F1811" s="10" t="n">
        <x:v>0.004096</x:v>
      </x:c>
      <x:c r="G1811" s="10" t="n">
        <x:f>SUM(D1811:F1811)</x:f>
        <x:v>560.136936</x:v>
      </x:c>
    </x:row>
    <x:row r="1812" ht="24" customHeight="1">
      <x:c r="A1812" s="10" t="str">
        <x:v>S04-03</x:v>
      </x:c>
      <x:c r="B1812" s="10" t="str">
        <x:v>A</x:v>
      </x:c>
      <x:c r="C1812" s="18" t="n">
        <x:v>2.099833433</x:v>
      </x:c>
      <x:c r="D1812" s="10" t="n">
        <x:v>560</x:v>
      </x:c>
      <x:c r="E1812" s="10" t="n">
        <x:v>0.132839995</x:v>
      </x:c>
      <x:c r="F1812" s="10" t="n">
        <x:v>0.004096</x:v>
      </x:c>
      <x:c r="G1812" s="10" t="n">
        <x:f>SUM(D1812:F1812)</x:f>
        <x:v>560.136935995</x:v>
      </x:c>
    </x:row>
    <x:row r="1813" ht="24" customHeight="1">
      <x:c r="A1813" s="10" t="str">
        <x:v>S04-03</x:v>
      </x:c>
      <x:c r="B1813" s="10" t="str">
        <x:v>A</x:v>
      </x:c>
      <x:c r="C1813" s="18" t="n">
        <x:v>4.867333233</x:v>
      </x:c>
      <x:c r="D1813" s="10" t="n">
        <x:v>560</x:v>
      </x:c>
      <x:c r="E1813" s="10" t="n">
        <x:v>5e-9</x:v>
      </x:c>
      <x:c r="F1813" s="10" t="n">
        <x:v>0.004096</x:v>
      </x:c>
      <x:c r="G1813" s="10" t="n">
        <x:f>SUM(D1813:F1813)</x:f>
        <x:v>560.004096005</x:v>
      </x:c>
    </x:row>
    <x:row r="1814" ht="24" customHeight="1">
      <x:c r="A1814" s="10" t="str">
        <x:v>S04-03</x:v>
      </x:c>
      <x:c r="B1814" s="10" t="str">
        <x:v>A</x:v>
      </x:c>
      <x:c r="C1814" s="18" t="n">
        <x:v>4.867333333</x:v>
      </x:c>
      <x:c r="D1814" s="10" t="n">
        <x:v>560</x:v>
      </x:c>
      <x:c r="E1814" s="10" t="n">
        <x:v>0</x:v>
      </x:c>
      <x:c r="F1814" s="10" t="n">
        <x:v>0.004096</x:v>
      </x:c>
      <x:c r="G1814" s="10" t="n">
        <x:f>SUM(D1814:F1814)</x:f>
        <x:v>560.004096</x:v>
      </x:c>
    </x:row>
    <x:row r="1815" ht="24" customHeight="1">
      <x:c r="A1815" s="10" t="str">
        <x:v>S04-03</x:v>
      </x:c>
      <x:c r="B1815" s="10" t="str">
        <x:v>A</x:v>
      </x:c>
      <x:c r="C1815" s="18" t="n">
        <x:v>4.867333433</x:v>
      </x:c>
      <x:c r="D1815" s="10" t="n">
        <x:v>560</x:v>
      </x:c>
      <x:c r="E1815" s="10" t="n">
        <x:v>0</x:v>
      </x:c>
      <x:c r="F1815" s="10" t="n">
        <x:v>0</x:v>
      </x:c>
      <x:c r="G1815" s="10" t="n">
        <x:f>SUM(D1815:F1815)</x:f>
        <x:v>560</x:v>
      </x:c>
    </x:row>
    <x:row r="1816" ht="24" customHeight="1">
      <x:c r="A1816" s="10" t="str">
        <x:v>S04-03</x:v>
      </x:c>
      <x:c r="B1816" s="10" t="str">
        <x:v>B</x:v>
      </x:c>
      <x:c r="C1816" s="18" t="n">
        <x:v>-6.0000001</x:v>
      </x:c>
      <x:c r="D1816" s="10" t="n">
        <x:v>560</x:v>
      </x:c>
      <x:c r="E1816" s="10" t="n">
        <x:v>0</x:v>
      </x:c>
      <x:c r="F1816" s="10" t="n">
        <x:v>0</x:v>
      </x:c>
      <x:c r="G1816" s="10" t="n">
        <x:f>SUM(D1816:F1816)</x:f>
        <x:v>560</x:v>
      </x:c>
    </x:row>
    <x:row r="1817" ht="24" customHeight="1">
      <x:c r="A1817" s="10" t="str">
        <x:v>S04-03</x:v>
      </x:c>
      <x:c r="B1817" s="10" t="str">
        <x:v>B</x:v>
      </x:c>
      <x:c r="C1817" s="18" t="n">
        <x:v>-6</x:v>
      </x:c>
      <x:c r="D1817" s="10" t="n">
        <x:v>560</x:v>
      </x:c>
      <x:c r="E1817" s="10" t="n">
        <x:v>0</x:v>
      </x:c>
      <x:c r="F1817" s="10" t="n">
        <x:v>0</x:v>
      </x:c>
      <x:c r="G1817" s="10" t="n">
        <x:f>SUM(D1817:F1817)</x:f>
        <x:v>560</x:v>
      </x:c>
    </x:row>
    <x:row r="1818" ht="24" customHeight="1">
      <x:c r="A1818" s="10" t="str">
        <x:v>S04-03</x:v>
      </x:c>
      <x:c r="B1818" s="10" t="str">
        <x:v>B</x:v>
      </x:c>
      <x:c r="C1818" s="18" t="n">
        <x:v>-5.9999999</x:v>
      </x:c>
      <x:c r="D1818" s="10" t="n">
        <x:v>560</x:v>
      </x:c>
      <x:c r="E1818" s="10" t="n">
        <x:v>0</x:v>
      </x:c>
      <x:c r="F1818" s="10" t="n">
        <x:v>0</x:v>
      </x:c>
      <x:c r="G1818" s="10" t="n">
        <x:f>SUM(D1818:F1818)</x:f>
        <x:v>560</x:v>
      </x:c>
    </x:row>
    <x:row r="1819" ht="24" customHeight="1">
      <x:c r="A1819" s="10" t="str">
        <x:v>S04-03</x:v>
      </x:c>
      <x:c r="B1819" s="10" t="str">
        <x:v>B</x:v>
      </x:c>
      <x:c r="C1819" s="18" t="n">
        <x:v>-1e-7</x:v>
      </x:c>
      <x:c r="D1819" s="10" t="n">
        <x:v>560</x:v>
      </x:c>
      <x:c r="E1819" s="10" t="n">
        <x:v>0</x:v>
      </x:c>
      <x:c r="F1819" s="10" t="n">
        <x:v>0</x:v>
      </x:c>
      <x:c r="G1819" s="10" t="n">
        <x:f>SUM(D1819:F1819)</x:f>
        <x:v>560</x:v>
      </x:c>
    </x:row>
    <x:row r="1820" ht="24" customHeight="1">
      <x:c r="A1820" s="10" t="str">
        <x:v>S04-03</x:v>
      </x:c>
      <x:c r="B1820" s="10" t="str">
        <x:v>B</x:v>
      </x:c>
      <x:c r="C1820" s="18" t="n">
        <x:v>0</x:v>
      </x:c>
      <x:c r="D1820" s="10" t="n">
        <x:v>560</x:v>
      </x:c>
      <x:c r="E1820" s="10" t="n">
        <x:v>0</x:v>
      </x:c>
      <x:c r="F1820" s="10" t="n">
        <x:v>0</x:v>
      </x:c>
      <x:c r="G1820" s="10" t="n">
        <x:f>SUM(D1820:F1820)</x:f>
        <x:v>560</x:v>
      </x:c>
    </x:row>
    <x:row r="1821" ht="24" customHeight="1">
      <x:c r="A1821" s="10" t="str">
        <x:v>S04-03</x:v>
      </x:c>
      <x:c r="B1821" s="10" t="str">
        <x:v>B</x:v>
      </x:c>
      <x:c r="C1821" s="18" t="n">
        <x:v>1e-7</x:v>
      </x:c>
      <x:c r="D1821" s="10" t="n">
        <x:v>560</x:v>
      </x:c>
      <x:c r="E1821" s="10" t="n">
        <x:v>0</x:v>
      </x:c>
      <x:c r="F1821" s="10" t="n">
        <x:v>0</x:v>
      </x:c>
      <x:c r="G1821" s="10" t="n">
        <x:f>SUM(D1821:F1821)</x:f>
        <x:v>560</x:v>
      </x:c>
    </x:row>
    <x:row r="1822" ht="24" customHeight="1">
      <x:c r="A1822" s="10" t="str">
        <x:v>S04-03</x:v>
      </x:c>
      <x:c r="B1822" s="10" t="str">
        <x:v>B</x:v>
      </x:c>
      <x:c r="C1822" s="18" t="n">
        <x:v>0.8499999</x:v>
      </x:c>
      <x:c r="D1822" s="10" t="n">
        <x:v>560</x:v>
      </x:c>
      <x:c r="E1822" s="10" t="n">
        <x:v>0</x:v>
      </x:c>
      <x:c r="F1822" s="10" t="n">
        <x:v>0</x:v>
      </x:c>
      <x:c r="G1822" s="10" t="n">
        <x:f>SUM(D1822:F1822)</x:f>
        <x:v>560</x:v>
      </x:c>
    </x:row>
    <x:row r="1823" ht="24" customHeight="1">
      <x:c r="A1823" s="10" t="str">
        <x:v>S04-03</x:v>
      </x:c>
      <x:c r="B1823" s="10" t="str">
        <x:v>B</x:v>
      </x:c>
      <x:c r="C1823" s="18" t="n">
        <x:v>0.85</x:v>
      </x:c>
      <x:c r="D1823" s="10" t="n">
        <x:v>560</x:v>
      </x:c>
      <x:c r="E1823" s="10" t="n">
        <x:v>0</x:v>
      </x:c>
      <x:c r="F1823" s="10" t="n">
        <x:v>0.004096</x:v>
      </x:c>
      <x:c r="G1823" s="10" t="n">
        <x:f>SUM(D1823:F1823)</x:f>
        <x:v>560.004096</x:v>
      </x:c>
    </x:row>
    <x:row r="1824" ht="24" customHeight="1">
      <x:c r="A1824" s="10" t="str">
        <x:v>S04-03</x:v>
      </x:c>
      <x:c r="B1824" s="10" t="str">
        <x:v>B</x:v>
      </x:c>
      <x:c r="C1824" s="18" t="n">
        <x:v>0.8500001</x:v>
      </x:c>
      <x:c r="D1824" s="10" t="n">
        <x:v>560</x:v>
      </x:c>
      <x:c r="E1824" s="10" t="n">
        <x:v>0</x:v>
      </x:c>
      <x:c r="F1824" s="10" t="n">
        <x:v>0.004096</x:v>
      </x:c>
      <x:c r="G1824" s="10" t="n">
        <x:f>SUM(D1824:F1824)</x:f>
        <x:v>560.004096</x:v>
      </x:c>
    </x:row>
    <x:row r="1825" ht="24" customHeight="1">
      <x:c r="A1825" s="10" t="str">
        <x:v>S04-03</x:v>
      </x:c>
      <x:c r="B1825" s="10" t="str">
        <x:v>B</x:v>
      </x:c>
      <x:c r="C1825" s="18" t="n">
        <x:v>1.257333233</x:v>
      </x:c>
      <x:c r="D1825" s="10" t="n">
        <x:v>560</x:v>
      </x:c>
      <x:c r="E1825" s="10" t="n">
        <x:v>0</x:v>
      </x:c>
      <x:c r="F1825" s="10" t="n">
        <x:v>0.004096</x:v>
      </x:c>
      <x:c r="G1825" s="10" t="n">
        <x:f>SUM(D1825:F1825)</x:f>
        <x:v>560.004096</x:v>
      </x:c>
    </x:row>
    <x:row r="1826" ht="24" customHeight="1">
      <x:c r="A1826" s="10" t="str">
        <x:v>S04-03</x:v>
      </x:c>
      <x:c r="B1826" s="10" t="str">
        <x:v>B</x:v>
      </x:c>
      <x:c r="C1826" s="18" t="n">
        <x:v>1.257333333</x:v>
      </x:c>
      <x:c r="D1826" s="10" t="n">
        <x:v>560</x:v>
      </x:c>
      <x:c r="E1826" s="10" t="n">
        <x:v>0.0096</x:v>
      </x:c>
      <x:c r="F1826" s="10" t="n">
        <x:v>0.004096</x:v>
      </x:c>
      <x:c r="G1826" s="10" t="n">
        <x:f>SUM(D1826:F1826)</x:f>
        <x:v>560.013696</x:v>
      </x:c>
    </x:row>
    <x:row r="1827" ht="24" customHeight="1">
      <x:c r="A1827" s="10" t="str">
        <x:v>S04-03</x:v>
      </x:c>
      <x:c r="B1827" s="10" t="str">
        <x:v>B</x:v>
      </x:c>
      <x:c r="C1827" s="18" t="n">
        <x:v>1.257333433</x:v>
      </x:c>
      <x:c r="D1827" s="10" t="n">
        <x:v>560</x:v>
      </x:c>
      <x:c r="E1827" s="10" t="n">
        <x:v>0.009600019</x:v>
      </x:c>
      <x:c r="F1827" s="10" t="n">
        <x:v>0.004096</x:v>
      </x:c>
      <x:c r="G1827" s="10" t="n">
        <x:f>SUM(D1827:F1827)</x:f>
        <x:v>560.013696019</x:v>
      </x:c>
    </x:row>
    <x:row r="1828" ht="24" customHeight="1">
      <x:c r="A1828" s="10" t="str">
        <x:v>S04-03</x:v>
      </x:c>
      <x:c r="B1828" s="10" t="str">
        <x:v>B</x:v>
      </x:c>
      <x:c r="C1828" s="18" t="n">
        <x:v>1.297333233</x:v>
      </x:c>
      <x:c r="D1828" s="10" t="n">
        <x:v>560</x:v>
      </x:c>
      <x:c r="E1828" s="10" t="n">
        <x:v>0.017279981</x:v>
      </x:c>
      <x:c r="F1828" s="10" t="n">
        <x:v>0.004096</x:v>
      </x:c>
      <x:c r="G1828" s="10" t="n">
        <x:f>SUM(D1828:F1828)</x:f>
        <x:v>560.021375981</x:v>
      </x:c>
    </x:row>
    <x:row r="1829" ht="24" customHeight="1">
      <x:c r="A1829" s="10" t="str">
        <x:v>S04-03</x:v>
      </x:c>
      <x:c r="B1829" s="10" t="str">
        <x:v>B</x:v>
      </x:c>
      <x:c r="C1829" s="18" t="n">
        <x:v>1.297333333</x:v>
      </x:c>
      <x:c r="D1829" s="10" t="n">
        <x:v>560</x:v>
      </x:c>
      <x:c r="E1829" s="10" t="n">
        <x:v>0.01728</x:v>
      </x:c>
      <x:c r="F1829" s="10" t="n">
        <x:v>0.004096</x:v>
      </x:c>
      <x:c r="G1829" s="10" t="n">
        <x:f>SUM(D1829:F1829)</x:f>
        <x:v>560.021376</x:v>
      </x:c>
    </x:row>
    <x:row r="1830" ht="24" customHeight="1">
      <x:c r="A1830" s="10" t="str">
        <x:v>S04-03</x:v>
      </x:c>
      <x:c r="B1830" s="10" t="str">
        <x:v>B</x:v>
      </x:c>
      <x:c r="C1830" s="18" t="n">
        <x:v>1.297333433</x:v>
      </x:c>
      <x:c r="D1830" s="10" t="n">
        <x:v>560</x:v>
      </x:c>
      <x:c r="E1830" s="10" t="n">
        <x:v>0.017280014</x:v>
      </x:c>
      <x:c r="F1830" s="10" t="n">
        <x:v>0.004096</x:v>
      </x:c>
      <x:c r="G1830" s="10" t="n">
        <x:f>SUM(D1830:F1830)</x:f>
        <x:v>560.021376014</x:v>
      </x:c>
    </x:row>
    <x:row r="1831" ht="24" customHeight="1">
      <x:c r="A1831" s="10" t="str">
        <x:v>S04-03</x:v>
      </x:c>
      <x:c r="B1831" s="10" t="str">
        <x:v>B</x:v>
      </x:c>
      <x:c r="C1831" s="18" t="n">
        <x:v>2.099833233</x:v>
      </x:c>
      <x:c r="D1831" s="10" t="n">
        <x:v>560</x:v>
      </x:c>
      <x:c r="E1831" s="10" t="n">
        <x:v>0.132839986</x:v>
      </x:c>
      <x:c r="F1831" s="10" t="n">
        <x:v>0.004096</x:v>
      </x:c>
      <x:c r="G1831" s="10" t="n">
        <x:f>SUM(D1831:F1831)</x:f>
        <x:v>560.136935986</x:v>
      </x:c>
    </x:row>
    <x:row r="1832" ht="24" customHeight="1">
      <x:c r="A1832" s="10" t="str">
        <x:v>S04-03</x:v>
      </x:c>
      <x:c r="B1832" s="10" t="str">
        <x:v>B</x:v>
      </x:c>
      <x:c r="C1832" s="18" t="n">
        <x:v>2.099833333</x:v>
      </x:c>
      <x:c r="D1832" s="10" t="n">
        <x:v>560</x:v>
      </x:c>
      <x:c r="E1832" s="10" t="n">
        <x:v>0.13284</x:v>
      </x:c>
      <x:c r="F1832" s="10" t="n">
        <x:v>0.004096</x:v>
      </x:c>
      <x:c r="G1832" s="10" t="n">
        <x:f>SUM(D1832:F1832)</x:f>
        <x:v>560.136936</x:v>
      </x:c>
    </x:row>
    <x:row r="1833" ht="24" customHeight="1">
      <x:c r="A1833" s="10" t="str">
        <x:v>S04-03</x:v>
      </x:c>
      <x:c r="B1833" s="10" t="str">
        <x:v>B</x:v>
      </x:c>
      <x:c r="C1833" s="18" t="n">
        <x:v>2.099833433</x:v>
      </x:c>
      <x:c r="D1833" s="10" t="n">
        <x:v>560</x:v>
      </x:c>
      <x:c r="E1833" s="10" t="n">
        <x:v>0.132839995</x:v>
      </x:c>
      <x:c r="F1833" s="10" t="n">
        <x:v>0.004096</x:v>
      </x:c>
      <x:c r="G1833" s="10" t="n">
        <x:f>SUM(D1833:F1833)</x:f>
        <x:v>560.136935995</x:v>
      </x:c>
    </x:row>
    <x:row r="1834" ht="24" customHeight="1">
      <x:c r="A1834" s="10" t="str">
        <x:v>S04-03</x:v>
      </x:c>
      <x:c r="B1834" s="10" t="str">
        <x:v>B</x:v>
      </x:c>
      <x:c r="C1834" s="18" t="n">
        <x:v>4.867333233</x:v>
      </x:c>
      <x:c r="D1834" s="10" t="n">
        <x:v>560</x:v>
      </x:c>
      <x:c r="E1834" s="10" t="n">
        <x:v>5e-9</x:v>
      </x:c>
      <x:c r="F1834" s="10" t="n">
        <x:v>0.004096</x:v>
      </x:c>
      <x:c r="G1834" s="10" t="n">
        <x:f>SUM(D1834:F1834)</x:f>
        <x:v>560.004096005</x:v>
      </x:c>
    </x:row>
    <x:row r="1835" ht="24" customHeight="1">
      <x:c r="A1835" s="10" t="str">
        <x:v>S04-03</x:v>
      </x:c>
      <x:c r="B1835" s="10" t="str">
        <x:v>B</x:v>
      </x:c>
      <x:c r="C1835" s="18" t="n">
        <x:v>4.867333333</x:v>
      </x:c>
      <x:c r="D1835" s="10" t="n">
        <x:v>560</x:v>
      </x:c>
      <x:c r="E1835" s="10" t="n">
        <x:v>0</x:v>
      </x:c>
      <x:c r="F1835" s="10" t="n">
        <x:v>0.004096</x:v>
      </x:c>
      <x:c r="G1835" s="10" t="n">
        <x:f>SUM(D1835:F1835)</x:f>
        <x:v>560.004096</x:v>
      </x:c>
    </x:row>
    <x:row r="1836" ht="24" customHeight="1">
      <x:c r="A1836" s="10" t="str">
        <x:v>S04-03</x:v>
      </x:c>
      <x:c r="B1836" s="10" t="str">
        <x:v>B</x:v>
      </x:c>
      <x:c r="C1836" s="18" t="n">
        <x:v>4.867333433</x:v>
      </x:c>
      <x:c r="D1836" s="10" t="n">
        <x:v>560</x:v>
      </x:c>
      <x:c r="E1836" s="10" t="n">
        <x:v>0</x:v>
      </x:c>
      <x:c r="F1836" s="10" t="n">
        <x:v>0</x:v>
      </x:c>
      <x:c r="G1836" s="10" t="n">
        <x:f>SUM(D1836:F1836)</x:f>
        <x:v>560</x:v>
      </x:c>
    </x:row>
    <x:row r="1837" ht="24" customHeight="1">
      <x:c r="A1837" s="10" t="str">
        <x:v>S04-04</x:v>
      </x:c>
      <x:c r="B1837" s="10" t="str">
        <x:v>A</x:v>
      </x:c>
      <x:c r="C1837" s="18" t="n">
        <x:v>-6.0000001</x:v>
      </x:c>
      <x:c r="D1837" s="10" t="n">
        <x:v>560</x:v>
      </x:c>
      <x:c r="E1837" s="10" t="n">
        <x:v>0</x:v>
      </x:c>
      <x:c r="F1837" s="10" t="n">
        <x:v>0</x:v>
      </x:c>
      <x:c r="G1837" s="10" t="n">
        <x:f>SUM(D1837:F1837)</x:f>
        <x:v>560</x:v>
      </x:c>
    </x:row>
    <x:row r="1838" ht="24" customHeight="1">
      <x:c r="A1838" s="10" t="str">
        <x:v>S04-04</x:v>
      </x:c>
      <x:c r="B1838" s="10" t="str">
        <x:v>A</x:v>
      </x:c>
      <x:c r="C1838" s="18" t="n">
        <x:v>-6</x:v>
      </x:c>
      <x:c r="D1838" s="10" t="n">
        <x:v>560</x:v>
      </x:c>
      <x:c r="E1838" s="10" t="n">
        <x:v>0</x:v>
      </x:c>
      <x:c r="F1838" s="10" t="n">
        <x:v>0</x:v>
      </x:c>
      <x:c r="G1838" s="10" t="n">
        <x:f>SUM(D1838:F1838)</x:f>
        <x:v>560</x:v>
      </x:c>
    </x:row>
    <x:row r="1839" ht="24" customHeight="1">
      <x:c r="A1839" s="10" t="str">
        <x:v>S04-04</x:v>
      </x:c>
      <x:c r="B1839" s="10" t="str">
        <x:v>A</x:v>
      </x:c>
      <x:c r="C1839" s="18" t="n">
        <x:v>-5.9999999</x:v>
      </x:c>
      <x:c r="D1839" s="10" t="n">
        <x:v>560</x:v>
      </x:c>
      <x:c r="E1839" s="10" t="n">
        <x:v>0</x:v>
      </x:c>
      <x:c r="F1839" s="10" t="n">
        <x:v>0</x:v>
      </x:c>
      <x:c r="G1839" s="10" t="n">
        <x:f>SUM(D1839:F1839)</x:f>
        <x:v>560</x:v>
      </x:c>
    </x:row>
    <x:row r="1840" ht="24" customHeight="1">
      <x:c r="A1840" s="10" t="str">
        <x:v>S04-04</x:v>
      </x:c>
      <x:c r="B1840" s="10" t="str">
        <x:v>A</x:v>
      </x:c>
      <x:c r="C1840" s="18" t="n">
        <x:v>-1.0000001</x:v>
      </x:c>
      <x:c r="D1840" s="10" t="n">
        <x:v>560</x:v>
      </x:c>
      <x:c r="E1840" s="10" t="n">
        <x:v>0</x:v>
      </x:c>
      <x:c r="F1840" s="10" t="n">
        <x:v>0</x:v>
      </x:c>
      <x:c r="G1840" s="10" t="n">
        <x:f>SUM(D1840:F1840)</x:f>
        <x:v>560</x:v>
      </x:c>
    </x:row>
    <x:row r="1841" ht="24" customHeight="1">
      <x:c r="A1841" s="10" t="str">
        <x:v>S04-04</x:v>
      </x:c>
      <x:c r="B1841" s="10" t="str">
        <x:v>A</x:v>
      </x:c>
      <x:c r="C1841" s="18" t="n">
        <x:v>-1</x:v>
      </x:c>
      <x:c r="D1841" s="10" t="n">
        <x:v>560</x:v>
      </x:c>
      <x:c r="E1841" s="10" t="n">
        <x:v>0</x:v>
      </x:c>
      <x:c r="F1841" s="10" t="n">
        <x:v>0.004096</x:v>
      </x:c>
      <x:c r="G1841" s="10" t="n">
        <x:f>SUM(D1841:F1841)</x:f>
        <x:v>560.004096</x:v>
      </x:c>
    </x:row>
    <x:row r="1842" ht="24" customHeight="1">
      <x:c r="A1842" s="10" t="str">
        <x:v>S04-04</x:v>
      </x:c>
      <x:c r="B1842" s="10" t="str">
        <x:v>A</x:v>
      </x:c>
      <x:c r="C1842" s="18" t="n">
        <x:v>-0.9999999</x:v>
      </x:c>
      <x:c r="D1842" s="10" t="n">
        <x:v>560</x:v>
      </x:c>
      <x:c r="E1842" s="10" t="n">
        <x:v>0</x:v>
      </x:c>
      <x:c r="F1842" s="10" t="n">
        <x:v>0.004096</x:v>
      </x:c>
      <x:c r="G1842" s="10" t="n">
        <x:f>SUM(D1842:F1842)</x:f>
        <x:v>560.004096</x:v>
      </x:c>
    </x:row>
    <x:row r="1843" ht="24" customHeight="1">
      <x:c r="A1843" s="10" t="str">
        <x:v>S04-04</x:v>
      </x:c>
      <x:c r="B1843" s="10" t="str">
        <x:v>A</x:v>
      </x:c>
      <x:c r="C1843" s="18" t="n">
        <x:v>-0.5900001</x:v>
      </x:c>
      <x:c r="D1843" s="10" t="n">
        <x:v>560</x:v>
      </x:c>
      <x:c r="E1843" s="10" t="n">
        <x:v>0</x:v>
      </x:c>
      <x:c r="F1843" s="10" t="n">
        <x:v>0.004096</x:v>
      </x:c>
      <x:c r="G1843" s="10" t="n">
        <x:f>SUM(D1843:F1843)</x:f>
        <x:v>560.004096</x:v>
      </x:c>
    </x:row>
    <x:row r="1844" ht="24" customHeight="1">
      <x:c r="A1844" s="10" t="str">
        <x:v>S04-04</x:v>
      </x:c>
      <x:c r="B1844" s="10" t="str">
        <x:v>A</x:v>
      </x:c>
      <x:c r="C1844" s="18" t="n">
        <x:v>-0.59</x:v>
      </x:c>
      <x:c r="D1844" s="10" t="n">
        <x:v>560</x:v>
      </x:c>
      <x:c r="E1844" s="10" t="n">
        <x:v>0.0096</x:v>
      </x:c>
      <x:c r="F1844" s="10" t="n">
        <x:v>0.004096</x:v>
      </x:c>
      <x:c r="G1844" s="10" t="n">
        <x:f>SUM(D1844:F1844)</x:f>
        <x:v>560.013696</x:v>
      </x:c>
    </x:row>
    <x:row r="1845" ht="24" customHeight="1">
      <x:c r="A1845" s="10" t="str">
        <x:v>S04-04</x:v>
      </x:c>
      <x:c r="B1845" s="10" t="str">
        <x:v>A</x:v>
      </x:c>
      <x:c r="C1845" s="18" t="n">
        <x:v>-0.5899999</x:v>
      </x:c>
      <x:c r="D1845" s="10" t="n">
        <x:v>560</x:v>
      </x:c>
      <x:c r="E1845" s="10" t="n">
        <x:v>0.009600019</x:v>
      </x:c>
      <x:c r="F1845" s="10" t="n">
        <x:v>0.004096</x:v>
      </x:c>
      <x:c r="G1845" s="10" t="n">
        <x:f>SUM(D1845:F1845)</x:f>
        <x:v>560.013696019</x:v>
      </x:c>
    </x:row>
    <x:row r="1846" ht="24" customHeight="1">
      <x:c r="A1846" s="10" t="str">
        <x:v>S04-04</x:v>
      </x:c>
      <x:c r="B1846" s="10" t="str">
        <x:v>A</x:v>
      </x:c>
      <x:c r="C1846" s="18" t="n">
        <x:v>-1e-7</x:v>
      </x:c>
      <x:c r="D1846" s="10" t="n">
        <x:v>560</x:v>
      </x:c>
      <x:c r="E1846" s="10" t="n">
        <x:v>0.122879981</x:v>
      </x:c>
      <x:c r="F1846" s="10" t="n">
        <x:v>0.004096</x:v>
      </x:c>
      <x:c r="G1846" s="10" t="n">
        <x:f>SUM(D1846:F1846)</x:f>
        <x:v>560.126975981</x:v>
      </x:c>
    </x:row>
    <x:row r="1847" ht="24" customHeight="1">
      <x:c r="A1847" s="10" t="str">
        <x:v>S04-04</x:v>
      </x:c>
      <x:c r="B1847" s="10" t="str">
        <x:v>A</x:v>
      </x:c>
      <x:c r="C1847" s="18" t="n">
        <x:v>0</x:v>
      </x:c>
      <x:c r="D1847" s="10" t="n">
        <x:v>560</x:v>
      </x:c>
      <x:c r="E1847" s="10" t="n">
        <x:v>0.12288</x:v>
      </x:c>
      <x:c r="F1847" s="10" t="n">
        <x:v>0.004096</x:v>
      </x:c>
      <x:c r="G1847" s="10" t="n">
        <x:f>SUM(D1847:F1847)</x:f>
        <x:v>560.126976</x:v>
      </x:c>
    </x:row>
    <x:row r="1848" ht="24" customHeight="1">
      <x:c r="A1848" s="10" t="str">
        <x:v>S04-04</x:v>
      </x:c>
      <x:c r="B1848" s="10" t="str">
        <x:v>A</x:v>
      </x:c>
      <x:c r="C1848" s="18" t="n">
        <x:v>1e-7</x:v>
      </x:c>
      <x:c r="D1848" s="10" t="n">
        <x:v>560</x:v>
      </x:c>
      <x:c r="E1848" s="10" t="n">
        <x:v>0.122880019</x:v>
      </x:c>
      <x:c r="F1848" s="10" t="n">
        <x:v>0.004096</x:v>
      </x:c>
      <x:c r="G1848" s="10" t="n">
        <x:f>SUM(D1848:F1848)</x:f>
        <x:v>560.126976019</x:v>
      </x:c>
    </x:row>
    <x:row r="1849" ht="24" customHeight="1">
      <x:c r="A1849" s="10" t="str">
        <x:v>S04-04</x:v>
      </x:c>
      <x:c r="B1849" s="10" t="str">
        <x:v>A</x:v>
      </x:c>
      <x:c r="C1849" s="18" t="n">
        <x:v>0.878333233</x:v>
      </x:c>
      <x:c r="D1849" s="10" t="n">
        <x:v>560</x:v>
      </x:c>
      <x:c r="E1849" s="10" t="n">
        <x:v>0.291519981</x:v>
      </x:c>
      <x:c r="F1849" s="10" t="n">
        <x:v>0.004096</x:v>
      </x:c>
      <x:c r="G1849" s="10" t="n">
        <x:f>SUM(D1849:F1849)</x:f>
        <x:v>560.295615981</x:v>
      </x:c>
    </x:row>
    <x:row r="1850" ht="24" customHeight="1">
      <x:c r="A1850" s="10" t="str">
        <x:v>S04-04</x:v>
      </x:c>
      <x:c r="B1850" s="10" t="str">
        <x:v>A</x:v>
      </x:c>
      <x:c r="C1850" s="18" t="n">
        <x:v>0.878333333</x:v>
      </x:c>
      <x:c r="D1850" s="10" t="n">
        <x:v>560</x:v>
      </x:c>
      <x:c r="E1850" s="10" t="n">
        <x:v>0.29152</x:v>
      </x:c>
      <x:c r="F1850" s="10" t="n">
        <x:v>0.008192</x:v>
      </x:c>
      <x:c r="G1850" s="10" t="n">
        <x:f>SUM(D1850:F1850)</x:f>
        <x:v>560.299712</x:v>
      </x:c>
    </x:row>
    <x:row r="1851" ht="24" customHeight="1">
      <x:c r="A1851" s="10" t="str">
        <x:v>S04-04</x:v>
      </x:c>
      <x:c r="B1851" s="10" t="str">
        <x:v>A</x:v>
      </x:c>
      <x:c r="C1851" s="18" t="n">
        <x:v>0.878333433</x:v>
      </x:c>
      <x:c r="D1851" s="10" t="n">
        <x:v>560</x:v>
      </x:c>
      <x:c r="E1851" s="10" t="n">
        <x:v>0.291520019</x:v>
      </x:c>
      <x:c r="F1851" s="10" t="n">
        <x:v>0.008192</x:v>
      </x:c>
      <x:c r="G1851" s="10" t="n">
        <x:f>SUM(D1851:F1851)</x:f>
        <x:v>560.299712019</x:v>
      </x:c>
    </x:row>
    <x:row r="1852" ht="24" customHeight="1">
      <x:c r="A1852" s="10" t="str">
        <x:v>S04-04</x:v>
      </x:c>
      <x:c r="B1852" s="10" t="str">
        <x:v>A</x:v>
      </x:c>
      <x:c r="C1852" s="18" t="n">
        <x:v>0.978333233</x:v>
      </x:c>
      <x:c r="D1852" s="10" t="n">
        <x:v>560</x:v>
      </x:c>
      <x:c r="E1852" s="10" t="n">
        <x:v>0.310719981</x:v>
      </x:c>
      <x:c r="F1852" s="10" t="n">
        <x:v>0.008192</x:v>
      </x:c>
      <x:c r="G1852" s="10" t="n">
        <x:f>SUM(D1852:F1852)</x:f>
        <x:v>560.318911981</x:v>
      </x:c>
    </x:row>
    <x:row r="1853" ht="24" customHeight="1">
      <x:c r="A1853" s="10" t="str">
        <x:v>S04-04</x:v>
      </x:c>
      <x:c r="B1853" s="10" t="str">
        <x:v>A</x:v>
      </x:c>
      <x:c r="C1853" s="18" t="n">
        <x:v>0.978333333</x:v>
      </x:c>
      <x:c r="D1853" s="10" t="n">
        <x:v>560</x:v>
      </x:c>
      <x:c r="E1853" s="10" t="n">
        <x:v>0.31072</x:v>
      </x:c>
      <x:c r="F1853" s="10" t="n">
        <x:v>0.008192</x:v>
      </x:c>
      <x:c r="G1853" s="10" t="n">
        <x:f>SUM(D1853:F1853)</x:f>
        <x:v>560.318912</x:v>
      </x:c>
    </x:row>
    <x:row r="1854" ht="24" customHeight="1">
      <x:c r="A1854" s="10" t="str">
        <x:v>S04-04</x:v>
      </x:c>
      <x:c r="B1854" s="10" t="str">
        <x:v>A</x:v>
      </x:c>
      <x:c r="C1854" s="18" t="n">
        <x:v>0.978333433</x:v>
      </x:c>
      <x:c r="D1854" s="10" t="n">
        <x:v>560</x:v>
      </x:c>
      <x:c r="E1854" s="10" t="n">
        <x:v>0</x:v>
      </x:c>
      <x:c r="F1854" s="10" t="n">
        <x:v>0.004096</x:v>
      </x:c>
      <x:c r="G1854" s="10" t="n">
        <x:f>SUM(D1854:F1854)</x:f>
        <x:v>560.004096</x:v>
      </x:c>
    </x:row>
    <x:row r="1855" ht="24" customHeight="1">
      <x:c r="A1855" s="10" t="str">
        <x:v>S04-04</x:v>
      </x:c>
      <x:c r="B1855" s="10" t="str">
        <x:v>A</x:v>
      </x:c>
      <x:c r="C1855" s="18" t="n">
        <x:v>1.285666566</x:v>
      </x:c>
      <x:c r="D1855" s="10" t="n">
        <x:v>560</x:v>
      </x:c>
      <x:c r="E1855" s="10" t="n">
        <x:v>0</x:v>
      </x:c>
      <x:c r="F1855" s="10" t="n">
        <x:v>0.004096</x:v>
      </x:c>
      <x:c r="G1855" s="10" t="n">
        <x:f>SUM(D1855:F1855)</x:f>
        <x:v>560.004096</x:v>
      </x:c>
    </x:row>
    <x:row r="1856" ht="24" customHeight="1">
      <x:c r="A1856" s="10" t="str">
        <x:v>S04-04</x:v>
      </x:c>
      <x:c r="B1856" s="10" t="str">
        <x:v>A</x:v>
      </x:c>
      <x:c r="C1856" s="18" t="n">
        <x:v>1.285666666</x:v>
      </x:c>
      <x:c r="D1856" s="10" t="n">
        <x:v>560</x:v>
      </x:c>
      <x:c r="E1856" s="10" t="n">
        <x:v>0.0096</x:v>
      </x:c>
      <x:c r="F1856" s="10" t="n">
        <x:v>0.004096</x:v>
      </x:c>
      <x:c r="G1856" s="10" t="n">
        <x:f>SUM(D1856:F1856)</x:f>
        <x:v>560.013696</x:v>
      </x:c>
    </x:row>
    <x:row r="1857" ht="24" customHeight="1">
      <x:c r="A1857" s="10" t="str">
        <x:v>S04-04</x:v>
      </x:c>
      <x:c r="B1857" s="10" t="str">
        <x:v>A</x:v>
      </x:c>
      <x:c r="C1857" s="18" t="n">
        <x:v>1.285666766</x:v>
      </x:c>
      <x:c r="D1857" s="10" t="n">
        <x:v>560</x:v>
      </x:c>
      <x:c r="E1857" s="10" t="n">
        <x:v>0.009600019</x:v>
      </x:c>
      <x:c r="F1857" s="10" t="n">
        <x:v>0.004096</x:v>
      </x:c>
      <x:c r="G1857" s="10" t="n">
        <x:f>SUM(D1857:F1857)</x:f>
        <x:v>560.013696019</x:v>
      </x:c>
    </x:row>
    <x:row r="1858" ht="24" customHeight="1">
      <x:c r="A1858" s="10" t="str">
        <x:v>S04-04</x:v>
      </x:c>
      <x:c r="B1858" s="10" t="str">
        <x:v>A</x:v>
      </x:c>
      <x:c r="C1858" s="18" t="n">
        <x:v>1.325666566</x:v>
      </x:c>
      <x:c r="D1858" s="10" t="n">
        <x:v>560</x:v>
      </x:c>
      <x:c r="E1858" s="10" t="n">
        <x:v>0.017279981</x:v>
      </x:c>
      <x:c r="F1858" s="10" t="n">
        <x:v>0.004096</x:v>
      </x:c>
      <x:c r="G1858" s="10" t="n">
        <x:f>SUM(D1858:F1858)</x:f>
        <x:v>560.021375981</x:v>
      </x:c>
    </x:row>
    <x:row r="1859" ht="24" customHeight="1">
      <x:c r="A1859" s="10" t="str">
        <x:v>S04-04</x:v>
      </x:c>
      <x:c r="B1859" s="10" t="str">
        <x:v>A</x:v>
      </x:c>
      <x:c r="C1859" s="18" t="n">
        <x:v>1.325666666</x:v>
      </x:c>
      <x:c r="D1859" s="10" t="n">
        <x:v>560</x:v>
      </x:c>
      <x:c r="E1859" s="10" t="n">
        <x:v>0.01728</x:v>
      </x:c>
      <x:c r="F1859" s="10" t="n">
        <x:v>0.004096</x:v>
      </x:c>
      <x:c r="G1859" s="10" t="n">
        <x:f>SUM(D1859:F1859)</x:f>
        <x:v>560.021376</x:v>
      </x:c>
    </x:row>
    <x:row r="1860" ht="24" customHeight="1">
      <x:c r="A1860" s="10" t="str">
        <x:v>S04-04</x:v>
      </x:c>
      <x:c r="B1860" s="10" t="str">
        <x:v>A</x:v>
      </x:c>
      <x:c r="C1860" s="18" t="n">
        <x:v>1.325666766</x:v>
      </x:c>
      <x:c r="D1860" s="10" t="n">
        <x:v>560</x:v>
      </x:c>
      <x:c r="E1860" s="10" t="n">
        <x:v>0.017280014</x:v>
      </x:c>
      <x:c r="F1860" s="10" t="n">
        <x:v>0.004096</x:v>
      </x:c>
      <x:c r="G1860" s="10" t="n">
        <x:f>SUM(D1860:F1860)</x:f>
        <x:v>560.021376014</x:v>
      </x:c>
    </x:row>
    <x:row r="1861" ht="24" customHeight="1">
      <x:c r="A1861" s="10" t="str">
        <x:v>S04-04</x:v>
      </x:c>
      <x:c r="B1861" s="10" t="str">
        <x:v>A</x:v>
      </x:c>
      <x:c r="C1861" s="18" t="n">
        <x:v>2.131166566</x:v>
      </x:c>
      <x:c r="D1861" s="10" t="n">
        <x:v>560</x:v>
      </x:c>
      <x:c r="E1861" s="10" t="n">
        <x:v>0.133271986</x:v>
      </x:c>
      <x:c r="F1861" s="10" t="n">
        <x:v>0.004096</x:v>
      </x:c>
      <x:c r="G1861" s="10" t="n">
        <x:f>SUM(D1861:F1861)</x:f>
        <x:v>560.137367986</x:v>
      </x:c>
    </x:row>
    <x:row r="1862" ht="24" customHeight="1">
      <x:c r="A1862" s="10" t="str">
        <x:v>S04-04</x:v>
      </x:c>
      <x:c r="B1862" s="10" t="str">
        <x:v>A</x:v>
      </x:c>
      <x:c r="C1862" s="18" t="n">
        <x:v>2.131166666</x:v>
      </x:c>
      <x:c r="D1862" s="10" t="n">
        <x:v>560</x:v>
      </x:c>
      <x:c r="E1862" s="10" t="n">
        <x:v>0.133272</x:v>
      </x:c>
      <x:c r="F1862" s="10" t="n">
        <x:v>0.004096</x:v>
      </x:c>
      <x:c r="G1862" s="10" t="n">
        <x:f>SUM(D1862:F1862)</x:f>
        <x:v>560.137368</x:v>
      </x:c>
    </x:row>
    <x:row r="1863" ht="24" customHeight="1">
      <x:c r="A1863" s="10" t="str">
        <x:v>S04-04</x:v>
      </x:c>
      <x:c r="B1863" s="10" t="str">
        <x:v>A</x:v>
      </x:c>
      <x:c r="C1863" s="18" t="n">
        <x:v>2.131166766</x:v>
      </x:c>
      <x:c r="D1863" s="10" t="n">
        <x:v>560</x:v>
      </x:c>
      <x:c r="E1863" s="10" t="n">
        <x:v>0.133271995</x:v>
      </x:c>
      <x:c r="F1863" s="10" t="n">
        <x:v>0.004096</x:v>
      </x:c>
      <x:c r="G1863" s="10" t="n">
        <x:f>SUM(D1863:F1863)</x:f>
        <x:v>560.137367995</x:v>
      </x:c>
    </x:row>
    <x:row r="1864" ht="24" customHeight="1">
      <x:c r="A1864" s="10" t="str">
        <x:v>S04-04</x:v>
      </x:c>
      <x:c r="B1864" s="10" t="str">
        <x:v>A</x:v>
      </x:c>
      <x:c r="C1864" s="18" t="n">
        <x:v>4.907666566</x:v>
      </x:c>
      <x:c r="D1864" s="10" t="n">
        <x:v>560</x:v>
      </x:c>
      <x:c r="E1864" s="10" t="n">
        <x:v>5e-9</x:v>
      </x:c>
      <x:c r="F1864" s="10" t="n">
        <x:v>0.004096</x:v>
      </x:c>
      <x:c r="G1864" s="10" t="n">
        <x:f>SUM(D1864:F1864)</x:f>
        <x:v>560.004096005</x:v>
      </x:c>
    </x:row>
    <x:row r="1865" ht="24" customHeight="1">
      <x:c r="A1865" s="10" t="str">
        <x:v>S04-04</x:v>
      </x:c>
      <x:c r="B1865" s="10" t="str">
        <x:v>A</x:v>
      </x:c>
      <x:c r="C1865" s="18" t="n">
        <x:v>4.907666666</x:v>
      </x:c>
      <x:c r="D1865" s="10" t="n">
        <x:v>560</x:v>
      </x:c>
      <x:c r="E1865" s="10" t="n">
        <x:v>0</x:v>
      </x:c>
      <x:c r="F1865" s="10" t="n">
        <x:v>0.004096</x:v>
      </x:c>
      <x:c r="G1865" s="10" t="n">
        <x:f>SUM(D1865:F1865)</x:f>
        <x:v>560.004096</x:v>
      </x:c>
    </x:row>
    <x:row r="1866" ht="24" customHeight="1">
      <x:c r="A1866" s="10" t="str">
        <x:v>S04-04</x:v>
      </x:c>
      <x:c r="B1866" s="10" t="str">
        <x:v>A</x:v>
      </x:c>
      <x:c r="C1866" s="18" t="n">
        <x:v>4.907666766</x:v>
      </x:c>
      <x:c r="D1866" s="10" t="n">
        <x:v>560</x:v>
      </x:c>
      <x:c r="E1866" s="10" t="n">
        <x:v>0</x:v>
      </x:c>
      <x:c r="F1866" s="10" t="n">
        <x:v>0</x:v>
      </x:c>
      <x:c r="G1866" s="10" t="n">
        <x:f>SUM(D1866:F1866)</x:f>
        <x:v>560</x:v>
      </x:c>
    </x:row>
    <x:row r="1867" ht="24" customHeight="1">
      <x:c r="A1867" s="10" t="str">
        <x:v>S04-04</x:v>
      </x:c>
      <x:c r="B1867" s="10" t="str">
        <x:v>B</x:v>
      </x:c>
      <x:c r="C1867" s="18" t="n">
        <x:v>-6.0000001</x:v>
      </x:c>
      <x:c r="D1867" s="10" t="n">
        <x:v>560</x:v>
      </x:c>
      <x:c r="E1867" s="10" t="n">
        <x:v>0</x:v>
      </x:c>
      <x:c r="F1867" s="10" t="n">
        <x:v>0</x:v>
      </x:c>
      <x:c r="G1867" s="10" t="n">
        <x:f>SUM(D1867:F1867)</x:f>
        <x:v>560</x:v>
      </x:c>
    </x:row>
    <x:row r="1868" ht="24" customHeight="1">
      <x:c r="A1868" s="10" t="str">
        <x:v>S04-04</x:v>
      </x:c>
      <x:c r="B1868" s="10" t="str">
        <x:v>B</x:v>
      </x:c>
      <x:c r="C1868" s="18" t="n">
        <x:v>-6</x:v>
      </x:c>
      <x:c r="D1868" s="10" t="n">
        <x:v>560</x:v>
      </x:c>
      <x:c r="E1868" s="10" t="n">
        <x:v>0</x:v>
      </x:c>
      <x:c r="F1868" s="10" t="n">
        <x:v>0</x:v>
      </x:c>
      <x:c r="G1868" s="10" t="n">
        <x:f>SUM(D1868:F1868)</x:f>
        <x:v>560</x:v>
      </x:c>
    </x:row>
    <x:row r="1869" ht="24" customHeight="1">
      <x:c r="A1869" s="10" t="str">
        <x:v>S04-04</x:v>
      </x:c>
      <x:c r="B1869" s="10" t="str">
        <x:v>B</x:v>
      </x:c>
      <x:c r="C1869" s="18" t="n">
        <x:v>-5.9999999</x:v>
      </x:c>
      <x:c r="D1869" s="10" t="n">
        <x:v>560</x:v>
      </x:c>
      <x:c r="E1869" s="10" t="n">
        <x:v>0</x:v>
      </x:c>
      <x:c r="F1869" s="10" t="n">
        <x:v>0</x:v>
      </x:c>
      <x:c r="G1869" s="10" t="n">
        <x:f>SUM(D1869:F1869)</x:f>
        <x:v>560</x:v>
      </x:c>
    </x:row>
    <x:row r="1870" ht="24" customHeight="1">
      <x:c r="A1870" s="10" t="str">
        <x:v>S04-04</x:v>
      </x:c>
      <x:c r="B1870" s="10" t="str">
        <x:v>B</x:v>
      </x:c>
      <x:c r="C1870" s="18" t="n">
        <x:v>-1e-7</x:v>
      </x:c>
      <x:c r="D1870" s="10" t="n">
        <x:v>560</x:v>
      </x:c>
      <x:c r="E1870" s="10" t="n">
        <x:v>0</x:v>
      </x:c>
      <x:c r="F1870" s="10" t="n">
        <x:v>0</x:v>
      </x:c>
      <x:c r="G1870" s="10" t="n">
        <x:f>SUM(D1870:F1870)</x:f>
        <x:v>560</x:v>
      </x:c>
    </x:row>
    <x:row r="1871" ht="24" customHeight="1">
      <x:c r="A1871" s="10" t="str">
        <x:v>S04-04</x:v>
      </x:c>
      <x:c r="B1871" s="10" t="str">
        <x:v>B</x:v>
      </x:c>
      <x:c r="C1871" s="18" t="n">
        <x:v>0</x:v>
      </x:c>
      <x:c r="D1871" s="10" t="n">
        <x:v>560</x:v>
      </x:c>
      <x:c r="E1871" s="10" t="n">
        <x:v>0</x:v>
      </x:c>
      <x:c r="F1871" s="10" t="n">
        <x:v>0</x:v>
      </x:c>
      <x:c r="G1871" s="10" t="n">
        <x:f>SUM(D1871:F1871)</x:f>
        <x:v>560</x:v>
      </x:c>
    </x:row>
    <x:row r="1872" ht="24" customHeight="1">
      <x:c r="A1872" s="10" t="str">
        <x:v>S04-04</x:v>
      </x:c>
      <x:c r="B1872" s="10" t="str">
        <x:v>B</x:v>
      </x:c>
      <x:c r="C1872" s="18" t="n">
        <x:v>1e-7</x:v>
      </x:c>
      <x:c r="D1872" s="10" t="n">
        <x:v>560</x:v>
      </x:c>
      <x:c r="E1872" s="10" t="n">
        <x:v>0</x:v>
      </x:c>
      <x:c r="F1872" s="10" t="n">
        <x:v>0</x:v>
      </x:c>
      <x:c r="G1872" s="10" t="n">
        <x:f>SUM(D1872:F1872)</x:f>
        <x:v>560</x:v>
      </x:c>
    </x:row>
    <x:row r="1873" ht="24" customHeight="1">
      <x:c r="A1873" s="10" t="str">
        <x:v>S04-04</x:v>
      </x:c>
      <x:c r="B1873" s="10" t="str">
        <x:v>B</x:v>
      </x:c>
      <x:c r="C1873" s="18" t="n">
        <x:v>0.878333233</x:v>
      </x:c>
      <x:c r="D1873" s="10" t="n">
        <x:v>560</x:v>
      </x:c>
      <x:c r="E1873" s="10" t="n">
        <x:v>0</x:v>
      </x:c>
      <x:c r="F1873" s="10" t="n">
        <x:v>0</x:v>
      </x:c>
      <x:c r="G1873" s="10" t="n">
        <x:f>SUM(D1873:F1873)</x:f>
        <x:v>560</x:v>
      </x:c>
    </x:row>
    <x:row r="1874" ht="24" customHeight="1">
      <x:c r="A1874" s="10" t="str">
        <x:v>S04-04</x:v>
      </x:c>
      <x:c r="B1874" s="10" t="str">
        <x:v>B</x:v>
      </x:c>
      <x:c r="C1874" s="18" t="n">
        <x:v>0.878333333</x:v>
      </x:c>
      <x:c r="D1874" s="10" t="n">
        <x:v>560</x:v>
      </x:c>
      <x:c r="E1874" s="10" t="n">
        <x:v>0</x:v>
      </x:c>
      <x:c r="F1874" s="10" t="n">
        <x:v>0.004096</x:v>
      </x:c>
      <x:c r="G1874" s="10" t="n">
        <x:f>SUM(D1874:F1874)</x:f>
        <x:v>560.004096</x:v>
      </x:c>
    </x:row>
    <x:row r="1875" ht="24" customHeight="1">
      <x:c r="A1875" s="10" t="str">
        <x:v>S04-04</x:v>
      </x:c>
      <x:c r="B1875" s="10" t="str">
        <x:v>B</x:v>
      </x:c>
      <x:c r="C1875" s="18" t="n">
        <x:v>0.878333433</x:v>
      </x:c>
      <x:c r="D1875" s="10" t="n">
        <x:v>560</x:v>
      </x:c>
      <x:c r="E1875" s="10" t="n">
        <x:v>0</x:v>
      </x:c>
      <x:c r="F1875" s="10" t="n">
        <x:v>0.004096</x:v>
      </x:c>
      <x:c r="G1875" s="10" t="n">
        <x:f>SUM(D1875:F1875)</x:f>
        <x:v>560.004096</x:v>
      </x:c>
    </x:row>
    <x:row r="1876" ht="24" customHeight="1">
      <x:c r="A1876" s="10" t="str">
        <x:v>S04-04</x:v>
      </x:c>
      <x:c r="B1876" s="10" t="str">
        <x:v>B</x:v>
      </x:c>
      <x:c r="C1876" s="18" t="n">
        <x:v>1.285666566</x:v>
      </x:c>
      <x:c r="D1876" s="10" t="n">
        <x:v>560</x:v>
      </x:c>
      <x:c r="E1876" s="10" t="n">
        <x:v>0</x:v>
      </x:c>
      <x:c r="F1876" s="10" t="n">
        <x:v>0.004096</x:v>
      </x:c>
      <x:c r="G1876" s="10" t="n">
        <x:f>SUM(D1876:F1876)</x:f>
        <x:v>560.004096</x:v>
      </x:c>
    </x:row>
    <x:row r="1877" ht="24" customHeight="1">
      <x:c r="A1877" s="10" t="str">
        <x:v>S04-04</x:v>
      </x:c>
      <x:c r="B1877" s="10" t="str">
        <x:v>B</x:v>
      </x:c>
      <x:c r="C1877" s="18" t="n">
        <x:v>1.285666666</x:v>
      </x:c>
      <x:c r="D1877" s="10" t="n">
        <x:v>560</x:v>
      </x:c>
      <x:c r="E1877" s="10" t="n">
        <x:v>0.0096</x:v>
      </x:c>
      <x:c r="F1877" s="10" t="n">
        <x:v>0.004096</x:v>
      </x:c>
      <x:c r="G1877" s="10" t="n">
        <x:f>SUM(D1877:F1877)</x:f>
        <x:v>560.013696</x:v>
      </x:c>
    </x:row>
    <x:row r="1878" ht="24" customHeight="1">
      <x:c r="A1878" s="10" t="str">
        <x:v>S04-04</x:v>
      </x:c>
      <x:c r="B1878" s="10" t="str">
        <x:v>B</x:v>
      </x:c>
      <x:c r="C1878" s="18" t="n">
        <x:v>1.285666766</x:v>
      </x:c>
      <x:c r="D1878" s="10" t="n">
        <x:v>560</x:v>
      </x:c>
      <x:c r="E1878" s="10" t="n">
        <x:v>0.009600019</x:v>
      </x:c>
      <x:c r="F1878" s="10" t="n">
        <x:v>0.004096</x:v>
      </x:c>
      <x:c r="G1878" s="10" t="n">
        <x:f>SUM(D1878:F1878)</x:f>
        <x:v>560.013696019</x:v>
      </x:c>
    </x:row>
    <x:row r="1879" ht="24" customHeight="1">
      <x:c r="A1879" s="10" t="str">
        <x:v>S04-04</x:v>
      </x:c>
      <x:c r="B1879" s="10" t="str">
        <x:v>B</x:v>
      </x:c>
      <x:c r="C1879" s="18" t="n">
        <x:v>1.325666566</x:v>
      </x:c>
      <x:c r="D1879" s="10" t="n">
        <x:v>560</x:v>
      </x:c>
      <x:c r="E1879" s="10" t="n">
        <x:v>0.017279981</x:v>
      </x:c>
      <x:c r="F1879" s="10" t="n">
        <x:v>0.004096</x:v>
      </x:c>
      <x:c r="G1879" s="10" t="n">
        <x:f>SUM(D1879:F1879)</x:f>
        <x:v>560.021375981</x:v>
      </x:c>
    </x:row>
    <x:row r="1880" ht="24" customHeight="1">
      <x:c r="A1880" s="10" t="str">
        <x:v>S04-04</x:v>
      </x:c>
      <x:c r="B1880" s="10" t="str">
        <x:v>B</x:v>
      </x:c>
      <x:c r="C1880" s="18" t="n">
        <x:v>1.325666666</x:v>
      </x:c>
      <x:c r="D1880" s="10" t="n">
        <x:v>560</x:v>
      </x:c>
      <x:c r="E1880" s="10" t="n">
        <x:v>0.01728</x:v>
      </x:c>
      <x:c r="F1880" s="10" t="n">
        <x:v>0.004096</x:v>
      </x:c>
      <x:c r="G1880" s="10" t="n">
        <x:f>SUM(D1880:F1880)</x:f>
        <x:v>560.021376</x:v>
      </x:c>
    </x:row>
    <x:row r="1881" ht="24" customHeight="1">
      <x:c r="A1881" s="10" t="str">
        <x:v>S04-04</x:v>
      </x:c>
      <x:c r="B1881" s="10" t="str">
        <x:v>B</x:v>
      </x:c>
      <x:c r="C1881" s="18" t="n">
        <x:v>1.325666766</x:v>
      </x:c>
      <x:c r="D1881" s="10" t="n">
        <x:v>560</x:v>
      </x:c>
      <x:c r="E1881" s="10" t="n">
        <x:v>0.017280014</x:v>
      </x:c>
      <x:c r="F1881" s="10" t="n">
        <x:v>0.004096</x:v>
      </x:c>
      <x:c r="G1881" s="10" t="n">
        <x:f>SUM(D1881:F1881)</x:f>
        <x:v>560.021376014</x:v>
      </x:c>
    </x:row>
    <x:row r="1882" ht="24" customHeight="1">
      <x:c r="A1882" s="10" t="str">
        <x:v>S04-04</x:v>
      </x:c>
      <x:c r="B1882" s="10" t="str">
        <x:v>B</x:v>
      </x:c>
      <x:c r="C1882" s="18" t="n">
        <x:v>2.131166566</x:v>
      </x:c>
      <x:c r="D1882" s="10" t="n">
        <x:v>560</x:v>
      </x:c>
      <x:c r="E1882" s="10" t="n">
        <x:v>0.133271986</x:v>
      </x:c>
      <x:c r="F1882" s="10" t="n">
        <x:v>0.004096</x:v>
      </x:c>
      <x:c r="G1882" s="10" t="n">
        <x:f>SUM(D1882:F1882)</x:f>
        <x:v>560.137367986</x:v>
      </x:c>
    </x:row>
    <x:row r="1883" ht="24" customHeight="1">
      <x:c r="A1883" s="10" t="str">
        <x:v>S04-04</x:v>
      </x:c>
      <x:c r="B1883" s="10" t="str">
        <x:v>B</x:v>
      </x:c>
      <x:c r="C1883" s="18" t="n">
        <x:v>2.131166666</x:v>
      </x:c>
      <x:c r="D1883" s="10" t="n">
        <x:v>560</x:v>
      </x:c>
      <x:c r="E1883" s="10" t="n">
        <x:v>0.133272</x:v>
      </x:c>
      <x:c r="F1883" s="10" t="n">
        <x:v>0.004096</x:v>
      </x:c>
      <x:c r="G1883" s="10" t="n">
        <x:f>SUM(D1883:F1883)</x:f>
        <x:v>560.137368</x:v>
      </x:c>
    </x:row>
    <x:row r="1884" ht="24" customHeight="1">
      <x:c r="A1884" s="10" t="str">
        <x:v>S04-04</x:v>
      </x:c>
      <x:c r="B1884" s="10" t="str">
        <x:v>B</x:v>
      </x:c>
      <x:c r="C1884" s="18" t="n">
        <x:v>2.131166766</x:v>
      </x:c>
      <x:c r="D1884" s="10" t="n">
        <x:v>560</x:v>
      </x:c>
      <x:c r="E1884" s="10" t="n">
        <x:v>0.133271995</x:v>
      </x:c>
      <x:c r="F1884" s="10" t="n">
        <x:v>0.004096</x:v>
      </x:c>
      <x:c r="G1884" s="10" t="n">
        <x:f>SUM(D1884:F1884)</x:f>
        <x:v>560.137367995</x:v>
      </x:c>
    </x:row>
    <x:row r="1885" ht="24" customHeight="1">
      <x:c r="A1885" s="10" t="str">
        <x:v>S04-04</x:v>
      </x:c>
      <x:c r="B1885" s="10" t="str">
        <x:v>B</x:v>
      </x:c>
      <x:c r="C1885" s="18" t="n">
        <x:v>4.907666566</x:v>
      </x:c>
      <x:c r="D1885" s="10" t="n">
        <x:v>560</x:v>
      </x:c>
      <x:c r="E1885" s="10" t="n">
        <x:v>5e-9</x:v>
      </x:c>
      <x:c r="F1885" s="10" t="n">
        <x:v>0.004096</x:v>
      </x:c>
      <x:c r="G1885" s="10" t="n">
        <x:f>SUM(D1885:F1885)</x:f>
        <x:v>560.004096005</x:v>
      </x:c>
    </x:row>
    <x:row r="1886" ht="24" customHeight="1">
      <x:c r="A1886" s="10" t="str">
        <x:v>S04-04</x:v>
      </x:c>
      <x:c r="B1886" s="10" t="str">
        <x:v>B</x:v>
      </x:c>
      <x:c r="C1886" s="18" t="n">
        <x:v>4.907666666</x:v>
      </x:c>
      <x:c r="D1886" s="10" t="n">
        <x:v>560</x:v>
      </x:c>
      <x:c r="E1886" s="10" t="n">
        <x:v>0</x:v>
      </x:c>
      <x:c r="F1886" s="10" t="n">
        <x:v>0.004096</x:v>
      </x:c>
      <x:c r="G1886" s="10" t="n">
        <x:f>SUM(D1886:F1886)</x:f>
        <x:v>560.004096</x:v>
      </x:c>
    </x:row>
    <x:row r="1887" ht="24" customHeight="1">
      <x:c r="A1887" s="10" t="str">
        <x:v>S04-04</x:v>
      </x:c>
      <x:c r="B1887" s="10" t="str">
        <x:v>B</x:v>
      </x:c>
      <x:c r="C1887" s="18" t="n">
        <x:v>4.907666766</x:v>
      </x:c>
      <x:c r="D1887" s="10" t="n">
        <x:v>560</x:v>
      </x:c>
      <x:c r="E1887" s="10" t="n">
        <x:v>0</x:v>
      </x:c>
      <x:c r="F1887" s="10" t="n">
        <x:v>0</x:v>
      </x:c>
      <x:c r="G1887" s="10" t="n">
        <x:f>SUM(D1887:F1887)</x:f>
        <x:v>560</x:v>
      </x:c>
    </x:row>
    <x:row r="1888" ht="24" customHeight="1">
      <x:c r="A1888" s="10" t="str">
        <x:v>S04-05</x:v>
      </x:c>
      <x:c r="B1888" s="10" t="str">
        <x:v>A</x:v>
      </x:c>
      <x:c r="C1888" s="18" t="n">
        <x:v>-6.0000001</x:v>
      </x:c>
      <x:c r="D1888" s="10" t="n">
        <x:v>560</x:v>
      </x:c>
      <x:c r="E1888" s="10" t="n">
        <x:v>0</x:v>
      </x:c>
      <x:c r="F1888" s="10" t="n">
        <x:v>0</x:v>
      </x:c>
      <x:c r="G1888" s="10" t="n">
        <x:f>SUM(D1888:F1888)</x:f>
        <x:v>560</x:v>
      </x:c>
    </x:row>
    <x:row r="1889" ht="24" customHeight="1">
      <x:c r="A1889" s="10" t="str">
        <x:v>S04-05</x:v>
      </x:c>
      <x:c r="B1889" s="10" t="str">
        <x:v>A</x:v>
      </x:c>
      <x:c r="C1889" s="18" t="n">
        <x:v>-6</x:v>
      </x:c>
      <x:c r="D1889" s="10" t="n">
        <x:v>560</x:v>
      </x:c>
      <x:c r="E1889" s="10" t="n">
        <x:v>0</x:v>
      </x:c>
      <x:c r="F1889" s="10" t="n">
        <x:v>0</x:v>
      </x:c>
      <x:c r="G1889" s="10" t="n">
        <x:f>SUM(D1889:F1889)</x:f>
        <x:v>560</x:v>
      </x:c>
    </x:row>
    <x:row r="1890" ht="24" customHeight="1">
      <x:c r="A1890" s="10" t="str">
        <x:v>S04-05</x:v>
      </x:c>
      <x:c r="B1890" s="10" t="str">
        <x:v>A</x:v>
      </x:c>
      <x:c r="C1890" s="18" t="n">
        <x:v>-5.9999999</x:v>
      </x:c>
      <x:c r="D1890" s="10" t="n">
        <x:v>560</x:v>
      </x:c>
      <x:c r="E1890" s="10" t="n">
        <x:v>0</x:v>
      </x:c>
      <x:c r="F1890" s="10" t="n">
        <x:v>0</x:v>
      </x:c>
      <x:c r="G1890" s="10" t="n">
        <x:f>SUM(D1890:F1890)</x:f>
        <x:v>560</x:v>
      </x:c>
    </x:row>
    <x:row r="1891" ht="24" customHeight="1">
      <x:c r="A1891" s="10" t="str">
        <x:v>S04-05</x:v>
      </x:c>
      <x:c r="B1891" s="10" t="str">
        <x:v>A</x:v>
      </x:c>
      <x:c r="C1891" s="18" t="n">
        <x:v>-1.0000001</x:v>
      </x:c>
      <x:c r="D1891" s="10" t="n">
        <x:v>560</x:v>
      </x:c>
      <x:c r="E1891" s="10" t="n">
        <x:v>0</x:v>
      </x:c>
      <x:c r="F1891" s="10" t="n">
        <x:v>0</x:v>
      </x:c>
      <x:c r="G1891" s="10" t="n">
        <x:f>SUM(D1891:F1891)</x:f>
        <x:v>560</x:v>
      </x:c>
    </x:row>
    <x:row r="1892" ht="24" customHeight="1">
      <x:c r="A1892" s="10" t="str">
        <x:v>S04-05</x:v>
      </x:c>
      <x:c r="B1892" s="10" t="str">
        <x:v>A</x:v>
      </x:c>
      <x:c r="C1892" s="18" t="n">
        <x:v>-1</x:v>
      </x:c>
      <x:c r="D1892" s="10" t="n">
        <x:v>560</x:v>
      </x:c>
      <x:c r="E1892" s="10" t="n">
        <x:v>0</x:v>
      </x:c>
      <x:c r="F1892" s="10" t="n">
        <x:v>0.004096</x:v>
      </x:c>
      <x:c r="G1892" s="10" t="n">
        <x:f>SUM(D1892:F1892)</x:f>
        <x:v>560.004096</x:v>
      </x:c>
    </x:row>
    <x:row r="1893" ht="24" customHeight="1">
      <x:c r="A1893" s="10" t="str">
        <x:v>S04-05</x:v>
      </x:c>
      <x:c r="B1893" s="10" t="str">
        <x:v>A</x:v>
      </x:c>
      <x:c r="C1893" s="18" t="n">
        <x:v>-0.9999999</x:v>
      </x:c>
      <x:c r="D1893" s="10" t="n">
        <x:v>560</x:v>
      </x:c>
      <x:c r="E1893" s="10" t="n">
        <x:v>0</x:v>
      </x:c>
      <x:c r="F1893" s="10" t="n">
        <x:v>0.004096</x:v>
      </x:c>
      <x:c r="G1893" s="10" t="n">
        <x:f>SUM(D1893:F1893)</x:f>
        <x:v>560.004096</x:v>
      </x:c>
    </x:row>
    <x:row r="1894" ht="24" customHeight="1">
      <x:c r="A1894" s="10" t="str">
        <x:v>S04-05</x:v>
      </x:c>
      <x:c r="B1894" s="10" t="str">
        <x:v>A</x:v>
      </x:c>
      <x:c r="C1894" s="18" t="n">
        <x:v>-0.5900001</x:v>
      </x:c>
      <x:c r="D1894" s="10" t="n">
        <x:v>560</x:v>
      </x:c>
      <x:c r="E1894" s="10" t="n">
        <x:v>0</x:v>
      </x:c>
      <x:c r="F1894" s="10" t="n">
        <x:v>0.004096</x:v>
      </x:c>
      <x:c r="G1894" s="10" t="n">
        <x:f>SUM(D1894:F1894)</x:f>
        <x:v>560.004096</x:v>
      </x:c>
    </x:row>
    <x:row r="1895" ht="24" customHeight="1">
      <x:c r="A1895" s="10" t="str">
        <x:v>S04-05</x:v>
      </x:c>
      <x:c r="B1895" s="10" t="str">
        <x:v>A</x:v>
      </x:c>
      <x:c r="C1895" s="18" t="n">
        <x:v>-0.59</x:v>
      </x:c>
      <x:c r="D1895" s="10" t="n">
        <x:v>560</x:v>
      </x:c>
      <x:c r="E1895" s="10" t="n">
        <x:v>0.0096</x:v>
      </x:c>
      <x:c r="F1895" s="10" t="n">
        <x:v>0.004096</x:v>
      </x:c>
      <x:c r="G1895" s="10" t="n">
        <x:f>SUM(D1895:F1895)</x:f>
        <x:v>560.013696</x:v>
      </x:c>
    </x:row>
    <x:row r="1896" ht="24" customHeight="1">
      <x:c r="A1896" s="10" t="str">
        <x:v>S04-05</x:v>
      </x:c>
      <x:c r="B1896" s="10" t="str">
        <x:v>A</x:v>
      </x:c>
      <x:c r="C1896" s="18" t="n">
        <x:v>-0.5899999</x:v>
      </x:c>
      <x:c r="D1896" s="10" t="n">
        <x:v>560</x:v>
      </x:c>
      <x:c r="E1896" s="10" t="n">
        <x:v>0.009600019</x:v>
      </x:c>
      <x:c r="F1896" s="10" t="n">
        <x:v>0.004096</x:v>
      </x:c>
      <x:c r="G1896" s="10" t="n">
        <x:f>SUM(D1896:F1896)</x:f>
        <x:v>560.013696019</x:v>
      </x:c>
    </x:row>
    <x:row r="1897" ht="24" customHeight="1">
      <x:c r="A1897" s="10" t="str">
        <x:v>S04-05</x:v>
      </x:c>
      <x:c r="B1897" s="10" t="str">
        <x:v>A</x:v>
      </x:c>
      <x:c r="C1897" s="18" t="n">
        <x:v>-1e-7</x:v>
      </x:c>
      <x:c r="D1897" s="10" t="n">
        <x:v>560</x:v>
      </x:c>
      <x:c r="E1897" s="10" t="n">
        <x:v>0.122879981</x:v>
      </x:c>
      <x:c r="F1897" s="10" t="n">
        <x:v>0.004096</x:v>
      </x:c>
      <x:c r="G1897" s="10" t="n">
        <x:f>SUM(D1897:F1897)</x:f>
        <x:v>560.126975981</x:v>
      </x:c>
    </x:row>
    <x:row r="1898" ht="24" customHeight="1">
      <x:c r="A1898" s="10" t="str">
        <x:v>S04-05</x:v>
      </x:c>
      <x:c r="B1898" s="10" t="str">
        <x:v>A</x:v>
      </x:c>
      <x:c r="C1898" s="18" t="n">
        <x:v>0</x:v>
      </x:c>
      <x:c r="D1898" s="10" t="n">
        <x:v>560</x:v>
      </x:c>
      <x:c r="E1898" s="10" t="n">
        <x:v>0.12288</x:v>
      </x:c>
      <x:c r="F1898" s="10" t="n">
        <x:v>0.004096</x:v>
      </x:c>
      <x:c r="G1898" s="10" t="n">
        <x:f>SUM(D1898:F1898)</x:f>
        <x:v>560.126976</x:v>
      </x:c>
    </x:row>
    <x:row r="1899" ht="24" customHeight="1">
      <x:c r="A1899" s="10" t="str">
        <x:v>S04-05</x:v>
      </x:c>
      <x:c r="B1899" s="10" t="str">
        <x:v>A</x:v>
      </x:c>
      <x:c r="C1899" s="18" t="n">
        <x:v>1e-7</x:v>
      </x:c>
      <x:c r="D1899" s="10" t="n">
        <x:v>560</x:v>
      </x:c>
      <x:c r="E1899" s="10" t="n">
        <x:v>0.122880019</x:v>
      </x:c>
      <x:c r="F1899" s="10" t="n">
        <x:v>0.004096</x:v>
      </x:c>
      <x:c r="G1899" s="10" t="n">
        <x:f>SUM(D1899:F1899)</x:f>
        <x:v>560.126976019</x:v>
      </x:c>
    </x:row>
    <x:row r="1900" ht="24" customHeight="1">
      <x:c r="A1900" s="10" t="str">
        <x:v>S04-05</x:v>
      </x:c>
      <x:c r="B1900" s="10" t="str">
        <x:v>A</x:v>
      </x:c>
      <x:c r="C1900" s="18" t="n">
        <x:v>0.906666567</x:v>
      </x:c>
      <x:c r="D1900" s="10" t="n">
        <x:v>560</x:v>
      </x:c>
      <x:c r="E1900" s="10" t="n">
        <x:v>0.296959981</x:v>
      </x:c>
      <x:c r="F1900" s="10" t="n">
        <x:v>0.004096</x:v>
      </x:c>
      <x:c r="G1900" s="10" t="n">
        <x:f>SUM(D1900:F1900)</x:f>
        <x:v>560.301055981</x:v>
      </x:c>
    </x:row>
    <x:row r="1901" ht="24" customHeight="1">
      <x:c r="A1901" s="10" t="str">
        <x:v>S04-05</x:v>
      </x:c>
      <x:c r="B1901" s="10" t="str">
        <x:v>A</x:v>
      </x:c>
      <x:c r="C1901" s="18" t="n">
        <x:v>0.906666667</x:v>
      </x:c>
      <x:c r="D1901" s="10" t="n">
        <x:v>560</x:v>
      </x:c>
      <x:c r="E1901" s="10" t="n">
        <x:v>0.29696</x:v>
      </x:c>
      <x:c r="F1901" s="10" t="n">
        <x:v>0.008192</x:v>
      </x:c>
      <x:c r="G1901" s="10" t="n">
        <x:f>SUM(D1901:F1901)</x:f>
        <x:v>560.305152</x:v>
      </x:c>
    </x:row>
    <x:row r="1902" ht="24" customHeight="1">
      <x:c r="A1902" s="10" t="str">
        <x:v>S04-05</x:v>
      </x:c>
      <x:c r="B1902" s="10" t="str">
        <x:v>A</x:v>
      </x:c>
      <x:c r="C1902" s="18" t="n">
        <x:v>0.906666767</x:v>
      </x:c>
      <x:c r="D1902" s="10" t="n">
        <x:v>560</x:v>
      </x:c>
      <x:c r="E1902" s="10" t="n">
        <x:v>0.296960019</x:v>
      </x:c>
      <x:c r="F1902" s="10" t="n">
        <x:v>0.008192</x:v>
      </x:c>
      <x:c r="G1902" s="10" t="n">
        <x:f>SUM(D1902:F1902)</x:f>
        <x:v>560.305152019</x:v>
      </x:c>
    </x:row>
    <x:row r="1903" ht="24" customHeight="1">
      <x:c r="A1903" s="10" t="str">
        <x:v>S04-05</x:v>
      </x:c>
      <x:c r="B1903" s="10" t="str">
        <x:v>A</x:v>
      </x:c>
      <x:c r="C1903" s="18" t="n">
        <x:v>1.006666567</x:v>
      </x:c>
      <x:c r="D1903" s="10" t="n">
        <x:v>560</x:v>
      </x:c>
      <x:c r="E1903" s="10" t="n">
        <x:v>0.316159981</x:v>
      </x:c>
      <x:c r="F1903" s="10" t="n">
        <x:v>0.008192</x:v>
      </x:c>
      <x:c r="G1903" s="10" t="n">
        <x:f>SUM(D1903:F1903)</x:f>
        <x:v>560.3243519810001</x:v>
      </x:c>
    </x:row>
    <x:row r="1904" ht="24" customHeight="1">
      <x:c r="A1904" s="10" t="str">
        <x:v>S04-05</x:v>
      </x:c>
      <x:c r="B1904" s="10" t="str">
        <x:v>A</x:v>
      </x:c>
      <x:c r="C1904" s="18" t="n">
        <x:v>1.006666667</x:v>
      </x:c>
      <x:c r="D1904" s="10" t="n">
        <x:v>560</x:v>
      </x:c>
      <x:c r="E1904" s="10" t="n">
        <x:v>0.31616</x:v>
      </x:c>
      <x:c r="F1904" s="10" t="n">
        <x:v>0.008192</x:v>
      </x:c>
      <x:c r="G1904" s="10" t="n">
        <x:f>SUM(D1904:F1904)</x:f>
        <x:v>560.324352</x:v>
      </x:c>
    </x:row>
    <x:row r="1905" ht="24" customHeight="1">
      <x:c r="A1905" s="10" t="str">
        <x:v>S04-05</x:v>
      </x:c>
      <x:c r="B1905" s="10" t="str">
        <x:v>A</x:v>
      </x:c>
      <x:c r="C1905" s="18" t="n">
        <x:v>1.006666767</x:v>
      </x:c>
      <x:c r="D1905" s="10" t="n">
        <x:v>560</x:v>
      </x:c>
      <x:c r="E1905" s="10" t="n">
        <x:v>0</x:v>
      </x:c>
      <x:c r="F1905" s="10" t="n">
        <x:v>0.004096</x:v>
      </x:c>
      <x:c r="G1905" s="10" t="n">
        <x:f>SUM(D1905:F1905)</x:f>
        <x:v>560.004096</x:v>
      </x:c>
    </x:row>
    <x:row r="1906" ht="24" customHeight="1">
      <x:c r="A1906" s="10" t="str">
        <x:v>S04-05</x:v>
      </x:c>
      <x:c r="B1906" s="10" t="str">
        <x:v>A</x:v>
      </x:c>
      <x:c r="C1906" s="18" t="n">
        <x:v>1.3139999</x:v>
      </x:c>
      <x:c r="D1906" s="10" t="n">
        <x:v>560</x:v>
      </x:c>
      <x:c r="E1906" s="10" t="n">
        <x:v>0</x:v>
      </x:c>
      <x:c r="F1906" s="10" t="n">
        <x:v>0.004096</x:v>
      </x:c>
      <x:c r="G1906" s="10" t="n">
        <x:f>SUM(D1906:F1906)</x:f>
        <x:v>560.004096</x:v>
      </x:c>
    </x:row>
    <x:row r="1907" ht="24" customHeight="1">
      <x:c r="A1907" s="10" t="str">
        <x:v>S04-05</x:v>
      </x:c>
      <x:c r="B1907" s="10" t="str">
        <x:v>A</x:v>
      </x:c>
      <x:c r="C1907" s="18" t="n">
        <x:v>1.314</x:v>
      </x:c>
      <x:c r="D1907" s="10" t="n">
        <x:v>560</x:v>
      </x:c>
      <x:c r="E1907" s="10" t="n">
        <x:v>0.0096</x:v>
      </x:c>
      <x:c r="F1907" s="10" t="n">
        <x:v>0.004096</x:v>
      </x:c>
      <x:c r="G1907" s="10" t="n">
        <x:f>SUM(D1907:F1907)</x:f>
        <x:v>560.013696</x:v>
      </x:c>
    </x:row>
    <x:row r="1908" ht="24" customHeight="1">
      <x:c r="A1908" s="10" t="str">
        <x:v>S04-05</x:v>
      </x:c>
      <x:c r="B1908" s="10" t="str">
        <x:v>A</x:v>
      </x:c>
      <x:c r="C1908" s="18" t="n">
        <x:v>1.3140001</x:v>
      </x:c>
      <x:c r="D1908" s="10" t="n">
        <x:v>560</x:v>
      </x:c>
      <x:c r="E1908" s="10" t="n">
        <x:v>0.009600019</x:v>
      </x:c>
      <x:c r="F1908" s="10" t="n">
        <x:v>0.004096</x:v>
      </x:c>
      <x:c r="G1908" s="10" t="n">
        <x:f>SUM(D1908:F1908)</x:f>
        <x:v>560.013696019</x:v>
      </x:c>
    </x:row>
    <x:row r="1909" ht="24" customHeight="1">
      <x:c r="A1909" s="10" t="str">
        <x:v>S04-05</x:v>
      </x:c>
      <x:c r="B1909" s="10" t="str">
        <x:v>A</x:v>
      </x:c>
      <x:c r="C1909" s="18" t="n">
        <x:v>1.3539999</x:v>
      </x:c>
      <x:c r="D1909" s="10" t="n">
        <x:v>560</x:v>
      </x:c>
      <x:c r="E1909" s="10" t="n">
        <x:v>0.017279981</x:v>
      </x:c>
      <x:c r="F1909" s="10" t="n">
        <x:v>0.004096</x:v>
      </x:c>
      <x:c r="G1909" s="10" t="n">
        <x:f>SUM(D1909:F1909)</x:f>
        <x:v>560.021375981</x:v>
      </x:c>
    </x:row>
    <x:row r="1910" ht="24" customHeight="1">
      <x:c r="A1910" s="10" t="str">
        <x:v>S04-05</x:v>
      </x:c>
      <x:c r="B1910" s="10" t="str">
        <x:v>A</x:v>
      </x:c>
      <x:c r="C1910" s="18" t="n">
        <x:v>1.354</x:v>
      </x:c>
      <x:c r="D1910" s="10" t="n">
        <x:v>560</x:v>
      </x:c>
      <x:c r="E1910" s="10" t="n">
        <x:v>0.01728</x:v>
      </x:c>
      <x:c r="F1910" s="10" t="n">
        <x:v>0.004096</x:v>
      </x:c>
      <x:c r="G1910" s="10" t="n">
        <x:f>SUM(D1910:F1910)</x:f>
        <x:v>560.021376</x:v>
      </x:c>
    </x:row>
    <x:row r="1911" ht="24" customHeight="1">
      <x:c r="A1911" s="10" t="str">
        <x:v>S04-05</x:v>
      </x:c>
      <x:c r="B1911" s="10" t="str">
        <x:v>A</x:v>
      </x:c>
      <x:c r="C1911" s="18" t="n">
        <x:v>1.3540001</x:v>
      </x:c>
      <x:c r="D1911" s="10" t="n">
        <x:v>560</x:v>
      </x:c>
      <x:c r="E1911" s="10" t="n">
        <x:v>0.017280014</x:v>
      </x:c>
      <x:c r="F1911" s="10" t="n">
        <x:v>0.004096</x:v>
      </x:c>
      <x:c r="G1911" s="10" t="n">
        <x:f>SUM(D1911:F1911)</x:f>
        <x:v>560.021376014</x:v>
      </x:c>
    </x:row>
    <x:row r="1912" ht="24" customHeight="1">
      <x:c r="A1912" s="10" t="str">
        <x:v>S04-05</x:v>
      </x:c>
      <x:c r="B1912" s="10" t="str">
        <x:v>A</x:v>
      </x:c>
      <x:c r="C1912" s="18" t="n">
        <x:v>2.1624999</x:v>
      </x:c>
      <x:c r="D1912" s="10" t="n">
        <x:v>560</x:v>
      </x:c>
      <x:c r="E1912" s="10" t="n">
        <x:v>0.133703986</x:v>
      </x:c>
      <x:c r="F1912" s="10" t="n">
        <x:v>0.004096</x:v>
      </x:c>
      <x:c r="G1912" s="10" t="n">
        <x:f>SUM(D1912:F1912)</x:f>
        <x:v>560.137799986</x:v>
      </x:c>
    </x:row>
    <x:row r="1913" ht="24" customHeight="1">
      <x:c r="A1913" s="10" t="str">
        <x:v>S04-05</x:v>
      </x:c>
      <x:c r="B1913" s="10" t="str">
        <x:v>A</x:v>
      </x:c>
      <x:c r="C1913" s="18" t="n">
        <x:v>2.1625</x:v>
      </x:c>
      <x:c r="D1913" s="10" t="n">
        <x:v>560</x:v>
      </x:c>
      <x:c r="E1913" s="10" t="n">
        <x:v>0.133704</x:v>
      </x:c>
      <x:c r="F1913" s="10" t="n">
        <x:v>0.004096</x:v>
      </x:c>
      <x:c r="G1913" s="10" t="n">
        <x:f>SUM(D1913:F1913)</x:f>
        <x:v>560.1378</x:v>
      </x:c>
    </x:row>
    <x:row r="1914" ht="24" customHeight="1">
      <x:c r="A1914" s="10" t="str">
        <x:v>S04-05</x:v>
      </x:c>
      <x:c r="B1914" s="10" t="str">
        <x:v>A</x:v>
      </x:c>
      <x:c r="C1914" s="18" t="n">
        <x:v>2.1625001</x:v>
      </x:c>
      <x:c r="D1914" s="10" t="n">
        <x:v>560</x:v>
      </x:c>
      <x:c r="E1914" s="10" t="n">
        <x:v>0.133703995</x:v>
      </x:c>
      <x:c r="F1914" s="10" t="n">
        <x:v>0.004096</x:v>
      </x:c>
      <x:c r="G1914" s="10" t="n">
        <x:f>SUM(D1914:F1914)</x:f>
        <x:v>560.137799995</x:v>
      </x:c>
    </x:row>
    <x:row r="1915" ht="24" customHeight="1">
      <x:c r="A1915" s="10" t="str">
        <x:v>S04-05</x:v>
      </x:c>
      <x:c r="B1915" s="10" t="str">
        <x:v>A</x:v>
      </x:c>
      <x:c r="C1915" s="18" t="n">
        <x:v>4.9479999</x:v>
      </x:c>
      <x:c r="D1915" s="10" t="n">
        <x:v>560</x:v>
      </x:c>
      <x:c r="E1915" s="10" t="n">
        <x:v>5e-9</x:v>
      </x:c>
      <x:c r="F1915" s="10" t="n">
        <x:v>0.004096</x:v>
      </x:c>
      <x:c r="G1915" s="10" t="n">
        <x:f>SUM(D1915:F1915)</x:f>
        <x:v>560.004096005</x:v>
      </x:c>
    </x:row>
    <x:row r="1916" ht="24" customHeight="1">
      <x:c r="A1916" s="10" t="str">
        <x:v>S04-05</x:v>
      </x:c>
      <x:c r="B1916" s="10" t="str">
        <x:v>A</x:v>
      </x:c>
      <x:c r="C1916" s="18" t="n">
        <x:v>4.948</x:v>
      </x:c>
      <x:c r="D1916" s="10" t="n">
        <x:v>560</x:v>
      </x:c>
      <x:c r="E1916" s="10" t="n">
        <x:v>0</x:v>
      </x:c>
      <x:c r="F1916" s="10" t="n">
        <x:v>0.004096</x:v>
      </x:c>
      <x:c r="G1916" s="10" t="n">
        <x:f>SUM(D1916:F1916)</x:f>
        <x:v>560.004096</x:v>
      </x:c>
    </x:row>
    <x:row r="1917" ht="24" customHeight="1">
      <x:c r="A1917" s="10" t="str">
        <x:v>S04-05</x:v>
      </x:c>
      <x:c r="B1917" s="10" t="str">
        <x:v>A</x:v>
      </x:c>
      <x:c r="C1917" s="18" t="n">
        <x:v>4.9480001</x:v>
      </x:c>
      <x:c r="D1917" s="10" t="n">
        <x:v>560</x:v>
      </x:c>
      <x:c r="E1917" s="10" t="n">
        <x:v>0</x:v>
      </x:c>
      <x:c r="F1917" s="10" t="n">
        <x:v>0</x:v>
      </x:c>
      <x:c r="G1917" s="10" t="n">
        <x:f>SUM(D1917:F1917)</x:f>
        <x:v>560</x:v>
      </x:c>
    </x:row>
    <x:row r="1918" ht="24" customHeight="1">
      <x:c r="A1918" s="10" t="str">
        <x:v>S04-05</x:v>
      </x:c>
      <x:c r="B1918" s="10" t="str">
        <x:v>B</x:v>
      </x:c>
      <x:c r="C1918" s="18" t="n">
        <x:v>-6.0000001</x:v>
      </x:c>
      <x:c r="D1918" s="10" t="n">
        <x:v>560</x:v>
      </x:c>
      <x:c r="E1918" s="10" t="n">
        <x:v>0</x:v>
      </x:c>
      <x:c r="F1918" s="10" t="n">
        <x:v>0</x:v>
      </x:c>
      <x:c r="G1918" s="10" t="n">
        <x:f>SUM(D1918:F1918)</x:f>
        <x:v>560</x:v>
      </x:c>
    </x:row>
    <x:row r="1919" ht="24" customHeight="1">
      <x:c r="A1919" s="10" t="str">
        <x:v>S04-05</x:v>
      </x:c>
      <x:c r="B1919" s="10" t="str">
        <x:v>B</x:v>
      </x:c>
      <x:c r="C1919" s="18" t="n">
        <x:v>-6</x:v>
      </x:c>
      <x:c r="D1919" s="10" t="n">
        <x:v>560</x:v>
      </x:c>
      <x:c r="E1919" s="10" t="n">
        <x:v>0</x:v>
      </x:c>
      <x:c r="F1919" s="10" t="n">
        <x:v>0</x:v>
      </x:c>
      <x:c r="G1919" s="10" t="n">
        <x:f>SUM(D1919:F1919)</x:f>
        <x:v>560</x:v>
      </x:c>
    </x:row>
    <x:row r="1920" ht="24" customHeight="1">
      <x:c r="A1920" s="10" t="str">
        <x:v>S04-05</x:v>
      </x:c>
      <x:c r="B1920" s="10" t="str">
        <x:v>B</x:v>
      </x:c>
      <x:c r="C1920" s="18" t="n">
        <x:v>-5.9999999</x:v>
      </x:c>
      <x:c r="D1920" s="10" t="n">
        <x:v>560</x:v>
      </x:c>
      <x:c r="E1920" s="10" t="n">
        <x:v>0</x:v>
      </x:c>
      <x:c r="F1920" s="10" t="n">
        <x:v>0</x:v>
      </x:c>
      <x:c r="G1920" s="10" t="n">
        <x:f>SUM(D1920:F1920)</x:f>
        <x:v>560</x:v>
      </x:c>
    </x:row>
    <x:row r="1921" ht="24" customHeight="1">
      <x:c r="A1921" s="10" t="str">
        <x:v>S04-05</x:v>
      </x:c>
      <x:c r="B1921" s="10" t="str">
        <x:v>B</x:v>
      </x:c>
      <x:c r="C1921" s="18" t="n">
        <x:v>-1e-7</x:v>
      </x:c>
      <x:c r="D1921" s="10" t="n">
        <x:v>560</x:v>
      </x:c>
      <x:c r="E1921" s="10" t="n">
        <x:v>0</x:v>
      </x:c>
      <x:c r="F1921" s="10" t="n">
        <x:v>0</x:v>
      </x:c>
      <x:c r="G1921" s="10" t="n">
        <x:f>SUM(D1921:F1921)</x:f>
        <x:v>560</x:v>
      </x:c>
    </x:row>
    <x:row r="1922" ht="24" customHeight="1">
      <x:c r="A1922" s="10" t="str">
        <x:v>S04-05</x:v>
      </x:c>
      <x:c r="B1922" s="10" t="str">
        <x:v>B</x:v>
      </x:c>
      <x:c r="C1922" s="18" t="n">
        <x:v>0</x:v>
      </x:c>
      <x:c r="D1922" s="10" t="n">
        <x:v>560</x:v>
      </x:c>
      <x:c r="E1922" s="10" t="n">
        <x:v>0</x:v>
      </x:c>
      <x:c r="F1922" s="10" t="n">
        <x:v>0</x:v>
      </x:c>
      <x:c r="G1922" s="10" t="n">
        <x:f>SUM(D1922:F1922)</x:f>
        <x:v>560</x:v>
      </x:c>
    </x:row>
    <x:row r="1923" ht="24" customHeight="1">
      <x:c r="A1923" s="10" t="str">
        <x:v>S04-05</x:v>
      </x:c>
      <x:c r="B1923" s="10" t="str">
        <x:v>B</x:v>
      </x:c>
      <x:c r="C1923" s="18" t="n">
        <x:v>1e-7</x:v>
      </x:c>
      <x:c r="D1923" s="10" t="n">
        <x:v>560</x:v>
      </x:c>
      <x:c r="E1923" s="10" t="n">
        <x:v>0</x:v>
      </x:c>
      <x:c r="F1923" s="10" t="n">
        <x:v>0</x:v>
      </x:c>
      <x:c r="G1923" s="10" t="n">
        <x:f>SUM(D1923:F1923)</x:f>
        <x:v>560</x:v>
      </x:c>
    </x:row>
    <x:row r="1924" ht="24" customHeight="1">
      <x:c r="A1924" s="10" t="str">
        <x:v>S04-05</x:v>
      </x:c>
      <x:c r="B1924" s="10" t="str">
        <x:v>B</x:v>
      </x:c>
      <x:c r="C1924" s="18" t="n">
        <x:v>0.906666567</x:v>
      </x:c>
      <x:c r="D1924" s="10" t="n">
        <x:v>560</x:v>
      </x:c>
      <x:c r="E1924" s="10" t="n">
        <x:v>0</x:v>
      </x:c>
      <x:c r="F1924" s="10" t="n">
        <x:v>0</x:v>
      </x:c>
      <x:c r="G1924" s="10" t="n">
        <x:f>SUM(D1924:F1924)</x:f>
        <x:v>560</x:v>
      </x:c>
    </x:row>
    <x:row r="1925" ht="24" customHeight="1">
      <x:c r="A1925" s="10" t="str">
        <x:v>S04-05</x:v>
      </x:c>
      <x:c r="B1925" s="10" t="str">
        <x:v>B</x:v>
      </x:c>
      <x:c r="C1925" s="18" t="n">
        <x:v>0.906666667</x:v>
      </x:c>
      <x:c r="D1925" s="10" t="n">
        <x:v>560</x:v>
      </x:c>
      <x:c r="E1925" s="10" t="n">
        <x:v>0</x:v>
      </x:c>
      <x:c r="F1925" s="10" t="n">
        <x:v>0.004096</x:v>
      </x:c>
      <x:c r="G1925" s="10" t="n">
        <x:f>SUM(D1925:F1925)</x:f>
        <x:v>560.004096</x:v>
      </x:c>
    </x:row>
    <x:row r="1926" ht="24" customHeight="1">
      <x:c r="A1926" s="10" t="str">
        <x:v>S04-05</x:v>
      </x:c>
      <x:c r="B1926" s="10" t="str">
        <x:v>B</x:v>
      </x:c>
      <x:c r="C1926" s="18" t="n">
        <x:v>0.906666767</x:v>
      </x:c>
      <x:c r="D1926" s="10" t="n">
        <x:v>560</x:v>
      </x:c>
      <x:c r="E1926" s="10" t="n">
        <x:v>0</x:v>
      </x:c>
      <x:c r="F1926" s="10" t="n">
        <x:v>0.004096</x:v>
      </x:c>
      <x:c r="G1926" s="10" t="n">
        <x:f>SUM(D1926:F1926)</x:f>
        <x:v>560.004096</x:v>
      </x:c>
    </x:row>
    <x:row r="1927" ht="24" customHeight="1">
      <x:c r="A1927" s="10" t="str">
        <x:v>S04-05</x:v>
      </x:c>
      <x:c r="B1927" s="10" t="str">
        <x:v>B</x:v>
      </x:c>
      <x:c r="C1927" s="18" t="n">
        <x:v>1.3139999</x:v>
      </x:c>
      <x:c r="D1927" s="10" t="n">
        <x:v>560</x:v>
      </x:c>
      <x:c r="E1927" s="10" t="n">
        <x:v>0</x:v>
      </x:c>
      <x:c r="F1927" s="10" t="n">
        <x:v>0.004096</x:v>
      </x:c>
      <x:c r="G1927" s="10" t="n">
        <x:f>SUM(D1927:F1927)</x:f>
        <x:v>560.004096</x:v>
      </x:c>
    </x:row>
    <x:row r="1928" ht="24" customHeight="1">
      <x:c r="A1928" s="10" t="str">
        <x:v>S04-05</x:v>
      </x:c>
      <x:c r="B1928" s="10" t="str">
        <x:v>B</x:v>
      </x:c>
      <x:c r="C1928" s="18" t="n">
        <x:v>1.314</x:v>
      </x:c>
      <x:c r="D1928" s="10" t="n">
        <x:v>560</x:v>
      </x:c>
      <x:c r="E1928" s="10" t="n">
        <x:v>0.0096</x:v>
      </x:c>
      <x:c r="F1928" s="10" t="n">
        <x:v>0.004096</x:v>
      </x:c>
      <x:c r="G1928" s="10" t="n">
        <x:f>SUM(D1928:F1928)</x:f>
        <x:v>560.013696</x:v>
      </x:c>
    </x:row>
    <x:row r="1929" ht="24" customHeight="1">
      <x:c r="A1929" s="10" t="str">
        <x:v>S04-05</x:v>
      </x:c>
      <x:c r="B1929" s="10" t="str">
        <x:v>B</x:v>
      </x:c>
      <x:c r="C1929" s="18" t="n">
        <x:v>1.3140001</x:v>
      </x:c>
      <x:c r="D1929" s="10" t="n">
        <x:v>560</x:v>
      </x:c>
      <x:c r="E1929" s="10" t="n">
        <x:v>0.009600019</x:v>
      </x:c>
      <x:c r="F1929" s="10" t="n">
        <x:v>0.004096</x:v>
      </x:c>
      <x:c r="G1929" s="10" t="n">
        <x:f>SUM(D1929:F1929)</x:f>
        <x:v>560.013696019</x:v>
      </x:c>
    </x:row>
    <x:row r="1930" ht="24" customHeight="1">
      <x:c r="A1930" s="10" t="str">
        <x:v>S04-05</x:v>
      </x:c>
      <x:c r="B1930" s="10" t="str">
        <x:v>B</x:v>
      </x:c>
      <x:c r="C1930" s="18" t="n">
        <x:v>1.3539999</x:v>
      </x:c>
      <x:c r="D1930" s="10" t="n">
        <x:v>560</x:v>
      </x:c>
      <x:c r="E1930" s="10" t="n">
        <x:v>0.017279981</x:v>
      </x:c>
      <x:c r="F1930" s="10" t="n">
        <x:v>0.004096</x:v>
      </x:c>
      <x:c r="G1930" s="10" t="n">
        <x:f>SUM(D1930:F1930)</x:f>
        <x:v>560.021375981</x:v>
      </x:c>
    </x:row>
    <x:row r="1931" ht="24" customHeight="1">
      <x:c r="A1931" s="10" t="str">
        <x:v>S04-05</x:v>
      </x:c>
      <x:c r="B1931" s="10" t="str">
        <x:v>B</x:v>
      </x:c>
      <x:c r="C1931" s="18" t="n">
        <x:v>1.354</x:v>
      </x:c>
      <x:c r="D1931" s="10" t="n">
        <x:v>560</x:v>
      </x:c>
      <x:c r="E1931" s="10" t="n">
        <x:v>0.01728</x:v>
      </x:c>
      <x:c r="F1931" s="10" t="n">
        <x:v>0.004096</x:v>
      </x:c>
      <x:c r="G1931" s="10" t="n">
        <x:f>SUM(D1931:F1931)</x:f>
        <x:v>560.021376</x:v>
      </x:c>
    </x:row>
    <x:row r="1932" ht="24" customHeight="1">
      <x:c r="A1932" s="10" t="str">
        <x:v>S04-05</x:v>
      </x:c>
      <x:c r="B1932" s="10" t="str">
        <x:v>B</x:v>
      </x:c>
      <x:c r="C1932" s="18" t="n">
        <x:v>1.3540001</x:v>
      </x:c>
      <x:c r="D1932" s="10" t="n">
        <x:v>560</x:v>
      </x:c>
      <x:c r="E1932" s="10" t="n">
        <x:v>0.017280014</x:v>
      </x:c>
      <x:c r="F1932" s="10" t="n">
        <x:v>0.004096</x:v>
      </x:c>
      <x:c r="G1932" s="10" t="n">
        <x:f>SUM(D1932:F1932)</x:f>
        <x:v>560.021376014</x:v>
      </x:c>
    </x:row>
    <x:row r="1933" ht="24" customHeight="1">
      <x:c r="A1933" s="10" t="str">
        <x:v>S04-05</x:v>
      </x:c>
      <x:c r="B1933" s="10" t="str">
        <x:v>B</x:v>
      </x:c>
      <x:c r="C1933" s="18" t="n">
        <x:v>2.1624999</x:v>
      </x:c>
      <x:c r="D1933" s="10" t="n">
        <x:v>560</x:v>
      </x:c>
      <x:c r="E1933" s="10" t="n">
        <x:v>0.133703986</x:v>
      </x:c>
      <x:c r="F1933" s="10" t="n">
        <x:v>0.004096</x:v>
      </x:c>
      <x:c r="G1933" s="10" t="n">
        <x:f>SUM(D1933:F1933)</x:f>
        <x:v>560.137799986</x:v>
      </x:c>
    </x:row>
    <x:row r="1934" ht="24" customHeight="1">
      <x:c r="A1934" s="10" t="str">
        <x:v>S04-05</x:v>
      </x:c>
      <x:c r="B1934" s="10" t="str">
        <x:v>B</x:v>
      </x:c>
      <x:c r="C1934" s="18" t="n">
        <x:v>2.1625</x:v>
      </x:c>
      <x:c r="D1934" s="10" t="n">
        <x:v>560</x:v>
      </x:c>
      <x:c r="E1934" s="10" t="n">
        <x:v>0.133704</x:v>
      </x:c>
      <x:c r="F1934" s="10" t="n">
        <x:v>0.004096</x:v>
      </x:c>
      <x:c r="G1934" s="10" t="n">
        <x:f>SUM(D1934:F1934)</x:f>
        <x:v>560.1378</x:v>
      </x:c>
    </x:row>
    <x:row r="1935" ht="24" customHeight="1">
      <x:c r="A1935" s="10" t="str">
        <x:v>S04-05</x:v>
      </x:c>
      <x:c r="B1935" s="10" t="str">
        <x:v>B</x:v>
      </x:c>
      <x:c r="C1935" s="18" t="n">
        <x:v>2.1625001</x:v>
      </x:c>
      <x:c r="D1935" s="10" t="n">
        <x:v>560</x:v>
      </x:c>
      <x:c r="E1935" s="10" t="n">
        <x:v>0.133703995</x:v>
      </x:c>
      <x:c r="F1935" s="10" t="n">
        <x:v>0.004096</x:v>
      </x:c>
      <x:c r="G1935" s="10" t="n">
        <x:f>SUM(D1935:F1935)</x:f>
        <x:v>560.137799995</x:v>
      </x:c>
    </x:row>
    <x:row r="1936" ht="24" customHeight="1">
      <x:c r="A1936" s="10" t="str">
        <x:v>S04-05</x:v>
      </x:c>
      <x:c r="B1936" s="10" t="str">
        <x:v>B</x:v>
      </x:c>
      <x:c r="C1936" s="18" t="n">
        <x:v>4.9479999</x:v>
      </x:c>
      <x:c r="D1936" s="10" t="n">
        <x:v>560</x:v>
      </x:c>
      <x:c r="E1936" s="10" t="n">
        <x:v>5e-9</x:v>
      </x:c>
      <x:c r="F1936" s="10" t="n">
        <x:v>0.004096</x:v>
      </x:c>
      <x:c r="G1936" s="10" t="n">
        <x:f>SUM(D1936:F1936)</x:f>
        <x:v>560.004096005</x:v>
      </x:c>
    </x:row>
    <x:row r="1937" ht="24" customHeight="1">
      <x:c r="A1937" s="10" t="str">
        <x:v>S04-05</x:v>
      </x:c>
      <x:c r="B1937" s="10" t="str">
        <x:v>B</x:v>
      </x:c>
      <x:c r="C1937" s="18" t="n">
        <x:v>4.948</x:v>
      </x:c>
      <x:c r="D1937" s="10" t="n">
        <x:v>560</x:v>
      </x:c>
      <x:c r="E1937" s="10" t="n">
        <x:v>0</x:v>
      </x:c>
      <x:c r="F1937" s="10" t="n">
        <x:v>0.004096</x:v>
      </x:c>
      <x:c r="G1937" s="10" t="n">
        <x:f>SUM(D1937:F1937)</x:f>
        <x:v>560.004096</x:v>
      </x:c>
    </x:row>
    <x:row r="1938" ht="24" customHeight="1">
      <x:c r="A1938" s="10" t="str">
        <x:v>S04-05</x:v>
      </x:c>
      <x:c r="B1938" s="10" t="str">
        <x:v>B</x:v>
      </x:c>
      <x:c r="C1938" s="18" t="n">
        <x:v>4.9480001</x:v>
      </x:c>
      <x:c r="D1938" s="10" t="n">
        <x:v>560</x:v>
      </x:c>
      <x:c r="E1938" s="10" t="n">
        <x:v>0</x:v>
      </x:c>
      <x:c r="F1938" s="10" t="n">
        <x:v>0</x:v>
      </x:c>
      <x:c r="G1938" s="10" t="n">
        <x:f>SUM(D1938:F1938)</x:f>
        <x:v>560</x:v>
      </x:c>
    </x:row>
    <x:row r="1939" ht="24" customHeight="1">
      <x:c r="A1939" s="10" t="str">
        <x:v>S04-06</x:v>
      </x:c>
      <x:c r="B1939" s="10" t="str">
        <x:v>A</x:v>
      </x:c>
      <x:c r="C1939" s="18" t="n">
        <x:v>-6.0000001</x:v>
      </x:c>
      <x:c r="D1939" s="10" t="n">
        <x:v>560</x:v>
      </x:c>
      <x:c r="E1939" s="10" t="n">
        <x:v>0</x:v>
      </x:c>
      <x:c r="F1939" s="10" t="n">
        <x:v>0</x:v>
      </x:c>
      <x:c r="G1939" s="10" t="n">
        <x:f>SUM(D1939:F1939)</x:f>
        <x:v>560</x:v>
      </x:c>
    </x:row>
    <x:row r="1940" ht="24" customHeight="1">
      <x:c r="A1940" s="10" t="str">
        <x:v>S04-06</x:v>
      </x:c>
      <x:c r="B1940" s="10" t="str">
        <x:v>A</x:v>
      </x:c>
      <x:c r="C1940" s="18" t="n">
        <x:v>-6</x:v>
      </x:c>
      <x:c r="D1940" s="10" t="n">
        <x:v>560</x:v>
      </x:c>
      <x:c r="E1940" s="10" t="n">
        <x:v>0</x:v>
      </x:c>
      <x:c r="F1940" s="10" t="n">
        <x:v>0</x:v>
      </x:c>
      <x:c r="G1940" s="10" t="n">
        <x:f>SUM(D1940:F1940)</x:f>
        <x:v>560</x:v>
      </x:c>
    </x:row>
    <x:row r="1941" ht="24" customHeight="1">
      <x:c r="A1941" s="10" t="str">
        <x:v>S04-06</x:v>
      </x:c>
      <x:c r="B1941" s="10" t="str">
        <x:v>A</x:v>
      </x:c>
      <x:c r="C1941" s="18" t="n">
        <x:v>-5.9999999</x:v>
      </x:c>
      <x:c r="D1941" s="10" t="n">
        <x:v>560</x:v>
      </x:c>
      <x:c r="E1941" s="10" t="n">
        <x:v>0</x:v>
      </x:c>
      <x:c r="F1941" s="10" t="n">
        <x:v>0</x:v>
      </x:c>
      <x:c r="G1941" s="10" t="n">
        <x:f>SUM(D1941:F1941)</x:f>
        <x:v>560</x:v>
      </x:c>
    </x:row>
    <x:row r="1942" ht="24" customHeight="1">
      <x:c r="A1942" s="10" t="str">
        <x:v>S04-06</x:v>
      </x:c>
      <x:c r="B1942" s="10" t="str">
        <x:v>A</x:v>
      </x:c>
      <x:c r="C1942" s="18" t="n">
        <x:v>-1.0000001</x:v>
      </x:c>
      <x:c r="D1942" s="10" t="n">
        <x:v>560</x:v>
      </x:c>
      <x:c r="E1942" s="10" t="n">
        <x:v>0</x:v>
      </x:c>
      <x:c r="F1942" s="10" t="n">
        <x:v>0</x:v>
      </x:c>
      <x:c r="G1942" s="10" t="n">
        <x:f>SUM(D1942:F1942)</x:f>
        <x:v>560</x:v>
      </x:c>
    </x:row>
    <x:row r="1943" ht="24" customHeight="1">
      <x:c r="A1943" s="10" t="str">
        <x:v>S04-06</x:v>
      </x:c>
      <x:c r="B1943" s="10" t="str">
        <x:v>A</x:v>
      </x:c>
      <x:c r="C1943" s="18" t="n">
        <x:v>-1</x:v>
      </x:c>
      <x:c r="D1943" s="10" t="n">
        <x:v>560</x:v>
      </x:c>
      <x:c r="E1943" s="10" t="n">
        <x:v>0</x:v>
      </x:c>
      <x:c r="F1943" s="10" t="n">
        <x:v>0.004096</x:v>
      </x:c>
      <x:c r="G1943" s="10" t="n">
        <x:f>SUM(D1943:F1943)</x:f>
        <x:v>560.004096</x:v>
      </x:c>
    </x:row>
    <x:row r="1944" ht="24" customHeight="1">
      <x:c r="A1944" s="10" t="str">
        <x:v>S04-06</x:v>
      </x:c>
      <x:c r="B1944" s="10" t="str">
        <x:v>A</x:v>
      </x:c>
      <x:c r="C1944" s="18" t="n">
        <x:v>-0.9999999</x:v>
      </x:c>
      <x:c r="D1944" s="10" t="n">
        <x:v>560</x:v>
      </x:c>
      <x:c r="E1944" s="10" t="n">
        <x:v>0</x:v>
      </x:c>
      <x:c r="F1944" s="10" t="n">
        <x:v>0.004096</x:v>
      </x:c>
      <x:c r="G1944" s="10" t="n">
        <x:f>SUM(D1944:F1944)</x:f>
        <x:v>560.004096</x:v>
      </x:c>
    </x:row>
    <x:row r="1945" ht="24" customHeight="1">
      <x:c r="A1945" s="10" t="str">
        <x:v>S04-06</x:v>
      </x:c>
      <x:c r="B1945" s="10" t="str">
        <x:v>A</x:v>
      </x:c>
      <x:c r="C1945" s="18" t="n">
        <x:v>-0.5900001</x:v>
      </x:c>
      <x:c r="D1945" s="10" t="n">
        <x:v>560</x:v>
      </x:c>
      <x:c r="E1945" s="10" t="n">
        <x:v>0</x:v>
      </x:c>
      <x:c r="F1945" s="10" t="n">
        <x:v>0.004096</x:v>
      </x:c>
      <x:c r="G1945" s="10" t="n">
        <x:f>SUM(D1945:F1945)</x:f>
        <x:v>560.004096</x:v>
      </x:c>
    </x:row>
    <x:row r="1946" ht="24" customHeight="1">
      <x:c r="A1946" s="10" t="str">
        <x:v>S04-06</x:v>
      </x:c>
      <x:c r="B1946" s="10" t="str">
        <x:v>A</x:v>
      </x:c>
      <x:c r="C1946" s="18" t="n">
        <x:v>-0.59</x:v>
      </x:c>
      <x:c r="D1946" s="10" t="n">
        <x:v>560</x:v>
      </x:c>
      <x:c r="E1946" s="10" t="n">
        <x:v>0.0096</x:v>
      </x:c>
      <x:c r="F1946" s="10" t="n">
        <x:v>0.004096</x:v>
      </x:c>
      <x:c r="G1946" s="10" t="n">
        <x:f>SUM(D1946:F1946)</x:f>
        <x:v>560.013696</x:v>
      </x:c>
    </x:row>
    <x:row r="1947" ht="24" customHeight="1">
      <x:c r="A1947" s="10" t="str">
        <x:v>S04-06</x:v>
      </x:c>
      <x:c r="B1947" s="10" t="str">
        <x:v>A</x:v>
      </x:c>
      <x:c r="C1947" s="18" t="n">
        <x:v>-0.5899999</x:v>
      </x:c>
      <x:c r="D1947" s="10" t="n">
        <x:v>560</x:v>
      </x:c>
      <x:c r="E1947" s="10" t="n">
        <x:v>0.009600019</x:v>
      </x:c>
      <x:c r="F1947" s="10" t="n">
        <x:v>0.004096</x:v>
      </x:c>
      <x:c r="G1947" s="10" t="n">
        <x:f>SUM(D1947:F1947)</x:f>
        <x:v>560.013696019</x:v>
      </x:c>
    </x:row>
    <x:row r="1948" ht="24" customHeight="1">
      <x:c r="A1948" s="10" t="str">
        <x:v>S04-06</x:v>
      </x:c>
      <x:c r="B1948" s="10" t="str">
        <x:v>A</x:v>
      </x:c>
      <x:c r="C1948" s="18" t="n">
        <x:v>-1e-7</x:v>
      </x:c>
      <x:c r="D1948" s="10" t="n">
        <x:v>560</x:v>
      </x:c>
      <x:c r="E1948" s="10" t="n">
        <x:v>0.122879981</x:v>
      </x:c>
      <x:c r="F1948" s="10" t="n">
        <x:v>0.004096</x:v>
      </x:c>
      <x:c r="G1948" s="10" t="n">
        <x:f>SUM(D1948:F1948)</x:f>
        <x:v>560.126975981</x:v>
      </x:c>
    </x:row>
    <x:row r="1949" ht="24" customHeight="1">
      <x:c r="A1949" s="10" t="str">
        <x:v>S04-06</x:v>
      </x:c>
      <x:c r="B1949" s="10" t="str">
        <x:v>A</x:v>
      </x:c>
      <x:c r="C1949" s="18" t="n">
        <x:v>0</x:v>
      </x:c>
      <x:c r="D1949" s="10" t="n">
        <x:v>560</x:v>
      </x:c>
      <x:c r="E1949" s="10" t="n">
        <x:v>0.12288</x:v>
      </x:c>
      <x:c r="F1949" s="10" t="n">
        <x:v>0.004096</x:v>
      </x:c>
      <x:c r="G1949" s="10" t="n">
        <x:f>SUM(D1949:F1949)</x:f>
        <x:v>560.126976</x:v>
      </x:c>
    </x:row>
    <x:row r="1950" ht="24" customHeight="1">
      <x:c r="A1950" s="10" t="str">
        <x:v>S04-06</x:v>
      </x:c>
      <x:c r="B1950" s="10" t="str">
        <x:v>A</x:v>
      </x:c>
      <x:c r="C1950" s="18" t="n">
        <x:v>1e-7</x:v>
      </x:c>
      <x:c r="D1950" s="10" t="n">
        <x:v>560</x:v>
      </x:c>
      <x:c r="E1950" s="10" t="n">
        <x:v>0.122880019</x:v>
      </x:c>
      <x:c r="F1950" s="10" t="n">
        <x:v>0.004096</x:v>
      </x:c>
      <x:c r="G1950" s="10" t="n">
        <x:f>SUM(D1950:F1950)</x:f>
        <x:v>560.126976019</x:v>
      </x:c>
    </x:row>
    <x:row r="1951" ht="24" customHeight="1">
      <x:c r="A1951" s="10" t="str">
        <x:v>S04-06</x:v>
      </x:c>
      <x:c r="B1951" s="10" t="str">
        <x:v>A</x:v>
      </x:c>
      <x:c r="C1951" s="18" t="n">
        <x:v>0.8599999</x:v>
      </x:c>
      <x:c r="D1951" s="10" t="n">
        <x:v>560</x:v>
      </x:c>
      <x:c r="E1951" s="10" t="n">
        <x:v>0.287999981</x:v>
      </x:c>
      <x:c r="F1951" s="10" t="n">
        <x:v>0.004096</x:v>
      </x:c>
      <x:c r="G1951" s="10" t="n">
        <x:f>SUM(D1951:F1951)</x:f>
        <x:v>560.292095981</x:v>
      </x:c>
    </x:row>
    <x:row r="1952" ht="24" customHeight="1">
      <x:c r="A1952" s="10" t="str">
        <x:v>S04-06</x:v>
      </x:c>
      <x:c r="B1952" s="10" t="str">
        <x:v>A</x:v>
      </x:c>
      <x:c r="C1952" s="18" t="n">
        <x:v>0.86</x:v>
      </x:c>
      <x:c r="D1952" s="10" t="n">
        <x:v>560</x:v>
      </x:c>
      <x:c r="E1952" s="10" t="n">
        <x:v>0.288</x:v>
      </x:c>
      <x:c r="F1952" s="10" t="n">
        <x:v>0.008192</x:v>
      </x:c>
      <x:c r="G1952" s="10" t="n">
        <x:f>SUM(D1952:F1952)</x:f>
        <x:v>560.296192</x:v>
      </x:c>
    </x:row>
    <x:row r="1953" ht="24" customHeight="1">
      <x:c r="A1953" s="10" t="str">
        <x:v>S04-06</x:v>
      </x:c>
      <x:c r="B1953" s="10" t="str">
        <x:v>A</x:v>
      </x:c>
      <x:c r="C1953" s="18" t="n">
        <x:v>0.8600001</x:v>
      </x:c>
      <x:c r="D1953" s="10" t="n">
        <x:v>560</x:v>
      </x:c>
      <x:c r="E1953" s="10" t="n">
        <x:v>0.288000019</x:v>
      </x:c>
      <x:c r="F1953" s="10" t="n">
        <x:v>0.008192</x:v>
      </x:c>
      <x:c r="G1953" s="10" t="n">
        <x:f>SUM(D1953:F1953)</x:f>
        <x:v>560.296192019</x:v>
      </x:c>
    </x:row>
    <x:row r="1954" ht="24" customHeight="1">
      <x:c r="A1954" s="10" t="str">
        <x:v>S04-06</x:v>
      </x:c>
      <x:c r="B1954" s="10" t="str">
        <x:v>A</x:v>
      </x:c>
      <x:c r="C1954" s="18" t="n">
        <x:v>0.9599999</x:v>
      </x:c>
      <x:c r="D1954" s="10" t="n">
        <x:v>560</x:v>
      </x:c>
      <x:c r="E1954" s="10" t="n">
        <x:v>0.307199981</x:v>
      </x:c>
      <x:c r="F1954" s="10" t="n">
        <x:v>0.008192</x:v>
      </x:c>
      <x:c r="G1954" s="10" t="n">
        <x:f>SUM(D1954:F1954)</x:f>
        <x:v>560.3153919810001</x:v>
      </x:c>
    </x:row>
    <x:row r="1955" ht="24" customHeight="1">
      <x:c r="A1955" s="10" t="str">
        <x:v>S04-06</x:v>
      </x:c>
      <x:c r="B1955" s="10" t="str">
        <x:v>A</x:v>
      </x:c>
      <x:c r="C1955" s="18" t="n">
        <x:v>0.96</x:v>
      </x:c>
      <x:c r="D1955" s="10" t="n">
        <x:v>560</x:v>
      </x:c>
      <x:c r="E1955" s="10" t="n">
        <x:v>0.3072</x:v>
      </x:c>
      <x:c r="F1955" s="10" t="n">
        <x:v>0.008192</x:v>
      </x:c>
      <x:c r="G1955" s="10" t="n">
        <x:f>SUM(D1955:F1955)</x:f>
        <x:v>560.315392</x:v>
      </x:c>
    </x:row>
    <x:row r="1956" ht="24" customHeight="1">
      <x:c r="A1956" s="10" t="str">
        <x:v>S04-06</x:v>
      </x:c>
      <x:c r="B1956" s="10" t="str">
        <x:v>A</x:v>
      </x:c>
      <x:c r="C1956" s="18" t="n">
        <x:v>0.9600001</x:v>
      </x:c>
      <x:c r="D1956" s="10" t="n">
        <x:v>560</x:v>
      </x:c>
      <x:c r="E1956" s="10" t="n">
        <x:v>0</x:v>
      </x:c>
      <x:c r="F1956" s="10" t="n">
        <x:v>0.004096</x:v>
      </x:c>
      <x:c r="G1956" s="10" t="n">
        <x:f>SUM(D1956:F1956)</x:f>
        <x:v>560.004096</x:v>
      </x:c>
    </x:row>
    <x:row r="1957" ht="24" customHeight="1">
      <x:c r="A1957" s="10" t="str">
        <x:v>S04-06</x:v>
      </x:c>
      <x:c r="B1957" s="10" t="str">
        <x:v>A</x:v>
      </x:c>
      <x:c r="C1957" s="18" t="n">
        <x:v>1.267333233</x:v>
      </x:c>
      <x:c r="D1957" s="10" t="n">
        <x:v>560</x:v>
      </x:c>
      <x:c r="E1957" s="10" t="n">
        <x:v>0</x:v>
      </x:c>
      <x:c r="F1957" s="10" t="n">
        <x:v>0.004096</x:v>
      </x:c>
      <x:c r="G1957" s="10" t="n">
        <x:f>SUM(D1957:F1957)</x:f>
        <x:v>560.004096</x:v>
      </x:c>
    </x:row>
    <x:row r="1958" ht="24" customHeight="1">
      <x:c r="A1958" s="10" t="str">
        <x:v>S04-06</x:v>
      </x:c>
      <x:c r="B1958" s="10" t="str">
        <x:v>A</x:v>
      </x:c>
      <x:c r="C1958" s="18" t="n">
        <x:v>1.267333333</x:v>
      </x:c>
      <x:c r="D1958" s="10" t="n">
        <x:v>560</x:v>
      </x:c>
      <x:c r="E1958" s="10" t="n">
        <x:v>0.0096</x:v>
      </x:c>
      <x:c r="F1958" s="10" t="n">
        <x:v>0.004096</x:v>
      </x:c>
      <x:c r="G1958" s="10" t="n">
        <x:f>SUM(D1958:F1958)</x:f>
        <x:v>560.013696</x:v>
      </x:c>
    </x:row>
    <x:row r="1959" ht="24" customHeight="1">
      <x:c r="A1959" s="10" t="str">
        <x:v>S04-06</x:v>
      </x:c>
      <x:c r="B1959" s="10" t="str">
        <x:v>A</x:v>
      </x:c>
      <x:c r="C1959" s="18" t="n">
        <x:v>1.267333433</x:v>
      </x:c>
      <x:c r="D1959" s="10" t="n">
        <x:v>560</x:v>
      </x:c>
      <x:c r="E1959" s="10" t="n">
        <x:v>0.009600019</x:v>
      </x:c>
      <x:c r="F1959" s="10" t="n">
        <x:v>0.004096</x:v>
      </x:c>
      <x:c r="G1959" s="10" t="n">
        <x:f>SUM(D1959:F1959)</x:f>
        <x:v>560.013696019</x:v>
      </x:c>
    </x:row>
    <x:row r="1960" ht="24" customHeight="1">
      <x:c r="A1960" s="10" t="str">
        <x:v>S04-06</x:v>
      </x:c>
      <x:c r="B1960" s="10" t="str">
        <x:v>A</x:v>
      </x:c>
      <x:c r="C1960" s="18" t="n">
        <x:v>1.307333233</x:v>
      </x:c>
      <x:c r="D1960" s="10" t="n">
        <x:v>560</x:v>
      </x:c>
      <x:c r="E1960" s="10" t="n">
        <x:v>0.017279981</x:v>
      </x:c>
      <x:c r="F1960" s="10" t="n">
        <x:v>0.004096</x:v>
      </x:c>
      <x:c r="G1960" s="10" t="n">
        <x:f>SUM(D1960:F1960)</x:f>
        <x:v>560.021375981</x:v>
      </x:c>
    </x:row>
    <x:row r="1961" ht="24" customHeight="1">
      <x:c r="A1961" s="10" t="str">
        <x:v>S04-06</x:v>
      </x:c>
      <x:c r="B1961" s="10" t="str">
        <x:v>A</x:v>
      </x:c>
      <x:c r="C1961" s="18" t="n">
        <x:v>1.307333333</x:v>
      </x:c>
      <x:c r="D1961" s="10" t="n">
        <x:v>560</x:v>
      </x:c>
      <x:c r="E1961" s="10" t="n">
        <x:v>0.01728</x:v>
      </x:c>
      <x:c r="F1961" s="10" t="n">
        <x:v>0.004096</x:v>
      </x:c>
      <x:c r="G1961" s="10" t="n">
        <x:f>SUM(D1961:F1961)</x:f>
        <x:v>560.021376</x:v>
      </x:c>
    </x:row>
    <x:row r="1962" ht="24" customHeight="1">
      <x:c r="A1962" s="10" t="str">
        <x:v>S04-06</x:v>
      </x:c>
      <x:c r="B1962" s="10" t="str">
        <x:v>A</x:v>
      </x:c>
      <x:c r="C1962" s="18" t="n">
        <x:v>1.307333433</x:v>
      </x:c>
      <x:c r="D1962" s="10" t="n">
        <x:v>560</x:v>
      </x:c>
      <x:c r="E1962" s="10" t="n">
        <x:v>0.017280014</x:v>
      </x:c>
      <x:c r="F1962" s="10" t="n">
        <x:v>0.004096</x:v>
      </x:c>
      <x:c r="G1962" s="10" t="n">
        <x:f>SUM(D1962:F1962)</x:f>
        <x:v>560.021376014</x:v>
      </x:c>
    </x:row>
    <x:row r="1963" ht="24" customHeight="1">
      <x:c r="A1963" s="10" t="str">
        <x:v>S04-06</x:v>
      </x:c>
      <x:c r="B1963" s="10" t="str">
        <x:v>A</x:v>
      </x:c>
      <x:c r="C1963" s="18" t="n">
        <x:v>2.118833233</x:v>
      </x:c>
      <x:c r="D1963" s="10" t="n">
        <x:v>560</x:v>
      </x:c>
      <x:c r="E1963" s="10" t="n">
        <x:v>0.134135986</x:v>
      </x:c>
      <x:c r="F1963" s="10" t="n">
        <x:v>0.004096</x:v>
      </x:c>
      <x:c r="G1963" s="10" t="n">
        <x:f>SUM(D1963:F1963)</x:f>
        <x:v>560.138231986</x:v>
      </x:c>
    </x:row>
    <x:row r="1964" ht="24" customHeight="1">
      <x:c r="A1964" s="10" t="str">
        <x:v>S04-06</x:v>
      </x:c>
      <x:c r="B1964" s="10" t="str">
        <x:v>A</x:v>
      </x:c>
      <x:c r="C1964" s="18" t="n">
        <x:v>2.118833333</x:v>
      </x:c>
      <x:c r="D1964" s="10" t="n">
        <x:v>560</x:v>
      </x:c>
      <x:c r="E1964" s="10" t="n">
        <x:v>0.134136</x:v>
      </x:c>
      <x:c r="F1964" s="10" t="n">
        <x:v>0.004096</x:v>
      </x:c>
      <x:c r="G1964" s="10" t="n">
        <x:f>SUM(D1964:F1964)</x:f>
        <x:v>560.138232</x:v>
      </x:c>
    </x:row>
    <x:row r="1965" ht="24" customHeight="1">
      <x:c r="A1965" s="10" t="str">
        <x:v>S04-06</x:v>
      </x:c>
      <x:c r="B1965" s="10" t="str">
        <x:v>A</x:v>
      </x:c>
      <x:c r="C1965" s="18" t="n">
        <x:v>2.118833433</x:v>
      </x:c>
      <x:c r="D1965" s="10" t="n">
        <x:v>560</x:v>
      </x:c>
      <x:c r="E1965" s="10" t="n">
        <x:v>0.134135995</x:v>
      </x:c>
      <x:c r="F1965" s="10" t="n">
        <x:v>0.004096</x:v>
      </x:c>
      <x:c r="G1965" s="10" t="n">
        <x:f>SUM(D1965:F1965)</x:f>
        <x:v>560.138231995</x:v>
      </x:c>
    </x:row>
    <x:row r="1966" ht="24" customHeight="1">
      <x:c r="A1966" s="10" t="str">
        <x:v>S04-06</x:v>
      </x:c>
      <x:c r="B1966" s="10" t="str">
        <x:v>A</x:v>
      </x:c>
      <x:c r="C1966" s="18" t="n">
        <x:v>4.913333233</x:v>
      </x:c>
      <x:c r="D1966" s="10" t="n">
        <x:v>560</x:v>
      </x:c>
      <x:c r="E1966" s="10" t="n">
        <x:v>5e-9</x:v>
      </x:c>
      <x:c r="F1966" s="10" t="n">
        <x:v>0.004096</x:v>
      </x:c>
      <x:c r="G1966" s="10" t="n">
        <x:f>SUM(D1966:F1966)</x:f>
        <x:v>560.004096005</x:v>
      </x:c>
    </x:row>
    <x:row r="1967" ht="24" customHeight="1">
      <x:c r="A1967" s="10" t="str">
        <x:v>S04-06</x:v>
      </x:c>
      <x:c r="B1967" s="10" t="str">
        <x:v>A</x:v>
      </x:c>
      <x:c r="C1967" s="18" t="n">
        <x:v>4.913333333</x:v>
      </x:c>
      <x:c r="D1967" s="10" t="n">
        <x:v>560</x:v>
      </x:c>
      <x:c r="E1967" s="10" t="n">
        <x:v>0</x:v>
      </x:c>
      <x:c r="F1967" s="10" t="n">
        <x:v>0.004096</x:v>
      </x:c>
      <x:c r="G1967" s="10" t="n">
        <x:f>SUM(D1967:F1967)</x:f>
        <x:v>560.004096</x:v>
      </x:c>
    </x:row>
    <x:row r="1968" ht="24" customHeight="1">
      <x:c r="A1968" s="10" t="str">
        <x:v>S04-06</x:v>
      </x:c>
      <x:c r="B1968" s="10" t="str">
        <x:v>A</x:v>
      </x:c>
      <x:c r="C1968" s="18" t="n">
        <x:v>4.913333433</x:v>
      </x:c>
      <x:c r="D1968" s="10" t="n">
        <x:v>560</x:v>
      </x:c>
      <x:c r="E1968" s="10" t="n">
        <x:v>0</x:v>
      </x:c>
      <x:c r="F1968" s="10" t="n">
        <x:v>0</x:v>
      </x:c>
      <x:c r="G1968" s="10" t="n">
        <x:f>SUM(D1968:F1968)</x:f>
        <x:v>560</x:v>
      </x:c>
    </x:row>
    <x:row r="1969" ht="24" customHeight="1">
      <x:c r="A1969" s="10" t="str">
        <x:v>S04-06</x:v>
      </x:c>
      <x:c r="B1969" s="10" t="str">
        <x:v>B</x:v>
      </x:c>
      <x:c r="C1969" s="18" t="n">
        <x:v>-6.0000001</x:v>
      </x:c>
      <x:c r="D1969" s="10" t="n">
        <x:v>560</x:v>
      </x:c>
      <x:c r="E1969" s="10" t="n">
        <x:v>0</x:v>
      </x:c>
      <x:c r="F1969" s="10" t="n">
        <x:v>0</x:v>
      </x:c>
      <x:c r="G1969" s="10" t="n">
        <x:f>SUM(D1969:F1969)</x:f>
        <x:v>560</x:v>
      </x:c>
    </x:row>
    <x:row r="1970" ht="24" customHeight="1">
      <x:c r="A1970" s="10" t="str">
        <x:v>S04-06</x:v>
      </x:c>
      <x:c r="B1970" s="10" t="str">
        <x:v>B</x:v>
      </x:c>
      <x:c r="C1970" s="18" t="n">
        <x:v>-6</x:v>
      </x:c>
      <x:c r="D1970" s="10" t="n">
        <x:v>560</x:v>
      </x:c>
      <x:c r="E1970" s="10" t="n">
        <x:v>0</x:v>
      </x:c>
      <x:c r="F1970" s="10" t="n">
        <x:v>0</x:v>
      </x:c>
      <x:c r="G1970" s="10" t="n">
        <x:f>SUM(D1970:F1970)</x:f>
        <x:v>560</x:v>
      </x:c>
    </x:row>
    <x:row r="1971" ht="24" customHeight="1">
      <x:c r="A1971" s="10" t="str">
        <x:v>S04-06</x:v>
      </x:c>
      <x:c r="B1971" s="10" t="str">
        <x:v>B</x:v>
      </x:c>
      <x:c r="C1971" s="18" t="n">
        <x:v>-5.9999999</x:v>
      </x:c>
      <x:c r="D1971" s="10" t="n">
        <x:v>560</x:v>
      </x:c>
      <x:c r="E1971" s="10" t="n">
        <x:v>0</x:v>
      </x:c>
      <x:c r="F1971" s="10" t="n">
        <x:v>0</x:v>
      </x:c>
      <x:c r="G1971" s="10" t="n">
        <x:f>SUM(D1971:F1971)</x:f>
        <x:v>560</x:v>
      </x:c>
    </x:row>
    <x:row r="1972" ht="24" customHeight="1">
      <x:c r="A1972" s="10" t="str">
        <x:v>S04-06</x:v>
      </x:c>
      <x:c r="B1972" s="10" t="str">
        <x:v>B</x:v>
      </x:c>
      <x:c r="C1972" s="18" t="n">
        <x:v>-1e-7</x:v>
      </x:c>
      <x:c r="D1972" s="10" t="n">
        <x:v>560</x:v>
      </x:c>
      <x:c r="E1972" s="10" t="n">
        <x:v>0</x:v>
      </x:c>
      <x:c r="F1972" s="10" t="n">
        <x:v>0</x:v>
      </x:c>
      <x:c r="G1972" s="10" t="n">
        <x:f>SUM(D1972:F1972)</x:f>
        <x:v>560</x:v>
      </x:c>
    </x:row>
    <x:row r="1973" ht="24" customHeight="1">
      <x:c r="A1973" s="10" t="str">
        <x:v>S04-06</x:v>
      </x:c>
      <x:c r="B1973" s="10" t="str">
        <x:v>B</x:v>
      </x:c>
      <x:c r="C1973" s="18" t="n">
        <x:v>0</x:v>
      </x:c>
      <x:c r="D1973" s="10" t="n">
        <x:v>560</x:v>
      </x:c>
      <x:c r="E1973" s="10" t="n">
        <x:v>0</x:v>
      </x:c>
      <x:c r="F1973" s="10" t="n">
        <x:v>0</x:v>
      </x:c>
      <x:c r="G1973" s="10" t="n">
        <x:f>SUM(D1973:F1973)</x:f>
        <x:v>560</x:v>
      </x:c>
    </x:row>
    <x:row r="1974" ht="24" customHeight="1">
      <x:c r="A1974" s="10" t="str">
        <x:v>S04-06</x:v>
      </x:c>
      <x:c r="B1974" s="10" t="str">
        <x:v>B</x:v>
      </x:c>
      <x:c r="C1974" s="18" t="n">
        <x:v>1e-7</x:v>
      </x:c>
      <x:c r="D1974" s="10" t="n">
        <x:v>560</x:v>
      </x:c>
      <x:c r="E1974" s="10" t="n">
        <x:v>0</x:v>
      </x:c>
      <x:c r="F1974" s="10" t="n">
        <x:v>0</x:v>
      </x:c>
      <x:c r="G1974" s="10" t="n">
        <x:f>SUM(D1974:F1974)</x:f>
        <x:v>560</x:v>
      </x:c>
    </x:row>
    <x:row r="1975" ht="24" customHeight="1">
      <x:c r="A1975" s="10" t="str">
        <x:v>S04-06</x:v>
      </x:c>
      <x:c r="B1975" s="10" t="str">
        <x:v>B</x:v>
      </x:c>
      <x:c r="C1975" s="18" t="n">
        <x:v>0.8599999</x:v>
      </x:c>
      <x:c r="D1975" s="10" t="n">
        <x:v>560</x:v>
      </x:c>
      <x:c r="E1975" s="10" t="n">
        <x:v>0</x:v>
      </x:c>
      <x:c r="F1975" s="10" t="n">
        <x:v>0</x:v>
      </x:c>
      <x:c r="G1975" s="10" t="n">
        <x:f>SUM(D1975:F1975)</x:f>
        <x:v>560</x:v>
      </x:c>
    </x:row>
    <x:row r="1976" ht="24" customHeight="1">
      <x:c r="A1976" s="10" t="str">
        <x:v>S04-06</x:v>
      </x:c>
      <x:c r="B1976" s="10" t="str">
        <x:v>B</x:v>
      </x:c>
      <x:c r="C1976" s="18" t="n">
        <x:v>0.86</x:v>
      </x:c>
      <x:c r="D1976" s="10" t="n">
        <x:v>560</x:v>
      </x:c>
      <x:c r="E1976" s="10" t="n">
        <x:v>0</x:v>
      </x:c>
      <x:c r="F1976" s="10" t="n">
        <x:v>0.004096</x:v>
      </x:c>
      <x:c r="G1976" s="10" t="n">
        <x:f>SUM(D1976:F1976)</x:f>
        <x:v>560.004096</x:v>
      </x:c>
    </x:row>
    <x:row r="1977" ht="24" customHeight="1">
      <x:c r="A1977" s="10" t="str">
        <x:v>S04-06</x:v>
      </x:c>
      <x:c r="B1977" s="10" t="str">
        <x:v>B</x:v>
      </x:c>
      <x:c r="C1977" s="18" t="n">
        <x:v>0.8600001</x:v>
      </x:c>
      <x:c r="D1977" s="10" t="n">
        <x:v>560</x:v>
      </x:c>
      <x:c r="E1977" s="10" t="n">
        <x:v>0</x:v>
      </x:c>
      <x:c r="F1977" s="10" t="n">
        <x:v>0.004096</x:v>
      </x:c>
      <x:c r="G1977" s="10" t="n">
        <x:f>SUM(D1977:F1977)</x:f>
        <x:v>560.004096</x:v>
      </x:c>
    </x:row>
    <x:row r="1978" ht="24" customHeight="1">
      <x:c r="A1978" s="10" t="str">
        <x:v>S04-06</x:v>
      </x:c>
      <x:c r="B1978" s="10" t="str">
        <x:v>B</x:v>
      </x:c>
      <x:c r="C1978" s="18" t="n">
        <x:v>1.267333233</x:v>
      </x:c>
      <x:c r="D1978" s="10" t="n">
        <x:v>560</x:v>
      </x:c>
      <x:c r="E1978" s="10" t="n">
        <x:v>0</x:v>
      </x:c>
      <x:c r="F1978" s="10" t="n">
        <x:v>0.004096</x:v>
      </x:c>
      <x:c r="G1978" s="10" t="n">
        <x:f>SUM(D1978:F1978)</x:f>
        <x:v>560.004096</x:v>
      </x:c>
    </x:row>
    <x:row r="1979" ht="24" customHeight="1">
      <x:c r="A1979" s="10" t="str">
        <x:v>S04-06</x:v>
      </x:c>
      <x:c r="B1979" s="10" t="str">
        <x:v>B</x:v>
      </x:c>
      <x:c r="C1979" s="18" t="n">
        <x:v>1.267333333</x:v>
      </x:c>
      <x:c r="D1979" s="10" t="n">
        <x:v>560</x:v>
      </x:c>
      <x:c r="E1979" s="10" t="n">
        <x:v>0.0096</x:v>
      </x:c>
      <x:c r="F1979" s="10" t="n">
        <x:v>0.004096</x:v>
      </x:c>
      <x:c r="G1979" s="10" t="n">
        <x:f>SUM(D1979:F1979)</x:f>
        <x:v>560.013696</x:v>
      </x:c>
    </x:row>
    <x:row r="1980" ht="24" customHeight="1">
      <x:c r="A1980" s="10" t="str">
        <x:v>S04-06</x:v>
      </x:c>
      <x:c r="B1980" s="10" t="str">
        <x:v>B</x:v>
      </x:c>
      <x:c r="C1980" s="18" t="n">
        <x:v>1.267333433</x:v>
      </x:c>
      <x:c r="D1980" s="10" t="n">
        <x:v>560</x:v>
      </x:c>
      <x:c r="E1980" s="10" t="n">
        <x:v>0.009600019</x:v>
      </x:c>
      <x:c r="F1980" s="10" t="n">
        <x:v>0.004096</x:v>
      </x:c>
      <x:c r="G1980" s="10" t="n">
        <x:f>SUM(D1980:F1980)</x:f>
        <x:v>560.013696019</x:v>
      </x:c>
    </x:row>
    <x:row r="1981" ht="24" customHeight="1">
      <x:c r="A1981" s="10" t="str">
        <x:v>S04-06</x:v>
      </x:c>
      <x:c r="B1981" s="10" t="str">
        <x:v>B</x:v>
      </x:c>
      <x:c r="C1981" s="18" t="n">
        <x:v>1.307333233</x:v>
      </x:c>
      <x:c r="D1981" s="10" t="n">
        <x:v>560</x:v>
      </x:c>
      <x:c r="E1981" s="10" t="n">
        <x:v>0.017279981</x:v>
      </x:c>
      <x:c r="F1981" s="10" t="n">
        <x:v>0.004096</x:v>
      </x:c>
      <x:c r="G1981" s="10" t="n">
        <x:f>SUM(D1981:F1981)</x:f>
        <x:v>560.021375981</x:v>
      </x:c>
    </x:row>
    <x:row r="1982" ht="24" customHeight="1">
      <x:c r="A1982" s="10" t="str">
        <x:v>S04-06</x:v>
      </x:c>
      <x:c r="B1982" s="10" t="str">
        <x:v>B</x:v>
      </x:c>
      <x:c r="C1982" s="18" t="n">
        <x:v>1.307333333</x:v>
      </x:c>
      <x:c r="D1982" s="10" t="n">
        <x:v>560</x:v>
      </x:c>
      <x:c r="E1982" s="10" t="n">
        <x:v>0.01728</x:v>
      </x:c>
      <x:c r="F1982" s="10" t="n">
        <x:v>0.004096</x:v>
      </x:c>
      <x:c r="G1982" s="10" t="n">
        <x:f>SUM(D1982:F1982)</x:f>
        <x:v>560.021376</x:v>
      </x:c>
    </x:row>
    <x:row r="1983" ht="24" customHeight="1">
      <x:c r="A1983" s="10" t="str">
        <x:v>S04-06</x:v>
      </x:c>
      <x:c r="B1983" s="10" t="str">
        <x:v>B</x:v>
      </x:c>
      <x:c r="C1983" s="18" t="n">
        <x:v>1.307333433</x:v>
      </x:c>
      <x:c r="D1983" s="10" t="n">
        <x:v>560</x:v>
      </x:c>
      <x:c r="E1983" s="10" t="n">
        <x:v>0.017280014</x:v>
      </x:c>
      <x:c r="F1983" s="10" t="n">
        <x:v>0.004096</x:v>
      </x:c>
      <x:c r="G1983" s="10" t="n">
        <x:f>SUM(D1983:F1983)</x:f>
        <x:v>560.021376014</x:v>
      </x:c>
    </x:row>
    <x:row r="1984" ht="24" customHeight="1">
      <x:c r="A1984" s="10" t="str">
        <x:v>S04-06</x:v>
      </x:c>
      <x:c r="B1984" s="10" t="str">
        <x:v>B</x:v>
      </x:c>
      <x:c r="C1984" s="18" t="n">
        <x:v>2.118833233</x:v>
      </x:c>
      <x:c r="D1984" s="10" t="n">
        <x:v>560</x:v>
      </x:c>
      <x:c r="E1984" s="10" t="n">
        <x:v>0.134135986</x:v>
      </x:c>
      <x:c r="F1984" s="10" t="n">
        <x:v>0.004096</x:v>
      </x:c>
      <x:c r="G1984" s="10" t="n">
        <x:f>SUM(D1984:F1984)</x:f>
        <x:v>560.138231986</x:v>
      </x:c>
    </x:row>
    <x:row r="1985" ht="24" customHeight="1">
      <x:c r="A1985" s="10" t="str">
        <x:v>S04-06</x:v>
      </x:c>
      <x:c r="B1985" s="10" t="str">
        <x:v>B</x:v>
      </x:c>
      <x:c r="C1985" s="18" t="n">
        <x:v>2.118833333</x:v>
      </x:c>
      <x:c r="D1985" s="10" t="n">
        <x:v>560</x:v>
      </x:c>
      <x:c r="E1985" s="10" t="n">
        <x:v>0.134136</x:v>
      </x:c>
      <x:c r="F1985" s="10" t="n">
        <x:v>0.004096</x:v>
      </x:c>
      <x:c r="G1985" s="10" t="n">
        <x:f>SUM(D1985:F1985)</x:f>
        <x:v>560.138232</x:v>
      </x:c>
    </x:row>
    <x:row r="1986" ht="24" customHeight="1">
      <x:c r="A1986" s="10" t="str">
        <x:v>S04-06</x:v>
      </x:c>
      <x:c r="B1986" s="10" t="str">
        <x:v>B</x:v>
      </x:c>
      <x:c r="C1986" s="18" t="n">
        <x:v>2.118833433</x:v>
      </x:c>
      <x:c r="D1986" s="10" t="n">
        <x:v>560</x:v>
      </x:c>
      <x:c r="E1986" s="10" t="n">
        <x:v>0.134135995</x:v>
      </x:c>
      <x:c r="F1986" s="10" t="n">
        <x:v>0.004096</x:v>
      </x:c>
      <x:c r="G1986" s="10" t="n">
        <x:f>SUM(D1986:F1986)</x:f>
        <x:v>560.138231995</x:v>
      </x:c>
    </x:row>
    <x:row r="1987" ht="24" customHeight="1">
      <x:c r="A1987" s="10" t="str">
        <x:v>S04-06</x:v>
      </x:c>
      <x:c r="B1987" s="10" t="str">
        <x:v>B</x:v>
      </x:c>
      <x:c r="C1987" s="18" t="n">
        <x:v>4.913333233</x:v>
      </x:c>
      <x:c r="D1987" s="10" t="n">
        <x:v>560</x:v>
      </x:c>
      <x:c r="E1987" s="10" t="n">
        <x:v>5e-9</x:v>
      </x:c>
      <x:c r="F1987" s="10" t="n">
        <x:v>0.004096</x:v>
      </x:c>
      <x:c r="G1987" s="10" t="n">
        <x:f>SUM(D1987:F1987)</x:f>
        <x:v>560.004096005</x:v>
      </x:c>
    </x:row>
    <x:row r="1988" ht="24" customHeight="1">
      <x:c r="A1988" s="10" t="str">
        <x:v>S04-06</x:v>
      </x:c>
      <x:c r="B1988" s="10" t="str">
        <x:v>B</x:v>
      </x:c>
      <x:c r="C1988" s="18" t="n">
        <x:v>4.913333333</x:v>
      </x:c>
      <x:c r="D1988" s="10" t="n">
        <x:v>560</x:v>
      </x:c>
      <x:c r="E1988" s="10" t="n">
        <x:v>0</x:v>
      </x:c>
      <x:c r="F1988" s="10" t="n">
        <x:v>0.004096</x:v>
      </x:c>
      <x:c r="G1988" s="10" t="n">
        <x:f>SUM(D1988:F1988)</x:f>
        <x:v>560.004096</x:v>
      </x:c>
    </x:row>
    <x:row r="1989" ht="24" customHeight="1">
      <x:c r="A1989" s="10" t="str">
        <x:v>S04-06</x:v>
      </x:c>
      <x:c r="B1989" s="10" t="str">
        <x:v>B</x:v>
      </x:c>
      <x:c r="C1989" s="18" t="n">
        <x:v>4.913333433</x:v>
      </x:c>
      <x:c r="D1989" s="10" t="n">
        <x:v>560</x:v>
      </x:c>
      <x:c r="E1989" s="10" t="n">
        <x:v>0</x:v>
      </x:c>
      <x:c r="F1989" s="10" t="n">
        <x:v>0</x:v>
      </x:c>
      <x:c r="G1989" s="10" t="n">
        <x:f>SUM(D1989:F1989)</x:f>
        <x:v>560</x:v>
      </x:c>
    </x:row>
    <x:row r="1990" ht="24" customHeight="1">
      <x:c r="A1990" s="10" t="str">
        <x:v>S04-07</x:v>
      </x:c>
      <x:c r="B1990" s="10" t="str">
        <x:v>A</x:v>
      </x:c>
      <x:c r="C1990" s="18" t="n">
        <x:v>-6.0000001</x:v>
      </x:c>
      <x:c r="D1990" s="10" t="n">
        <x:v>560</x:v>
      </x:c>
      <x:c r="E1990" s="10" t="n">
        <x:v>0</x:v>
      </x:c>
      <x:c r="F1990" s="10" t="n">
        <x:v>0</x:v>
      </x:c>
      <x:c r="G1990" s="10" t="n">
        <x:f>SUM(D1990:F1990)</x:f>
        <x:v>560</x:v>
      </x:c>
    </x:row>
    <x:row r="1991" ht="24" customHeight="1">
      <x:c r="A1991" s="10" t="str">
        <x:v>S04-07</x:v>
      </x:c>
      <x:c r="B1991" s="10" t="str">
        <x:v>A</x:v>
      </x:c>
      <x:c r="C1991" s="18" t="n">
        <x:v>-6</x:v>
      </x:c>
      <x:c r="D1991" s="10" t="n">
        <x:v>560</x:v>
      </x:c>
      <x:c r="E1991" s="10" t="n">
        <x:v>0</x:v>
      </x:c>
      <x:c r="F1991" s="10" t="n">
        <x:v>0</x:v>
      </x:c>
      <x:c r="G1991" s="10" t="n">
        <x:f>SUM(D1991:F1991)</x:f>
        <x:v>560</x:v>
      </x:c>
    </x:row>
    <x:row r="1992" ht="24" customHeight="1">
      <x:c r="A1992" s="10" t="str">
        <x:v>S04-07</x:v>
      </x:c>
      <x:c r="B1992" s="10" t="str">
        <x:v>A</x:v>
      </x:c>
      <x:c r="C1992" s="18" t="n">
        <x:v>-5.9999999</x:v>
      </x:c>
      <x:c r="D1992" s="10" t="n">
        <x:v>560</x:v>
      </x:c>
      <x:c r="E1992" s="10" t="n">
        <x:v>0</x:v>
      </x:c>
      <x:c r="F1992" s="10" t="n">
        <x:v>0</x:v>
      </x:c>
      <x:c r="G1992" s="10" t="n">
        <x:f>SUM(D1992:F1992)</x:f>
        <x:v>560</x:v>
      </x:c>
    </x:row>
    <x:row r="1993" ht="24" customHeight="1">
      <x:c r="A1993" s="10" t="str">
        <x:v>S04-07</x:v>
      </x:c>
      <x:c r="B1993" s="10" t="str">
        <x:v>A</x:v>
      </x:c>
      <x:c r="C1993" s="18" t="n">
        <x:v>-1.0000001</x:v>
      </x:c>
      <x:c r="D1993" s="10" t="n">
        <x:v>560</x:v>
      </x:c>
      <x:c r="E1993" s="10" t="n">
        <x:v>0</x:v>
      </x:c>
      <x:c r="F1993" s="10" t="n">
        <x:v>0</x:v>
      </x:c>
      <x:c r="G1993" s="10" t="n">
        <x:f>SUM(D1993:F1993)</x:f>
        <x:v>560</x:v>
      </x:c>
    </x:row>
    <x:row r="1994" ht="24" customHeight="1">
      <x:c r="A1994" s="10" t="str">
        <x:v>S04-07</x:v>
      </x:c>
      <x:c r="B1994" s="10" t="str">
        <x:v>A</x:v>
      </x:c>
      <x:c r="C1994" s="18" t="n">
        <x:v>-1</x:v>
      </x:c>
      <x:c r="D1994" s="10" t="n">
        <x:v>560</x:v>
      </x:c>
      <x:c r="E1994" s="10" t="n">
        <x:v>0</x:v>
      </x:c>
      <x:c r="F1994" s="10" t="n">
        <x:v>0.004096</x:v>
      </x:c>
      <x:c r="G1994" s="10" t="n">
        <x:f>SUM(D1994:F1994)</x:f>
        <x:v>560.004096</x:v>
      </x:c>
    </x:row>
    <x:row r="1995" ht="24" customHeight="1">
      <x:c r="A1995" s="10" t="str">
        <x:v>S04-07</x:v>
      </x:c>
      <x:c r="B1995" s="10" t="str">
        <x:v>A</x:v>
      </x:c>
      <x:c r="C1995" s="18" t="n">
        <x:v>-0.9999999</x:v>
      </x:c>
      <x:c r="D1995" s="10" t="n">
        <x:v>560</x:v>
      </x:c>
      <x:c r="E1995" s="10" t="n">
        <x:v>0</x:v>
      </x:c>
      <x:c r="F1995" s="10" t="n">
        <x:v>0.004096</x:v>
      </x:c>
      <x:c r="G1995" s="10" t="n">
        <x:f>SUM(D1995:F1995)</x:f>
        <x:v>560.004096</x:v>
      </x:c>
    </x:row>
    <x:row r="1996" ht="24" customHeight="1">
      <x:c r="A1996" s="10" t="str">
        <x:v>S04-07</x:v>
      </x:c>
      <x:c r="B1996" s="10" t="str">
        <x:v>A</x:v>
      </x:c>
      <x:c r="C1996" s="18" t="n">
        <x:v>-0.5900001</x:v>
      </x:c>
      <x:c r="D1996" s="10" t="n">
        <x:v>560</x:v>
      </x:c>
      <x:c r="E1996" s="10" t="n">
        <x:v>0</x:v>
      </x:c>
      <x:c r="F1996" s="10" t="n">
        <x:v>0.004096</x:v>
      </x:c>
      <x:c r="G1996" s="10" t="n">
        <x:f>SUM(D1996:F1996)</x:f>
        <x:v>560.004096</x:v>
      </x:c>
    </x:row>
    <x:row r="1997" ht="24" customHeight="1">
      <x:c r="A1997" s="10" t="str">
        <x:v>S04-07</x:v>
      </x:c>
      <x:c r="B1997" s="10" t="str">
        <x:v>A</x:v>
      </x:c>
      <x:c r="C1997" s="18" t="n">
        <x:v>-0.59</x:v>
      </x:c>
      <x:c r="D1997" s="10" t="n">
        <x:v>560</x:v>
      </x:c>
      <x:c r="E1997" s="10" t="n">
        <x:v>0.0096</x:v>
      </x:c>
      <x:c r="F1997" s="10" t="n">
        <x:v>0.004096</x:v>
      </x:c>
      <x:c r="G1997" s="10" t="n">
        <x:f>SUM(D1997:F1997)</x:f>
        <x:v>560.013696</x:v>
      </x:c>
    </x:row>
    <x:row r="1998" ht="24" customHeight="1">
      <x:c r="A1998" s="10" t="str">
        <x:v>S04-07</x:v>
      </x:c>
      <x:c r="B1998" s="10" t="str">
        <x:v>A</x:v>
      </x:c>
      <x:c r="C1998" s="18" t="n">
        <x:v>-0.5899999</x:v>
      </x:c>
      <x:c r="D1998" s="10" t="n">
        <x:v>560</x:v>
      </x:c>
      <x:c r="E1998" s="10" t="n">
        <x:v>0.009600019</x:v>
      </x:c>
      <x:c r="F1998" s="10" t="n">
        <x:v>0.004096</x:v>
      </x:c>
      <x:c r="G1998" s="10" t="n">
        <x:f>SUM(D1998:F1998)</x:f>
        <x:v>560.013696019</x:v>
      </x:c>
    </x:row>
    <x:row r="1999" ht="24" customHeight="1">
      <x:c r="A1999" s="10" t="str">
        <x:v>S04-07</x:v>
      </x:c>
      <x:c r="B1999" s="10" t="str">
        <x:v>A</x:v>
      </x:c>
      <x:c r="C1999" s="18" t="n">
        <x:v>-1e-7</x:v>
      </x:c>
      <x:c r="D1999" s="10" t="n">
        <x:v>560</x:v>
      </x:c>
      <x:c r="E1999" s="10" t="n">
        <x:v>0.122879981</x:v>
      </x:c>
      <x:c r="F1999" s="10" t="n">
        <x:v>0.004096</x:v>
      </x:c>
      <x:c r="G1999" s="10" t="n">
        <x:f>SUM(D1999:F1999)</x:f>
        <x:v>560.126975981</x:v>
      </x:c>
    </x:row>
    <x:row r="2000" ht="24" customHeight="1">
      <x:c r="A2000" s="10" t="str">
        <x:v>S04-07</x:v>
      </x:c>
      <x:c r="B2000" s="10" t="str">
        <x:v>A</x:v>
      </x:c>
      <x:c r="C2000" s="18" t="n">
        <x:v>0</x:v>
      </x:c>
      <x:c r="D2000" s="10" t="n">
        <x:v>560</x:v>
      </x:c>
      <x:c r="E2000" s="10" t="n">
        <x:v>0.12288</x:v>
      </x:c>
      <x:c r="F2000" s="10" t="n">
        <x:v>0.004096</x:v>
      </x:c>
      <x:c r="G2000" s="10" t="n">
        <x:f>SUM(D2000:F2000)</x:f>
        <x:v>560.126976</x:v>
      </x:c>
    </x:row>
    <x:row r="2001" ht="24" customHeight="1">
      <x:c r="A2001" s="10" t="str">
        <x:v>S04-07</x:v>
      </x:c>
      <x:c r="B2001" s="10" t="str">
        <x:v>A</x:v>
      </x:c>
      <x:c r="C2001" s="18" t="n">
        <x:v>1e-7</x:v>
      </x:c>
      <x:c r="D2001" s="10" t="n">
        <x:v>560</x:v>
      </x:c>
      <x:c r="E2001" s="10" t="n">
        <x:v>0.122880019</x:v>
      </x:c>
      <x:c r="F2001" s="10" t="n">
        <x:v>0.004096</x:v>
      </x:c>
      <x:c r="G2001" s="10" t="n">
        <x:f>SUM(D2001:F2001)</x:f>
        <x:v>560.126976019</x:v>
      </x:c>
    </x:row>
    <x:row r="2002" ht="24" customHeight="1">
      <x:c r="A2002" s="10" t="str">
        <x:v>S04-07</x:v>
      </x:c>
      <x:c r="B2002" s="10" t="str">
        <x:v>A</x:v>
      </x:c>
      <x:c r="C2002" s="18" t="n">
        <x:v>0.888333233</x:v>
      </x:c>
      <x:c r="D2002" s="10" t="n">
        <x:v>560</x:v>
      </x:c>
      <x:c r="E2002" s="10" t="n">
        <x:v>0.293439981</x:v>
      </x:c>
      <x:c r="F2002" s="10" t="n">
        <x:v>0.004096</x:v>
      </x:c>
      <x:c r="G2002" s="10" t="n">
        <x:f>SUM(D2002:F2002)</x:f>
        <x:v>560.297535981</x:v>
      </x:c>
    </x:row>
    <x:row r="2003" ht="24" customHeight="1">
      <x:c r="A2003" s="10" t="str">
        <x:v>S04-07</x:v>
      </x:c>
      <x:c r="B2003" s="10" t="str">
        <x:v>A</x:v>
      </x:c>
      <x:c r="C2003" s="18" t="n">
        <x:v>0.888333333</x:v>
      </x:c>
      <x:c r="D2003" s="10" t="n">
        <x:v>560</x:v>
      </x:c>
      <x:c r="E2003" s="10" t="n">
        <x:v>0.29344</x:v>
      </x:c>
      <x:c r="F2003" s="10" t="n">
        <x:v>0.008192</x:v>
      </x:c>
      <x:c r="G2003" s="10" t="n">
        <x:f>SUM(D2003:F2003)</x:f>
        <x:v>560.301632</x:v>
      </x:c>
    </x:row>
    <x:row r="2004" ht="24" customHeight="1">
      <x:c r="A2004" s="10" t="str">
        <x:v>S04-07</x:v>
      </x:c>
      <x:c r="B2004" s="10" t="str">
        <x:v>A</x:v>
      </x:c>
      <x:c r="C2004" s="18" t="n">
        <x:v>0.888333433</x:v>
      </x:c>
      <x:c r="D2004" s="10" t="n">
        <x:v>560</x:v>
      </x:c>
      <x:c r="E2004" s="10" t="n">
        <x:v>0.293440019</x:v>
      </x:c>
      <x:c r="F2004" s="10" t="n">
        <x:v>0.008192</x:v>
      </x:c>
      <x:c r="G2004" s="10" t="n">
        <x:f>SUM(D2004:F2004)</x:f>
        <x:v>560.301632019</x:v>
      </x:c>
    </x:row>
    <x:row r="2005" ht="24" customHeight="1">
      <x:c r="A2005" s="10" t="str">
        <x:v>S04-07</x:v>
      </x:c>
      <x:c r="B2005" s="10" t="str">
        <x:v>A</x:v>
      </x:c>
      <x:c r="C2005" s="18" t="n">
        <x:v>0.988333233</x:v>
      </x:c>
      <x:c r="D2005" s="10" t="n">
        <x:v>560</x:v>
      </x:c>
      <x:c r="E2005" s="10" t="n">
        <x:v>0.312639981</x:v>
      </x:c>
      <x:c r="F2005" s="10" t="n">
        <x:v>0.008192</x:v>
      </x:c>
      <x:c r="G2005" s="10" t="n">
        <x:f>SUM(D2005:F2005)</x:f>
        <x:v>560.320831981</x:v>
      </x:c>
    </x:row>
    <x:row r="2006" ht="24" customHeight="1">
      <x:c r="A2006" s="10" t="str">
        <x:v>S04-07</x:v>
      </x:c>
      <x:c r="B2006" s="10" t="str">
        <x:v>A</x:v>
      </x:c>
      <x:c r="C2006" s="18" t="n">
        <x:v>0.988333333</x:v>
      </x:c>
      <x:c r="D2006" s="10" t="n">
        <x:v>560</x:v>
      </x:c>
      <x:c r="E2006" s="10" t="n">
        <x:v>0.31264</x:v>
      </x:c>
      <x:c r="F2006" s="10" t="n">
        <x:v>0.008192</x:v>
      </x:c>
      <x:c r="G2006" s="10" t="n">
        <x:f>SUM(D2006:F2006)</x:f>
        <x:v>560.320832</x:v>
      </x:c>
    </x:row>
    <x:row r="2007" ht="24" customHeight="1">
      <x:c r="A2007" s="10" t="str">
        <x:v>S04-07</x:v>
      </x:c>
      <x:c r="B2007" s="10" t="str">
        <x:v>A</x:v>
      </x:c>
      <x:c r="C2007" s="18" t="n">
        <x:v>0.988333433</x:v>
      </x:c>
      <x:c r="D2007" s="10" t="n">
        <x:v>560</x:v>
      </x:c>
      <x:c r="E2007" s="10" t="n">
        <x:v>0</x:v>
      </x:c>
      <x:c r="F2007" s="10" t="n">
        <x:v>0.004096</x:v>
      </x:c>
      <x:c r="G2007" s="10" t="n">
        <x:f>SUM(D2007:F2007)</x:f>
        <x:v>560.004096</x:v>
      </x:c>
    </x:row>
    <x:row r="2008" ht="24" customHeight="1">
      <x:c r="A2008" s="10" t="str">
        <x:v>S04-07</x:v>
      </x:c>
      <x:c r="B2008" s="10" t="str">
        <x:v>A</x:v>
      </x:c>
      <x:c r="C2008" s="18" t="n">
        <x:v>1.295666566</x:v>
      </x:c>
      <x:c r="D2008" s="10" t="n">
        <x:v>560</x:v>
      </x:c>
      <x:c r="E2008" s="10" t="n">
        <x:v>0</x:v>
      </x:c>
      <x:c r="F2008" s="10" t="n">
        <x:v>0.004096</x:v>
      </x:c>
      <x:c r="G2008" s="10" t="n">
        <x:f>SUM(D2008:F2008)</x:f>
        <x:v>560.004096</x:v>
      </x:c>
    </x:row>
    <x:row r="2009" ht="24" customHeight="1">
      <x:c r="A2009" s="10" t="str">
        <x:v>S04-07</x:v>
      </x:c>
      <x:c r="B2009" s="10" t="str">
        <x:v>A</x:v>
      </x:c>
      <x:c r="C2009" s="18" t="n">
        <x:v>1.295666666</x:v>
      </x:c>
      <x:c r="D2009" s="10" t="n">
        <x:v>560</x:v>
      </x:c>
      <x:c r="E2009" s="10" t="n">
        <x:v>0.0096</x:v>
      </x:c>
      <x:c r="F2009" s="10" t="n">
        <x:v>0.004096</x:v>
      </x:c>
      <x:c r="G2009" s="10" t="n">
        <x:f>SUM(D2009:F2009)</x:f>
        <x:v>560.013696</x:v>
      </x:c>
    </x:row>
    <x:row r="2010" ht="24" customHeight="1">
      <x:c r="A2010" s="10" t="str">
        <x:v>S04-07</x:v>
      </x:c>
      <x:c r="B2010" s="10" t="str">
        <x:v>A</x:v>
      </x:c>
      <x:c r="C2010" s="18" t="n">
        <x:v>1.295666766</x:v>
      </x:c>
      <x:c r="D2010" s="10" t="n">
        <x:v>560</x:v>
      </x:c>
      <x:c r="E2010" s="10" t="n">
        <x:v>0.009600019</x:v>
      </x:c>
      <x:c r="F2010" s="10" t="n">
        <x:v>0.004096</x:v>
      </x:c>
      <x:c r="G2010" s="10" t="n">
        <x:f>SUM(D2010:F2010)</x:f>
        <x:v>560.013696019</x:v>
      </x:c>
    </x:row>
    <x:row r="2011" ht="24" customHeight="1">
      <x:c r="A2011" s="10" t="str">
        <x:v>S04-07</x:v>
      </x:c>
      <x:c r="B2011" s="10" t="str">
        <x:v>A</x:v>
      </x:c>
      <x:c r="C2011" s="18" t="n">
        <x:v>1.335666566</x:v>
      </x:c>
      <x:c r="D2011" s="10" t="n">
        <x:v>560</x:v>
      </x:c>
      <x:c r="E2011" s="10" t="n">
        <x:v>0.017279981</x:v>
      </x:c>
      <x:c r="F2011" s="10" t="n">
        <x:v>0.004096</x:v>
      </x:c>
      <x:c r="G2011" s="10" t="n">
        <x:f>SUM(D2011:F2011)</x:f>
        <x:v>560.021375981</x:v>
      </x:c>
    </x:row>
    <x:row r="2012" ht="24" customHeight="1">
      <x:c r="A2012" s="10" t="str">
        <x:v>S04-07</x:v>
      </x:c>
      <x:c r="B2012" s="10" t="str">
        <x:v>A</x:v>
      </x:c>
      <x:c r="C2012" s="18" t="n">
        <x:v>1.335666666</x:v>
      </x:c>
      <x:c r="D2012" s="10" t="n">
        <x:v>560</x:v>
      </x:c>
      <x:c r="E2012" s="10" t="n">
        <x:v>0.01728</x:v>
      </x:c>
      <x:c r="F2012" s="10" t="n">
        <x:v>0.004096</x:v>
      </x:c>
      <x:c r="G2012" s="10" t="n">
        <x:f>SUM(D2012:F2012)</x:f>
        <x:v>560.021376</x:v>
      </x:c>
    </x:row>
    <x:row r="2013" ht="24" customHeight="1">
      <x:c r="A2013" s="10" t="str">
        <x:v>S04-07</x:v>
      </x:c>
      <x:c r="B2013" s="10" t="str">
        <x:v>A</x:v>
      </x:c>
      <x:c r="C2013" s="18" t="n">
        <x:v>1.335666766</x:v>
      </x:c>
      <x:c r="D2013" s="10" t="n">
        <x:v>560</x:v>
      </x:c>
      <x:c r="E2013" s="10" t="n">
        <x:v>0.017280014</x:v>
      </x:c>
      <x:c r="F2013" s="10" t="n">
        <x:v>0.004096</x:v>
      </x:c>
      <x:c r="G2013" s="10" t="n">
        <x:f>SUM(D2013:F2013)</x:f>
        <x:v>560.021376014</x:v>
      </x:c>
    </x:row>
    <x:row r="2014" ht="24" customHeight="1">
      <x:c r="A2014" s="10" t="str">
        <x:v>S04-07</x:v>
      </x:c>
      <x:c r="B2014" s="10" t="str">
        <x:v>A</x:v>
      </x:c>
      <x:c r="C2014" s="18" t="n">
        <x:v>2.150166566</x:v>
      </x:c>
      <x:c r="D2014" s="10" t="n">
        <x:v>560</x:v>
      </x:c>
      <x:c r="E2014" s="10" t="n">
        <x:v>0.134567986</x:v>
      </x:c>
      <x:c r="F2014" s="10" t="n">
        <x:v>0.004096</x:v>
      </x:c>
      <x:c r="G2014" s="10" t="n">
        <x:f>SUM(D2014:F2014)</x:f>
        <x:v>560.138663986</x:v>
      </x:c>
    </x:row>
    <x:row r="2015" ht="24" customHeight="1">
      <x:c r="A2015" s="10" t="str">
        <x:v>S04-07</x:v>
      </x:c>
      <x:c r="B2015" s="10" t="str">
        <x:v>A</x:v>
      </x:c>
      <x:c r="C2015" s="18" t="n">
        <x:v>2.150166666</x:v>
      </x:c>
      <x:c r="D2015" s="10" t="n">
        <x:v>560</x:v>
      </x:c>
      <x:c r="E2015" s="10" t="n">
        <x:v>0.134568</x:v>
      </x:c>
      <x:c r="F2015" s="10" t="n">
        <x:v>0.004096</x:v>
      </x:c>
      <x:c r="G2015" s="10" t="n">
        <x:f>SUM(D2015:F2015)</x:f>
        <x:v>560.138664</x:v>
      </x:c>
    </x:row>
    <x:row r="2016" ht="24" customHeight="1">
      <x:c r="A2016" s="10" t="str">
        <x:v>S04-07</x:v>
      </x:c>
      <x:c r="B2016" s="10" t="str">
        <x:v>A</x:v>
      </x:c>
      <x:c r="C2016" s="18" t="n">
        <x:v>2.150166766</x:v>
      </x:c>
      <x:c r="D2016" s="10" t="n">
        <x:v>560</x:v>
      </x:c>
      <x:c r="E2016" s="10" t="n">
        <x:v>0.134567995</x:v>
      </x:c>
      <x:c r="F2016" s="10" t="n">
        <x:v>0.004096</x:v>
      </x:c>
      <x:c r="G2016" s="10" t="n">
        <x:f>SUM(D2016:F2016)</x:f>
        <x:v>560.138663995</x:v>
      </x:c>
    </x:row>
    <x:row r="2017" ht="24" customHeight="1">
      <x:c r="A2017" s="10" t="str">
        <x:v>S04-07</x:v>
      </x:c>
      <x:c r="B2017" s="10" t="str">
        <x:v>A</x:v>
      </x:c>
      <x:c r="C2017" s="18" t="n">
        <x:v>4.953666566</x:v>
      </x:c>
      <x:c r="D2017" s="10" t="n">
        <x:v>560</x:v>
      </x:c>
      <x:c r="E2017" s="10" t="n">
        <x:v>5e-9</x:v>
      </x:c>
      <x:c r="F2017" s="10" t="n">
        <x:v>0.004096</x:v>
      </x:c>
      <x:c r="G2017" s="10" t="n">
        <x:f>SUM(D2017:F2017)</x:f>
        <x:v>560.004096005</x:v>
      </x:c>
    </x:row>
    <x:row r="2018" ht="24" customHeight="1">
      <x:c r="A2018" s="10" t="str">
        <x:v>S04-07</x:v>
      </x:c>
      <x:c r="B2018" s="10" t="str">
        <x:v>A</x:v>
      </x:c>
      <x:c r="C2018" s="18" t="n">
        <x:v>4.953666666</x:v>
      </x:c>
      <x:c r="D2018" s="10" t="n">
        <x:v>560</x:v>
      </x:c>
      <x:c r="E2018" s="10" t="n">
        <x:v>0</x:v>
      </x:c>
      <x:c r="F2018" s="10" t="n">
        <x:v>0.004096</x:v>
      </x:c>
      <x:c r="G2018" s="10" t="n">
        <x:f>SUM(D2018:F2018)</x:f>
        <x:v>560.004096</x:v>
      </x:c>
    </x:row>
    <x:row r="2019" ht="24" customHeight="1">
      <x:c r="A2019" s="10" t="str">
        <x:v>S04-07</x:v>
      </x:c>
      <x:c r="B2019" s="10" t="str">
        <x:v>A</x:v>
      </x:c>
      <x:c r="C2019" s="18" t="n">
        <x:v>4.953666766</x:v>
      </x:c>
      <x:c r="D2019" s="10" t="n">
        <x:v>560</x:v>
      </x:c>
      <x:c r="E2019" s="10" t="n">
        <x:v>0</x:v>
      </x:c>
      <x:c r="F2019" s="10" t="n">
        <x:v>0</x:v>
      </x:c>
      <x:c r="G2019" s="10" t="n">
        <x:f>SUM(D2019:F2019)</x:f>
        <x:v>560</x:v>
      </x:c>
    </x:row>
    <x:row r="2020" ht="24" customHeight="1">
      <x:c r="A2020" s="10" t="str">
        <x:v>S04-07</x:v>
      </x:c>
      <x:c r="B2020" s="10" t="str">
        <x:v>B</x:v>
      </x:c>
      <x:c r="C2020" s="18" t="n">
        <x:v>-6.0000001</x:v>
      </x:c>
      <x:c r="D2020" s="10" t="n">
        <x:v>560</x:v>
      </x:c>
      <x:c r="E2020" s="10" t="n">
        <x:v>0</x:v>
      </x:c>
      <x:c r="F2020" s="10" t="n">
        <x:v>0</x:v>
      </x:c>
      <x:c r="G2020" s="10" t="n">
        <x:f>SUM(D2020:F2020)</x:f>
        <x:v>560</x:v>
      </x:c>
    </x:row>
    <x:row r="2021" ht="24" customHeight="1">
      <x:c r="A2021" s="10" t="str">
        <x:v>S04-07</x:v>
      </x:c>
      <x:c r="B2021" s="10" t="str">
        <x:v>B</x:v>
      </x:c>
      <x:c r="C2021" s="18" t="n">
        <x:v>-6</x:v>
      </x:c>
      <x:c r="D2021" s="10" t="n">
        <x:v>560</x:v>
      </x:c>
      <x:c r="E2021" s="10" t="n">
        <x:v>0</x:v>
      </x:c>
      <x:c r="F2021" s="10" t="n">
        <x:v>0</x:v>
      </x:c>
      <x:c r="G2021" s="10" t="n">
        <x:f>SUM(D2021:F2021)</x:f>
        <x:v>560</x:v>
      </x:c>
    </x:row>
    <x:row r="2022" ht="24" customHeight="1">
      <x:c r="A2022" s="10" t="str">
        <x:v>S04-07</x:v>
      </x:c>
      <x:c r="B2022" s="10" t="str">
        <x:v>B</x:v>
      </x:c>
      <x:c r="C2022" s="18" t="n">
        <x:v>-5.9999999</x:v>
      </x:c>
      <x:c r="D2022" s="10" t="n">
        <x:v>560</x:v>
      </x:c>
      <x:c r="E2022" s="10" t="n">
        <x:v>0</x:v>
      </x:c>
      <x:c r="F2022" s="10" t="n">
        <x:v>0</x:v>
      </x:c>
      <x:c r="G2022" s="10" t="n">
        <x:f>SUM(D2022:F2022)</x:f>
        <x:v>560</x:v>
      </x:c>
    </x:row>
    <x:row r="2023" ht="24" customHeight="1">
      <x:c r="A2023" s="10" t="str">
        <x:v>S04-07</x:v>
      </x:c>
      <x:c r="B2023" s="10" t="str">
        <x:v>B</x:v>
      </x:c>
      <x:c r="C2023" s="18" t="n">
        <x:v>-1e-7</x:v>
      </x:c>
      <x:c r="D2023" s="10" t="n">
        <x:v>560</x:v>
      </x:c>
      <x:c r="E2023" s="10" t="n">
        <x:v>0</x:v>
      </x:c>
      <x:c r="F2023" s="10" t="n">
        <x:v>0</x:v>
      </x:c>
      <x:c r="G2023" s="10" t="n">
        <x:f>SUM(D2023:F2023)</x:f>
        <x:v>560</x:v>
      </x:c>
    </x:row>
    <x:row r="2024" ht="24" customHeight="1">
      <x:c r="A2024" s="10" t="str">
        <x:v>S04-07</x:v>
      </x:c>
      <x:c r="B2024" s="10" t="str">
        <x:v>B</x:v>
      </x:c>
      <x:c r="C2024" s="18" t="n">
        <x:v>0</x:v>
      </x:c>
      <x:c r="D2024" s="10" t="n">
        <x:v>560</x:v>
      </x:c>
      <x:c r="E2024" s="10" t="n">
        <x:v>0</x:v>
      </x:c>
      <x:c r="F2024" s="10" t="n">
        <x:v>0</x:v>
      </x:c>
      <x:c r="G2024" s="10" t="n">
        <x:f>SUM(D2024:F2024)</x:f>
        <x:v>560</x:v>
      </x:c>
    </x:row>
    <x:row r="2025" ht="24" customHeight="1">
      <x:c r="A2025" s="10" t="str">
        <x:v>S04-07</x:v>
      </x:c>
      <x:c r="B2025" s="10" t="str">
        <x:v>B</x:v>
      </x:c>
      <x:c r="C2025" s="18" t="n">
        <x:v>1e-7</x:v>
      </x:c>
      <x:c r="D2025" s="10" t="n">
        <x:v>560</x:v>
      </x:c>
      <x:c r="E2025" s="10" t="n">
        <x:v>0</x:v>
      </x:c>
      <x:c r="F2025" s="10" t="n">
        <x:v>0</x:v>
      </x:c>
      <x:c r="G2025" s="10" t="n">
        <x:f>SUM(D2025:F2025)</x:f>
        <x:v>560</x:v>
      </x:c>
    </x:row>
    <x:row r="2026" ht="24" customHeight="1">
      <x:c r="A2026" s="10" t="str">
        <x:v>S04-07</x:v>
      </x:c>
      <x:c r="B2026" s="10" t="str">
        <x:v>B</x:v>
      </x:c>
      <x:c r="C2026" s="18" t="n">
        <x:v>0.888333233</x:v>
      </x:c>
      <x:c r="D2026" s="10" t="n">
        <x:v>560</x:v>
      </x:c>
      <x:c r="E2026" s="10" t="n">
        <x:v>0</x:v>
      </x:c>
      <x:c r="F2026" s="10" t="n">
        <x:v>0</x:v>
      </x:c>
      <x:c r="G2026" s="10" t="n">
        <x:f>SUM(D2026:F2026)</x:f>
        <x:v>560</x:v>
      </x:c>
    </x:row>
    <x:row r="2027" ht="24" customHeight="1">
      <x:c r="A2027" s="10" t="str">
        <x:v>S04-07</x:v>
      </x:c>
      <x:c r="B2027" s="10" t="str">
        <x:v>B</x:v>
      </x:c>
      <x:c r="C2027" s="18" t="n">
        <x:v>0.888333333</x:v>
      </x:c>
      <x:c r="D2027" s="10" t="n">
        <x:v>560</x:v>
      </x:c>
      <x:c r="E2027" s="10" t="n">
        <x:v>0</x:v>
      </x:c>
      <x:c r="F2027" s="10" t="n">
        <x:v>0.004096</x:v>
      </x:c>
      <x:c r="G2027" s="10" t="n">
        <x:f>SUM(D2027:F2027)</x:f>
        <x:v>560.004096</x:v>
      </x:c>
    </x:row>
    <x:row r="2028" ht="24" customHeight="1">
      <x:c r="A2028" s="10" t="str">
        <x:v>S04-07</x:v>
      </x:c>
      <x:c r="B2028" s="10" t="str">
        <x:v>B</x:v>
      </x:c>
      <x:c r="C2028" s="18" t="n">
        <x:v>0.888333433</x:v>
      </x:c>
      <x:c r="D2028" s="10" t="n">
        <x:v>560</x:v>
      </x:c>
      <x:c r="E2028" s="10" t="n">
        <x:v>0</x:v>
      </x:c>
      <x:c r="F2028" s="10" t="n">
        <x:v>0.004096</x:v>
      </x:c>
      <x:c r="G2028" s="10" t="n">
        <x:f>SUM(D2028:F2028)</x:f>
        <x:v>560.004096</x:v>
      </x:c>
    </x:row>
    <x:row r="2029" ht="24" customHeight="1">
      <x:c r="A2029" s="10" t="str">
        <x:v>S04-07</x:v>
      </x:c>
      <x:c r="B2029" s="10" t="str">
        <x:v>B</x:v>
      </x:c>
      <x:c r="C2029" s="18" t="n">
        <x:v>1.295666566</x:v>
      </x:c>
      <x:c r="D2029" s="10" t="n">
        <x:v>560</x:v>
      </x:c>
      <x:c r="E2029" s="10" t="n">
        <x:v>0</x:v>
      </x:c>
      <x:c r="F2029" s="10" t="n">
        <x:v>0.004096</x:v>
      </x:c>
      <x:c r="G2029" s="10" t="n">
        <x:f>SUM(D2029:F2029)</x:f>
        <x:v>560.004096</x:v>
      </x:c>
    </x:row>
    <x:row r="2030" ht="24" customHeight="1">
      <x:c r="A2030" s="10" t="str">
        <x:v>S04-07</x:v>
      </x:c>
      <x:c r="B2030" s="10" t="str">
        <x:v>B</x:v>
      </x:c>
      <x:c r="C2030" s="18" t="n">
        <x:v>1.295666666</x:v>
      </x:c>
      <x:c r="D2030" s="10" t="n">
        <x:v>560</x:v>
      </x:c>
      <x:c r="E2030" s="10" t="n">
        <x:v>0.0096</x:v>
      </x:c>
      <x:c r="F2030" s="10" t="n">
        <x:v>0.004096</x:v>
      </x:c>
      <x:c r="G2030" s="10" t="n">
        <x:f>SUM(D2030:F2030)</x:f>
        <x:v>560.013696</x:v>
      </x:c>
    </x:row>
    <x:row r="2031" ht="24" customHeight="1">
      <x:c r="A2031" s="10" t="str">
        <x:v>S04-07</x:v>
      </x:c>
      <x:c r="B2031" s="10" t="str">
        <x:v>B</x:v>
      </x:c>
      <x:c r="C2031" s="18" t="n">
        <x:v>1.295666766</x:v>
      </x:c>
      <x:c r="D2031" s="10" t="n">
        <x:v>560</x:v>
      </x:c>
      <x:c r="E2031" s="10" t="n">
        <x:v>0.009600019</x:v>
      </x:c>
      <x:c r="F2031" s="10" t="n">
        <x:v>0.004096</x:v>
      </x:c>
      <x:c r="G2031" s="10" t="n">
        <x:f>SUM(D2031:F2031)</x:f>
        <x:v>560.013696019</x:v>
      </x:c>
    </x:row>
    <x:row r="2032" ht="24" customHeight="1">
      <x:c r="A2032" s="10" t="str">
        <x:v>S04-07</x:v>
      </x:c>
      <x:c r="B2032" s="10" t="str">
        <x:v>B</x:v>
      </x:c>
      <x:c r="C2032" s="18" t="n">
        <x:v>1.335666566</x:v>
      </x:c>
      <x:c r="D2032" s="10" t="n">
        <x:v>560</x:v>
      </x:c>
      <x:c r="E2032" s="10" t="n">
        <x:v>0.017279981</x:v>
      </x:c>
      <x:c r="F2032" s="10" t="n">
        <x:v>0.004096</x:v>
      </x:c>
      <x:c r="G2032" s="10" t="n">
        <x:f>SUM(D2032:F2032)</x:f>
        <x:v>560.021375981</x:v>
      </x:c>
    </x:row>
    <x:row r="2033" ht="24" customHeight="1">
      <x:c r="A2033" s="10" t="str">
        <x:v>S04-07</x:v>
      </x:c>
      <x:c r="B2033" s="10" t="str">
        <x:v>B</x:v>
      </x:c>
      <x:c r="C2033" s="18" t="n">
        <x:v>1.335666666</x:v>
      </x:c>
      <x:c r="D2033" s="10" t="n">
        <x:v>560</x:v>
      </x:c>
      <x:c r="E2033" s="10" t="n">
        <x:v>0.01728</x:v>
      </x:c>
      <x:c r="F2033" s="10" t="n">
        <x:v>0.004096</x:v>
      </x:c>
      <x:c r="G2033" s="10" t="n">
        <x:f>SUM(D2033:F2033)</x:f>
        <x:v>560.021376</x:v>
      </x:c>
    </x:row>
    <x:row r="2034" ht="24" customHeight="1">
      <x:c r="A2034" s="10" t="str">
        <x:v>S04-07</x:v>
      </x:c>
      <x:c r="B2034" s="10" t="str">
        <x:v>B</x:v>
      </x:c>
      <x:c r="C2034" s="18" t="n">
        <x:v>1.335666766</x:v>
      </x:c>
      <x:c r="D2034" s="10" t="n">
        <x:v>560</x:v>
      </x:c>
      <x:c r="E2034" s="10" t="n">
        <x:v>0.017280014</x:v>
      </x:c>
      <x:c r="F2034" s="10" t="n">
        <x:v>0.004096</x:v>
      </x:c>
      <x:c r="G2034" s="10" t="n">
        <x:f>SUM(D2034:F2034)</x:f>
        <x:v>560.021376014</x:v>
      </x:c>
    </x:row>
    <x:row r="2035" ht="24" customHeight="1">
      <x:c r="A2035" s="10" t="str">
        <x:v>S04-07</x:v>
      </x:c>
      <x:c r="B2035" s="10" t="str">
        <x:v>B</x:v>
      </x:c>
      <x:c r="C2035" s="18" t="n">
        <x:v>2.150166566</x:v>
      </x:c>
      <x:c r="D2035" s="10" t="n">
        <x:v>560</x:v>
      </x:c>
      <x:c r="E2035" s="10" t="n">
        <x:v>0.134567986</x:v>
      </x:c>
      <x:c r="F2035" s="10" t="n">
        <x:v>0.004096</x:v>
      </x:c>
      <x:c r="G2035" s="10" t="n">
        <x:f>SUM(D2035:F2035)</x:f>
        <x:v>560.138663986</x:v>
      </x:c>
    </x:row>
    <x:row r="2036" ht="24" customHeight="1">
      <x:c r="A2036" s="10" t="str">
        <x:v>S04-07</x:v>
      </x:c>
      <x:c r="B2036" s="10" t="str">
        <x:v>B</x:v>
      </x:c>
      <x:c r="C2036" s="18" t="n">
        <x:v>2.150166666</x:v>
      </x:c>
      <x:c r="D2036" s="10" t="n">
        <x:v>560</x:v>
      </x:c>
      <x:c r="E2036" s="10" t="n">
        <x:v>0.134568</x:v>
      </x:c>
      <x:c r="F2036" s="10" t="n">
        <x:v>0.004096</x:v>
      </x:c>
      <x:c r="G2036" s="10" t="n">
        <x:f>SUM(D2036:F2036)</x:f>
        <x:v>560.138664</x:v>
      </x:c>
    </x:row>
    <x:row r="2037" ht="24" customHeight="1">
      <x:c r="A2037" s="10" t="str">
        <x:v>S04-07</x:v>
      </x:c>
      <x:c r="B2037" s="10" t="str">
        <x:v>B</x:v>
      </x:c>
      <x:c r="C2037" s="18" t="n">
        <x:v>2.150166766</x:v>
      </x:c>
      <x:c r="D2037" s="10" t="n">
        <x:v>560</x:v>
      </x:c>
      <x:c r="E2037" s="10" t="n">
        <x:v>0.134567995</x:v>
      </x:c>
      <x:c r="F2037" s="10" t="n">
        <x:v>0.004096</x:v>
      </x:c>
      <x:c r="G2037" s="10" t="n">
        <x:f>SUM(D2037:F2037)</x:f>
        <x:v>560.138663995</x:v>
      </x:c>
    </x:row>
    <x:row r="2038" ht="24" customHeight="1">
      <x:c r="A2038" s="10" t="str">
        <x:v>S04-07</x:v>
      </x:c>
      <x:c r="B2038" s="10" t="str">
        <x:v>B</x:v>
      </x:c>
      <x:c r="C2038" s="18" t="n">
        <x:v>4.953666566</x:v>
      </x:c>
      <x:c r="D2038" s="10" t="n">
        <x:v>560</x:v>
      </x:c>
      <x:c r="E2038" s="10" t="n">
        <x:v>5e-9</x:v>
      </x:c>
      <x:c r="F2038" s="10" t="n">
        <x:v>0.004096</x:v>
      </x:c>
      <x:c r="G2038" s="10" t="n">
        <x:f>SUM(D2038:F2038)</x:f>
        <x:v>560.004096005</x:v>
      </x:c>
    </x:row>
    <x:row r="2039" ht="24" customHeight="1">
      <x:c r="A2039" s="10" t="str">
        <x:v>S04-07</x:v>
      </x:c>
      <x:c r="B2039" s="10" t="str">
        <x:v>B</x:v>
      </x:c>
      <x:c r="C2039" s="18" t="n">
        <x:v>4.953666666</x:v>
      </x:c>
      <x:c r="D2039" s="10" t="n">
        <x:v>560</x:v>
      </x:c>
      <x:c r="E2039" s="10" t="n">
        <x:v>0</x:v>
      </x:c>
      <x:c r="F2039" s="10" t="n">
        <x:v>0.004096</x:v>
      </x:c>
      <x:c r="G2039" s="10" t="n">
        <x:f>SUM(D2039:F2039)</x:f>
        <x:v>560.004096</x:v>
      </x:c>
    </x:row>
    <x:row r="2040" ht="24" customHeight="1">
      <x:c r="A2040" s="10" t="str">
        <x:v>S04-07</x:v>
      </x:c>
      <x:c r="B2040" s="10" t="str">
        <x:v>B</x:v>
      </x:c>
      <x:c r="C2040" s="18" t="n">
        <x:v>4.953666766</x:v>
      </x:c>
      <x:c r="D2040" s="10" t="n">
        <x:v>560</x:v>
      </x:c>
      <x:c r="E2040" s="10" t="n">
        <x:v>0</x:v>
      </x:c>
      <x:c r="F2040" s="10" t="n">
        <x:v>0</x:v>
      </x:c>
      <x:c r="G2040" s="10" t="n">
        <x:f>SUM(D2040:F2040)</x:f>
        <x:v>560</x:v>
      </x:c>
    </x:row>
    <x:row r="2041" ht="24" customHeight="1">
      <x:c r="A2041" s="10" t="str">
        <x:v>S04-08</x:v>
      </x:c>
      <x:c r="B2041" s="10" t="str">
        <x:v>A</x:v>
      </x:c>
      <x:c r="C2041" s="18" t="n">
        <x:v>-6.0000001</x:v>
      </x:c>
      <x:c r="D2041" s="10" t="n">
        <x:v>560</x:v>
      </x:c>
      <x:c r="E2041" s="10" t="n">
        <x:v>0</x:v>
      </x:c>
      <x:c r="F2041" s="10" t="n">
        <x:v>0</x:v>
      </x:c>
      <x:c r="G2041" s="10" t="n">
        <x:f>SUM(D2041:F2041)</x:f>
        <x:v>560</x:v>
      </x:c>
    </x:row>
    <x:row r="2042" ht="24" customHeight="1">
      <x:c r="A2042" s="10" t="str">
        <x:v>S04-08</x:v>
      </x:c>
      <x:c r="B2042" s="10" t="str">
        <x:v>A</x:v>
      </x:c>
      <x:c r="C2042" s="18" t="n">
        <x:v>-6</x:v>
      </x:c>
      <x:c r="D2042" s="10" t="n">
        <x:v>560</x:v>
      </x:c>
      <x:c r="E2042" s="10" t="n">
        <x:v>0</x:v>
      </x:c>
      <x:c r="F2042" s="10" t="n">
        <x:v>0</x:v>
      </x:c>
      <x:c r="G2042" s="10" t="n">
        <x:f>SUM(D2042:F2042)</x:f>
        <x:v>560</x:v>
      </x:c>
    </x:row>
    <x:row r="2043" ht="24" customHeight="1">
      <x:c r="A2043" s="10" t="str">
        <x:v>S04-08</x:v>
      </x:c>
      <x:c r="B2043" s="10" t="str">
        <x:v>A</x:v>
      </x:c>
      <x:c r="C2043" s="18" t="n">
        <x:v>-5.9999999</x:v>
      </x:c>
      <x:c r="D2043" s="10" t="n">
        <x:v>560</x:v>
      </x:c>
      <x:c r="E2043" s="10" t="n">
        <x:v>0</x:v>
      </x:c>
      <x:c r="F2043" s="10" t="n">
        <x:v>0</x:v>
      </x:c>
      <x:c r="G2043" s="10" t="n">
        <x:f>SUM(D2043:F2043)</x:f>
        <x:v>560</x:v>
      </x:c>
    </x:row>
    <x:row r="2044" ht="24" customHeight="1">
      <x:c r="A2044" s="10" t="str">
        <x:v>S04-08</x:v>
      </x:c>
      <x:c r="B2044" s="10" t="str">
        <x:v>A</x:v>
      </x:c>
      <x:c r="C2044" s="18" t="n">
        <x:v>-1.0000001</x:v>
      </x:c>
      <x:c r="D2044" s="10" t="n">
        <x:v>560</x:v>
      </x:c>
      <x:c r="E2044" s="10" t="n">
        <x:v>0</x:v>
      </x:c>
      <x:c r="F2044" s="10" t="n">
        <x:v>0</x:v>
      </x:c>
      <x:c r="G2044" s="10" t="n">
        <x:f>SUM(D2044:F2044)</x:f>
        <x:v>560</x:v>
      </x:c>
    </x:row>
    <x:row r="2045" ht="24" customHeight="1">
      <x:c r="A2045" s="10" t="str">
        <x:v>S04-08</x:v>
      </x:c>
      <x:c r="B2045" s="10" t="str">
        <x:v>A</x:v>
      </x:c>
      <x:c r="C2045" s="18" t="n">
        <x:v>-1</x:v>
      </x:c>
      <x:c r="D2045" s="10" t="n">
        <x:v>560</x:v>
      </x:c>
      <x:c r="E2045" s="10" t="n">
        <x:v>0</x:v>
      </x:c>
      <x:c r="F2045" s="10" t="n">
        <x:v>0.004096</x:v>
      </x:c>
      <x:c r="G2045" s="10" t="n">
        <x:f>SUM(D2045:F2045)</x:f>
        <x:v>560.004096</x:v>
      </x:c>
    </x:row>
    <x:row r="2046" ht="24" customHeight="1">
      <x:c r="A2046" s="10" t="str">
        <x:v>S04-08</x:v>
      </x:c>
      <x:c r="B2046" s="10" t="str">
        <x:v>A</x:v>
      </x:c>
      <x:c r="C2046" s="18" t="n">
        <x:v>-0.9999999</x:v>
      </x:c>
      <x:c r="D2046" s="10" t="n">
        <x:v>560</x:v>
      </x:c>
      <x:c r="E2046" s="10" t="n">
        <x:v>0</x:v>
      </x:c>
      <x:c r="F2046" s="10" t="n">
        <x:v>0.004096</x:v>
      </x:c>
      <x:c r="G2046" s="10" t="n">
        <x:f>SUM(D2046:F2046)</x:f>
        <x:v>560.004096</x:v>
      </x:c>
    </x:row>
    <x:row r="2047" ht="24" customHeight="1">
      <x:c r="A2047" s="10" t="str">
        <x:v>S04-08</x:v>
      </x:c>
      <x:c r="B2047" s="10" t="str">
        <x:v>A</x:v>
      </x:c>
      <x:c r="C2047" s="18" t="n">
        <x:v>-0.5900001</x:v>
      </x:c>
      <x:c r="D2047" s="10" t="n">
        <x:v>560</x:v>
      </x:c>
      <x:c r="E2047" s="10" t="n">
        <x:v>0</x:v>
      </x:c>
      <x:c r="F2047" s="10" t="n">
        <x:v>0.004096</x:v>
      </x:c>
      <x:c r="G2047" s="10" t="n">
        <x:f>SUM(D2047:F2047)</x:f>
        <x:v>560.004096</x:v>
      </x:c>
    </x:row>
    <x:row r="2048" ht="24" customHeight="1">
      <x:c r="A2048" s="10" t="str">
        <x:v>S04-08</x:v>
      </x:c>
      <x:c r="B2048" s="10" t="str">
        <x:v>A</x:v>
      </x:c>
      <x:c r="C2048" s="18" t="n">
        <x:v>-0.59</x:v>
      </x:c>
      <x:c r="D2048" s="10" t="n">
        <x:v>560</x:v>
      </x:c>
      <x:c r="E2048" s="10" t="n">
        <x:v>0.0096</x:v>
      </x:c>
      <x:c r="F2048" s="10" t="n">
        <x:v>0.004096</x:v>
      </x:c>
      <x:c r="G2048" s="10" t="n">
        <x:f>SUM(D2048:F2048)</x:f>
        <x:v>560.013696</x:v>
      </x:c>
    </x:row>
    <x:row r="2049" ht="24" customHeight="1">
      <x:c r="A2049" s="10" t="str">
        <x:v>S04-08</x:v>
      </x:c>
      <x:c r="B2049" s="10" t="str">
        <x:v>A</x:v>
      </x:c>
      <x:c r="C2049" s="18" t="n">
        <x:v>-0.5899999</x:v>
      </x:c>
      <x:c r="D2049" s="10" t="n">
        <x:v>560</x:v>
      </x:c>
      <x:c r="E2049" s="10" t="n">
        <x:v>0.009600019</x:v>
      </x:c>
      <x:c r="F2049" s="10" t="n">
        <x:v>0.004096</x:v>
      </x:c>
      <x:c r="G2049" s="10" t="n">
        <x:f>SUM(D2049:F2049)</x:f>
        <x:v>560.013696019</x:v>
      </x:c>
    </x:row>
    <x:row r="2050" ht="24" customHeight="1">
      <x:c r="A2050" s="10" t="str">
        <x:v>S04-08</x:v>
      </x:c>
      <x:c r="B2050" s="10" t="str">
        <x:v>A</x:v>
      </x:c>
      <x:c r="C2050" s="18" t="n">
        <x:v>-1e-7</x:v>
      </x:c>
      <x:c r="D2050" s="10" t="n">
        <x:v>560</x:v>
      </x:c>
      <x:c r="E2050" s="10" t="n">
        <x:v>0.122879981</x:v>
      </x:c>
      <x:c r="F2050" s="10" t="n">
        <x:v>0.004096</x:v>
      </x:c>
      <x:c r="G2050" s="10" t="n">
        <x:f>SUM(D2050:F2050)</x:f>
        <x:v>560.126975981</x:v>
      </x:c>
    </x:row>
    <x:row r="2051" ht="24" customHeight="1">
      <x:c r="A2051" s="10" t="str">
        <x:v>S04-08</x:v>
      </x:c>
      <x:c r="B2051" s="10" t="str">
        <x:v>A</x:v>
      </x:c>
      <x:c r="C2051" s="18" t="n">
        <x:v>0</x:v>
      </x:c>
      <x:c r="D2051" s="10" t="n">
        <x:v>560</x:v>
      </x:c>
      <x:c r="E2051" s="10" t="n">
        <x:v>0.12288</x:v>
      </x:c>
      <x:c r="F2051" s="10" t="n">
        <x:v>0.004096</x:v>
      </x:c>
      <x:c r="G2051" s="10" t="n">
        <x:f>SUM(D2051:F2051)</x:f>
        <x:v>560.126976</x:v>
      </x:c>
    </x:row>
    <x:row r="2052" ht="24" customHeight="1">
      <x:c r="A2052" s="10" t="str">
        <x:v>S04-08</x:v>
      </x:c>
      <x:c r="B2052" s="10" t="str">
        <x:v>A</x:v>
      </x:c>
      <x:c r="C2052" s="18" t="n">
        <x:v>1e-7</x:v>
      </x:c>
      <x:c r="D2052" s="10" t="n">
        <x:v>560</x:v>
      </x:c>
      <x:c r="E2052" s="10" t="n">
        <x:v>0.122880019</x:v>
      </x:c>
      <x:c r="F2052" s="10" t="n">
        <x:v>0.004096</x:v>
      </x:c>
      <x:c r="G2052" s="10" t="n">
        <x:f>SUM(D2052:F2052)</x:f>
        <x:v>560.126976019</x:v>
      </x:c>
    </x:row>
    <x:row r="2053" ht="24" customHeight="1">
      <x:c r="A2053" s="10" t="str">
        <x:v>S04-08</x:v>
      </x:c>
      <x:c r="B2053" s="10" t="str">
        <x:v>A</x:v>
      </x:c>
      <x:c r="C2053" s="18" t="n">
        <x:v>0.916666567</x:v>
      </x:c>
      <x:c r="D2053" s="10" t="n">
        <x:v>560</x:v>
      </x:c>
      <x:c r="E2053" s="10" t="n">
        <x:v>0.298879981</x:v>
      </x:c>
      <x:c r="F2053" s="10" t="n">
        <x:v>0.004096</x:v>
      </x:c>
      <x:c r="G2053" s="10" t="n">
        <x:f>SUM(D2053:F2053)</x:f>
        <x:v>560.302975981</x:v>
      </x:c>
    </x:row>
    <x:row r="2054" ht="24" customHeight="1">
      <x:c r="A2054" s="10" t="str">
        <x:v>S04-08</x:v>
      </x:c>
      <x:c r="B2054" s="10" t="str">
        <x:v>A</x:v>
      </x:c>
      <x:c r="C2054" s="18" t="n">
        <x:v>0.916666667</x:v>
      </x:c>
      <x:c r="D2054" s="10" t="n">
        <x:v>560</x:v>
      </x:c>
      <x:c r="E2054" s="10" t="n">
        <x:v>0.29888</x:v>
      </x:c>
      <x:c r="F2054" s="10" t="n">
        <x:v>0.008192</x:v>
      </x:c>
      <x:c r="G2054" s="10" t="n">
        <x:f>SUM(D2054:F2054)</x:f>
        <x:v>560.3070720000001</x:v>
      </x:c>
    </x:row>
    <x:row r="2055" ht="24" customHeight="1">
      <x:c r="A2055" s="10" t="str">
        <x:v>S04-08</x:v>
      </x:c>
      <x:c r="B2055" s="10" t="str">
        <x:v>A</x:v>
      </x:c>
      <x:c r="C2055" s="18" t="n">
        <x:v>0.916666767</x:v>
      </x:c>
      <x:c r="D2055" s="10" t="n">
        <x:v>560</x:v>
      </x:c>
      <x:c r="E2055" s="10" t="n">
        <x:v>0.298880019</x:v>
      </x:c>
      <x:c r="F2055" s="10" t="n">
        <x:v>0.008192</x:v>
      </x:c>
      <x:c r="G2055" s="10" t="n">
        <x:f>SUM(D2055:F2055)</x:f>
        <x:v>560.307072019</x:v>
      </x:c>
    </x:row>
    <x:row r="2056" ht="24" customHeight="1">
      <x:c r="A2056" s="10" t="str">
        <x:v>S04-08</x:v>
      </x:c>
      <x:c r="B2056" s="10" t="str">
        <x:v>A</x:v>
      </x:c>
      <x:c r="C2056" s="18" t="n">
        <x:v>1.016666567</x:v>
      </x:c>
      <x:c r="D2056" s="10" t="n">
        <x:v>560</x:v>
      </x:c>
      <x:c r="E2056" s="10" t="n">
        <x:v>0.318079981</x:v>
      </x:c>
      <x:c r="F2056" s="10" t="n">
        <x:v>0.008192</x:v>
      </x:c>
      <x:c r="G2056" s="10" t="n">
        <x:f>SUM(D2056:F2056)</x:f>
        <x:v>560.326271981</x:v>
      </x:c>
    </x:row>
    <x:row r="2057" ht="24" customHeight="1">
      <x:c r="A2057" s="10" t="str">
        <x:v>S04-08</x:v>
      </x:c>
      <x:c r="B2057" s="10" t="str">
        <x:v>A</x:v>
      </x:c>
      <x:c r="C2057" s="18" t="n">
        <x:v>1.016666667</x:v>
      </x:c>
      <x:c r="D2057" s="10" t="n">
        <x:v>560</x:v>
      </x:c>
      <x:c r="E2057" s="10" t="n">
        <x:v>0.31808</x:v>
      </x:c>
      <x:c r="F2057" s="10" t="n">
        <x:v>0.008192</x:v>
      </x:c>
      <x:c r="G2057" s="10" t="n">
        <x:f>SUM(D2057:F2057)</x:f>
        <x:v>560.326272</x:v>
      </x:c>
    </x:row>
    <x:row r="2058" ht="24" customHeight="1">
      <x:c r="A2058" s="10" t="str">
        <x:v>S04-08</x:v>
      </x:c>
      <x:c r="B2058" s="10" t="str">
        <x:v>A</x:v>
      </x:c>
      <x:c r="C2058" s="18" t="n">
        <x:v>1.016666767</x:v>
      </x:c>
      <x:c r="D2058" s="10" t="n">
        <x:v>560</x:v>
      </x:c>
      <x:c r="E2058" s="10" t="n">
        <x:v>0</x:v>
      </x:c>
      <x:c r="F2058" s="10" t="n">
        <x:v>0.004096</x:v>
      </x:c>
      <x:c r="G2058" s="10" t="n">
        <x:f>SUM(D2058:F2058)</x:f>
        <x:v>560.004096</x:v>
      </x:c>
    </x:row>
    <x:row r="2059" ht="24" customHeight="1">
      <x:c r="A2059" s="10" t="str">
        <x:v>S04-08</x:v>
      </x:c>
      <x:c r="B2059" s="10" t="str">
        <x:v>A</x:v>
      </x:c>
      <x:c r="C2059" s="18" t="n">
        <x:v>1.3239999</x:v>
      </x:c>
      <x:c r="D2059" s="10" t="n">
        <x:v>560</x:v>
      </x:c>
      <x:c r="E2059" s="10" t="n">
        <x:v>0</x:v>
      </x:c>
      <x:c r="F2059" s="10" t="n">
        <x:v>0.004096</x:v>
      </x:c>
      <x:c r="G2059" s="10" t="n">
        <x:f>SUM(D2059:F2059)</x:f>
        <x:v>560.004096</x:v>
      </x:c>
    </x:row>
    <x:row r="2060" ht="24" customHeight="1">
      <x:c r="A2060" s="10" t="str">
        <x:v>S04-08</x:v>
      </x:c>
      <x:c r="B2060" s="10" t="str">
        <x:v>A</x:v>
      </x:c>
      <x:c r="C2060" s="18" t="n">
        <x:v>1.324</x:v>
      </x:c>
      <x:c r="D2060" s="10" t="n">
        <x:v>560</x:v>
      </x:c>
      <x:c r="E2060" s="10" t="n">
        <x:v>0.0096</x:v>
      </x:c>
      <x:c r="F2060" s="10" t="n">
        <x:v>0.004096</x:v>
      </x:c>
      <x:c r="G2060" s="10" t="n">
        <x:f>SUM(D2060:F2060)</x:f>
        <x:v>560.013696</x:v>
      </x:c>
    </x:row>
    <x:row r="2061" ht="24" customHeight="1">
      <x:c r="A2061" s="10" t="str">
        <x:v>S04-08</x:v>
      </x:c>
      <x:c r="B2061" s="10" t="str">
        <x:v>A</x:v>
      </x:c>
      <x:c r="C2061" s="18" t="n">
        <x:v>1.3240001</x:v>
      </x:c>
      <x:c r="D2061" s="10" t="n">
        <x:v>560</x:v>
      </x:c>
      <x:c r="E2061" s="10" t="n">
        <x:v>0.009600019</x:v>
      </x:c>
      <x:c r="F2061" s="10" t="n">
        <x:v>0.004096</x:v>
      </x:c>
      <x:c r="G2061" s="10" t="n">
        <x:f>SUM(D2061:F2061)</x:f>
        <x:v>560.013696019</x:v>
      </x:c>
    </x:row>
    <x:row r="2062" ht="24" customHeight="1">
      <x:c r="A2062" s="10" t="str">
        <x:v>S04-08</x:v>
      </x:c>
      <x:c r="B2062" s="10" t="str">
        <x:v>A</x:v>
      </x:c>
      <x:c r="C2062" s="18" t="n">
        <x:v>1.3639999</x:v>
      </x:c>
      <x:c r="D2062" s="10" t="n">
        <x:v>560</x:v>
      </x:c>
      <x:c r="E2062" s="10" t="n">
        <x:v>0.017279981</x:v>
      </x:c>
      <x:c r="F2062" s="10" t="n">
        <x:v>0.004096</x:v>
      </x:c>
      <x:c r="G2062" s="10" t="n">
        <x:f>SUM(D2062:F2062)</x:f>
        <x:v>560.021375981</x:v>
      </x:c>
    </x:row>
    <x:row r="2063" ht="24" customHeight="1">
      <x:c r="A2063" s="10" t="str">
        <x:v>S04-08</x:v>
      </x:c>
      <x:c r="B2063" s="10" t="str">
        <x:v>A</x:v>
      </x:c>
      <x:c r="C2063" s="18" t="n">
        <x:v>1.364</x:v>
      </x:c>
      <x:c r="D2063" s="10" t="n">
        <x:v>560</x:v>
      </x:c>
      <x:c r="E2063" s="10" t="n">
        <x:v>0.01728</x:v>
      </x:c>
      <x:c r="F2063" s="10" t="n">
        <x:v>0.004096</x:v>
      </x:c>
      <x:c r="G2063" s="10" t="n">
        <x:f>SUM(D2063:F2063)</x:f>
        <x:v>560.021376</x:v>
      </x:c>
    </x:row>
    <x:row r="2064" ht="24" customHeight="1">
      <x:c r="A2064" s="10" t="str">
        <x:v>S04-08</x:v>
      </x:c>
      <x:c r="B2064" s="10" t="str">
        <x:v>A</x:v>
      </x:c>
      <x:c r="C2064" s="18" t="n">
        <x:v>1.3640001</x:v>
      </x:c>
      <x:c r="D2064" s="10" t="n">
        <x:v>560</x:v>
      </x:c>
      <x:c r="E2064" s="10" t="n">
        <x:v>0.017280014</x:v>
      </x:c>
      <x:c r="F2064" s="10" t="n">
        <x:v>0.004096</x:v>
      </x:c>
      <x:c r="G2064" s="10" t="n">
        <x:f>SUM(D2064:F2064)</x:f>
        <x:v>560.021376014</x:v>
      </x:c>
    </x:row>
    <x:row r="2065" ht="24" customHeight="1">
      <x:c r="A2065" s="10" t="str">
        <x:v>S04-08</x:v>
      </x:c>
      <x:c r="B2065" s="10" t="str">
        <x:v>A</x:v>
      </x:c>
      <x:c r="C2065" s="18" t="n">
        <x:v>2.1814999</x:v>
      </x:c>
      <x:c r="D2065" s="10" t="n">
        <x:v>560</x:v>
      </x:c>
      <x:c r="E2065" s="10" t="n">
        <x:v>0.134999986</x:v>
      </x:c>
      <x:c r="F2065" s="10" t="n">
        <x:v>0.004096</x:v>
      </x:c>
      <x:c r="G2065" s="10" t="n">
        <x:f>SUM(D2065:F2065)</x:f>
        <x:v>560.139095986</x:v>
      </x:c>
    </x:row>
    <x:row r="2066" ht="24" customHeight="1">
      <x:c r="A2066" s="10" t="str">
        <x:v>S04-08</x:v>
      </x:c>
      <x:c r="B2066" s="10" t="str">
        <x:v>A</x:v>
      </x:c>
      <x:c r="C2066" s="18" t="n">
        <x:v>2.1815</x:v>
      </x:c>
      <x:c r="D2066" s="10" t="n">
        <x:v>560</x:v>
      </x:c>
      <x:c r="E2066" s="10" t="n">
        <x:v>0.135</x:v>
      </x:c>
      <x:c r="F2066" s="10" t="n">
        <x:v>0.004096</x:v>
      </x:c>
      <x:c r="G2066" s="10" t="n">
        <x:f>SUM(D2066:F2066)</x:f>
        <x:v>560.139096</x:v>
      </x:c>
    </x:row>
    <x:row r="2067" ht="24" customHeight="1">
      <x:c r="A2067" s="10" t="str">
        <x:v>S04-08</x:v>
      </x:c>
      <x:c r="B2067" s="10" t="str">
        <x:v>A</x:v>
      </x:c>
      <x:c r="C2067" s="18" t="n">
        <x:v>2.1815001</x:v>
      </x:c>
      <x:c r="D2067" s="10" t="n">
        <x:v>560</x:v>
      </x:c>
      <x:c r="E2067" s="10" t="n">
        <x:v>0.134999995</x:v>
      </x:c>
      <x:c r="F2067" s="10" t="n">
        <x:v>0.004096</x:v>
      </x:c>
      <x:c r="G2067" s="10" t="n">
        <x:f>SUM(D2067:F2067)</x:f>
        <x:v>560.139095995</x:v>
      </x:c>
    </x:row>
    <x:row r="2068" ht="24" customHeight="1">
      <x:c r="A2068" s="10" t="str">
        <x:v>S04-08</x:v>
      </x:c>
      <x:c r="B2068" s="10" t="str">
        <x:v>A</x:v>
      </x:c>
      <x:c r="C2068" s="18" t="n">
        <x:v>4.9939999</x:v>
      </x:c>
      <x:c r="D2068" s="10" t="n">
        <x:v>560</x:v>
      </x:c>
      <x:c r="E2068" s="10" t="n">
        <x:v>5e-9</x:v>
      </x:c>
      <x:c r="F2068" s="10" t="n">
        <x:v>0.004096</x:v>
      </x:c>
      <x:c r="G2068" s="10" t="n">
        <x:f>SUM(D2068:F2068)</x:f>
        <x:v>560.004096005</x:v>
      </x:c>
    </x:row>
    <x:row r="2069" ht="24" customHeight="1">
      <x:c r="A2069" s="10" t="str">
        <x:v>S04-08</x:v>
      </x:c>
      <x:c r="B2069" s="10" t="str">
        <x:v>A</x:v>
      </x:c>
      <x:c r="C2069" s="18" t="n">
        <x:v>4.994</x:v>
      </x:c>
      <x:c r="D2069" s="10" t="n">
        <x:v>560</x:v>
      </x:c>
      <x:c r="E2069" s="10" t="n">
        <x:v>0</x:v>
      </x:c>
      <x:c r="F2069" s="10" t="n">
        <x:v>0.004096</x:v>
      </x:c>
      <x:c r="G2069" s="10" t="n">
        <x:f>SUM(D2069:F2069)</x:f>
        <x:v>560.004096</x:v>
      </x:c>
    </x:row>
    <x:row r="2070" ht="24" customHeight="1">
      <x:c r="A2070" s="10" t="str">
        <x:v>S04-08</x:v>
      </x:c>
      <x:c r="B2070" s="10" t="str">
        <x:v>A</x:v>
      </x:c>
      <x:c r="C2070" s="18" t="n">
        <x:v>4.9940001</x:v>
      </x:c>
      <x:c r="D2070" s="10" t="n">
        <x:v>560</x:v>
      </x:c>
      <x:c r="E2070" s="10" t="n">
        <x:v>0</x:v>
      </x:c>
      <x:c r="F2070" s="10" t="n">
        <x:v>0</x:v>
      </x:c>
      <x:c r="G2070" s="10" t="n">
        <x:f>SUM(D2070:F2070)</x:f>
        <x:v>560</x:v>
      </x:c>
    </x:row>
    <x:row r="2071" ht="24" customHeight="1">
      <x:c r="A2071" s="10" t="str">
        <x:v>S04-08</x:v>
      </x:c>
      <x:c r="B2071" s="10" t="str">
        <x:v>B</x:v>
      </x:c>
      <x:c r="C2071" s="18" t="n">
        <x:v>-6.0000001</x:v>
      </x:c>
      <x:c r="D2071" s="10" t="n">
        <x:v>560</x:v>
      </x:c>
      <x:c r="E2071" s="10" t="n">
        <x:v>0</x:v>
      </x:c>
      <x:c r="F2071" s="10" t="n">
        <x:v>0</x:v>
      </x:c>
      <x:c r="G2071" s="10" t="n">
        <x:f>SUM(D2071:F2071)</x:f>
        <x:v>560</x:v>
      </x:c>
    </x:row>
    <x:row r="2072" ht="24" customHeight="1">
      <x:c r="A2072" s="10" t="str">
        <x:v>S04-08</x:v>
      </x:c>
      <x:c r="B2072" s="10" t="str">
        <x:v>B</x:v>
      </x:c>
      <x:c r="C2072" s="18" t="n">
        <x:v>-6</x:v>
      </x:c>
      <x:c r="D2072" s="10" t="n">
        <x:v>560</x:v>
      </x:c>
      <x:c r="E2072" s="10" t="n">
        <x:v>0</x:v>
      </x:c>
      <x:c r="F2072" s="10" t="n">
        <x:v>0</x:v>
      </x:c>
      <x:c r="G2072" s="10" t="n">
        <x:f>SUM(D2072:F2072)</x:f>
        <x:v>560</x:v>
      </x:c>
    </x:row>
    <x:row r="2073" ht="24" customHeight="1">
      <x:c r="A2073" s="10" t="str">
        <x:v>S04-08</x:v>
      </x:c>
      <x:c r="B2073" s="10" t="str">
        <x:v>B</x:v>
      </x:c>
      <x:c r="C2073" s="18" t="n">
        <x:v>-5.9999999</x:v>
      </x:c>
      <x:c r="D2073" s="10" t="n">
        <x:v>560</x:v>
      </x:c>
      <x:c r="E2073" s="10" t="n">
        <x:v>0</x:v>
      </x:c>
      <x:c r="F2073" s="10" t="n">
        <x:v>0</x:v>
      </x:c>
      <x:c r="G2073" s="10" t="n">
        <x:f>SUM(D2073:F2073)</x:f>
        <x:v>560</x:v>
      </x:c>
    </x:row>
    <x:row r="2074" ht="24" customHeight="1">
      <x:c r="A2074" s="10" t="str">
        <x:v>S04-08</x:v>
      </x:c>
      <x:c r="B2074" s="10" t="str">
        <x:v>B</x:v>
      </x:c>
      <x:c r="C2074" s="18" t="n">
        <x:v>-1e-7</x:v>
      </x:c>
      <x:c r="D2074" s="10" t="n">
        <x:v>560</x:v>
      </x:c>
      <x:c r="E2074" s="10" t="n">
        <x:v>0</x:v>
      </x:c>
      <x:c r="F2074" s="10" t="n">
        <x:v>0</x:v>
      </x:c>
      <x:c r="G2074" s="10" t="n">
        <x:f>SUM(D2074:F2074)</x:f>
        <x:v>560</x:v>
      </x:c>
    </x:row>
    <x:row r="2075" ht="24" customHeight="1">
      <x:c r="A2075" s="10" t="str">
        <x:v>S04-08</x:v>
      </x:c>
      <x:c r="B2075" s="10" t="str">
        <x:v>B</x:v>
      </x:c>
      <x:c r="C2075" s="18" t="n">
        <x:v>0</x:v>
      </x:c>
      <x:c r="D2075" s="10" t="n">
        <x:v>560</x:v>
      </x:c>
      <x:c r="E2075" s="10" t="n">
        <x:v>0</x:v>
      </x:c>
      <x:c r="F2075" s="10" t="n">
        <x:v>0</x:v>
      </x:c>
      <x:c r="G2075" s="10" t="n">
        <x:f>SUM(D2075:F2075)</x:f>
        <x:v>560</x:v>
      </x:c>
    </x:row>
    <x:row r="2076" ht="24" customHeight="1">
      <x:c r="A2076" s="10" t="str">
        <x:v>S04-08</x:v>
      </x:c>
      <x:c r="B2076" s="10" t="str">
        <x:v>B</x:v>
      </x:c>
      <x:c r="C2076" s="18" t="n">
        <x:v>1e-7</x:v>
      </x:c>
      <x:c r="D2076" s="10" t="n">
        <x:v>560</x:v>
      </x:c>
      <x:c r="E2076" s="10" t="n">
        <x:v>0</x:v>
      </x:c>
      <x:c r="F2076" s="10" t="n">
        <x:v>0</x:v>
      </x:c>
      <x:c r="G2076" s="10" t="n">
        <x:f>SUM(D2076:F2076)</x:f>
        <x:v>560</x:v>
      </x:c>
    </x:row>
    <x:row r="2077" ht="24" customHeight="1">
      <x:c r="A2077" s="10" t="str">
        <x:v>S04-08</x:v>
      </x:c>
      <x:c r="B2077" s="10" t="str">
        <x:v>B</x:v>
      </x:c>
      <x:c r="C2077" s="18" t="n">
        <x:v>0.916666567</x:v>
      </x:c>
      <x:c r="D2077" s="10" t="n">
        <x:v>560</x:v>
      </x:c>
      <x:c r="E2077" s="10" t="n">
        <x:v>0</x:v>
      </x:c>
      <x:c r="F2077" s="10" t="n">
        <x:v>0</x:v>
      </x:c>
      <x:c r="G2077" s="10" t="n">
        <x:f>SUM(D2077:F2077)</x:f>
        <x:v>560</x:v>
      </x:c>
    </x:row>
    <x:row r="2078" ht="24" customHeight="1">
      <x:c r="A2078" s="10" t="str">
        <x:v>S04-08</x:v>
      </x:c>
      <x:c r="B2078" s="10" t="str">
        <x:v>B</x:v>
      </x:c>
      <x:c r="C2078" s="18" t="n">
        <x:v>0.916666667</x:v>
      </x:c>
      <x:c r="D2078" s="10" t="n">
        <x:v>560</x:v>
      </x:c>
      <x:c r="E2078" s="10" t="n">
        <x:v>0</x:v>
      </x:c>
      <x:c r="F2078" s="10" t="n">
        <x:v>0.004096</x:v>
      </x:c>
      <x:c r="G2078" s="10" t="n">
        <x:f>SUM(D2078:F2078)</x:f>
        <x:v>560.004096</x:v>
      </x:c>
    </x:row>
    <x:row r="2079" ht="24" customHeight="1">
      <x:c r="A2079" s="10" t="str">
        <x:v>S04-08</x:v>
      </x:c>
      <x:c r="B2079" s="10" t="str">
        <x:v>B</x:v>
      </x:c>
      <x:c r="C2079" s="18" t="n">
        <x:v>0.916666767</x:v>
      </x:c>
      <x:c r="D2079" s="10" t="n">
        <x:v>560</x:v>
      </x:c>
      <x:c r="E2079" s="10" t="n">
        <x:v>0</x:v>
      </x:c>
      <x:c r="F2079" s="10" t="n">
        <x:v>0.004096</x:v>
      </x:c>
      <x:c r="G2079" s="10" t="n">
        <x:f>SUM(D2079:F2079)</x:f>
        <x:v>560.004096</x:v>
      </x:c>
    </x:row>
    <x:row r="2080" ht="24" customHeight="1">
      <x:c r="A2080" s="10" t="str">
        <x:v>S04-08</x:v>
      </x:c>
      <x:c r="B2080" s="10" t="str">
        <x:v>B</x:v>
      </x:c>
      <x:c r="C2080" s="18" t="n">
        <x:v>1.3239999</x:v>
      </x:c>
      <x:c r="D2080" s="10" t="n">
        <x:v>560</x:v>
      </x:c>
      <x:c r="E2080" s="10" t="n">
        <x:v>0</x:v>
      </x:c>
      <x:c r="F2080" s="10" t="n">
        <x:v>0.004096</x:v>
      </x:c>
      <x:c r="G2080" s="10" t="n">
        <x:f>SUM(D2080:F2080)</x:f>
        <x:v>560.004096</x:v>
      </x:c>
    </x:row>
    <x:row r="2081" ht="24" customHeight="1">
      <x:c r="A2081" s="10" t="str">
        <x:v>S04-08</x:v>
      </x:c>
      <x:c r="B2081" s="10" t="str">
        <x:v>B</x:v>
      </x:c>
      <x:c r="C2081" s="18" t="n">
        <x:v>1.324</x:v>
      </x:c>
      <x:c r="D2081" s="10" t="n">
        <x:v>560</x:v>
      </x:c>
      <x:c r="E2081" s="10" t="n">
        <x:v>0.0096</x:v>
      </x:c>
      <x:c r="F2081" s="10" t="n">
        <x:v>0.004096</x:v>
      </x:c>
      <x:c r="G2081" s="10" t="n">
        <x:f>SUM(D2081:F2081)</x:f>
        <x:v>560.013696</x:v>
      </x:c>
    </x:row>
    <x:row r="2082" ht="24" customHeight="1">
      <x:c r="A2082" s="10" t="str">
        <x:v>S04-08</x:v>
      </x:c>
      <x:c r="B2082" s="10" t="str">
        <x:v>B</x:v>
      </x:c>
      <x:c r="C2082" s="18" t="n">
        <x:v>1.3240001</x:v>
      </x:c>
      <x:c r="D2082" s="10" t="n">
        <x:v>560</x:v>
      </x:c>
      <x:c r="E2082" s="10" t="n">
        <x:v>0.009600019</x:v>
      </x:c>
      <x:c r="F2082" s="10" t="n">
        <x:v>0.004096</x:v>
      </x:c>
      <x:c r="G2082" s="10" t="n">
        <x:f>SUM(D2082:F2082)</x:f>
        <x:v>560.013696019</x:v>
      </x:c>
    </x:row>
    <x:row r="2083" ht="24" customHeight="1">
      <x:c r="A2083" s="10" t="str">
        <x:v>S04-08</x:v>
      </x:c>
      <x:c r="B2083" s="10" t="str">
        <x:v>B</x:v>
      </x:c>
      <x:c r="C2083" s="18" t="n">
        <x:v>1.3639999</x:v>
      </x:c>
      <x:c r="D2083" s="10" t="n">
        <x:v>560</x:v>
      </x:c>
      <x:c r="E2083" s="10" t="n">
        <x:v>0.017279981</x:v>
      </x:c>
      <x:c r="F2083" s="10" t="n">
        <x:v>0.004096</x:v>
      </x:c>
      <x:c r="G2083" s="10" t="n">
        <x:f>SUM(D2083:F2083)</x:f>
        <x:v>560.021375981</x:v>
      </x:c>
    </x:row>
    <x:row r="2084" ht="24" customHeight="1">
      <x:c r="A2084" s="10" t="str">
        <x:v>S04-08</x:v>
      </x:c>
      <x:c r="B2084" s="10" t="str">
        <x:v>B</x:v>
      </x:c>
      <x:c r="C2084" s="18" t="n">
        <x:v>1.364</x:v>
      </x:c>
      <x:c r="D2084" s="10" t="n">
        <x:v>560</x:v>
      </x:c>
      <x:c r="E2084" s="10" t="n">
        <x:v>0.01728</x:v>
      </x:c>
      <x:c r="F2084" s="10" t="n">
        <x:v>0.004096</x:v>
      </x:c>
      <x:c r="G2084" s="10" t="n">
        <x:f>SUM(D2084:F2084)</x:f>
        <x:v>560.021376</x:v>
      </x:c>
    </x:row>
    <x:row r="2085" ht="24" customHeight="1">
      <x:c r="A2085" s="10" t="str">
        <x:v>S04-08</x:v>
      </x:c>
      <x:c r="B2085" s="10" t="str">
        <x:v>B</x:v>
      </x:c>
      <x:c r="C2085" s="18" t="n">
        <x:v>1.3640001</x:v>
      </x:c>
      <x:c r="D2085" s="10" t="n">
        <x:v>560</x:v>
      </x:c>
      <x:c r="E2085" s="10" t="n">
        <x:v>0.017280014</x:v>
      </x:c>
      <x:c r="F2085" s="10" t="n">
        <x:v>0.004096</x:v>
      </x:c>
      <x:c r="G2085" s="10" t="n">
        <x:f>SUM(D2085:F2085)</x:f>
        <x:v>560.021376014</x:v>
      </x:c>
    </x:row>
    <x:row r="2086" ht="24" customHeight="1">
      <x:c r="A2086" s="10" t="str">
        <x:v>S04-08</x:v>
      </x:c>
      <x:c r="B2086" s="10" t="str">
        <x:v>B</x:v>
      </x:c>
      <x:c r="C2086" s="18" t="n">
        <x:v>2.1814999</x:v>
      </x:c>
      <x:c r="D2086" s="10" t="n">
        <x:v>560</x:v>
      </x:c>
      <x:c r="E2086" s="10" t="n">
        <x:v>0.134999986</x:v>
      </x:c>
      <x:c r="F2086" s="10" t="n">
        <x:v>0.004096</x:v>
      </x:c>
      <x:c r="G2086" s="10" t="n">
        <x:f>SUM(D2086:F2086)</x:f>
        <x:v>560.139095986</x:v>
      </x:c>
    </x:row>
    <x:row r="2087" ht="24" customHeight="1">
      <x:c r="A2087" s="10" t="str">
        <x:v>S04-08</x:v>
      </x:c>
      <x:c r="B2087" s="10" t="str">
        <x:v>B</x:v>
      </x:c>
      <x:c r="C2087" s="18" t="n">
        <x:v>2.1815</x:v>
      </x:c>
      <x:c r="D2087" s="10" t="n">
        <x:v>560</x:v>
      </x:c>
      <x:c r="E2087" s="10" t="n">
        <x:v>0.135</x:v>
      </x:c>
      <x:c r="F2087" s="10" t="n">
        <x:v>0.004096</x:v>
      </x:c>
      <x:c r="G2087" s="10" t="n">
        <x:f>SUM(D2087:F2087)</x:f>
        <x:v>560.139096</x:v>
      </x:c>
    </x:row>
    <x:row r="2088" ht="24" customHeight="1">
      <x:c r="A2088" s="10" t="str">
        <x:v>S04-08</x:v>
      </x:c>
      <x:c r="B2088" s="10" t="str">
        <x:v>B</x:v>
      </x:c>
      <x:c r="C2088" s="18" t="n">
        <x:v>2.1815001</x:v>
      </x:c>
      <x:c r="D2088" s="10" t="n">
        <x:v>560</x:v>
      </x:c>
      <x:c r="E2088" s="10" t="n">
        <x:v>0.134999995</x:v>
      </x:c>
      <x:c r="F2088" s="10" t="n">
        <x:v>0.004096</x:v>
      </x:c>
      <x:c r="G2088" s="10" t="n">
        <x:f>SUM(D2088:F2088)</x:f>
        <x:v>560.139095995</x:v>
      </x:c>
    </x:row>
    <x:row r="2089" ht="24" customHeight="1">
      <x:c r="A2089" s="10" t="str">
        <x:v>S04-08</x:v>
      </x:c>
      <x:c r="B2089" s="10" t="str">
        <x:v>B</x:v>
      </x:c>
      <x:c r="C2089" s="18" t="n">
        <x:v>4.9939999</x:v>
      </x:c>
      <x:c r="D2089" s="10" t="n">
        <x:v>560</x:v>
      </x:c>
      <x:c r="E2089" s="10" t="n">
        <x:v>5e-9</x:v>
      </x:c>
      <x:c r="F2089" s="10" t="n">
        <x:v>0.004096</x:v>
      </x:c>
      <x:c r="G2089" s="10" t="n">
        <x:f>SUM(D2089:F2089)</x:f>
        <x:v>560.004096005</x:v>
      </x:c>
    </x:row>
    <x:row r="2090" ht="24" customHeight="1">
      <x:c r="A2090" s="10" t="str">
        <x:v>S04-08</x:v>
      </x:c>
      <x:c r="B2090" s="10" t="str">
        <x:v>B</x:v>
      </x:c>
      <x:c r="C2090" s="18" t="n">
        <x:v>4.994</x:v>
      </x:c>
      <x:c r="D2090" s="10" t="n">
        <x:v>560</x:v>
      </x:c>
      <x:c r="E2090" s="10" t="n">
        <x:v>0</x:v>
      </x:c>
      <x:c r="F2090" s="10" t="n">
        <x:v>0.004096</x:v>
      </x:c>
      <x:c r="G2090" s="10" t="n">
        <x:f>SUM(D2090:F2090)</x:f>
        <x:v>560.004096</x:v>
      </x:c>
    </x:row>
    <x:row r="2091" ht="24" customHeight="1">
      <x:c r="A2091" s="10" t="str">
        <x:v>S04-08</x:v>
      </x:c>
      <x:c r="B2091" s="10" t="str">
        <x:v>B</x:v>
      </x:c>
      <x:c r="C2091" s="18" t="n">
        <x:v>4.9940001</x:v>
      </x:c>
      <x:c r="D2091" s="10" t="n">
        <x:v>560</x:v>
      </x:c>
      <x:c r="E2091" s="10" t="n">
        <x:v>0</x:v>
      </x:c>
      <x:c r="F2091" s="10" t="n">
        <x:v>0</x:v>
      </x:c>
      <x:c r="G2091" s="10" t="n">
        <x:f>SUM(D2091:F2091)</x:f>
        <x:v>560</x:v>
      </x:c>
    </x:row>
    <x:row r="2092" ht="24" customHeight="1">
      <x:c r="A2092" s="10" t="str">
        <x:v>S04-09</x:v>
      </x:c>
      <x:c r="B2092" s="10" t="str">
        <x:v>A</x:v>
      </x:c>
      <x:c r="C2092" s="18" t="n">
        <x:v>-6.0000001</x:v>
      </x:c>
      <x:c r="D2092" s="10" t="n">
        <x:v>560</x:v>
      </x:c>
      <x:c r="E2092" s="10" t="n">
        <x:v>0</x:v>
      </x:c>
      <x:c r="F2092" s="10" t="n">
        <x:v>0</x:v>
      </x:c>
      <x:c r="G2092" s="10" t="n">
        <x:f>SUM(D2092:F2092)</x:f>
        <x:v>560</x:v>
      </x:c>
    </x:row>
    <x:row r="2093" ht="24" customHeight="1">
      <x:c r="A2093" s="10" t="str">
        <x:v>S04-09</x:v>
      </x:c>
      <x:c r="B2093" s="10" t="str">
        <x:v>A</x:v>
      </x:c>
      <x:c r="C2093" s="18" t="n">
        <x:v>-6</x:v>
      </x:c>
      <x:c r="D2093" s="10" t="n">
        <x:v>560</x:v>
      </x:c>
      <x:c r="E2093" s="10" t="n">
        <x:v>0</x:v>
      </x:c>
      <x:c r="F2093" s="10" t="n">
        <x:v>0</x:v>
      </x:c>
      <x:c r="G2093" s="10" t="n">
        <x:f>SUM(D2093:F2093)</x:f>
        <x:v>560</x:v>
      </x:c>
    </x:row>
    <x:row r="2094" ht="24" customHeight="1">
      <x:c r="A2094" s="10" t="str">
        <x:v>S04-09</x:v>
      </x:c>
      <x:c r="B2094" s="10" t="str">
        <x:v>A</x:v>
      </x:c>
      <x:c r="C2094" s="18" t="n">
        <x:v>-5.9999999</x:v>
      </x:c>
      <x:c r="D2094" s="10" t="n">
        <x:v>560</x:v>
      </x:c>
      <x:c r="E2094" s="10" t="n">
        <x:v>0</x:v>
      </x:c>
      <x:c r="F2094" s="10" t="n">
        <x:v>0</x:v>
      </x:c>
      <x:c r="G2094" s="10" t="n">
        <x:f>SUM(D2094:F2094)</x:f>
        <x:v>560</x:v>
      </x:c>
    </x:row>
    <x:row r="2095" ht="24" customHeight="1">
      <x:c r="A2095" s="10" t="str">
        <x:v>S04-09</x:v>
      </x:c>
      <x:c r="B2095" s="10" t="str">
        <x:v>A</x:v>
      </x:c>
      <x:c r="C2095" s="18" t="n">
        <x:v>-1.0000001</x:v>
      </x:c>
      <x:c r="D2095" s="10" t="n">
        <x:v>560</x:v>
      </x:c>
      <x:c r="E2095" s="10" t="n">
        <x:v>0</x:v>
      </x:c>
      <x:c r="F2095" s="10" t="n">
        <x:v>0</x:v>
      </x:c>
      <x:c r="G2095" s="10" t="n">
        <x:f>SUM(D2095:F2095)</x:f>
        <x:v>560</x:v>
      </x:c>
    </x:row>
    <x:row r="2096" ht="24" customHeight="1">
      <x:c r="A2096" s="10" t="str">
        <x:v>S04-09</x:v>
      </x:c>
      <x:c r="B2096" s="10" t="str">
        <x:v>A</x:v>
      </x:c>
      <x:c r="C2096" s="18" t="n">
        <x:v>-1</x:v>
      </x:c>
      <x:c r="D2096" s="10" t="n">
        <x:v>560</x:v>
      </x:c>
      <x:c r="E2096" s="10" t="n">
        <x:v>0</x:v>
      </x:c>
      <x:c r="F2096" s="10" t="n">
        <x:v>0.004096</x:v>
      </x:c>
      <x:c r="G2096" s="10" t="n">
        <x:f>SUM(D2096:F2096)</x:f>
        <x:v>560.004096</x:v>
      </x:c>
    </x:row>
    <x:row r="2097" ht="24" customHeight="1">
      <x:c r="A2097" s="10" t="str">
        <x:v>S04-09</x:v>
      </x:c>
      <x:c r="B2097" s="10" t="str">
        <x:v>A</x:v>
      </x:c>
      <x:c r="C2097" s="18" t="n">
        <x:v>-0.9999999</x:v>
      </x:c>
      <x:c r="D2097" s="10" t="n">
        <x:v>560</x:v>
      </x:c>
      <x:c r="E2097" s="10" t="n">
        <x:v>0</x:v>
      </x:c>
      <x:c r="F2097" s="10" t="n">
        <x:v>0.004096</x:v>
      </x:c>
      <x:c r="G2097" s="10" t="n">
        <x:f>SUM(D2097:F2097)</x:f>
        <x:v>560.004096</x:v>
      </x:c>
    </x:row>
    <x:row r="2098" ht="24" customHeight="1">
      <x:c r="A2098" s="10" t="str">
        <x:v>S04-09</x:v>
      </x:c>
      <x:c r="B2098" s="10" t="str">
        <x:v>A</x:v>
      </x:c>
      <x:c r="C2098" s="18" t="n">
        <x:v>-0.5900001</x:v>
      </x:c>
      <x:c r="D2098" s="10" t="n">
        <x:v>560</x:v>
      </x:c>
      <x:c r="E2098" s="10" t="n">
        <x:v>0</x:v>
      </x:c>
      <x:c r="F2098" s="10" t="n">
        <x:v>0.004096</x:v>
      </x:c>
      <x:c r="G2098" s="10" t="n">
        <x:f>SUM(D2098:F2098)</x:f>
        <x:v>560.004096</x:v>
      </x:c>
    </x:row>
    <x:row r="2099" ht="24" customHeight="1">
      <x:c r="A2099" s="10" t="str">
        <x:v>S04-09</x:v>
      </x:c>
      <x:c r="B2099" s="10" t="str">
        <x:v>A</x:v>
      </x:c>
      <x:c r="C2099" s="18" t="n">
        <x:v>-0.59</x:v>
      </x:c>
      <x:c r="D2099" s="10" t="n">
        <x:v>560</x:v>
      </x:c>
      <x:c r="E2099" s="10" t="n">
        <x:v>0.0096</x:v>
      </x:c>
      <x:c r="F2099" s="10" t="n">
        <x:v>0.004096</x:v>
      </x:c>
      <x:c r="G2099" s="10" t="n">
        <x:f>SUM(D2099:F2099)</x:f>
        <x:v>560.013696</x:v>
      </x:c>
    </x:row>
    <x:row r="2100" ht="24" customHeight="1">
      <x:c r="A2100" s="10" t="str">
        <x:v>S04-09</x:v>
      </x:c>
      <x:c r="B2100" s="10" t="str">
        <x:v>A</x:v>
      </x:c>
      <x:c r="C2100" s="18" t="n">
        <x:v>-0.5899999</x:v>
      </x:c>
      <x:c r="D2100" s="10" t="n">
        <x:v>560</x:v>
      </x:c>
      <x:c r="E2100" s="10" t="n">
        <x:v>0.009600019</x:v>
      </x:c>
      <x:c r="F2100" s="10" t="n">
        <x:v>0.004096</x:v>
      </x:c>
      <x:c r="G2100" s="10" t="n">
        <x:f>SUM(D2100:F2100)</x:f>
        <x:v>560.013696019</x:v>
      </x:c>
    </x:row>
    <x:row r="2101" ht="24" customHeight="1">
      <x:c r="A2101" s="10" t="str">
        <x:v>S04-09</x:v>
      </x:c>
      <x:c r="B2101" s="10" t="str">
        <x:v>A</x:v>
      </x:c>
      <x:c r="C2101" s="18" t="n">
        <x:v>-1e-7</x:v>
      </x:c>
      <x:c r="D2101" s="10" t="n">
        <x:v>560</x:v>
      </x:c>
      <x:c r="E2101" s="10" t="n">
        <x:v>0.122879981</x:v>
      </x:c>
      <x:c r="F2101" s="10" t="n">
        <x:v>0.004096</x:v>
      </x:c>
      <x:c r="G2101" s="10" t="n">
        <x:f>SUM(D2101:F2101)</x:f>
        <x:v>560.126975981</x:v>
      </x:c>
    </x:row>
    <x:row r="2102" ht="24" customHeight="1">
      <x:c r="A2102" s="10" t="str">
        <x:v>S04-09</x:v>
      </x:c>
      <x:c r="B2102" s="10" t="str">
        <x:v>A</x:v>
      </x:c>
      <x:c r="C2102" s="18" t="n">
        <x:v>0</x:v>
      </x:c>
      <x:c r="D2102" s="10" t="n">
        <x:v>560</x:v>
      </x:c>
      <x:c r="E2102" s="10" t="n">
        <x:v>0.12288</x:v>
      </x:c>
      <x:c r="F2102" s="10" t="n">
        <x:v>0.004096</x:v>
      </x:c>
      <x:c r="G2102" s="10" t="n">
        <x:f>SUM(D2102:F2102)</x:f>
        <x:v>560.126976</x:v>
      </x:c>
    </x:row>
    <x:row r="2103" ht="24" customHeight="1">
      <x:c r="A2103" s="10" t="str">
        <x:v>S04-09</x:v>
      </x:c>
      <x:c r="B2103" s="10" t="str">
        <x:v>A</x:v>
      </x:c>
      <x:c r="C2103" s="18" t="n">
        <x:v>1e-7</x:v>
      </x:c>
      <x:c r="D2103" s="10" t="n">
        <x:v>560</x:v>
      </x:c>
      <x:c r="E2103" s="10" t="n">
        <x:v>0.122880019</x:v>
      </x:c>
      <x:c r="F2103" s="10" t="n">
        <x:v>0.004096</x:v>
      </x:c>
      <x:c r="G2103" s="10" t="n">
        <x:f>SUM(D2103:F2103)</x:f>
        <x:v>560.126976019</x:v>
      </x:c>
    </x:row>
    <x:row r="2104" ht="24" customHeight="1">
      <x:c r="A2104" s="10" t="str">
        <x:v>S04-09</x:v>
      </x:c>
      <x:c r="B2104" s="10" t="str">
        <x:v>A</x:v>
      </x:c>
      <x:c r="C2104" s="18" t="n">
        <x:v>0.8699999</x:v>
      </x:c>
      <x:c r="D2104" s="10" t="n">
        <x:v>560</x:v>
      </x:c>
      <x:c r="E2104" s="10" t="n">
        <x:v>0.289919981</x:v>
      </x:c>
      <x:c r="F2104" s="10" t="n">
        <x:v>0.004096</x:v>
      </x:c>
      <x:c r="G2104" s="10" t="n">
        <x:f>SUM(D2104:F2104)</x:f>
        <x:v>560.294015981</x:v>
      </x:c>
    </x:row>
    <x:row r="2105" ht="24" customHeight="1">
      <x:c r="A2105" s="10" t="str">
        <x:v>S04-09</x:v>
      </x:c>
      <x:c r="B2105" s="10" t="str">
        <x:v>A</x:v>
      </x:c>
      <x:c r="C2105" s="18" t="n">
        <x:v>0.87</x:v>
      </x:c>
      <x:c r="D2105" s="10" t="n">
        <x:v>560</x:v>
      </x:c>
      <x:c r="E2105" s="10" t="n">
        <x:v>0.28992</x:v>
      </x:c>
      <x:c r="F2105" s="10" t="n">
        <x:v>0.008192</x:v>
      </x:c>
      <x:c r="G2105" s="10" t="n">
        <x:f>SUM(D2105:F2105)</x:f>
        <x:v>560.2981120000001</x:v>
      </x:c>
    </x:row>
    <x:row r="2106" ht="24" customHeight="1">
      <x:c r="A2106" s="10" t="str">
        <x:v>S04-09</x:v>
      </x:c>
      <x:c r="B2106" s="10" t="str">
        <x:v>A</x:v>
      </x:c>
      <x:c r="C2106" s="18" t="n">
        <x:v>0.8700001</x:v>
      </x:c>
      <x:c r="D2106" s="10" t="n">
        <x:v>560</x:v>
      </x:c>
      <x:c r="E2106" s="10" t="n">
        <x:v>0.289920019</x:v>
      </x:c>
      <x:c r="F2106" s="10" t="n">
        <x:v>0.008192</x:v>
      </x:c>
      <x:c r="G2106" s="10" t="n">
        <x:f>SUM(D2106:F2106)</x:f>
        <x:v>560.298112019</x:v>
      </x:c>
    </x:row>
    <x:row r="2107" ht="24" customHeight="1">
      <x:c r="A2107" s="10" t="str">
        <x:v>S04-09</x:v>
      </x:c>
      <x:c r="B2107" s="10" t="str">
        <x:v>A</x:v>
      </x:c>
      <x:c r="C2107" s="18" t="n">
        <x:v>0.9699999</x:v>
      </x:c>
      <x:c r="D2107" s="10" t="n">
        <x:v>560</x:v>
      </x:c>
      <x:c r="E2107" s="10" t="n">
        <x:v>0.309119981</x:v>
      </x:c>
      <x:c r="F2107" s="10" t="n">
        <x:v>0.008192</x:v>
      </x:c>
      <x:c r="G2107" s="10" t="n">
        <x:f>SUM(D2107:F2107)</x:f>
        <x:v>560.317311981</x:v>
      </x:c>
    </x:row>
    <x:row r="2108" ht="24" customHeight="1">
      <x:c r="A2108" s="10" t="str">
        <x:v>S04-09</x:v>
      </x:c>
      <x:c r="B2108" s="10" t="str">
        <x:v>A</x:v>
      </x:c>
      <x:c r="C2108" s="18" t="n">
        <x:v>0.97</x:v>
      </x:c>
      <x:c r="D2108" s="10" t="n">
        <x:v>560</x:v>
      </x:c>
      <x:c r="E2108" s="10" t="n">
        <x:v>0.30912</x:v>
      </x:c>
      <x:c r="F2108" s="10" t="n">
        <x:v>0.008192</x:v>
      </x:c>
      <x:c r="G2108" s="10" t="n">
        <x:f>SUM(D2108:F2108)</x:f>
        <x:v>560.317312</x:v>
      </x:c>
    </x:row>
    <x:row r="2109" ht="24" customHeight="1">
      <x:c r="A2109" s="10" t="str">
        <x:v>S04-09</x:v>
      </x:c>
      <x:c r="B2109" s="10" t="str">
        <x:v>A</x:v>
      </x:c>
      <x:c r="C2109" s="18" t="n">
        <x:v>0.9700001</x:v>
      </x:c>
      <x:c r="D2109" s="10" t="n">
        <x:v>560</x:v>
      </x:c>
      <x:c r="E2109" s="10" t="n">
        <x:v>0</x:v>
      </x:c>
      <x:c r="F2109" s="10" t="n">
        <x:v>0.004096</x:v>
      </x:c>
      <x:c r="G2109" s="10" t="n">
        <x:f>SUM(D2109:F2109)</x:f>
        <x:v>560.004096</x:v>
      </x:c>
    </x:row>
    <x:row r="2110" ht="24" customHeight="1">
      <x:c r="A2110" s="10" t="str">
        <x:v>S04-09</x:v>
      </x:c>
      <x:c r="B2110" s="10" t="str">
        <x:v>A</x:v>
      </x:c>
      <x:c r="C2110" s="18" t="n">
        <x:v>1.277333233</x:v>
      </x:c>
      <x:c r="D2110" s="10" t="n">
        <x:v>560</x:v>
      </x:c>
      <x:c r="E2110" s="10" t="n">
        <x:v>0</x:v>
      </x:c>
      <x:c r="F2110" s="10" t="n">
        <x:v>0.004096</x:v>
      </x:c>
      <x:c r="G2110" s="10" t="n">
        <x:f>SUM(D2110:F2110)</x:f>
        <x:v>560.004096</x:v>
      </x:c>
    </x:row>
    <x:row r="2111" ht="24" customHeight="1">
      <x:c r="A2111" s="10" t="str">
        <x:v>S04-09</x:v>
      </x:c>
      <x:c r="B2111" s="10" t="str">
        <x:v>A</x:v>
      </x:c>
      <x:c r="C2111" s="18" t="n">
        <x:v>1.277333333</x:v>
      </x:c>
      <x:c r="D2111" s="10" t="n">
        <x:v>560</x:v>
      </x:c>
      <x:c r="E2111" s="10" t="n">
        <x:v>0.0096</x:v>
      </x:c>
      <x:c r="F2111" s="10" t="n">
        <x:v>0.004096</x:v>
      </x:c>
      <x:c r="G2111" s="10" t="n">
        <x:f>SUM(D2111:F2111)</x:f>
        <x:v>560.013696</x:v>
      </x:c>
    </x:row>
    <x:row r="2112" ht="24" customHeight="1">
      <x:c r="A2112" s="10" t="str">
        <x:v>S04-09</x:v>
      </x:c>
      <x:c r="B2112" s="10" t="str">
        <x:v>A</x:v>
      </x:c>
      <x:c r="C2112" s="18" t="n">
        <x:v>1.277333433</x:v>
      </x:c>
      <x:c r="D2112" s="10" t="n">
        <x:v>560</x:v>
      </x:c>
      <x:c r="E2112" s="10" t="n">
        <x:v>0.009600019</x:v>
      </x:c>
      <x:c r="F2112" s="10" t="n">
        <x:v>0.004096</x:v>
      </x:c>
      <x:c r="G2112" s="10" t="n">
        <x:f>SUM(D2112:F2112)</x:f>
        <x:v>560.013696019</x:v>
      </x:c>
    </x:row>
    <x:row r="2113" ht="24" customHeight="1">
      <x:c r="A2113" s="10" t="str">
        <x:v>S04-09</x:v>
      </x:c>
      <x:c r="B2113" s="10" t="str">
        <x:v>A</x:v>
      </x:c>
      <x:c r="C2113" s="18" t="n">
        <x:v>1.317333233</x:v>
      </x:c>
      <x:c r="D2113" s="10" t="n">
        <x:v>560</x:v>
      </x:c>
      <x:c r="E2113" s="10" t="n">
        <x:v>0.017279981</x:v>
      </x:c>
      <x:c r="F2113" s="10" t="n">
        <x:v>0.004096</x:v>
      </x:c>
      <x:c r="G2113" s="10" t="n">
        <x:f>SUM(D2113:F2113)</x:f>
        <x:v>560.021375981</x:v>
      </x:c>
    </x:row>
    <x:row r="2114" ht="24" customHeight="1">
      <x:c r="A2114" s="10" t="str">
        <x:v>S04-09</x:v>
      </x:c>
      <x:c r="B2114" s="10" t="str">
        <x:v>A</x:v>
      </x:c>
      <x:c r="C2114" s="18" t="n">
        <x:v>1.317333333</x:v>
      </x:c>
      <x:c r="D2114" s="10" t="n">
        <x:v>560</x:v>
      </x:c>
      <x:c r="E2114" s="10" t="n">
        <x:v>0.01728</x:v>
      </x:c>
      <x:c r="F2114" s="10" t="n">
        <x:v>0.004096</x:v>
      </x:c>
      <x:c r="G2114" s="10" t="n">
        <x:f>SUM(D2114:F2114)</x:f>
        <x:v>560.021376</x:v>
      </x:c>
    </x:row>
    <x:row r="2115" ht="24" customHeight="1">
      <x:c r="A2115" s="10" t="str">
        <x:v>S04-09</x:v>
      </x:c>
      <x:c r="B2115" s="10" t="str">
        <x:v>A</x:v>
      </x:c>
      <x:c r="C2115" s="18" t="n">
        <x:v>1.317333433</x:v>
      </x:c>
      <x:c r="D2115" s="10" t="n">
        <x:v>560</x:v>
      </x:c>
      <x:c r="E2115" s="10" t="n">
        <x:v>0.017280014</x:v>
      </x:c>
      <x:c r="F2115" s="10" t="n">
        <x:v>0.004096</x:v>
      </x:c>
      <x:c r="G2115" s="10" t="n">
        <x:f>SUM(D2115:F2115)</x:f>
        <x:v>560.021376014</x:v>
      </x:c>
    </x:row>
    <x:row r="2116" ht="24" customHeight="1">
      <x:c r="A2116" s="10" t="str">
        <x:v>S04-09</x:v>
      </x:c>
      <x:c r="B2116" s="10" t="str">
        <x:v>A</x:v>
      </x:c>
      <x:c r="C2116" s="18" t="n">
        <x:v>2.137833233</x:v>
      </x:c>
      <x:c r="D2116" s="10" t="n">
        <x:v>560</x:v>
      </x:c>
      <x:c r="E2116" s="10" t="n">
        <x:v>0.135431986</x:v>
      </x:c>
      <x:c r="F2116" s="10" t="n">
        <x:v>0.004096</x:v>
      </x:c>
      <x:c r="G2116" s="10" t="n">
        <x:f>SUM(D2116:F2116)</x:f>
        <x:v>560.139527986</x:v>
      </x:c>
    </x:row>
    <x:row r="2117" ht="24" customHeight="1">
      <x:c r="A2117" s="10" t="str">
        <x:v>S04-09</x:v>
      </x:c>
      <x:c r="B2117" s="10" t="str">
        <x:v>A</x:v>
      </x:c>
      <x:c r="C2117" s="18" t="n">
        <x:v>2.137833333</x:v>
      </x:c>
      <x:c r="D2117" s="10" t="n">
        <x:v>560</x:v>
      </x:c>
      <x:c r="E2117" s="10" t="n">
        <x:v>0.135432</x:v>
      </x:c>
      <x:c r="F2117" s="10" t="n">
        <x:v>0.004096</x:v>
      </x:c>
      <x:c r="G2117" s="10" t="n">
        <x:f>SUM(D2117:F2117)</x:f>
        <x:v>560.139528</x:v>
      </x:c>
    </x:row>
    <x:row r="2118" ht="24" customHeight="1">
      <x:c r="A2118" s="10" t="str">
        <x:v>S04-09</x:v>
      </x:c>
      <x:c r="B2118" s="10" t="str">
        <x:v>A</x:v>
      </x:c>
      <x:c r="C2118" s="18" t="n">
        <x:v>2.137833433</x:v>
      </x:c>
      <x:c r="D2118" s="10" t="n">
        <x:v>560</x:v>
      </x:c>
      <x:c r="E2118" s="10" t="n">
        <x:v>0.135431995</x:v>
      </x:c>
      <x:c r="F2118" s="10" t="n">
        <x:v>0.004096</x:v>
      </x:c>
      <x:c r="G2118" s="10" t="n">
        <x:f>SUM(D2118:F2118)</x:f>
        <x:v>560.139527995</x:v>
      </x:c>
    </x:row>
    <x:row r="2119" ht="24" customHeight="1">
      <x:c r="A2119" s="10" t="str">
        <x:v>S04-09</x:v>
      </x:c>
      <x:c r="B2119" s="10" t="str">
        <x:v>A</x:v>
      </x:c>
      <x:c r="C2119" s="18" t="n">
        <x:v>4.959333233</x:v>
      </x:c>
      <x:c r="D2119" s="10" t="n">
        <x:v>560</x:v>
      </x:c>
      <x:c r="E2119" s="10" t="n">
        <x:v>5e-9</x:v>
      </x:c>
      <x:c r="F2119" s="10" t="n">
        <x:v>0.004096</x:v>
      </x:c>
      <x:c r="G2119" s="10" t="n">
        <x:f>SUM(D2119:F2119)</x:f>
        <x:v>560.004096005</x:v>
      </x:c>
    </x:row>
    <x:row r="2120" ht="24" customHeight="1">
      <x:c r="A2120" s="10" t="str">
        <x:v>S04-09</x:v>
      </x:c>
      <x:c r="B2120" s="10" t="str">
        <x:v>A</x:v>
      </x:c>
      <x:c r="C2120" s="18" t="n">
        <x:v>4.959333333</x:v>
      </x:c>
      <x:c r="D2120" s="10" t="n">
        <x:v>560</x:v>
      </x:c>
      <x:c r="E2120" s="10" t="n">
        <x:v>0</x:v>
      </x:c>
      <x:c r="F2120" s="10" t="n">
        <x:v>0.004096</x:v>
      </x:c>
      <x:c r="G2120" s="10" t="n">
        <x:f>SUM(D2120:F2120)</x:f>
        <x:v>560.004096</x:v>
      </x:c>
    </x:row>
    <x:row r="2121" ht="24" customHeight="1">
      <x:c r="A2121" s="10" t="str">
        <x:v>S04-09</x:v>
      </x:c>
      <x:c r="B2121" s="10" t="str">
        <x:v>A</x:v>
      </x:c>
      <x:c r="C2121" s="18" t="n">
        <x:v>4.959333433</x:v>
      </x:c>
      <x:c r="D2121" s="10" t="n">
        <x:v>560</x:v>
      </x:c>
      <x:c r="E2121" s="10" t="n">
        <x:v>0</x:v>
      </x:c>
      <x:c r="F2121" s="10" t="n">
        <x:v>0</x:v>
      </x:c>
      <x:c r="G2121" s="10" t="n">
        <x:f>SUM(D2121:F2121)</x:f>
        <x:v>560</x:v>
      </x:c>
    </x:row>
    <x:row r="2122" ht="24" customHeight="1">
      <x:c r="A2122" s="10" t="str">
        <x:v>S04-09</x:v>
      </x:c>
      <x:c r="B2122" s="10" t="str">
        <x:v>B</x:v>
      </x:c>
      <x:c r="C2122" s="18" t="n">
        <x:v>-6.0000001</x:v>
      </x:c>
      <x:c r="D2122" s="10" t="n">
        <x:v>560</x:v>
      </x:c>
      <x:c r="E2122" s="10" t="n">
        <x:v>0</x:v>
      </x:c>
      <x:c r="F2122" s="10" t="n">
        <x:v>0</x:v>
      </x:c>
      <x:c r="G2122" s="10" t="n">
        <x:f>SUM(D2122:F2122)</x:f>
        <x:v>560</x:v>
      </x:c>
    </x:row>
    <x:row r="2123" ht="24" customHeight="1">
      <x:c r="A2123" s="10" t="str">
        <x:v>S04-09</x:v>
      </x:c>
      <x:c r="B2123" s="10" t="str">
        <x:v>B</x:v>
      </x:c>
      <x:c r="C2123" s="18" t="n">
        <x:v>-6</x:v>
      </x:c>
      <x:c r="D2123" s="10" t="n">
        <x:v>560</x:v>
      </x:c>
      <x:c r="E2123" s="10" t="n">
        <x:v>0</x:v>
      </x:c>
      <x:c r="F2123" s="10" t="n">
        <x:v>0</x:v>
      </x:c>
      <x:c r="G2123" s="10" t="n">
        <x:f>SUM(D2123:F2123)</x:f>
        <x:v>560</x:v>
      </x:c>
    </x:row>
    <x:row r="2124" ht="24" customHeight="1">
      <x:c r="A2124" s="10" t="str">
        <x:v>S04-09</x:v>
      </x:c>
      <x:c r="B2124" s="10" t="str">
        <x:v>B</x:v>
      </x:c>
      <x:c r="C2124" s="18" t="n">
        <x:v>-5.9999999</x:v>
      </x:c>
      <x:c r="D2124" s="10" t="n">
        <x:v>560</x:v>
      </x:c>
      <x:c r="E2124" s="10" t="n">
        <x:v>0</x:v>
      </x:c>
      <x:c r="F2124" s="10" t="n">
        <x:v>0</x:v>
      </x:c>
      <x:c r="G2124" s="10" t="n">
        <x:f>SUM(D2124:F2124)</x:f>
        <x:v>560</x:v>
      </x:c>
    </x:row>
    <x:row r="2125" ht="24" customHeight="1">
      <x:c r="A2125" s="10" t="str">
        <x:v>S04-09</x:v>
      </x:c>
      <x:c r="B2125" s="10" t="str">
        <x:v>B</x:v>
      </x:c>
      <x:c r="C2125" s="18" t="n">
        <x:v>-1e-7</x:v>
      </x:c>
      <x:c r="D2125" s="10" t="n">
        <x:v>560</x:v>
      </x:c>
      <x:c r="E2125" s="10" t="n">
        <x:v>0</x:v>
      </x:c>
      <x:c r="F2125" s="10" t="n">
        <x:v>0</x:v>
      </x:c>
      <x:c r="G2125" s="10" t="n">
        <x:f>SUM(D2125:F2125)</x:f>
        <x:v>560</x:v>
      </x:c>
    </x:row>
    <x:row r="2126" ht="24" customHeight="1">
      <x:c r="A2126" s="10" t="str">
        <x:v>S04-09</x:v>
      </x:c>
      <x:c r="B2126" s="10" t="str">
        <x:v>B</x:v>
      </x:c>
      <x:c r="C2126" s="18" t="n">
        <x:v>0</x:v>
      </x:c>
      <x:c r="D2126" s="10" t="n">
        <x:v>560</x:v>
      </x:c>
      <x:c r="E2126" s="10" t="n">
        <x:v>0</x:v>
      </x:c>
      <x:c r="F2126" s="10" t="n">
        <x:v>0</x:v>
      </x:c>
      <x:c r="G2126" s="10" t="n">
        <x:f>SUM(D2126:F2126)</x:f>
        <x:v>560</x:v>
      </x:c>
    </x:row>
    <x:row r="2127" ht="24" customHeight="1">
      <x:c r="A2127" s="10" t="str">
        <x:v>S04-09</x:v>
      </x:c>
      <x:c r="B2127" s="10" t="str">
        <x:v>B</x:v>
      </x:c>
      <x:c r="C2127" s="18" t="n">
        <x:v>1e-7</x:v>
      </x:c>
      <x:c r="D2127" s="10" t="n">
        <x:v>560</x:v>
      </x:c>
      <x:c r="E2127" s="10" t="n">
        <x:v>0</x:v>
      </x:c>
      <x:c r="F2127" s="10" t="n">
        <x:v>0</x:v>
      </x:c>
      <x:c r="G2127" s="10" t="n">
        <x:f>SUM(D2127:F2127)</x:f>
        <x:v>560</x:v>
      </x:c>
    </x:row>
    <x:row r="2128" ht="24" customHeight="1">
      <x:c r="A2128" s="10" t="str">
        <x:v>S04-09</x:v>
      </x:c>
      <x:c r="B2128" s="10" t="str">
        <x:v>B</x:v>
      </x:c>
      <x:c r="C2128" s="18" t="n">
        <x:v>0.8699999</x:v>
      </x:c>
      <x:c r="D2128" s="10" t="n">
        <x:v>560</x:v>
      </x:c>
      <x:c r="E2128" s="10" t="n">
        <x:v>0</x:v>
      </x:c>
      <x:c r="F2128" s="10" t="n">
        <x:v>0</x:v>
      </x:c>
      <x:c r="G2128" s="10" t="n">
        <x:f>SUM(D2128:F2128)</x:f>
        <x:v>560</x:v>
      </x:c>
    </x:row>
    <x:row r="2129" ht="24" customHeight="1">
      <x:c r="A2129" s="10" t="str">
        <x:v>S04-09</x:v>
      </x:c>
      <x:c r="B2129" s="10" t="str">
        <x:v>B</x:v>
      </x:c>
      <x:c r="C2129" s="18" t="n">
        <x:v>0.87</x:v>
      </x:c>
      <x:c r="D2129" s="10" t="n">
        <x:v>560</x:v>
      </x:c>
      <x:c r="E2129" s="10" t="n">
        <x:v>0</x:v>
      </x:c>
      <x:c r="F2129" s="10" t="n">
        <x:v>0.004096</x:v>
      </x:c>
      <x:c r="G2129" s="10" t="n">
        <x:f>SUM(D2129:F2129)</x:f>
        <x:v>560.004096</x:v>
      </x:c>
    </x:row>
    <x:row r="2130" ht="24" customHeight="1">
      <x:c r="A2130" s="10" t="str">
        <x:v>S04-09</x:v>
      </x:c>
      <x:c r="B2130" s="10" t="str">
        <x:v>B</x:v>
      </x:c>
      <x:c r="C2130" s="18" t="n">
        <x:v>0.8700001</x:v>
      </x:c>
      <x:c r="D2130" s="10" t="n">
        <x:v>560</x:v>
      </x:c>
      <x:c r="E2130" s="10" t="n">
        <x:v>0</x:v>
      </x:c>
      <x:c r="F2130" s="10" t="n">
        <x:v>0.004096</x:v>
      </x:c>
      <x:c r="G2130" s="10" t="n">
        <x:f>SUM(D2130:F2130)</x:f>
        <x:v>560.004096</x:v>
      </x:c>
    </x:row>
    <x:row r="2131" ht="24" customHeight="1">
      <x:c r="A2131" s="10" t="str">
        <x:v>S04-09</x:v>
      </x:c>
      <x:c r="B2131" s="10" t="str">
        <x:v>B</x:v>
      </x:c>
      <x:c r="C2131" s="18" t="n">
        <x:v>1.277333233</x:v>
      </x:c>
      <x:c r="D2131" s="10" t="n">
        <x:v>560</x:v>
      </x:c>
      <x:c r="E2131" s="10" t="n">
        <x:v>0</x:v>
      </x:c>
      <x:c r="F2131" s="10" t="n">
        <x:v>0.004096</x:v>
      </x:c>
      <x:c r="G2131" s="10" t="n">
        <x:f>SUM(D2131:F2131)</x:f>
        <x:v>560.004096</x:v>
      </x:c>
    </x:row>
    <x:row r="2132" ht="24" customHeight="1">
      <x:c r="A2132" s="10" t="str">
        <x:v>S04-09</x:v>
      </x:c>
      <x:c r="B2132" s="10" t="str">
        <x:v>B</x:v>
      </x:c>
      <x:c r="C2132" s="18" t="n">
        <x:v>1.277333333</x:v>
      </x:c>
      <x:c r="D2132" s="10" t="n">
        <x:v>560</x:v>
      </x:c>
      <x:c r="E2132" s="10" t="n">
        <x:v>0.0096</x:v>
      </x:c>
      <x:c r="F2132" s="10" t="n">
        <x:v>0.004096</x:v>
      </x:c>
      <x:c r="G2132" s="10" t="n">
        <x:f>SUM(D2132:F2132)</x:f>
        <x:v>560.013696</x:v>
      </x:c>
    </x:row>
    <x:row r="2133" ht="24" customHeight="1">
      <x:c r="A2133" s="10" t="str">
        <x:v>S04-09</x:v>
      </x:c>
      <x:c r="B2133" s="10" t="str">
        <x:v>B</x:v>
      </x:c>
      <x:c r="C2133" s="18" t="n">
        <x:v>1.277333433</x:v>
      </x:c>
      <x:c r="D2133" s="10" t="n">
        <x:v>560</x:v>
      </x:c>
      <x:c r="E2133" s="10" t="n">
        <x:v>0.009600019</x:v>
      </x:c>
      <x:c r="F2133" s="10" t="n">
        <x:v>0.004096</x:v>
      </x:c>
      <x:c r="G2133" s="10" t="n">
        <x:f>SUM(D2133:F2133)</x:f>
        <x:v>560.013696019</x:v>
      </x:c>
    </x:row>
    <x:row r="2134" ht="24" customHeight="1">
      <x:c r="A2134" s="10" t="str">
        <x:v>S04-09</x:v>
      </x:c>
      <x:c r="B2134" s="10" t="str">
        <x:v>B</x:v>
      </x:c>
      <x:c r="C2134" s="18" t="n">
        <x:v>1.317333233</x:v>
      </x:c>
      <x:c r="D2134" s="10" t="n">
        <x:v>560</x:v>
      </x:c>
      <x:c r="E2134" s="10" t="n">
        <x:v>0.017279981</x:v>
      </x:c>
      <x:c r="F2134" s="10" t="n">
        <x:v>0.004096</x:v>
      </x:c>
      <x:c r="G2134" s="10" t="n">
        <x:f>SUM(D2134:F2134)</x:f>
        <x:v>560.021375981</x:v>
      </x:c>
    </x:row>
    <x:row r="2135" ht="24" customHeight="1">
      <x:c r="A2135" s="10" t="str">
        <x:v>S04-09</x:v>
      </x:c>
      <x:c r="B2135" s="10" t="str">
        <x:v>B</x:v>
      </x:c>
      <x:c r="C2135" s="18" t="n">
        <x:v>1.317333333</x:v>
      </x:c>
      <x:c r="D2135" s="10" t="n">
        <x:v>560</x:v>
      </x:c>
      <x:c r="E2135" s="10" t="n">
        <x:v>0.01728</x:v>
      </x:c>
      <x:c r="F2135" s="10" t="n">
        <x:v>0.004096</x:v>
      </x:c>
      <x:c r="G2135" s="10" t="n">
        <x:f>SUM(D2135:F2135)</x:f>
        <x:v>560.021376</x:v>
      </x:c>
    </x:row>
    <x:row r="2136" ht="24" customHeight="1">
      <x:c r="A2136" s="10" t="str">
        <x:v>S04-09</x:v>
      </x:c>
      <x:c r="B2136" s="10" t="str">
        <x:v>B</x:v>
      </x:c>
      <x:c r="C2136" s="18" t="n">
        <x:v>1.317333433</x:v>
      </x:c>
      <x:c r="D2136" s="10" t="n">
        <x:v>560</x:v>
      </x:c>
      <x:c r="E2136" s="10" t="n">
        <x:v>0.017280014</x:v>
      </x:c>
      <x:c r="F2136" s="10" t="n">
        <x:v>0.004096</x:v>
      </x:c>
      <x:c r="G2136" s="10" t="n">
        <x:f>SUM(D2136:F2136)</x:f>
        <x:v>560.021376014</x:v>
      </x:c>
    </x:row>
    <x:row r="2137" ht="24" customHeight="1">
      <x:c r="A2137" s="10" t="str">
        <x:v>S04-09</x:v>
      </x:c>
      <x:c r="B2137" s="10" t="str">
        <x:v>B</x:v>
      </x:c>
      <x:c r="C2137" s="18" t="n">
        <x:v>2.137833233</x:v>
      </x:c>
      <x:c r="D2137" s="10" t="n">
        <x:v>560</x:v>
      </x:c>
      <x:c r="E2137" s="10" t="n">
        <x:v>0.135431986</x:v>
      </x:c>
      <x:c r="F2137" s="10" t="n">
        <x:v>0.004096</x:v>
      </x:c>
      <x:c r="G2137" s="10" t="n">
        <x:f>SUM(D2137:F2137)</x:f>
        <x:v>560.139527986</x:v>
      </x:c>
    </x:row>
    <x:row r="2138" ht="24" customHeight="1">
      <x:c r="A2138" s="10" t="str">
        <x:v>S04-09</x:v>
      </x:c>
      <x:c r="B2138" s="10" t="str">
        <x:v>B</x:v>
      </x:c>
      <x:c r="C2138" s="18" t="n">
        <x:v>2.137833333</x:v>
      </x:c>
      <x:c r="D2138" s="10" t="n">
        <x:v>560</x:v>
      </x:c>
      <x:c r="E2138" s="10" t="n">
        <x:v>0.135432</x:v>
      </x:c>
      <x:c r="F2138" s="10" t="n">
        <x:v>0.004096</x:v>
      </x:c>
      <x:c r="G2138" s="10" t="n">
        <x:f>SUM(D2138:F2138)</x:f>
        <x:v>560.139528</x:v>
      </x:c>
    </x:row>
    <x:row r="2139" ht="24" customHeight="1">
      <x:c r="A2139" s="10" t="str">
        <x:v>S04-09</x:v>
      </x:c>
      <x:c r="B2139" s="10" t="str">
        <x:v>B</x:v>
      </x:c>
      <x:c r="C2139" s="18" t="n">
        <x:v>2.137833433</x:v>
      </x:c>
      <x:c r="D2139" s="10" t="n">
        <x:v>560</x:v>
      </x:c>
      <x:c r="E2139" s="10" t="n">
        <x:v>0.135431995</x:v>
      </x:c>
      <x:c r="F2139" s="10" t="n">
        <x:v>0.004096</x:v>
      </x:c>
      <x:c r="G2139" s="10" t="n">
        <x:f>SUM(D2139:F2139)</x:f>
        <x:v>560.139527995</x:v>
      </x:c>
    </x:row>
    <x:row r="2140" ht="24" customHeight="1">
      <x:c r="A2140" s="10" t="str">
        <x:v>S04-09</x:v>
      </x:c>
      <x:c r="B2140" s="10" t="str">
        <x:v>B</x:v>
      </x:c>
      <x:c r="C2140" s="18" t="n">
        <x:v>4.959333233</x:v>
      </x:c>
      <x:c r="D2140" s="10" t="n">
        <x:v>560</x:v>
      </x:c>
      <x:c r="E2140" s="10" t="n">
        <x:v>5e-9</x:v>
      </x:c>
      <x:c r="F2140" s="10" t="n">
        <x:v>0.004096</x:v>
      </x:c>
      <x:c r="G2140" s="10" t="n">
        <x:f>SUM(D2140:F2140)</x:f>
        <x:v>560.004096005</x:v>
      </x:c>
    </x:row>
    <x:row r="2141" ht="24" customHeight="1">
      <x:c r="A2141" s="10" t="str">
        <x:v>S04-09</x:v>
      </x:c>
      <x:c r="B2141" s="10" t="str">
        <x:v>B</x:v>
      </x:c>
      <x:c r="C2141" s="18" t="n">
        <x:v>4.959333333</x:v>
      </x:c>
      <x:c r="D2141" s="10" t="n">
        <x:v>560</x:v>
      </x:c>
      <x:c r="E2141" s="10" t="n">
        <x:v>0</x:v>
      </x:c>
      <x:c r="F2141" s="10" t="n">
        <x:v>0.004096</x:v>
      </x:c>
      <x:c r="G2141" s="10" t="n">
        <x:f>SUM(D2141:F2141)</x:f>
        <x:v>560.004096</x:v>
      </x:c>
    </x:row>
    <x:row r="2142" ht="24" customHeight="1">
      <x:c r="A2142" s="10" t="str">
        <x:v>S04-09</x:v>
      </x:c>
      <x:c r="B2142" s="10" t="str">
        <x:v>B</x:v>
      </x:c>
      <x:c r="C2142" s="18" t="n">
        <x:v>4.959333433</x:v>
      </x:c>
      <x:c r="D2142" s="10" t="n">
        <x:v>560</x:v>
      </x:c>
      <x:c r="E2142" s="10" t="n">
        <x:v>0</x:v>
      </x:c>
      <x:c r="F2142" s="10" t="n">
        <x:v>0</x:v>
      </x:c>
      <x:c r="G2142" s="10" t="n">
        <x:f>SUM(D2142:F2142)</x:f>
        <x:v>560</x:v>
      </x:c>
    </x:row>
    <x:row r="2143" ht="24" customHeight="1">
      <x:c r="A2143" s="10" t="str">
        <x:v>S04-10</x:v>
      </x:c>
      <x:c r="B2143" s="10" t="str">
        <x:v>A</x:v>
      </x:c>
      <x:c r="C2143" s="18" t="n">
        <x:v>-6.0000001</x:v>
      </x:c>
      <x:c r="D2143" s="10" t="n">
        <x:v>560</x:v>
      </x:c>
      <x:c r="E2143" s="10" t="n">
        <x:v>0</x:v>
      </x:c>
      <x:c r="F2143" s="10" t="n">
        <x:v>0</x:v>
      </x:c>
      <x:c r="G2143" s="10" t="n">
        <x:f>SUM(D2143:F2143)</x:f>
        <x:v>560</x:v>
      </x:c>
    </x:row>
    <x:row r="2144" ht="24" customHeight="1">
      <x:c r="A2144" s="10" t="str">
        <x:v>S04-10</x:v>
      </x:c>
      <x:c r="B2144" s="10" t="str">
        <x:v>A</x:v>
      </x:c>
      <x:c r="C2144" s="18" t="n">
        <x:v>-6</x:v>
      </x:c>
      <x:c r="D2144" s="10" t="n">
        <x:v>560</x:v>
      </x:c>
      <x:c r="E2144" s="10" t="n">
        <x:v>0</x:v>
      </x:c>
      <x:c r="F2144" s="10" t="n">
        <x:v>0</x:v>
      </x:c>
      <x:c r="G2144" s="10" t="n">
        <x:f>SUM(D2144:F2144)</x:f>
        <x:v>560</x:v>
      </x:c>
    </x:row>
    <x:row r="2145" ht="24" customHeight="1">
      <x:c r="A2145" s="10" t="str">
        <x:v>S04-10</x:v>
      </x:c>
      <x:c r="B2145" s="10" t="str">
        <x:v>A</x:v>
      </x:c>
      <x:c r="C2145" s="18" t="n">
        <x:v>-5.9999999</x:v>
      </x:c>
      <x:c r="D2145" s="10" t="n">
        <x:v>560</x:v>
      </x:c>
      <x:c r="E2145" s="10" t="n">
        <x:v>0</x:v>
      </x:c>
      <x:c r="F2145" s="10" t="n">
        <x:v>0</x:v>
      </x:c>
      <x:c r="G2145" s="10" t="n">
        <x:f>SUM(D2145:F2145)</x:f>
        <x:v>560</x:v>
      </x:c>
    </x:row>
    <x:row r="2146" ht="24" customHeight="1">
      <x:c r="A2146" s="10" t="str">
        <x:v>S04-10</x:v>
      </x:c>
      <x:c r="B2146" s="10" t="str">
        <x:v>A</x:v>
      </x:c>
      <x:c r="C2146" s="18" t="n">
        <x:v>-1.0000001</x:v>
      </x:c>
      <x:c r="D2146" s="10" t="n">
        <x:v>560</x:v>
      </x:c>
      <x:c r="E2146" s="10" t="n">
        <x:v>0</x:v>
      </x:c>
      <x:c r="F2146" s="10" t="n">
        <x:v>0</x:v>
      </x:c>
      <x:c r="G2146" s="10" t="n">
        <x:f>SUM(D2146:F2146)</x:f>
        <x:v>560</x:v>
      </x:c>
    </x:row>
    <x:row r="2147" ht="24" customHeight="1">
      <x:c r="A2147" s="10" t="str">
        <x:v>S04-10</x:v>
      </x:c>
      <x:c r="B2147" s="10" t="str">
        <x:v>A</x:v>
      </x:c>
      <x:c r="C2147" s="18" t="n">
        <x:v>-1</x:v>
      </x:c>
      <x:c r="D2147" s="10" t="n">
        <x:v>560</x:v>
      </x:c>
      <x:c r="E2147" s="10" t="n">
        <x:v>0</x:v>
      </x:c>
      <x:c r="F2147" s="10" t="n">
        <x:v>0.004096</x:v>
      </x:c>
      <x:c r="G2147" s="10" t="n">
        <x:f>SUM(D2147:F2147)</x:f>
        <x:v>560.004096</x:v>
      </x:c>
    </x:row>
    <x:row r="2148" ht="24" customHeight="1">
      <x:c r="A2148" s="10" t="str">
        <x:v>S04-10</x:v>
      </x:c>
      <x:c r="B2148" s="10" t="str">
        <x:v>A</x:v>
      </x:c>
      <x:c r="C2148" s="18" t="n">
        <x:v>-0.9999999</x:v>
      </x:c>
      <x:c r="D2148" s="10" t="n">
        <x:v>560</x:v>
      </x:c>
      <x:c r="E2148" s="10" t="n">
        <x:v>0</x:v>
      </x:c>
      <x:c r="F2148" s="10" t="n">
        <x:v>0.004096</x:v>
      </x:c>
      <x:c r="G2148" s="10" t="n">
        <x:f>SUM(D2148:F2148)</x:f>
        <x:v>560.004096</x:v>
      </x:c>
    </x:row>
    <x:row r="2149" ht="24" customHeight="1">
      <x:c r="A2149" s="10" t="str">
        <x:v>S04-10</x:v>
      </x:c>
      <x:c r="B2149" s="10" t="str">
        <x:v>A</x:v>
      </x:c>
      <x:c r="C2149" s="18" t="n">
        <x:v>-0.5900001</x:v>
      </x:c>
      <x:c r="D2149" s="10" t="n">
        <x:v>560</x:v>
      </x:c>
      <x:c r="E2149" s="10" t="n">
        <x:v>0</x:v>
      </x:c>
      <x:c r="F2149" s="10" t="n">
        <x:v>0.004096</x:v>
      </x:c>
      <x:c r="G2149" s="10" t="n">
        <x:f>SUM(D2149:F2149)</x:f>
        <x:v>560.004096</x:v>
      </x:c>
    </x:row>
    <x:row r="2150" ht="24" customHeight="1">
      <x:c r="A2150" s="10" t="str">
        <x:v>S04-10</x:v>
      </x:c>
      <x:c r="B2150" s="10" t="str">
        <x:v>A</x:v>
      </x:c>
      <x:c r="C2150" s="18" t="n">
        <x:v>-0.59</x:v>
      </x:c>
      <x:c r="D2150" s="10" t="n">
        <x:v>560</x:v>
      </x:c>
      <x:c r="E2150" s="10" t="n">
        <x:v>0.0096</x:v>
      </x:c>
      <x:c r="F2150" s="10" t="n">
        <x:v>0.004096</x:v>
      </x:c>
      <x:c r="G2150" s="10" t="n">
        <x:f>SUM(D2150:F2150)</x:f>
        <x:v>560.013696</x:v>
      </x:c>
    </x:row>
    <x:row r="2151" ht="24" customHeight="1">
      <x:c r="A2151" s="10" t="str">
        <x:v>S04-10</x:v>
      </x:c>
      <x:c r="B2151" s="10" t="str">
        <x:v>A</x:v>
      </x:c>
      <x:c r="C2151" s="18" t="n">
        <x:v>-0.5899999</x:v>
      </x:c>
      <x:c r="D2151" s="10" t="n">
        <x:v>560</x:v>
      </x:c>
      <x:c r="E2151" s="10" t="n">
        <x:v>0.009600019</x:v>
      </x:c>
      <x:c r="F2151" s="10" t="n">
        <x:v>0.004096</x:v>
      </x:c>
      <x:c r="G2151" s="10" t="n">
        <x:f>SUM(D2151:F2151)</x:f>
        <x:v>560.013696019</x:v>
      </x:c>
    </x:row>
    <x:row r="2152" ht="24" customHeight="1">
      <x:c r="A2152" s="10" t="str">
        <x:v>S04-10</x:v>
      </x:c>
      <x:c r="B2152" s="10" t="str">
        <x:v>A</x:v>
      </x:c>
      <x:c r="C2152" s="18" t="n">
        <x:v>-1e-7</x:v>
      </x:c>
      <x:c r="D2152" s="10" t="n">
        <x:v>560</x:v>
      </x:c>
      <x:c r="E2152" s="10" t="n">
        <x:v>0.122879981</x:v>
      </x:c>
      <x:c r="F2152" s="10" t="n">
        <x:v>0.004096</x:v>
      </x:c>
      <x:c r="G2152" s="10" t="n">
        <x:f>SUM(D2152:F2152)</x:f>
        <x:v>560.126975981</x:v>
      </x:c>
    </x:row>
    <x:row r="2153" ht="24" customHeight="1">
      <x:c r="A2153" s="10" t="str">
        <x:v>S04-10</x:v>
      </x:c>
      <x:c r="B2153" s="10" t="str">
        <x:v>A</x:v>
      </x:c>
      <x:c r="C2153" s="18" t="n">
        <x:v>0</x:v>
      </x:c>
      <x:c r="D2153" s="10" t="n">
        <x:v>560</x:v>
      </x:c>
      <x:c r="E2153" s="10" t="n">
        <x:v>0.12288</x:v>
      </x:c>
      <x:c r="F2153" s="10" t="n">
        <x:v>0.004096</x:v>
      </x:c>
      <x:c r="G2153" s="10" t="n">
        <x:f>SUM(D2153:F2153)</x:f>
        <x:v>560.126976</x:v>
      </x:c>
    </x:row>
    <x:row r="2154" ht="24" customHeight="1">
      <x:c r="A2154" s="10" t="str">
        <x:v>S04-10</x:v>
      </x:c>
      <x:c r="B2154" s="10" t="str">
        <x:v>A</x:v>
      </x:c>
      <x:c r="C2154" s="18" t="n">
        <x:v>1e-7</x:v>
      </x:c>
      <x:c r="D2154" s="10" t="n">
        <x:v>560</x:v>
      </x:c>
      <x:c r="E2154" s="10" t="n">
        <x:v>0.122880019</x:v>
      </x:c>
      <x:c r="F2154" s="10" t="n">
        <x:v>0.004096</x:v>
      </x:c>
      <x:c r="G2154" s="10" t="n">
        <x:f>SUM(D2154:F2154)</x:f>
        <x:v>560.126976019</x:v>
      </x:c>
    </x:row>
    <x:row r="2155" ht="24" customHeight="1">
      <x:c r="A2155" s="10" t="str">
        <x:v>S04-10</x:v>
      </x:c>
      <x:c r="B2155" s="10" t="str">
        <x:v>A</x:v>
      </x:c>
      <x:c r="C2155" s="18" t="n">
        <x:v>0.898333233</x:v>
      </x:c>
      <x:c r="D2155" s="10" t="n">
        <x:v>560</x:v>
      </x:c>
      <x:c r="E2155" s="10" t="n">
        <x:v>0.295359981</x:v>
      </x:c>
      <x:c r="F2155" s="10" t="n">
        <x:v>0.004096</x:v>
      </x:c>
      <x:c r="G2155" s="10" t="n">
        <x:f>SUM(D2155:F2155)</x:f>
        <x:v>560.299455981</x:v>
      </x:c>
    </x:row>
    <x:row r="2156" ht="24" customHeight="1">
      <x:c r="A2156" s="10" t="str">
        <x:v>S04-10</x:v>
      </x:c>
      <x:c r="B2156" s="10" t="str">
        <x:v>A</x:v>
      </x:c>
      <x:c r="C2156" s="18" t="n">
        <x:v>0.898333333</x:v>
      </x:c>
      <x:c r="D2156" s="10" t="n">
        <x:v>560</x:v>
      </x:c>
      <x:c r="E2156" s="10" t="n">
        <x:v>0.29536</x:v>
      </x:c>
      <x:c r="F2156" s="10" t="n">
        <x:v>0.008192</x:v>
      </x:c>
      <x:c r="G2156" s="10" t="n">
        <x:f>SUM(D2156:F2156)</x:f>
        <x:v>560.303552</x:v>
      </x:c>
    </x:row>
    <x:row r="2157" ht="24" customHeight="1">
      <x:c r="A2157" s="10" t="str">
        <x:v>S04-10</x:v>
      </x:c>
      <x:c r="B2157" s="10" t="str">
        <x:v>A</x:v>
      </x:c>
      <x:c r="C2157" s="18" t="n">
        <x:v>0.898333433</x:v>
      </x:c>
      <x:c r="D2157" s="10" t="n">
        <x:v>560</x:v>
      </x:c>
      <x:c r="E2157" s="10" t="n">
        <x:v>0.295360019</x:v>
      </x:c>
      <x:c r="F2157" s="10" t="n">
        <x:v>0.008192</x:v>
      </x:c>
      <x:c r="G2157" s="10" t="n">
        <x:f>SUM(D2157:F2157)</x:f>
        <x:v>560.303552019</x:v>
      </x:c>
    </x:row>
    <x:row r="2158" ht="24" customHeight="1">
      <x:c r="A2158" s="10" t="str">
        <x:v>S04-10</x:v>
      </x:c>
      <x:c r="B2158" s="10" t="str">
        <x:v>A</x:v>
      </x:c>
      <x:c r="C2158" s="18" t="n">
        <x:v>0.998333233</x:v>
      </x:c>
      <x:c r="D2158" s="10" t="n">
        <x:v>560</x:v>
      </x:c>
      <x:c r="E2158" s="10" t="n">
        <x:v>0.314559981</x:v>
      </x:c>
      <x:c r="F2158" s="10" t="n">
        <x:v>0.008192</x:v>
      </x:c>
      <x:c r="G2158" s="10" t="n">
        <x:f>SUM(D2158:F2158)</x:f>
        <x:v>560.322751981</x:v>
      </x:c>
    </x:row>
    <x:row r="2159" ht="24" customHeight="1">
      <x:c r="A2159" s="10" t="str">
        <x:v>S04-10</x:v>
      </x:c>
      <x:c r="B2159" s="10" t="str">
        <x:v>A</x:v>
      </x:c>
      <x:c r="C2159" s="18" t="n">
        <x:v>0.998333333</x:v>
      </x:c>
      <x:c r="D2159" s="10" t="n">
        <x:v>560</x:v>
      </x:c>
      <x:c r="E2159" s="10" t="n">
        <x:v>0.31456</x:v>
      </x:c>
      <x:c r="F2159" s="10" t="n">
        <x:v>0.008192</x:v>
      </x:c>
      <x:c r="G2159" s="10" t="n">
        <x:f>SUM(D2159:F2159)</x:f>
        <x:v>560.322752</x:v>
      </x:c>
    </x:row>
    <x:row r="2160" ht="24" customHeight="1">
      <x:c r="A2160" s="10" t="str">
        <x:v>S04-10</x:v>
      </x:c>
      <x:c r="B2160" s="10" t="str">
        <x:v>A</x:v>
      </x:c>
      <x:c r="C2160" s="18" t="n">
        <x:v>0.998333433</x:v>
      </x:c>
      <x:c r="D2160" s="10" t="n">
        <x:v>560</x:v>
      </x:c>
      <x:c r="E2160" s="10" t="n">
        <x:v>0</x:v>
      </x:c>
      <x:c r="F2160" s="10" t="n">
        <x:v>0.004096</x:v>
      </x:c>
      <x:c r="G2160" s="10" t="n">
        <x:f>SUM(D2160:F2160)</x:f>
        <x:v>560.004096</x:v>
      </x:c>
    </x:row>
    <x:row r="2161" ht="24" customHeight="1">
      <x:c r="A2161" s="10" t="str">
        <x:v>S04-10</x:v>
      </x:c>
      <x:c r="B2161" s="10" t="str">
        <x:v>A</x:v>
      </x:c>
      <x:c r="C2161" s="18" t="n">
        <x:v>1.305666566</x:v>
      </x:c>
      <x:c r="D2161" s="10" t="n">
        <x:v>560</x:v>
      </x:c>
      <x:c r="E2161" s="10" t="n">
        <x:v>0</x:v>
      </x:c>
      <x:c r="F2161" s="10" t="n">
        <x:v>0.004096</x:v>
      </x:c>
      <x:c r="G2161" s="10" t="n">
        <x:f>SUM(D2161:F2161)</x:f>
        <x:v>560.004096</x:v>
      </x:c>
    </x:row>
    <x:row r="2162" ht="24" customHeight="1">
      <x:c r="A2162" s="10" t="str">
        <x:v>S04-10</x:v>
      </x:c>
      <x:c r="B2162" s="10" t="str">
        <x:v>A</x:v>
      </x:c>
      <x:c r="C2162" s="18" t="n">
        <x:v>1.305666666</x:v>
      </x:c>
      <x:c r="D2162" s="10" t="n">
        <x:v>560</x:v>
      </x:c>
      <x:c r="E2162" s="10" t="n">
        <x:v>0.0096</x:v>
      </x:c>
      <x:c r="F2162" s="10" t="n">
        <x:v>0.004096</x:v>
      </x:c>
      <x:c r="G2162" s="10" t="n">
        <x:f>SUM(D2162:F2162)</x:f>
        <x:v>560.013696</x:v>
      </x:c>
    </x:row>
    <x:row r="2163" ht="24" customHeight="1">
      <x:c r="A2163" s="10" t="str">
        <x:v>S04-10</x:v>
      </x:c>
      <x:c r="B2163" s="10" t="str">
        <x:v>A</x:v>
      </x:c>
      <x:c r="C2163" s="18" t="n">
        <x:v>1.305666766</x:v>
      </x:c>
      <x:c r="D2163" s="10" t="n">
        <x:v>560</x:v>
      </x:c>
      <x:c r="E2163" s="10" t="n">
        <x:v>0.009600019</x:v>
      </x:c>
      <x:c r="F2163" s="10" t="n">
        <x:v>0.004096</x:v>
      </x:c>
      <x:c r="G2163" s="10" t="n">
        <x:f>SUM(D2163:F2163)</x:f>
        <x:v>560.013696019</x:v>
      </x:c>
    </x:row>
    <x:row r="2164" ht="24" customHeight="1">
      <x:c r="A2164" s="10" t="str">
        <x:v>S04-10</x:v>
      </x:c>
      <x:c r="B2164" s="10" t="str">
        <x:v>A</x:v>
      </x:c>
      <x:c r="C2164" s="18" t="n">
        <x:v>1.345666566</x:v>
      </x:c>
      <x:c r="D2164" s="10" t="n">
        <x:v>560</x:v>
      </x:c>
      <x:c r="E2164" s="10" t="n">
        <x:v>0.017279981</x:v>
      </x:c>
      <x:c r="F2164" s="10" t="n">
        <x:v>0.004096</x:v>
      </x:c>
      <x:c r="G2164" s="10" t="n">
        <x:f>SUM(D2164:F2164)</x:f>
        <x:v>560.021375981</x:v>
      </x:c>
    </x:row>
    <x:row r="2165" ht="24" customHeight="1">
      <x:c r="A2165" s="10" t="str">
        <x:v>S04-10</x:v>
      </x:c>
      <x:c r="B2165" s="10" t="str">
        <x:v>A</x:v>
      </x:c>
      <x:c r="C2165" s="18" t="n">
        <x:v>1.345666666</x:v>
      </x:c>
      <x:c r="D2165" s="10" t="n">
        <x:v>560</x:v>
      </x:c>
      <x:c r="E2165" s="10" t="n">
        <x:v>0.01728</x:v>
      </x:c>
      <x:c r="F2165" s="10" t="n">
        <x:v>0.004096</x:v>
      </x:c>
      <x:c r="G2165" s="10" t="n">
        <x:f>SUM(D2165:F2165)</x:f>
        <x:v>560.021376</x:v>
      </x:c>
    </x:row>
    <x:row r="2166" ht="24" customHeight="1">
      <x:c r="A2166" s="10" t="str">
        <x:v>S04-10</x:v>
      </x:c>
      <x:c r="B2166" s="10" t="str">
        <x:v>A</x:v>
      </x:c>
      <x:c r="C2166" s="18" t="n">
        <x:v>1.345666766</x:v>
      </x:c>
      <x:c r="D2166" s="10" t="n">
        <x:v>560</x:v>
      </x:c>
      <x:c r="E2166" s="10" t="n">
        <x:v>0.017280014</x:v>
      </x:c>
      <x:c r="F2166" s="10" t="n">
        <x:v>0.004096</x:v>
      </x:c>
      <x:c r="G2166" s="10" t="n">
        <x:f>SUM(D2166:F2166)</x:f>
        <x:v>560.021376014</x:v>
      </x:c>
    </x:row>
    <x:row r="2167" ht="24" customHeight="1">
      <x:c r="A2167" s="10" t="str">
        <x:v>S04-10</x:v>
      </x:c>
      <x:c r="B2167" s="10" t="str">
        <x:v>A</x:v>
      </x:c>
      <x:c r="C2167" s="18" t="n">
        <x:v>2.169166566</x:v>
      </x:c>
      <x:c r="D2167" s="10" t="n">
        <x:v>560</x:v>
      </x:c>
      <x:c r="E2167" s="10" t="n">
        <x:v>0.135863986</x:v>
      </x:c>
      <x:c r="F2167" s="10" t="n">
        <x:v>0.004096</x:v>
      </x:c>
      <x:c r="G2167" s="10" t="n">
        <x:f>SUM(D2167:F2167)</x:f>
        <x:v>560.139959986</x:v>
      </x:c>
    </x:row>
    <x:row r="2168" ht="24" customHeight="1">
      <x:c r="A2168" s="10" t="str">
        <x:v>S04-10</x:v>
      </x:c>
      <x:c r="B2168" s="10" t="str">
        <x:v>A</x:v>
      </x:c>
      <x:c r="C2168" s="18" t="n">
        <x:v>2.169166666</x:v>
      </x:c>
      <x:c r="D2168" s="10" t="n">
        <x:v>560</x:v>
      </x:c>
      <x:c r="E2168" s="10" t="n">
        <x:v>0.135864</x:v>
      </x:c>
      <x:c r="F2168" s="10" t="n">
        <x:v>0.004096</x:v>
      </x:c>
      <x:c r="G2168" s="10" t="n">
        <x:f>SUM(D2168:F2168)</x:f>
        <x:v>560.13996</x:v>
      </x:c>
    </x:row>
    <x:row r="2169" ht="24" customHeight="1">
      <x:c r="A2169" s="10" t="str">
        <x:v>S04-10</x:v>
      </x:c>
      <x:c r="B2169" s="10" t="str">
        <x:v>A</x:v>
      </x:c>
      <x:c r="C2169" s="18" t="n">
        <x:v>2.169166766</x:v>
      </x:c>
      <x:c r="D2169" s="10" t="n">
        <x:v>560</x:v>
      </x:c>
      <x:c r="E2169" s="10" t="n">
        <x:v>0.135863995</x:v>
      </x:c>
      <x:c r="F2169" s="10" t="n">
        <x:v>0.004096</x:v>
      </x:c>
      <x:c r="G2169" s="10" t="n">
        <x:f>SUM(D2169:F2169)</x:f>
        <x:v>560.139959995</x:v>
      </x:c>
    </x:row>
    <x:row r="2170" ht="24" customHeight="1">
      <x:c r="A2170" s="10" t="str">
        <x:v>S04-10</x:v>
      </x:c>
      <x:c r="B2170" s="10" t="str">
        <x:v>A</x:v>
      </x:c>
      <x:c r="C2170" s="18" t="n">
        <x:v>4.999666566</x:v>
      </x:c>
      <x:c r="D2170" s="10" t="n">
        <x:v>560</x:v>
      </x:c>
      <x:c r="E2170" s="10" t="n">
        <x:v>5e-9</x:v>
      </x:c>
      <x:c r="F2170" s="10" t="n">
        <x:v>0.004096</x:v>
      </x:c>
      <x:c r="G2170" s="10" t="n">
        <x:f>SUM(D2170:F2170)</x:f>
        <x:v>560.004096005</x:v>
      </x:c>
    </x:row>
    <x:row r="2171" ht="24" customHeight="1">
      <x:c r="A2171" s="10" t="str">
        <x:v>S04-10</x:v>
      </x:c>
      <x:c r="B2171" s="10" t="str">
        <x:v>A</x:v>
      </x:c>
      <x:c r="C2171" s="18" t="n">
        <x:v>4.999666666</x:v>
      </x:c>
      <x:c r="D2171" s="10" t="n">
        <x:v>560</x:v>
      </x:c>
      <x:c r="E2171" s="10" t="n">
        <x:v>0</x:v>
      </x:c>
      <x:c r="F2171" s="10" t="n">
        <x:v>0.004096</x:v>
      </x:c>
      <x:c r="G2171" s="10" t="n">
        <x:f>SUM(D2171:F2171)</x:f>
        <x:v>560.004096</x:v>
      </x:c>
    </x:row>
    <x:row r="2172" ht="24" customHeight="1">
      <x:c r="A2172" s="10" t="str">
        <x:v>S04-10</x:v>
      </x:c>
      <x:c r="B2172" s="10" t="str">
        <x:v>A</x:v>
      </x:c>
      <x:c r="C2172" s="18" t="n">
        <x:v>4.999666766</x:v>
      </x:c>
      <x:c r="D2172" s="10" t="n">
        <x:v>560</x:v>
      </x:c>
      <x:c r="E2172" s="10" t="n">
        <x:v>0</x:v>
      </x:c>
      <x:c r="F2172" s="10" t="n">
        <x:v>0</x:v>
      </x:c>
      <x:c r="G2172" s="10" t="n">
        <x:f>SUM(D2172:F2172)</x:f>
        <x:v>560</x:v>
      </x:c>
    </x:row>
    <x:row r="2173" ht="24" customHeight="1">
      <x:c r="A2173" s="10" t="str">
        <x:v>S04-10</x:v>
      </x:c>
      <x:c r="B2173" s="10" t="str">
        <x:v>B</x:v>
      </x:c>
      <x:c r="C2173" s="18" t="n">
        <x:v>-6.0000001</x:v>
      </x:c>
      <x:c r="D2173" s="10" t="n">
        <x:v>560</x:v>
      </x:c>
      <x:c r="E2173" s="10" t="n">
        <x:v>0</x:v>
      </x:c>
      <x:c r="F2173" s="10" t="n">
        <x:v>0</x:v>
      </x:c>
      <x:c r="G2173" s="10" t="n">
        <x:f>SUM(D2173:F2173)</x:f>
        <x:v>560</x:v>
      </x:c>
    </x:row>
    <x:row r="2174" ht="24" customHeight="1">
      <x:c r="A2174" s="10" t="str">
        <x:v>S04-10</x:v>
      </x:c>
      <x:c r="B2174" s="10" t="str">
        <x:v>B</x:v>
      </x:c>
      <x:c r="C2174" s="18" t="n">
        <x:v>-6</x:v>
      </x:c>
      <x:c r="D2174" s="10" t="n">
        <x:v>560</x:v>
      </x:c>
      <x:c r="E2174" s="10" t="n">
        <x:v>0</x:v>
      </x:c>
      <x:c r="F2174" s="10" t="n">
        <x:v>0</x:v>
      </x:c>
      <x:c r="G2174" s="10" t="n">
        <x:f>SUM(D2174:F2174)</x:f>
        <x:v>560</x:v>
      </x:c>
    </x:row>
    <x:row r="2175" ht="24" customHeight="1">
      <x:c r="A2175" s="10" t="str">
        <x:v>S04-10</x:v>
      </x:c>
      <x:c r="B2175" s="10" t="str">
        <x:v>B</x:v>
      </x:c>
      <x:c r="C2175" s="18" t="n">
        <x:v>-5.9999999</x:v>
      </x:c>
      <x:c r="D2175" s="10" t="n">
        <x:v>560</x:v>
      </x:c>
      <x:c r="E2175" s="10" t="n">
        <x:v>0</x:v>
      </x:c>
      <x:c r="F2175" s="10" t="n">
        <x:v>0</x:v>
      </x:c>
      <x:c r="G2175" s="10" t="n">
        <x:f>SUM(D2175:F2175)</x:f>
        <x:v>560</x:v>
      </x:c>
    </x:row>
    <x:row r="2176" ht="24" customHeight="1">
      <x:c r="A2176" s="10" t="str">
        <x:v>S04-10</x:v>
      </x:c>
      <x:c r="B2176" s="10" t="str">
        <x:v>B</x:v>
      </x:c>
      <x:c r="C2176" s="18" t="n">
        <x:v>-1e-7</x:v>
      </x:c>
      <x:c r="D2176" s="10" t="n">
        <x:v>560</x:v>
      </x:c>
      <x:c r="E2176" s="10" t="n">
        <x:v>0</x:v>
      </x:c>
      <x:c r="F2176" s="10" t="n">
        <x:v>0</x:v>
      </x:c>
      <x:c r="G2176" s="10" t="n">
        <x:f>SUM(D2176:F2176)</x:f>
        <x:v>560</x:v>
      </x:c>
    </x:row>
    <x:row r="2177" ht="24" customHeight="1">
      <x:c r="A2177" s="10" t="str">
        <x:v>S04-10</x:v>
      </x:c>
      <x:c r="B2177" s="10" t="str">
        <x:v>B</x:v>
      </x:c>
      <x:c r="C2177" s="18" t="n">
        <x:v>0</x:v>
      </x:c>
      <x:c r="D2177" s="10" t="n">
        <x:v>560</x:v>
      </x:c>
      <x:c r="E2177" s="10" t="n">
        <x:v>0</x:v>
      </x:c>
      <x:c r="F2177" s="10" t="n">
        <x:v>0</x:v>
      </x:c>
      <x:c r="G2177" s="10" t="n">
        <x:f>SUM(D2177:F2177)</x:f>
        <x:v>560</x:v>
      </x:c>
    </x:row>
    <x:row r="2178" ht="24" customHeight="1">
      <x:c r="A2178" s="10" t="str">
        <x:v>S04-10</x:v>
      </x:c>
      <x:c r="B2178" s="10" t="str">
        <x:v>B</x:v>
      </x:c>
      <x:c r="C2178" s="18" t="n">
        <x:v>1e-7</x:v>
      </x:c>
      <x:c r="D2178" s="10" t="n">
        <x:v>560</x:v>
      </x:c>
      <x:c r="E2178" s="10" t="n">
        <x:v>0</x:v>
      </x:c>
      <x:c r="F2178" s="10" t="n">
        <x:v>0</x:v>
      </x:c>
      <x:c r="G2178" s="10" t="n">
        <x:f>SUM(D2178:F2178)</x:f>
        <x:v>560</x:v>
      </x:c>
    </x:row>
    <x:row r="2179" ht="24" customHeight="1">
      <x:c r="A2179" s="10" t="str">
        <x:v>S04-10</x:v>
      </x:c>
      <x:c r="B2179" s="10" t="str">
        <x:v>B</x:v>
      </x:c>
      <x:c r="C2179" s="18" t="n">
        <x:v>0.898333233</x:v>
      </x:c>
      <x:c r="D2179" s="10" t="n">
        <x:v>560</x:v>
      </x:c>
      <x:c r="E2179" s="10" t="n">
        <x:v>0</x:v>
      </x:c>
      <x:c r="F2179" s="10" t="n">
        <x:v>0</x:v>
      </x:c>
      <x:c r="G2179" s="10" t="n">
        <x:f>SUM(D2179:F2179)</x:f>
        <x:v>560</x:v>
      </x:c>
    </x:row>
    <x:row r="2180" ht="24" customHeight="1">
      <x:c r="A2180" s="10" t="str">
        <x:v>S04-10</x:v>
      </x:c>
      <x:c r="B2180" s="10" t="str">
        <x:v>B</x:v>
      </x:c>
      <x:c r="C2180" s="18" t="n">
        <x:v>0.898333333</x:v>
      </x:c>
      <x:c r="D2180" s="10" t="n">
        <x:v>560</x:v>
      </x:c>
      <x:c r="E2180" s="10" t="n">
        <x:v>0</x:v>
      </x:c>
      <x:c r="F2180" s="10" t="n">
        <x:v>0.004096</x:v>
      </x:c>
      <x:c r="G2180" s="10" t="n">
        <x:f>SUM(D2180:F2180)</x:f>
        <x:v>560.004096</x:v>
      </x:c>
    </x:row>
    <x:row r="2181" ht="24" customHeight="1">
      <x:c r="A2181" s="10" t="str">
        <x:v>S04-10</x:v>
      </x:c>
      <x:c r="B2181" s="10" t="str">
        <x:v>B</x:v>
      </x:c>
      <x:c r="C2181" s="18" t="n">
        <x:v>0.898333433</x:v>
      </x:c>
      <x:c r="D2181" s="10" t="n">
        <x:v>560</x:v>
      </x:c>
      <x:c r="E2181" s="10" t="n">
        <x:v>0</x:v>
      </x:c>
      <x:c r="F2181" s="10" t="n">
        <x:v>0.004096</x:v>
      </x:c>
      <x:c r="G2181" s="10" t="n">
        <x:f>SUM(D2181:F2181)</x:f>
        <x:v>560.004096</x:v>
      </x:c>
    </x:row>
    <x:row r="2182" ht="24" customHeight="1">
      <x:c r="A2182" s="10" t="str">
        <x:v>S04-10</x:v>
      </x:c>
      <x:c r="B2182" s="10" t="str">
        <x:v>B</x:v>
      </x:c>
      <x:c r="C2182" s="18" t="n">
        <x:v>1.305666566</x:v>
      </x:c>
      <x:c r="D2182" s="10" t="n">
        <x:v>560</x:v>
      </x:c>
      <x:c r="E2182" s="10" t="n">
        <x:v>0</x:v>
      </x:c>
      <x:c r="F2182" s="10" t="n">
        <x:v>0.004096</x:v>
      </x:c>
      <x:c r="G2182" s="10" t="n">
        <x:f>SUM(D2182:F2182)</x:f>
        <x:v>560.004096</x:v>
      </x:c>
    </x:row>
    <x:row r="2183" ht="24" customHeight="1">
      <x:c r="A2183" s="10" t="str">
        <x:v>S04-10</x:v>
      </x:c>
      <x:c r="B2183" s="10" t="str">
        <x:v>B</x:v>
      </x:c>
      <x:c r="C2183" s="18" t="n">
        <x:v>1.305666666</x:v>
      </x:c>
      <x:c r="D2183" s="10" t="n">
        <x:v>560</x:v>
      </x:c>
      <x:c r="E2183" s="10" t="n">
        <x:v>0.0096</x:v>
      </x:c>
      <x:c r="F2183" s="10" t="n">
        <x:v>0.004096</x:v>
      </x:c>
      <x:c r="G2183" s="10" t="n">
        <x:f>SUM(D2183:F2183)</x:f>
        <x:v>560.013696</x:v>
      </x:c>
    </x:row>
    <x:row r="2184" ht="24" customHeight="1">
      <x:c r="A2184" s="10" t="str">
        <x:v>S04-10</x:v>
      </x:c>
      <x:c r="B2184" s="10" t="str">
        <x:v>B</x:v>
      </x:c>
      <x:c r="C2184" s="18" t="n">
        <x:v>1.305666766</x:v>
      </x:c>
      <x:c r="D2184" s="10" t="n">
        <x:v>560</x:v>
      </x:c>
      <x:c r="E2184" s="10" t="n">
        <x:v>0.009600019</x:v>
      </x:c>
      <x:c r="F2184" s="10" t="n">
        <x:v>0.004096</x:v>
      </x:c>
      <x:c r="G2184" s="10" t="n">
        <x:f>SUM(D2184:F2184)</x:f>
        <x:v>560.013696019</x:v>
      </x:c>
    </x:row>
    <x:row r="2185" ht="24" customHeight="1">
      <x:c r="A2185" s="10" t="str">
        <x:v>S04-10</x:v>
      </x:c>
      <x:c r="B2185" s="10" t="str">
        <x:v>B</x:v>
      </x:c>
      <x:c r="C2185" s="18" t="n">
        <x:v>1.345666566</x:v>
      </x:c>
      <x:c r="D2185" s="10" t="n">
        <x:v>560</x:v>
      </x:c>
      <x:c r="E2185" s="10" t="n">
        <x:v>0.017279981</x:v>
      </x:c>
      <x:c r="F2185" s="10" t="n">
        <x:v>0.004096</x:v>
      </x:c>
      <x:c r="G2185" s="10" t="n">
        <x:f>SUM(D2185:F2185)</x:f>
        <x:v>560.021375981</x:v>
      </x:c>
    </x:row>
    <x:row r="2186" ht="24" customHeight="1">
      <x:c r="A2186" s="10" t="str">
        <x:v>S04-10</x:v>
      </x:c>
      <x:c r="B2186" s="10" t="str">
        <x:v>B</x:v>
      </x:c>
      <x:c r="C2186" s="18" t="n">
        <x:v>1.345666666</x:v>
      </x:c>
      <x:c r="D2186" s="10" t="n">
        <x:v>560</x:v>
      </x:c>
      <x:c r="E2186" s="10" t="n">
        <x:v>0.01728</x:v>
      </x:c>
      <x:c r="F2186" s="10" t="n">
        <x:v>0.004096</x:v>
      </x:c>
      <x:c r="G2186" s="10" t="n">
        <x:f>SUM(D2186:F2186)</x:f>
        <x:v>560.021376</x:v>
      </x:c>
    </x:row>
    <x:row r="2187" ht="24" customHeight="1">
      <x:c r="A2187" s="10" t="str">
        <x:v>S04-10</x:v>
      </x:c>
      <x:c r="B2187" s="10" t="str">
        <x:v>B</x:v>
      </x:c>
      <x:c r="C2187" s="18" t="n">
        <x:v>1.345666766</x:v>
      </x:c>
      <x:c r="D2187" s="10" t="n">
        <x:v>560</x:v>
      </x:c>
      <x:c r="E2187" s="10" t="n">
        <x:v>0.017280014</x:v>
      </x:c>
      <x:c r="F2187" s="10" t="n">
        <x:v>0.004096</x:v>
      </x:c>
      <x:c r="G2187" s="10" t="n">
        <x:f>SUM(D2187:F2187)</x:f>
        <x:v>560.021376014</x:v>
      </x:c>
    </x:row>
    <x:row r="2188" ht="24" customHeight="1">
      <x:c r="A2188" s="10" t="str">
        <x:v>S04-10</x:v>
      </x:c>
      <x:c r="B2188" s="10" t="str">
        <x:v>B</x:v>
      </x:c>
      <x:c r="C2188" s="18" t="n">
        <x:v>2.169166566</x:v>
      </x:c>
      <x:c r="D2188" s="10" t="n">
        <x:v>560</x:v>
      </x:c>
      <x:c r="E2188" s="10" t="n">
        <x:v>0.135863986</x:v>
      </x:c>
      <x:c r="F2188" s="10" t="n">
        <x:v>0.004096</x:v>
      </x:c>
      <x:c r="G2188" s="10" t="n">
        <x:f>SUM(D2188:F2188)</x:f>
        <x:v>560.139959986</x:v>
      </x:c>
    </x:row>
    <x:row r="2189" ht="24" customHeight="1">
      <x:c r="A2189" s="10" t="str">
        <x:v>S04-10</x:v>
      </x:c>
      <x:c r="B2189" s="10" t="str">
        <x:v>B</x:v>
      </x:c>
      <x:c r="C2189" s="18" t="n">
        <x:v>2.169166666</x:v>
      </x:c>
      <x:c r="D2189" s="10" t="n">
        <x:v>560</x:v>
      </x:c>
      <x:c r="E2189" s="10" t="n">
        <x:v>0.135864</x:v>
      </x:c>
      <x:c r="F2189" s="10" t="n">
        <x:v>0.004096</x:v>
      </x:c>
      <x:c r="G2189" s="10" t="n">
        <x:f>SUM(D2189:F2189)</x:f>
        <x:v>560.13996</x:v>
      </x:c>
    </x:row>
    <x:row r="2190" ht="24" customHeight="1">
      <x:c r="A2190" s="10" t="str">
        <x:v>S04-10</x:v>
      </x:c>
      <x:c r="B2190" s="10" t="str">
        <x:v>B</x:v>
      </x:c>
      <x:c r="C2190" s="18" t="n">
        <x:v>2.169166766</x:v>
      </x:c>
      <x:c r="D2190" s="10" t="n">
        <x:v>560</x:v>
      </x:c>
      <x:c r="E2190" s="10" t="n">
        <x:v>0.135863995</x:v>
      </x:c>
      <x:c r="F2190" s="10" t="n">
        <x:v>0.004096</x:v>
      </x:c>
      <x:c r="G2190" s="10" t="n">
        <x:f>SUM(D2190:F2190)</x:f>
        <x:v>560.139959995</x:v>
      </x:c>
    </x:row>
    <x:row r="2191" ht="24" customHeight="1">
      <x:c r="A2191" s="10" t="str">
        <x:v>S04-10</x:v>
      </x:c>
      <x:c r="B2191" s="10" t="str">
        <x:v>B</x:v>
      </x:c>
      <x:c r="C2191" s="18" t="n">
        <x:v>4.999666566</x:v>
      </x:c>
      <x:c r="D2191" s="10" t="n">
        <x:v>560</x:v>
      </x:c>
      <x:c r="E2191" s="10" t="n">
        <x:v>5e-9</x:v>
      </x:c>
      <x:c r="F2191" s="10" t="n">
        <x:v>0.004096</x:v>
      </x:c>
      <x:c r="G2191" s="10" t="n">
        <x:f>SUM(D2191:F2191)</x:f>
        <x:v>560.004096005</x:v>
      </x:c>
    </x:row>
    <x:row r="2192" ht="24" customHeight="1">
      <x:c r="A2192" s="10" t="str">
        <x:v>S04-10</x:v>
      </x:c>
      <x:c r="B2192" s="10" t="str">
        <x:v>B</x:v>
      </x:c>
      <x:c r="C2192" s="18" t="n">
        <x:v>4.999666666</x:v>
      </x:c>
      <x:c r="D2192" s="10" t="n">
        <x:v>560</x:v>
      </x:c>
      <x:c r="E2192" s="10" t="n">
        <x:v>0</x:v>
      </x:c>
      <x:c r="F2192" s="10" t="n">
        <x:v>0.004096</x:v>
      </x:c>
      <x:c r="G2192" s="10" t="n">
        <x:f>SUM(D2192:F2192)</x:f>
        <x:v>560.004096</x:v>
      </x:c>
    </x:row>
    <x:row r="2193" ht="24" customHeight="1">
      <x:c r="A2193" s="10" t="str">
        <x:v>S04-10</x:v>
      </x:c>
      <x:c r="B2193" s="10" t="str">
        <x:v>B</x:v>
      </x:c>
      <x:c r="C2193" s="18" t="n">
        <x:v>4.999666766</x:v>
      </x:c>
      <x:c r="D2193" s="10" t="n">
        <x:v>560</x:v>
      </x:c>
      <x:c r="E2193" s="10" t="n">
        <x:v>0</x:v>
      </x:c>
      <x:c r="F2193" s="10" t="n">
        <x:v>0</x:v>
      </x:c>
      <x:c r="G2193" s="10" t="n">
        <x:f>SUM(D2193:F2193)</x:f>
        <x:v>560</x:v>
      </x:c>
    </x:row>
    <x:row r="2194" ht="24" customHeight="1">
      <x:c r="A2194" s="10" t="str">
        <x:v>S05-01</x:v>
      </x:c>
      <x:c r="B2194" s="10" t="str">
        <x:v>A</x:v>
      </x:c>
      <x:c r="C2194" s="18" t="n">
        <x:v>-6.0000001</x:v>
      </x:c>
      <x:c r="D2194" s="10" t="n">
        <x:v>560</x:v>
      </x:c>
      <x:c r="E2194" s="10" t="n">
        <x:v>0</x:v>
      </x:c>
      <x:c r="F2194" s="10" t="n">
        <x:v>0</x:v>
      </x:c>
      <x:c r="G2194" s="10" t="n">
        <x:f>SUM(D2194:F2194)</x:f>
        <x:v>560</x:v>
      </x:c>
    </x:row>
    <x:row r="2195" ht="24" customHeight="1">
      <x:c r="A2195" s="10" t="str">
        <x:v>S05-01</x:v>
      </x:c>
      <x:c r="B2195" s="10" t="str">
        <x:v>A</x:v>
      </x:c>
      <x:c r="C2195" s="18" t="n">
        <x:v>-6</x:v>
      </x:c>
      <x:c r="D2195" s="10" t="n">
        <x:v>560</x:v>
      </x:c>
      <x:c r="E2195" s="10" t="n">
        <x:v>0</x:v>
      </x:c>
      <x:c r="F2195" s="10" t="n">
        <x:v>0</x:v>
      </x:c>
      <x:c r="G2195" s="10" t="n">
        <x:f>SUM(D2195:F2195)</x:f>
        <x:v>560</x:v>
      </x:c>
    </x:row>
    <x:row r="2196" ht="24" customHeight="1">
      <x:c r="A2196" s="10" t="str">
        <x:v>S05-01</x:v>
      </x:c>
      <x:c r="B2196" s="10" t="str">
        <x:v>A</x:v>
      </x:c>
      <x:c r="C2196" s="18" t="n">
        <x:v>-5.9999999</x:v>
      </x:c>
      <x:c r="D2196" s="10" t="n">
        <x:v>560</x:v>
      </x:c>
      <x:c r="E2196" s="10" t="n">
        <x:v>0</x:v>
      </x:c>
      <x:c r="F2196" s="10" t="n">
        <x:v>0</x:v>
      </x:c>
      <x:c r="G2196" s="10" t="n">
        <x:f>SUM(D2196:F2196)</x:f>
        <x:v>560</x:v>
      </x:c>
    </x:row>
    <x:row r="2197" ht="24" customHeight="1">
      <x:c r="A2197" s="10" t="str">
        <x:v>S05-01</x:v>
      </x:c>
      <x:c r="B2197" s="10" t="str">
        <x:v>A</x:v>
      </x:c>
      <x:c r="C2197" s="18" t="n">
        <x:v>-4.8000001</x:v>
      </x:c>
      <x:c r="D2197" s="10" t="n">
        <x:v>560</x:v>
      </x:c>
      <x:c r="E2197" s="10" t="n">
        <x:v>0</x:v>
      </x:c>
      <x:c r="F2197" s="10" t="n">
        <x:v>0</x:v>
      </x:c>
      <x:c r="G2197" s="10" t="n">
        <x:f>SUM(D2197:F2197)</x:f>
        <x:v>560</x:v>
      </x:c>
    </x:row>
    <x:row r="2198" ht="24" customHeight="1">
      <x:c r="A2198" s="10" t="str">
        <x:v>S05-01</x:v>
      </x:c>
      <x:c r="B2198" s="10" t="str">
        <x:v>A</x:v>
      </x:c>
      <x:c r="C2198" s="18" t="n">
        <x:v>-4.8</x:v>
      </x:c>
      <x:c r="D2198" s="10" t="n">
        <x:v>560</x:v>
      </x:c>
      <x:c r="E2198" s="10" t="n">
        <x:v>0</x:v>
      </x:c>
      <x:c r="F2198" s="10" t="n">
        <x:v>0.004096</x:v>
      </x:c>
      <x:c r="G2198" s="10" t="n">
        <x:f>SUM(D2198:F2198)</x:f>
        <x:v>560.004096</x:v>
      </x:c>
    </x:row>
    <x:row r="2199" ht="24" customHeight="1">
      <x:c r="A2199" s="10" t="str">
        <x:v>S05-01</x:v>
      </x:c>
      <x:c r="B2199" s="10" t="str">
        <x:v>A</x:v>
      </x:c>
      <x:c r="C2199" s="18" t="n">
        <x:v>-4.7999999</x:v>
      </x:c>
      <x:c r="D2199" s="10" t="n">
        <x:v>560</x:v>
      </x:c>
      <x:c r="E2199" s="10" t="n">
        <x:v>0</x:v>
      </x:c>
      <x:c r="F2199" s="10" t="n">
        <x:v>0.004096</x:v>
      </x:c>
      <x:c r="G2199" s="10" t="n">
        <x:f>SUM(D2199:F2199)</x:f>
        <x:v>560.004096</x:v>
      </x:c>
    </x:row>
    <x:row r="2200" ht="24" customHeight="1">
      <x:c r="A2200" s="10" t="str">
        <x:v>S05-01</x:v>
      </x:c>
      <x:c r="B2200" s="10" t="str">
        <x:v>A</x:v>
      </x:c>
      <x:c r="C2200" s="18" t="n">
        <x:v>-4.324666767</x:v>
      </x:c>
      <x:c r="D2200" s="10" t="n">
        <x:v>560</x:v>
      </x:c>
      <x:c r="E2200" s="10" t="n">
        <x:v>0</x:v>
      </x:c>
      <x:c r="F2200" s="10" t="n">
        <x:v>0.004096</x:v>
      </x:c>
      <x:c r="G2200" s="10" t="n">
        <x:f>SUM(D2200:F2200)</x:f>
        <x:v>560.004096</x:v>
      </x:c>
    </x:row>
    <x:row r="2201" ht="24" customHeight="1">
      <x:c r="A2201" s="10" t="str">
        <x:v>S05-01</x:v>
      </x:c>
      <x:c r="B2201" s="10" t="str">
        <x:v>A</x:v>
      </x:c>
      <x:c r="C2201" s="18" t="n">
        <x:v>-4.324666667</x:v>
      </x:c>
      <x:c r="D2201" s="10" t="n">
        <x:v>560</x:v>
      </x:c>
      <x:c r="E2201" s="10" t="n">
        <x:v>0.0096</x:v>
      </x:c>
      <x:c r="F2201" s="10" t="n">
        <x:v>0.004096</x:v>
      </x:c>
      <x:c r="G2201" s="10" t="n">
        <x:f>SUM(D2201:F2201)</x:f>
        <x:v>560.013696</x:v>
      </x:c>
    </x:row>
    <x:row r="2202" ht="24" customHeight="1">
      <x:c r="A2202" s="10" t="str">
        <x:v>S05-01</x:v>
      </x:c>
      <x:c r="B2202" s="10" t="str">
        <x:v>A</x:v>
      </x:c>
      <x:c r="C2202" s="18" t="n">
        <x:v>-4.324666567</x:v>
      </x:c>
      <x:c r="D2202" s="10" t="n">
        <x:v>560</x:v>
      </x:c>
      <x:c r="E2202" s="10" t="n">
        <x:v>0.009600019</x:v>
      </x:c>
      <x:c r="F2202" s="10" t="n">
        <x:v>0.004096</x:v>
      </x:c>
      <x:c r="G2202" s="10" t="n">
        <x:f>SUM(D2202:F2202)</x:f>
        <x:v>560.013696019</x:v>
      </x:c>
    </x:row>
    <x:row r="2203" ht="24" customHeight="1">
      <x:c r="A2203" s="10" t="str">
        <x:v>S05-01</x:v>
      </x:c>
      <x:c r="B2203" s="10" t="str">
        <x:v>A</x:v>
      </x:c>
      <x:c r="C2203" s="18" t="n">
        <x:v>-4.284666767</x:v>
      </x:c>
      <x:c r="D2203" s="10" t="n">
        <x:v>560</x:v>
      </x:c>
      <x:c r="E2203" s="10" t="n">
        <x:v>0.017279981</x:v>
      </x:c>
      <x:c r="F2203" s="10" t="n">
        <x:v>0.004096</x:v>
      </x:c>
      <x:c r="G2203" s="10" t="n">
        <x:f>SUM(D2203:F2203)</x:f>
        <x:v>560.021375981</x:v>
      </x:c>
    </x:row>
    <x:row r="2204" ht="24" customHeight="1">
      <x:c r="A2204" s="10" t="str">
        <x:v>S05-01</x:v>
      </x:c>
      <x:c r="B2204" s="10" t="str">
        <x:v>A</x:v>
      </x:c>
      <x:c r="C2204" s="18" t="n">
        <x:v>-4.284666667</x:v>
      </x:c>
      <x:c r="D2204" s="10" t="n">
        <x:v>560</x:v>
      </x:c>
      <x:c r="E2204" s="10" t="n">
        <x:v>0.01728</x:v>
      </x:c>
      <x:c r="F2204" s="10" t="n">
        <x:v>0.004096</x:v>
      </x:c>
      <x:c r="G2204" s="10" t="n">
        <x:f>SUM(D2204:F2204)</x:f>
        <x:v>560.021376</x:v>
      </x:c>
    </x:row>
    <x:row r="2205" ht="24" customHeight="1">
      <x:c r="A2205" s="10" t="str">
        <x:v>S05-01</x:v>
      </x:c>
      <x:c r="B2205" s="10" t="str">
        <x:v>A</x:v>
      </x:c>
      <x:c r="C2205" s="18" t="n">
        <x:v>-4.284666567</x:v>
      </x:c>
      <x:c r="D2205" s="10" t="n">
        <x:v>560</x:v>
      </x:c>
      <x:c r="E2205" s="10" t="n">
        <x:v>0.017280014</x:v>
      </x:c>
      <x:c r="F2205" s="10" t="n">
        <x:v>0.004096</x:v>
      </x:c>
      <x:c r="G2205" s="10" t="n">
        <x:f>SUM(D2205:F2205)</x:f>
        <x:v>560.021376014</x:v>
      </x:c>
    </x:row>
    <x:row r="2206" ht="24" customHeight="1">
      <x:c r="A2206" s="10" t="str">
        <x:v>S05-01</x:v>
      </x:c>
      <x:c r="B2206" s="10" t="str">
        <x:v>A</x:v>
      </x:c>
      <x:c r="C2206" s="18" t="n">
        <x:v>-3.5200001</x:v>
      </x:c>
      <x:c r="D2206" s="10" t="n">
        <x:v>560</x:v>
      </x:c>
      <x:c r="E2206" s="10" t="n">
        <x:v>0.127391986</x:v>
      </x:c>
      <x:c r="F2206" s="10" t="n">
        <x:v>0.004096</x:v>
      </x:c>
      <x:c r="G2206" s="10" t="n">
        <x:f>SUM(D2206:F2206)</x:f>
        <x:v>560.131487986</x:v>
      </x:c>
    </x:row>
    <x:row r="2207" ht="24" customHeight="1">
      <x:c r="A2207" s="10" t="str">
        <x:v>S05-01</x:v>
      </x:c>
      <x:c r="B2207" s="10" t="str">
        <x:v>A</x:v>
      </x:c>
      <x:c r="C2207" s="18" t="n">
        <x:v>-3.52</x:v>
      </x:c>
      <x:c r="D2207" s="10" t="n">
        <x:v>560</x:v>
      </x:c>
      <x:c r="E2207" s="10" t="n">
        <x:v>0.127392</x:v>
      </x:c>
      <x:c r="F2207" s="10" t="n">
        <x:v>0.004096</x:v>
      </x:c>
      <x:c r="G2207" s="10" t="n">
        <x:f>SUM(D2207:F2207)</x:f>
        <x:v>560.131488</x:v>
      </x:c>
    </x:row>
    <x:row r="2208" ht="24" customHeight="1">
      <x:c r="A2208" s="10" t="str">
        <x:v>S05-01</x:v>
      </x:c>
      <x:c r="B2208" s="10" t="str">
        <x:v>A</x:v>
      </x:c>
      <x:c r="C2208" s="18" t="n">
        <x:v>-3.5199999</x:v>
      </x:c>
      <x:c r="D2208" s="10" t="n">
        <x:v>560</x:v>
      </x:c>
      <x:c r="E2208" s="10" t="n">
        <x:v>0.127392019</x:v>
      </x:c>
      <x:c r="F2208" s="10" t="n">
        <x:v>0.004096</x:v>
      </x:c>
      <x:c r="G2208" s="10" t="n">
        <x:f>SUM(D2208:F2208)</x:f>
        <x:v>560.131488019</x:v>
      </x:c>
    </x:row>
    <x:row r="2209" ht="24" customHeight="1">
      <x:c r="A2209" s="10" t="str">
        <x:v>S05-01</x:v>
      </x:c>
      <x:c r="B2209" s="10" t="str">
        <x:v>A</x:v>
      </x:c>
      <x:c r="C2209" s="18" t="n">
        <x:v>-0.9000001</x:v>
      </x:c>
      <x:c r="D2209" s="10" t="n">
        <x:v>560</x:v>
      </x:c>
      <x:c r="E2209" s="10" t="n">
        <x:v>0.630431981</x:v>
      </x:c>
      <x:c r="F2209" s="10" t="n">
        <x:v>0.004096</x:v>
      </x:c>
      <x:c r="G2209" s="10" t="n">
        <x:f>SUM(D2209:F2209)</x:f>
        <x:v>560.634527981</x:v>
      </x:c>
    </x:row>
    <x:row r="2210" ht="24" customHeight="1">
      <x:c r="A2210" s="10" t="str">
        <x:v>S05-01</x:v>
      </x:c>
      <x:c r="B2210" s="10" t="str">
        <x:v>A</x:v>
      </x:c>
      <x:c r="C2210" s="18" t="n">
        <x:v>-0.9</x:v>
      </x:c>
      <x:c r="D2210" s="10" t="n">
        <x:v>560</x:v>
      </x:c>
      <x:c r="E2210" s="10" t="n">
        <x:v>0.630432</x:v>
      </x:c>
      <x:c r="F2210" s="10" t="n">
        <x:v>0.008192</x:v>
      </x:c>
      <x:c r="G2210" s="10" t="n">
        <x:f>SUM(D2210:F2210)</x:f>
        <x:v>560.638624</x:v>
      </x:c>
    </x:row>
    <x:row r="2211" ht="24" customHeight="1">
      <x:c r="A2211" s="10" t="str">
        <x:v>S05-01</x:v>
      </x:c>
      <x:c r="B2211" s="10" t="str">
        <x:v>A</x:v>
      </x:c>
      <x:c r="C2211" s="18" t="n">
        <x:v>-0.8999999</x:v>
      </x:c>
      <x:c r="D2211" s="10" t="n">
        <x:v>560</x:v>
      </x:c>
      <x:c r="E2211" s="10" t="n">
        <x:v>0.630432019</x:v>
      </x:c>
      <x:c r="F2211" s="10" t="n">
        <x:v>0.008192</x:v>
      </x:c>
      <x:c r="G2211" s="10" t="n">
        <x:f>SUM(D2211:F2211)</x:f>
        <x:v>560.638624019</x:v>
      </x:c>
    </x:row>
    <x:row r="2212" ht="24" customHeight="1">
      <x:c r="A2212" s="10" t="str">
        <x:v>S05-01</x:v>
      </x:c>
      <x:c r="B2212" s="10" t="str">
        <x:v>A</x:v>
      </x:c>
      <x:c r="C2212" s="18" t="n">
        <x:v>-0.4990001</x:v>
      </x:c>
      <x:c r="D2212" s="10" t="n">
        <x:v>560</x:v>
      </x:c>
      <x:c r="E2212" s="10" t="n">
        <x:v>0.707423981</x:v>
      </x:c>
      <x:c r="F2212" s="10" t="n">
        <x:v>0.008192</x:v>
      </x:c>
      <x:c r="G2212" s="10" t="n">
        <x:f>SUM(D2212:F2212)</x:f>
        <x:v>560.715615981</x:v>
      </x:c>
    </x:row>
    <x:row r="2213" ht="24" customHeight="1">
      <x:c r="A2213" s="10" t="str">
        <x:v>S05-01</x:v>
      </x:c>
      <x:c r="B2213" s="10" t="str">
        <x:v>A</x:v>
      </x:c>
      <x:c r="C2213" s="18" t="n">
        <x:v>-0.499</x:v>
      </x:c>
      <x:c r="D2213" s="10" t="n">
        <x:v>560</x:v>
      </x:c>
      <x:c r="E2213" s="10" t="n">
        <x:v>0.717024</x:v>
      </x:c>
      <x:c r="F2213" s="10" t="n">
        <x:v>0.008192</x:v>
      </x:c>
      <x:c r="G2213" s="10" t="n">
        <x:f>SUM(D2213:F2213)</x:f>
        <x:v>560.725216</x:v>
      </x:c>
    </x:row>
    <x:row r="2214" ht="24" customHeight="1">
      <x:c r="A2214" s="10" t="str">
        <x:v>S05-01</x:v>
      </x:c>
      <x:c r="B2214" s="10" t="str">
        <x:v>A</x:v>
      </x:c>
      <x:c r="C2214" s="18" t="n">
        <x:v>-0.4989999</x:v>
      </x:c>
      <x:c r="D2214" s="10" t="n">
        <x:v>560</x:v>
      </x:c>
      <x:c r="E2214" s="10" t="n">
        <x:v>0.717024038</x:v>
      </x:c>
      <x:c r="F2214" s="10" t="n">
        <x:v>0.008192</x:v>
      </x:c>
      <x:c r="G2214" s="10" t="n">
        <x:f>SUM(D2214:F2214)</x:f>
        <x:v>560.725216038</x:v>
      </x:c>
    </x:row>
    <x:row r="2215" ht="24" customHeight="1">
      <x:c r="A2215" s="10" t="str">
        <x:v>S05-01</x:v>
      </x:c>
      <x:c r="B2215" s="10" t="str">
        <x:v>A</x:v>
      </x:c>
      <x:c r="C2215" s="18" t="n">
        <x:v>-1e-7</x:v>
      </x:c>
      <x:c r="D2215" s="10" t="n">
        <x:v>560</x:v>
      </x:c>
      <x:c r="E2215" s="10" t="n">
        <x:v>0.908639962</x:v>
      </x:c>
      <x:c r="F2215" s="10" t="n">
        <x:v>0.008192</x:v>
      </x:c>
      <x:c r="G2215" s="10" t="n">
        <x:f>SUM(D2215:F2215)</x:f>
        <x:v>560.9168319620001</x:v>
      </x:c>
    </x:row>
    <x:row r="2216" ht="24" customHeight="1">
      <x:c r="A2216" s="10" t="str">
        <x:v>S05-01</x:v>
      </x:c>
      <x:c r="B2216" s="10" t="str">
        <x:v>A</x:v>
      </x:c>
      <x:c r="C2216" s="18" t="n">
        <x:v>0</x:v>
      </x:c>
      <x:c r="D2216" s="10" t="n">
        <x:v>560</x:v>
      </x:c>
      <x:c r="E2216" s="10" t="n">
        <x:v>0.90864</x:v>
      </x:c>
      <x:c r="F2216" s="10" t="n">
        <x:v>0.008192</x:v>
      </x:c>
      <x:c r="G2216" s="10" t="n">
        <x:f>SUM(D2216:F2216)</x:f>
        <x:v>560.916832</x:v>
      </x:c>
    </x:row>
    <x:row r="2217" ht="24" customHeight="1">
      <x:c r="A2217" s="10" t="str">
        <x:v>S05-01</x:v>
      </x:c>
      <x:c r="B2217" s="10" t="str">
        <x:v>A</x:v>
      </x:c>
      <x:c r="C2217" s="18" t="n">
        <x:v>1e-7</x:v>
      </x:c>
      <x:c r="D2217" s="10" t="n">
        <x:v>560</x:v>
      </x:c>
      <x:c r="E2217" s="10" t="n">
        <x:v>0.908640038</x:v>
      </x:c>
      <x:c r="F2217" s="10" t="n">
        <x:v>0.008192</x:v>
      </x:c>
      <x:c r="G2217" s="10" t="n">
        <x:f>SUM(D2217:F2217)</x:f>
        <x:v>560.916832038</x:v>
      </x:c>
    </x:row>
    <x:row r="2218" ht="24" customHeight="1">
      <x:c r="A2218" s="10" t="str">
        <x:v>S05-01</x:v>
      </x:c>
      <x:c r="B2218" s="10" t="str">
        <x:v>A</x:v>
      </x:c>
      <x:c r="C2218" s="18" t="n">
        <x:v>0.1374999</x:v>
      </x:c>
      <x:c r="D2218" s="10" t="n">
        <x:v>560</x:v>
      </x:c>
      <x:c r="E2218" s="10" t="n">
        <x:v>0.961439962</x:v>
      </x:c>
      <x:c r="F2218" s="10" t="n">
        <x:v>0.008192</x:v>
      </x:c>
      <x:c r="G2218" s="10" t="n">
        <x:f>SUM(D2218:F2218)</x:f>
        <x:v>560.969631962</x:v>
      </x:c>
    </x:row>
    <x:row r="2219" ht="24" customHeight="1">
      <x:c r="A2219" s="10" t="str">
        <x:v>S05-01</x:v>
      </x:c>
      <x:c r="B2219" s="10" t="str">
        <x:v>A</x:v>
      </x:c>
      <x:c r="C2219" s="18" t="n">
        <x:v>0.1375</x:v>
      </x:c>
      <x:c r="D2219" s="10" t="n">
        <x:v>560</x:v>
      </x:c>
      <x:c r="E2219" s="10" t="n">
        <x:v>0.96144</x:v>
      </x:c>
      <x:c r="F2219" s="10" t="n">
        <x:v>0.008192</x:v>
      </x:c>
      <x:c r="G2219" s="10" t="n">
        <x:f>SUM(D2219:F2219)</x:f>
        <x:v>560.969632</x:v>
      </x:c>
    </x:row>
    <x:row r="2220" ht="24" customHeight="1">
      <x:c r="A2220" s="10" t="str">
        <x:v>S05-01</x:v>
      </x:c>
      <x:c r="B2220" s="10" t="str">
        <x:v>A</x:v>
      </x:c>
      <x:c r="C2220" s="18" t="n">
        <x:v>0.1375001</x:v>
      </x:c>
      <x:c r="D2220" s="10" t="n">
        <x:v>560</x:v>
      </x:c>
      <x:c r="E2220" s="10" t="n">
        <x:v>0.961440019</x:v>
      </x:c>
      <x:c r="F2220" s="10" t="n">
        <x:v>0.008192</x:v>
      </x:c>
      <x:c r="G2220" s="10" t="n">
        <x:f>SUM(D2220:F2220)</x:f>
        <x:v>560.969632019</x:v>
      </x:c>
    </x:row>
    <x:row r="2221" ht="24" customHeight="1">
      <x:c r="A2221" s="10" t="str">
        <x:v>S05-01</x:v>
      </x:c>
      <x:c r="B2221" s="10" t="str">
        <x:v>A</x:v>
      </x:c>
      <x:c r="C2221" s="18" t="n">
        <x:v>0.868333233</x:v>
      </x:c>
      <x:c r="D2221" s="10" t="n">
        <x:v>560</x:v>
      </x:c>
      <x:c r="E2221" s="10" t="n">
        <x:v>1.101759981</x:v>
      </x:c>
      <x:c r="F2221" s="10" t="n">
        <x:v>0.008192</x:v>
      </x:c>
      <x:c r="G2221" s="10" t="n">
        <x:f>SUM(D2221:F2221)</x:f>
        <x:v>561.109951981</x:v>
      </x:c>
    </x:row>
    <x:row r="2222" ht="24" customHeight="1">
      <x:c r="A2222" s="10" t="str">
        <x:v>S05-01</x:v>
      </x:c>
      <x:c r="B2222" s="10" t="str">
        <x:v>A</x:v>
      </x:c>
      <x:c r="C2222" s="18" t="n">
        <x:v>0.868333333</x:v>
      </x:c>
      <x:c r="D2222" s="10" t="n">
        <x:v>560</x:v>
      </x:c>
      <x:c r="E2222" s="10" t="n">
        <x:v>1.10176</x:v>
      </x:c>
      <x:c r="F2222" s="10" t="n">
        <x:v>0.008192</x:v>
      </x:c>
      <x:c r="G2222" s="10" t="n">
        <x:f>SUM(D2222:F2222)</x:f>
        <x:v>561.109952</x:v>
      </x:c>
    </x:row>
    <x:row r="2223" ht="24" customHeight="1">
      <x:c r="A2223" s="10" t="str">
        <x:v>S05-01</x:v>
      </x:c>
      <x:c r="B2223" s="10" t="str">
        <x:v>A</x:v>
      </x:c>
      <x:c r="C2223" s="18" t="n">
        <x:v>0.868333433</x:v>
      </x:c>
      <x:c r="D2223" s="10" t="n">
        <x:v>560</x:v>
      </x:c>
      <x:c r="E2223" s="10" t="n">
        <x:v>1.101760019</x:v>
      </x:c>
      <x:c r="F2223" s="10" t="n">
        <x:v>0.008192</x:v>
      </x:c>
      <x:c r="G2223" s="10" t="n">
        <x:f>SUM(D2223:F2223)</x:f>
        <x:v>561.109952019</x:v>
      </x:c>
    </x:row>
    <x:row r="2224" ht="24" customHeight="1">
      <x:c r="A2224" s="10" t="str">
        <x:v>S05-01</x:v>
      </x:c>
      <x:c r="B2224" s="10" t="str">
        <x:v>A</x:v>
      </x:c>
      <x:c r="C2224" s="18" t="n">
        <x:v>0.908333233</x:v>
      </x:c>
      <x:c r="D2224" s="10" t="n">
        <x:v>560</x:v>
      </x:c>
      <x:c r="E2224" s="10" t="n">
        <x:v>1.109439981</x:v>
      </x:c>
      <x:c r="F2224" s="10" t="n">
        <x:v>0.008192</x:v>
      </x:c>
      <x:c r="G2224" s="10" t="n">
        <x:f>SUM(D2224:F2224)</x:f>
        <x:v>561.117631981</x:v>
      </x:c>
    </x:row>
    <x:row r="2225" ht="24" customHeight="1">
      <x:c r="A2225" s="10" t="str">
        <x:v>S05-01</x:v>
      </x:c>
      <x:c r="B2225" s="10" t="str">
        <x:v>A</x:v>
      </x:c>
      <x:c r="C2225" s="18" t="n">
        <x:v>0.908333333</x:v>
      </x:c>
      <x:c r="D2225" s="10" t="n">
        <x:v>560</x:v>
      </x:c>
      <x:c r="E2225" s="10" t="n">
        <x:v>1.10944</x:v>
      </x:c>
      <x:c r="F2225" s="10" t="n">
        <x:v>0.008192</x:v>
      </x:c>
      <x:c r="G2225" s="10" t="n">
        <x:f>SUM(D2225:F2225)</x:f>
        <x:v>561.117632</x:v>
      </x:c>
    </x:row>
    <x:row r="2226" ht="24" customHeight="1">
      <x:c r="A2226" s="10" t="str">
        <x:v>S05-01</x:v>
      </x:c>
      <x:c r="B2226" s="10" t="str">
        <x:v>A</x:v>
      </x:c>
      <x:c r="C2226" s="18" t="n">
        <x:v>0.908333433</x:v>
      </x:c>
      <x:c r="D2226" s="10" t="n">
        <x:v>560</x:v>
      </x:c>
      <x:c r="E2226" s="10" t="n">
        <x:v>1.109440014</x:v>
      </x:c>
      <x:c r="F2226" s="10" t="n">
        <x:v>0.008192</x:v>
      </x:c>
      <x:c r="G2226" s="10" t="n">
        <x:f>SUM(D2226:F2226)</x:f>
        <x:v>561.117632014</x:v>
      </x:c>
    </x:row>
    <x:row r="2227" ht="24" customHeight="1">
      <x:c r="A2227" s="10" t="str">
        <x:v>S05-01</x:v>
      </x:c>
      <x:c r="B2227" s="10" t="str">
        <x:v>A</x:v>
      </x:c>
      <x:c r="C2227" s="18" t="n">
        <x:v>3.654333233</x:v>
      </x:c>
      <x:c r="D2227" s="10" t="n">
        <x:v>560</x:v>
      </x:c>
      <x:c r="E2227" s="10" t="n">
        <x:v>1.504863986</x:v>
      </x:c>
      <x:c r="F2227" s="10" t="n">
        <x:v>0.008192</x:v>
      </x:c>
      <x:c r="G2227" s="10" t="n">
        <x:f>SUM(D2227:F2227)</x:f>
        <x:v>561.513055986</x:v>
      </x:c>
    </x:row>
    <x:row r="2228" ht="24" customHeight="1">
      <x:c r="A2228" s="10" t="str">
        <x:v>S05-01</x:v>
      </x:c>
      <x:c r="B2228" s="10" t="str">
        <x:v>A</x:v>
      </x:c>
      <x:c r="C2228" s="18" t="n">
        <x:v>3.654333333</x:v>
      </x:c>
      <x:c r="D2228" s="10" t="n">
        <x:v>560</x:v>
      </x:c>
      <x:c r="E2228" s="10" t="n">
        <x:v>1.504864</x:v>
      </x:c>
      <x:c r="F2228" s="10" t="n">
        <x:v>0.008192</x:v>
      </x:c>
      <x:c r="G2228" s="10" t="n">
        <x:f>SUM(D2228:F2228)</x:f>
        <x:v>561.513056</x:v>
      </x:c>
    </x:row>
    <x:row r="2229" ht="24" customHeight="1">
      <x:c r="A2229" s="10" t="str">
        <x:v>S05-01</x:v>
      </x:c>
      <x:c r="B2229" s="10" t="str">
        <x:v>A</x:v>
      </x:c>
      <x:c r="C2229" s="18" t="n">
        <x:v>3.654333433</x:v>
      </x:c>
      <x:c r="D2229" s="10" t="n">
        <x:v>560</x:v>
      </x:c>
      <x:c r="E2229" s="10" t="n">
        <x:v>1.504864019</x:v>
      </x:c>
      <x:c r="F2229" s="10" t="n">
        <x:v>0.004096</x:v>
      </x:c>
      <x:c r="G2229" s="10" t="n">
        <x:f>SUM(D2229:F2229)</x:f>
        <x:v>561.508960019</x:v>
      </x:c>
    </x:row>
    <x:row r="2230" ht="24" customHeight="1">
      <x:c r="A2230" s="10" t="str">
        <x:v>S05-01</x:v>
      </x:c>
      <x:c r="B2230" s="10" t="str">
        <x:v>A</x:v>
      </x:c>
      <x:c r="C2230" s="18" t="n">
        <x:v>3.694333233</x:v>
      </x:c>
      <x:c r="D2230" s="10" t="n">
        <x:v>560</x:v>
      </x:c>
      <x:c r="E2230" s="10" t="n">
        <x:v>1.512543981</x:v>
      </x:c>
      <x:c r="F2230" s="10" t="n">
        <x:v>0.004096</x:v>
      </x:c>
      <x:c r="G2230" s="10" t="n">
        <x:f>SUM(D2230:F2230)</x:f>
        <x:v>561.516639981</x:v>
      </x:c>
    </x:row>
    <x:row r="2231" ht="24" customHeight="1">
      <x:c r="A2231" s="10" t="str">
        <x:v>S05-01</x:v>
      </x:c>
      <x:c r="B2231" s="10" t="str">
        <x:v>A</x:v>
      </x:c>
      <x:c r="C2231" s="18" t="n">
        <x:v>3.694333333</x:v>
      </x:c>
      <x:c r="D2231" s="10" t="n">
        <x:v>560</x:v>
      </x:c>
      <x:c r="E2231" s="10" t="n">
        <x:v>1.512544</x:v>
      </x:c>
      <x:c r="F2231" s="10" t="n">
        <x:v>0.004096</x:v>
      </x:c>
      <x:c r="G2231" s="10" t="n">
        <x:f>SUM(D2231:F2231)</x:f>
        <x:v>561.51664</x:v>
      </x:c>
    </x:row>
    <x:row r="2232" ht="24" customHeight="1">
      <x:c r="A2232" s="10" t="str">
        <x:v>S05-01</x:v>
      </x:c>
      <x:c r="B2232" s="10" t="str">
        <x:v>A</x:v>
      </x:c>
      <x:c r="C2232" s="18" t="n">
        <x:v>3.694333433</x:v>
      </x:c>
      <x:c r="D2232" s="10" t="n">
        <x:v>560</x:v>
      </x:c>
      <x:c r="E2232" s="10" t="n">
        <x:v>1.512544014</x:v>
      </x:c>
      <x:c r="F2232" s="10" t="n">
        <x:v>0.004096</x:v>
      </x:c>
      <x:c r="G2232" s="10" t="n">
        <x:f>SUM(D2232:F2232)</x:f>
        <x:v>561.516640014</x:v>
      </x:c>
    </x:row>
    <x:row r="2233" ht="24" customHeight="1">
      <x:c r="A2233" s="10" t="str">
        <x:v>S05-01</x:v>
      </x:c>
      <x:c r="B2233" s="10" t="str">
        <x:v>A</x:v>
      </x:c>
      <x:c r="C2233" s="18" t="n">
        <x:v>4.611833233</x:v>
      </x:c>
      <x:c r="D2233" s="10" t="n">
        <x:v>560</x:v>
      </x:c>
      <x:c r="E2233" s="10" t="n">
        <x:v>1.644663986</x:v>
      </x:c>
      <x:c r="F2233" s="10" t="n">
        <x:v>0.004096</x:v>
      </x:c>
      <x:c r="G2233" s="10" t="n">
        <x:f>SUM(D2233:F2233)</x:f>
        <x:v>561.648759986</x:v>
      </x:c>
    </x:row>
    <x:row r="2234" ht="24" customHeight="1">
      <x:c r="A2234" s="10" t="str">
        <x:v>S05-01</x:v>
      </x:c>
      <x:c r="B2234" s="10" t="str">
        <x:v>A</x:v>
      </x:c>
      <x:c r="C2234" s="18" t="n">
        <x:v>4.611833333</x:v>
      </x:c>
      <x:c r="D2234" s="10" t="n">
        <x:v>560</x:v>
      </x:c>
      <x:c r="E2234" s="10" t="n">
        <x:v>1.644664</x:v>
      </x:c>
      <x:c r="F2234" s="10" t="n">
        <x:v>0.004096</x:v>
      </x:c>
      <x:c r="G2234" s="10" t="n">
        <x:f>SUM(D2234:F2234)</x:f>
        <x:v>561.64876</x:v>
      </x:c>
    </x:row>
    <x:row r="2235" ht="24" customHeight="1">
      <x:c r="A2235" s="10" t="str">
        <x:v>S05-01</x:v>
      </x:c>
      <x:c r="B2235" s="10" t="str">
        <x:v>A</x:v>
      </x:c>
      <x:c r="C2235" s="18" t="n">
        <x:v>4.611833433</x:v>
      </x:c>
      <x:c r="D2235" s="10" t="n">
        <x:v>560</x:v>
      </x:c>
      <x:c r="E2235" s="10" t="n">
        <x:v>1.644663995</x:v>
      </x:c>
      <x:c r="F2235" s="10" t="n">
        <x:v>0.004096</x:v>
      </x:c>
      <x:c r="G2235" s="10" t="n">
        <x:f>SUM(D2235:F2235)</x:f>
        <x:v>561.648759995</x:v>
      </x:c>
    </x:row>
    <x:row r="2236" ht="24" customHeight="1">
      <x:c r="A2236" s="10" t="str">
        <x:v>S05-01</x:v>
      </x:c>
      <x:c r="B2236" s="10" t="str">
        <x:v>A</x:v>
      </x:c>
      <x:c r="C2236" s="18" t="n">
        <x:v>38.875666566</x:v>
      </x:c>
      <x:c r="D2236" s="10" t="n">
        <x:v>560</x:v>
      </x:c>
      <x:c r="E2236" s="10" t="n">
        <x:v>5e-9</x:v>
      </x:c>
      <x:c r="F2236" s="10" t="n">
        <x:v>0.004096</x:v>
      </x:c>
      <x:c r="G2236" s="10" t="n">
        <x:f>SUM(D2236:F2236)</x:f>
        <x:v>560.004096005</x:v>
      </x:c>
    </x:row>
    <x:row r="2237" ht="24" customHeight="1">
      <x:c r="A2237" s="10" t="str">
        <x:v>S05-01</x:v>
      </x:c>
      <x:c r="B2237" s="10" t="str">
        <x:v>A</x:v>
      </x:c>
      <x:c r="C2237" s="18" t="n">
        <x:v>38.875666666</x:v>
      </x:c>
      <x:c r="D2237" s="10" t="n">
        <x:v>560</x:v>
      </x:c>
      <x:c r="E2237" s="10" t="n">
        <x:v>0</x:v>
      </x:c>
      <x:c r="F2237" s="10" t="n">
        <x:v>0.004096</x:v>
      </x:c>
      <x:c r="G2237" s="10" t="n">
        <x:f>SUM(D2237:F2237)</x:f>
        <x:v>560.004096</x:v>
      </x:c>
    </x:row>
    <x:row r="2238" ht="24" customHeight="1">
      <x:c r="A2238" s="10" t="str">
        <x:v>S05-01</x:v>
      </x:c>
      <x:c r="B2238" s="10" t="str">
        <x:v>A</x:v>
      </x:c>
      <x:c r="C2238" s="18" t="n">
        <x:v>38.875666766</x:v>
      </x:c>
      <x:c r="D2238" s="10" t="n">
        <x:v>560</x:v>
      </x:c>
      <x:c r="E2238" s="10" t="n">
        <x:v>0</x:v>
      </x:c>
      <x:c r="F2238" s="10" t="n">
        <x:v>0</x:v>
      </x:c>
      <x:c r="G2238" s="10" t="n">
        <x:f>SUM(D2238:F2238)</x:f>
        <x:v>560</x:v>
      </x:c>
    </x:row>
    <x:row r="2239" ht="24" customHeight="1">
      <x:c r="A2239" s="10" t="str">
        <x:v>S05-01</x:v>
      </x:c>
      <x:c r="B2239" s="10" t="str">
        <x:v>B</x:v>
      </x:c>
      <x:c r="C2239" s="18" t="n">
        <x:v>-6.0000001</x:v>
      </x:c>
      <x:c r="D2239" s="10" t="n">
        <x:v>560</x:v>
      </x:c>
      <x:c r="E2239" s="10" t="n">
        <x:v>0</x:v>
      </x:c>
      <x:c r="F2239" s="10" t="n">
        <x:v>0</x:v>
      </x:c>
      <x:c r="G2239" s="10" t="n">
        <x:f>SUM(D2239:F2239)</x:f>
        <x:v>560</x:v>
      </x:c>
    </x:row>
    <x:row r="2240" ht="24" customHeight="1">
      <x:c r="A2240" s="10" t="str">
        <x:v>S05-01</x:v>
      </x:c>
      <x:c r="B2240" s="10" t="str">
        <x:v>B</x:v>
      </x:c>
      <x:c r="C2240" s="18" t="n">
        <x:v>-6</x:v>
      </x:c>
      <x:c r="D2240" s="10" t="n">
        <x:v>560</x:v>
      </x:c>
      <x:c r="E2240" s="10" t="n">
        <x:v>0</x:v>
      </x:c>
      <x:c r="F2240" s="10" t="n">
        <x:v>0</x:v>
      </x:c>
      <x:c r="G2240" s="10" t="n">
        <x:f>SUM(D2240:F2240)</x:f>
        <x:v>560</x:v>
      </x:c>
    </x:row>
    <x:row r="2241" ht="24" customHeight="1">
      <x:c r="A2241" s="10" t="str">
        <x:v>S05-01</x:v>
      </x:c>
      <x:c r="B2241" s="10" t="str">
        <x:v>B</x:v>
      </x:c>
      <x:c r="C2241" s="18" t="n">
        <x:v>-5.9999999</x:v>
      </x:c>
      <x:c r="D2241" s="10" t="n">
        <x:v>560</x:v>
      </x:c>
      <x:c r="E2241" s="10" t="n">
        <x:v>0</x:v>
      </x:c>
      <x:c r="F2241" s="10" t="n">
        <x:v>0</x:v>
      </x:c>
      <x:c r="G2241" s="10" t="n">
        <x:f>SUM(D2241:F2241)</x:f>
        <x:v>560</x:v>
      </x:c>
    </x:row>
    <x:row r="2242" ht="24" customHeight="1">
      <x:c r="A2242" s="10" t="str">
        <x:v>S05-01</x:v>
      </x:c>
      <x:c r="B2242" s="10" t="str">
        <x:v>B</x:v>
      </x:c>
      <x:c r="C2242" s="18" t="n">
        <x:v>-4.8000001</x:v>
      </x:c>
      <x:c r="D2242" s="10" t="n">
        <x:v>560</x:v>
      </x:c>
      <x:c r="E2242" s="10" t="n">
        <x:v>0</x:v>
      </x:c>
      <x:c r="F2242" s="10" t="n">
        <x:v>0</x:v>
      </x:c>
      <x:c r="G2242" s="10" t="n">
        <x:f>SUM(D2242:F2242)</x:f>
        <x:v>560</x:v>
      </x:c>
    </x:row>
    <x:row r="2243" ht="24" customHeight="1">
      <x:c r="A2243" s="10" t="str">
        <x:v>S05-01</x:v>
      </x:c>
      <x:c r="B2243" s="10" t="str">
        <x:v>B</x:v>
      </x:c>
      <x:c r="C2243" s="18" t="n">
        <x:v>-4.8</x:v>
      </x:c>
      <x:c r="D2243" s="10" t="n">
        <x:v>560</x:v>
      </x:c>
      <x:c r="E2243" s="10" t="n">
        <x:v>0</x:v>
      </x:c>
      <x:c r="F2243" s="10" t="n">
        <x:v>0.004096</x:v>
      </x:c>
      <x:c r="G2243" s="10" t="n">
        <x:f>SUM(D2243:F2243)</x:f>
        <x:v>560.004096</x:v>
      </x:c>
    </x:row>
    <x:row r="2244" ht="24" customHeight="1">
      <x:c r="A2244" s="10" t="str">
        <x:v>S05-01</x:v>
      </x:c>
      <x:c r="B2244" s="10" t="str">
        <x:v>B</x:v>
      </x:c>
      <x:c r="C2244" s="18" t="n">
        <x:v>-4.7999999</x:v>
      </x:c>
      <x:c r="D2244" s="10" t="n">
        <x:v>560</x:v>
      </x:c>
      <x:c r="E2244" s="10" t="n">
        <x:v>0</x:v>
      </x:c>
      <x:c r="F2244" s="10" t="n">
        <x:v>0.004096</x:v>
      </x:c>
      <x:c r="G2244" s="10" t="n">
        <x:f>SUM(D2244:F2244)</x:f>
        <x:v>560.004096</x:v>
      </x:c>
    </x:row>
    <x:row r="2245" ht="24" customHeight="1">
      <x:c r="A2245" s="10" t="str">
        <x:v>S05-01</x:v>
      </x:c>
      <x:c r="B2245" s="10" t="str">
        <x:v>B</x:v>
      </x:c>
      <x:c r="C2245" s="18" t="n">
        <x:v>-4.324666767</x:v>
      </x:c>
      <x:c r="D2245" s="10" t="n">
        <x:v>560</x:v>
      </x:c>
      <x:c r="E2245" s="10" t="n">
        <x:v>0</x:v>
      </x:c>
      <x:c r="F2245" s="10" t="n">
        <x:v>0.004096</x:v>
      </x:c>
      <x:c r="G2245" s="10" t="n">
        <x:f>SUM(D2245:F2245)</x:f>
        <x:v>560.004096</x:v>
      </x:c>
    </x:row>
    <x:row r="2246" ht="24" customHeight="1">
      <x:c r="A2246" s="10" t="str">
        <x:v>S05-01</x:v>
      </x:c>
      <x:c r="B2246" s="10" t="str">
        <x:v>B</x:v>
      </x:c>
      <x:c r="C2246" s="18" t="n">
        <x:v>-4.324666667</x:v>
      </x:c>
      <x:c r="D2246" s="10" t="n">
        <x:v>560</x:v>
      </x:c>
      <x:c r="E2246" s="10" t="n">
        <x:v>0.0096</x:v>
      </x:c>
      <x:c r="F2246" s="10" t="n">
        <x:v>0.004096</x:v>
      </x:c>
      <x:c r="G2246" s="10" t="n">
        <x:f>SUM(D2246:F2246)</x:f>
        <x:v>560.013696</x:v>
      </x:c>
    </x:row>
    <x:row r="2247" ht="24" customHeight="1">
      <x:c r="A2247" s="10" t="str">
        <x:v>S05-01</x:v>
      </x:c>
      <x:c r="B2247" s="10" t="str">
        <x:v>B</x:v>
      </x:c>
      <x:c r="C2247" s="18" t="n">
        <x:v>-4.324666567</x:v>
      </x:c>
      <x:c r="D2247" s="10" t="n">
        <x:v>560</x:v>
      </x:c>
      <x:c r="E2247" s="10" t="n">
        <x:v>0.009600019</x:v>
      </x:c>
      <x:c r="F2247" s="10" t="n">
        <x:v>0.004096</x:v>
      </x:c>
      <x:c r="G2247" s="10" t="n">
        <x:f>SUM(D2247:F2247)</x:f>
        <x:v>560.013696019</x:v>
      </x:c>
    </x:row>
    <x:row r="2248" ht="24" customHeight="1">
      <x:c r="A2248" s="10" t="str">
        <x:v>S05-01</x:v>
      </x:c>
      <x:c r="B2248" s="10" t="str">
        <x:v>B</x:v>
      </x:c>
      <x:c r="C2248" s="18" t="n">
        <x:v>-4.284666767</x:v>
      </x:c>
      <x:c r="D2248" s="10" t="n">
        <x:v>560</x:v>
      </x:c>
      <x:c r="E2248" s="10" t="n">
        <x:v>0.017279981</x:v>
      </x:c>
      <x:c r="F2248" s="10" t="n">
        <x:v>0.004096</x:v>
      </x:c>
      <x:c r="G2248" s="10" t="n">
        <x:f>SUM(D2248:F2248)</x:f>
        <x:v>560.021375981</x:v>
      </x:c>
    </x:row>
    <x:row r="2249" ht="24" customHeight="1">
      <x:c r="A2249" s="10" t="str">
        <x:v>S05-01</x:v>
      </x:c>
      <x:c r="B2249" s="10" t="str">
        <x:v>B</x:v>
      </x:c>
      <x:c r="C2249" s="18" t="n">
        <x:v>-4.284666667</x:v>
      </x:c>
      <x:c r="D2249" s="10" t="n">
        <x:v>560</x:v>
      </x:c>
      <x:c r="E2249" s="10" t="n">
        <x:v>0.01728</x:v>
      </x:c>
      <x:c r="F2249" s="10" t="n">
        <x:v>0.004096</x:v>
      </x:c>
      <x:c r="G2249" s="10" t="n">
        <x:f>SUM(D2249:F2249)</x:f>
        <x:v>560.021376</x:v>
      </x:c>
    </x:row>
    <x:row r="2250" ht="24" customHeight="1">
      <x:c r="A2250" s="10" t="str">
        <x:v>S05-01</x:v>
      </x:c>
      <x:c r="B2250" s="10" t="str">
        <x:v>B</x:v>
      </x:c>
      <x:c r="C2250" s="18" t="n">
        <x:v>-4.284666567</x:v>
      </x:c>
      <x:c r="D2250" s="10" t="n">
        <x:v>560</x:v>
      </x:c>
      <x:c r="E2250" s="10" t="n">
        <x:v>0.017280014</x:v>
      </x:c>
      <x:c r="F2250" s="10" t="n">
        <x:v>0.004096</x:v>
      </x:c>
      <x:c r="G2250" s="10" t="n">
        <x:f>SUM(D2250:F2250)</x:f>
        <x:v>560.021376014</x:v>
      </x:c>
    </x:row>
    <x:row r="2251" ht="24" customHeight="1">
      <x:c r="A2251" s="10" t="str">
        <x:v>S05-01</x:v>
      </x:c>
      <x:c r="B2251" s="10" t="str">
        <x:v>B</x:v>
      </x:c>
      <x:c r="C2251" s="18" t="n">
        <x:v>-3.5200001</x:v>
      </x:c>
      <x:c r="D2251" s="10" t="n">
        <x:v>560</x:v>
      </x:c>
      <x:c r="E2251" s="10" t="n">
        <x:v>0.127391986</x:v>
      </x:c>
      <x:c r="F2251" s="10" t="n">
        <x:v>0.004096</x:v>
      </x:c>
      <x:c r="G2251" s="10" t="n">
        <x:f>SUM(D2251:F2251)</x:f>
        <x:v>560.131487986</x:v>
      </x:c>
    </x:row>
    <x:row r="2252" ht="24" customHeight="1">
      <x:c r="A2252" s="10" t="str">
        <x:v>S05-01</x:v>
      </x:c>
      <x:c r="B2252" s="10" t="str">
        <x:v>B</x:v>
      </x:c>
      <x:c r="C2252" s="18" t="n">
        <x:v>-3.52</x:v>
      </x:c>
      <x:c r="D2252" s="10" t="n">
        <x:v>560</x:v>
      </x:c>
      <x:c r="E2252" s="10" t="n">
        <x:v>0.127392</x:v>
      </x:c>
      <x:c r="F2252" s="10" t="n">
        <x:v>0.004096</x:v>
      </x:c>
      <x:c r="G2252" s="10" t="n">
        <x:f>SUM(D2252:F2252)</x:f>
        <x:v>560.131488</x:v>
      </x:c>
    </x:row>
    <x:row r="2253" ht="24" customHeight="1">
      <x:c r="A2253" s="10" t="str">
        <x:v>S05-01</x:v>
      </x:c>
      <x:c r="B2253" s="10" t="str">
        <x:v>B</x:v>
      </x:c>
      <x:c r="C2253" s="18" t="n">
        <x:v>-3.5199999</x:v>
      </x:c>
      <x:c r="D2253" s="10" t="n">
        <x:v>560</x:v>
      </x:c>
      <x:c r="E2253" s="10" t="n">
        <x:v>0.127392019</x:v>
      </x:c>
      <x:c r="F2253" s="10" t="n">
        <x:v>0.004096</x:v>
      </x:c>
      <x:c r="G2253" s="10" t="n">
        <x:f>SUM(D2253:F2253)</x:f>
        <x:v>560.131488019</x:v>
      </x:c>
    </x:row>
    <x:row r="2254" ht="24" customHeight="1">
      <x:c r="A2254" s="10" t="str">
        <x:v>S05-01</x:v>
      </x:c>
      <x:c r="B2254" s="10" t="str">
        <x:v>B</x:v>
      </x:c>
      <x:c r="C2254" s="18" t="n">
        <x:v>-1e-7</x:v>
      </x:c>
      <x:c r="D2254" s="10" t="n">
        <x:v>560</x:v>
      </x:c>
      <x:c r="E2254" s="10" t="n">
        <x:v>0.803231981</x:v>
      </x:c>
      <x:c r="F2254" s="10" t="n">
        <x:v>0.004096</x:v>
      </x:c>
      <x:c r="G2254" s="10" t="n">
        <x:f>SUM(D2254:F2254)</x:f>
        <x:v>560.807327981</x:v>
      </x:c>
    </x:row>
    <x:row r="2255" ht="24" customHeight="1">
      <x:c r="A2255" s="10" t="str">
        <x:v>S05-01</x:v>
      </x:c>
      <x:c r="B2255" s="10" t="str">
        <x:v>B</x:v>
      </x:c>
      <x:c r="C2255" s="18" t="n">
        <x:v>0</x:v>
      </x:c>
      <x:c r="D2255" s="10" t="n">
        <x:v>560</x:v>
      </x:c>
      <x:c r="E2255" s="10" t="n">
        <x:v>0.803232</x:v>
      </x:c>
      <x:c r="F2255" s="10" t="n">
        <x:v>0.004096</x:v>
      </x:c>
      <x:c r="G2255" s="10" t="n">
        <x:f>SUM(D2255:F2255)</x:f>
        <x:v>560.807328</x:v>
      </x:c>
    </x:row>
    <x:row r="2256" ht="24" customHeight="1">
      <x:c r="A2256" s="10" t="str">
        <x:v>S05-01</x:v>
      </x:c>
      <x:c r="B2256" s="10" t="str">
        <x:v>B</x:v>
      </x:c>
      <x:c r="C2256" s="18" t="n">
        <x:v>1e-7</x:v>
      </x:c>
      <x:c r="D2256" s="10" t="n">
        <x:v>560</x:v>
      </x:c>
      <x:c r="E2256" s="10" t="n">
        <x:v>0.803232019</x:v>
      </x:c>
      <x:c r="F2256" s="10" t="n">
        <x:v>0.004096</x:v>
      </x:c>
      <x:c r="G2256" s="10" t="n">
        <x:f>SUM(D2256:F2256)</x:f>
        <x:v>560.807328019</x:v>
      </x:c>
    </x:row>
    <x:row r="2257" ht="24" customHeight="1">
      <x:c r="A2257" s="10" t="str">
        <x:v>S05-01</x:v>
      </x:c>
      <x:c r="B2257" s="10" t="str">
        <x:v>B</x:v>
      </x:c>
      <x:c r="C2257" s="18" t="n">
        <x:v>0.868333233</x:v>
      </x:c>
      <x:c r="D2257" s="10" t="n">
        <x:v>560</x:v>
      </x:c>
      <x:c r="E2257" s="10" t="n">
        <x:v>0.969951981</x:v>
      </x:c>
      <x:c r="F2257" s="10" t="n">
        <x:v>0.004096</x:v>
      </x:c>
      <x:c r="G2257" s="10" t="n">
        <x:f>SUM(D2257:F2257)</x:f>
        <x:v>560.974047981</x:v>
      </x:c>
    </x:row>
    <x:row r="2258" ht="24" customHeight="1">
      <x:c r="A2258" s="10" t="str">
        <x:v>S05-01</x:v>
      </x:c>
      <x:c r="B2258" s="10" t="str">
        <x:v>B</x:v>
      </x:c>
      <x:c r="C2258" s="18" t="n">
        <x:v>0.868333333</x:v>
      </x:c>
      <x:c r="D2258" s="10" t="n">
        <x:v>560</x:v>
      </x:c>
      <x:c r="E2258" s="10" t="n">
        <x:v>0.969952</x:v>
      </x:c>
      <x:c r="F2258" s="10" t="n">
        <x:v>0.008192</x:v>
      </x:c>
      <x:c r="G2258" s="10" t="n">
        <x:f>SUM(D2258:F2258)</x:f>
        <x:v>560.978144</x:v>
      </x:c>
    </x:row>
    <x:row r="2259" ht="24" customHeight="1">
      <x:c r="A2259" s="10" t="str">
        <x:v>S05-01</x:v>
      </x:c>
      <x:c r="B2259" s="10" t="str">
        <x:v>B</x:v>
      </x:c>
      <x:c r="C2259" s="18" t="n">
        <x:v>0.868333433</x:v>
      </x:c>
      <x:c r="D2259" s="10" t="n">
        <x:v>560</x:v>
      </x:c>
      <x:c r="E2259" s="10" t="n">
        <x:v>0.969952019</x:v>
      </x:c>
      <x:c r="F2259" s="10" t="n">
        <x:v>0.008192</x:v>
      </x:c>
      <x:c r="G2259" s="10" t="n">
        <x:f>SUM(D2259:F2259)</x:f>
        <x:v>560.978144019</x:v>
      </x:c>
    </x:row>
    <x:row r="2260" ht="24" customHeight="1">
      <x:c r="A2260" s="10" t="str">
        <x:v>S05-01</x:v>
      </x:c>
      <x:c r="B2260" s="10" t="str">
        <x:v>B</x:v>
      </x:c>
      <x:c r="C2260" s="18" t="n">
        <x:v>0.968333233</x:v>
      </x:c>
      <x:c r="D2260" s="10" t="n">
        <x:v>560</x:v>
      </x:c>
      <x:c r="E2260" s="10" t="n">
        <x:v>0.989151981</x:v>
      </x:c>
      <x:c r="F2260" s="10" t="n">
        <x:v>0.008192</x:v>
      </x:c>
      <x:c r="G2260" s="10" t="n">
        <x:f>SUM(D2260:F2260)</x:f>
        <x:v>560.997343981</x:v>
      </x:c>
    </x:row>
    <x:row r="2261" ht="24" customHeight="1">
      <x:c r="A2261" s="10" t="str">
        <x:v>S05-01</x:v>
      </x:c>
      <x:c r="B2261" s="10" t="str">
        <x:v>B</x:v>
      </x:c>
      <x:c r="C2261" s="18" t="n">
        <x:v>0.968333333</x:v>
      </x:c>
      <x:c r="D2261" s="10" t="n">
        <x:v>560</x:v>
      </x:c>
      <x:c r="E2261" s="10" t="n">
        <x:v>0.989152</x:v>
      </x:c>
      <x:c r="F2261" s="10" t="n">
        <x:v>0.008192</x:v>
      </x:c>
      <x:c r="G2261" s="10" t="n">
        <x:f>SUM(D2261:F2261)</x:f>
        <x:v>560.997344</x:v>
      </x:c>
    </x:row>
    <x:row r="2262" ht="24" customHeight="1">
      <x:c r="A2262" s="10" t="str">
        <x:v>S05-01</x:v>
      </x:c>
      <x:c r="B2262" s="10" t="str">
        <x:v>B</x:v>
      </x:c>
      <x:c r="C2262" s="18" t="n">
        <x:v>0.968333433</x:v>
      </x:c>
      <x:c r="D2262" s="10" t="n">
        <x:v>560</x:v>
      </x:c>
      <x:c r="E2262" s="10" t="n">
        <x:v>0.989152</x:v>
      </x:c>
      <x:c r="F2262" s="10" t="n">
        <x:v>0.008192</x:v>
      </x:c>
      <x:c r="G2262" s="10" t="n">
        <x:f>SUM(D2262:F2262)</x:f>
        <x:v>560.997344</x:v>
      </x:c>
    </x:row>
    <x:row r="2263" ht="24" customHeight="1">
      <x:c r="A2263" s="10" t="str">
        <x:v>S05-01</x:v>
      </x:c>
      <x:c r="B2263" s="10" t="str">
        <x:v>B</x:v>
      </x:c>
      <x:c r="C2263" s="18" t="n">
        <x:v>1.269333233</x:v>
      </x:c>
      <x:c r="D2263" s="10" t="n">
        <x:v>560</x:v>
      </x:c>
      <x:c r="E2263" s="10" t="n">
        <x:v>0.989152</x:v>
      </x:c>
      <x:c r="F2263" s="10" t="n">
        <x:v>0.008192</x:v>
      </x:c>
      <x:c r="G2263" s="10" t="n">
        <x:f>SUM(D2263:F2263)</x:f>
        <x:v>560.997344</x:v>
      </x:c>
    </x:row>
    <x:row r="2264" ht="24" customHeight="1">
      <x:c r="A2264" s="10" t="str">
        <x:v>S05-01</x:v>
      </x:c>
      <x:c r="B2264" s="10" t="str">
        <x:v>B</x:v>
      </x:c>
      <x:c r="C2264" s="18" t="n">
        <x:v>1.269333333</x:v>
      </x:c>
      <x:c r="D2264" s="10" t="n">
        <x:v>560</x:v>
      </x:c>
      <x:c r="E2264" s="10" t="n">
        <x:v>0.998752</x:v>
      </x:c>
      <x:c r="F2264" s="10" t="n">
        <x:v>0.008192</x:v>
      </x:c>
      <x:c r="G2264" s="10" t="n">
        <x:f>SUM(D2264:F2264)</x:f>
        <x:v>561.006944</x:v>
      </x:c>
    </x:row>
    <x:row r="2265" ht="24" customHeight="1">
      <x:c r="A2265" s="10" t="str">
        <x:v>S05-01</x:v>
      </x:c>
      <x:c r="B2265" s="10" t="str">
        <x:v>B</x:v>
      </x:c>
      <x:c r="C2265" s="18" t="n">
        <x:v>1.269333433</x:v>
      </x:c>
      <x:c r="D2265" s="10" t="n">
        <x:v>560</x:v>
      </x:c>
      <x:c r="E2265" s="10" t="n">
        <x:v>0.998752019</x:v>
      </x:c>
      <x:c r="F2265" s="10" t="n">
        <x:v>0.008192</x:v>
      </x:c>
      <x:c r="G2265" s="10" t="n">
        <x:f>SUM(D2265:F2265)</x:f>
        <x:v>561.006944019</x:v>
      </x:c>
    </x:row>
    <x:row r="2266" ht="24" customHeight="1">
      <x:c r="A2266" s="10" t="str">
        <x:v>S05-01</x:v>
      </x:c>
      <x:c r="B2266" s="10" t="str">
        <x:v>B</x:v>
      </x:c>
      <x:c r="C2266" s="18" t="n">
        <x:v>1.309333233</x:v>
      </x:c>
      <x:c r="D2266" s="10" t="n">
        <x:v>560</x:v>
      </x:c>
      <x:c r="E2266" s="10" t="n">
        <x:v>1.006431981</x:v>
      </x:c>
      <x:c r="F2266" s="10" t="n">
        <x:v>0.008192</x:v>
      </x:c>
      <x:c r="G2266" s="10" t="n">
        <x:f>SUM(D2266:F2266)</x:f>
        <x:v>561.014623981</x:v>
      </x:c>
    </x:row>
    <x:row r="2267" ht="24" customHeight="1">
      <x:c r="A2267" s="10" t="str">
        <x:v>S05-01</x:v>
      </x:c>
      <x:c r="B2267" s="10" t="str">
        <x:v>B</x:v>
      </x:c>
      <x:c r="C2267" s="18" t="n">
        <x:v>1.309333333</x:v>
      </x:c>
      <x:c r="D2267" s="10" t="n">
        <x:v>560</x:v>
      </x:c>
      <x:c r="E2267" s="10" t="n">
        <x:v>1.006432</x:v>
      </x:c>
      <x:c r="F2267" s="10" t="n">
        <x:v>0.008192</x:v>
      </x:c>
      <x:c r="G2267" s="10" t="n">
        <x:f>SUM(D2267:F2267)</x:f>
        <x:v>561.014624</x:v>
      </x:c>
    </x:row>
    <x:row r="2268" ht="24" customHeight="1">
      <x:c r="A2268" s="10" t="str">
        <x:v>S05-01</x:v>
      </x:c>
      <x:c r="B2268" s="10" t="str">
        <x:v>B</x:v>
      </x:c>
      <x:c r="C2268" s="18" t="n">
        <x:v>1.309333433</x:v>
      </x:c>
      <x:c r="D2268" s="10" t="n">
        <x:v>560</x:v>
      </x:c>
      <x:c r="E2268" s="10" t="n">
        <x:v>1.006432014</x:v>
      </x:c>
      <x:c r="F2268" s="10" t="n">
        <x:v>0.008192</x:v>
      </x:c>
      <x:c r="G2268" s="10" t="n">
        <x:f>SUM(D2268:F2268)</x:f>
        <x:v>561.014624014</x:v>
      </x:c>
    </x:row>
    <x:row r="2269" ht="24" customHeight="1">
      <x:c r="A2269" s="10" t="str">
        <x:v>S05-01</x:v>
      </x:c>
      <x:c r="B2269" s="10" t="str">
        <x:v>B</x:v>
      </x:c>
      <x:c r="C2269" s="18" t="n">
        <x:v>1.905833233</x:v>
      </x:c>
      <x:c r="D2269" s="10" t="n">
        <x:v>560</x:v>
      </x:c>
      <x:c r="E2269" s="10" t="n">
        <x:v>1.092327986</x:v>
      </x:c>
      <x:c r="F2269" s="10" t="n">
        <x:v>0.008192</x:v>
      </x:c>
      <x:c r="G2269" s="10" t="n">
        <x:f>SUM(D2269:F2269)</x:f>
        <x:v>561.100519986</x:v>
      </x:c>
    </x:row>
    <x:row r="2270" ht="24" customHeight="1">
      <x:c r="A2270" s="10" t="str">
        <x:v>S05-01</x:v>
      </x:c>
      <x:c r="B2270" s="10" t="str">
        <x:v>B</x:v>
      </x:c>
      <x:c r="C2270" s="18" t="n">
        <x:v>1.905833333</x:v>
      </x:c>
      <x:c r="D2270" s="10" t="n">
        <x:v>560</x:v>
      </x:c>
      <x:c r="E2270" s="10" t="n">
        <x:v>1.092328</x:v>
      </x:c>
      <x:c r="F2270" s="10" t="n">
        <x:v>0.008192</x:v>
      </x:c>
      <x:c r="G2270" s="10" t="n">
        <x:f>SUM(D2270:F2270)</x:f>
        <x:v>561.10052</x:v>
      </x:c>
    </x:row>
    <x:row r="2271" ht="24" customHeight="1">
      <x:c r="A2271" s="10" t="str">
        <x:v>S05-01</x:v>
      </x:c>
      <x:c r="B2271" s="10" t="str">
        <x:v>B</x:v>
      </x:c>
      <x:c r="C2271" s="18" t="n">
        <x:v>1.905833433</x:v>
      </x:c>
      <x:c r="D2271" s="10" t="n">
        <x:v>560</x:v>
      </x:c>
      <x:c r="E2271" s="10" t="n">
        <x:v>1.092327995</x:v>
      </x:c>
      <x:c r="F2271" s="10" t="n">
        <x:v>0.008192</x:v>
      </x:c>
      <x:c r="G2271" s="10" t="n">
        <x:f>SUM(D2271:F2271)</x:f>
        <x:v>561.100519995</x:v>
      </x:c>
    </x:row>
    <x:row r="2272" ht="24" customHeight="1">
      <x:c r="A2272" s="10" t="str">
        <x:v>S05-01</x:v>
      </x:c>
      <x:c r="B2272" s="10" t="str">
        <x:v>B</x:v>
      </x:c>
      <x:c r="C2272" s="18" t="n">
        <x:v>4.055333233</x:v>
      </x:c>
      <x:c r="D2272" s="10" t="n">
        <x:v>560</x:v>
      </x:c>
      <x:c r="E2272" s="10" t="n">
        <x:v>0.989152005</x:v>
      </x:c>
      <x:c r="F2272" s="10" t="n">
        <x:v>0.008192</x:v>
      </x:c>
      <x:c r="G2272" s="10" t="n">
        <x:f>SUM(D2272:F2272)</x:f>
        <x:v>560.9973440050001</x:v>
      </x:c>
    </x:row>
    <x:row r="2273" ht="24" customHeight="1">
      <x:c r="A2273" s="10" t="str">
        <x:v>S05-01</x:v>
      </x:c>
      <x:c r="B2273" s="10" t="str">
        <x:v>B</x:v>
      </x:c>
      <x:c r="C2273" s="18" t="n">
        <x:v>4.055333333</x:v>
      </x:c>
      <x:c r="D2273" s="10" t="n">
        <x:v>560</x:v>
      </x:c>
      <x:c r="E2273" s="10" t="n">
        <x:v>0.989152</x:v>
      </x:c>
      <x:c r="F2273" s="10" t="n">
        <x:v>0.012288</x:v>
      </x:c>
      <x:c r="G2273" s="10" t="n">
        <x:f>SUM(D2273:F2273)</x:f>
        <x:v>561.00144</x:v>
      </x:c>
    </x:row>
    <x:row r="2274" ht="24" customHeight="1">
      <x:c r="A2274" s="10" t="str">
        <x:v>S05-01</x:v>
      </x:c>
      <x:c r="B2274" s="10" t="str">
        <x:v>B</x:v>
      </x:c>
      <x:c r="C2274" s="18" t="n">
        <x:v>4.055333433</x:v>
      </x:c>
      <x:c r="D2274" s="10" t="n">
        <x:v>560</x:v>
      </x:c>
      <x:c r="E2274" s="10" t="n">
        <x:v>0.989152</x:v>
      </x:c>
      <x:c r="F2274" s="10" t="n">
        <x:v>0.008192</x:v>
      </x:c>
      <x:c r="G2274" s="10" t="n">
        <x:f>SUM(D2274:F2274)</x:f>
        <x:v>560.997344</x:v>
      </x:c>
    </x:row>
    <x:row r="2275" ht="24" customHeight="1">
      <x:c r="A2275" s="10" t="str">
        <x:v>S05-01</x:v>
      </x:c>
      <x:c r="B2275" s="10" t="str">
        <x:v>B</x:v>
      </x:c>
      <x:c r="C2275" s="18" t="n">
        <x:v>4.095333233</x:v>
      </x:c>
      <x:c r="D2275" s="10" t="n">
        <x:v>560</x:v>
      </x:c>
      <x:c r="E2275" s="10" t="n">
        <x:v>0.989152</x:v>
      </x:c>
      <x:c r="F2275" s="10" t="n">
        <x:v>0.008192</x:v>
      </x:c>
      <x:c r="G2275" s="10" t="n">
        <x:f>SUM(D2275:F2275)</x:f>
        <x:v>560.997344</x:v>
      </x:c>
    </x:row>
    <x:row r="2276" ht="24" customHeight="1">
      <x:c r="A2276" s="10" t="str">
        <x:v>S05-01</x:v>
      </x:c>
      <x:c r="B2276" s="10" t="str">
        <x:v>B</x:v>
      </x:c>
      <x:c r="C2276" s="18" t="n">
        <x:v>4.095333333</x:v>
      </x:c>
      <x:c r="D2276" s="10" t="n">
        <x:v>560</x:v>
      </x:c>
      <x:c r="E2276" s="10" t="n">
        <x:v>0.989152</x:v>
      </x:c>
      <x:c r="F2276" s="10" t="n">
        <x:v>0.008192</x:v>
      </x:c>
      <x:c r="G2276" s="10" t="n">
        <x:f>SUM(D2276:F2276)</x:f>
        <x:v>560.997344</x:v>
      </x:c>
    </x:row>
    <x:row r="2277" ht="24" customHeight="1">
      <x:c r="A2277" s="10" t="str">
        <x:v>S05-01</x:v>
      </x:c>
      <x:c r="B2277" s="10" t="str">
        <x:v>B</x:v>
      </x:c>
      <x:c r="C2277" s="18" t="n">
        <x:v>4.095333433</x:v>
      </x:c>
      <x:c r="D2277" s="10" t="n">
        <x:v>560</x:v>
      </x:c>
      <x:c r="E2277" s="10" t="n">
        <x:v>0.989151995</x:v>
      </x:c>
      <x:c r="F2277" s="10" t="n">
        <x:v>0.008192</x:v>
      </x:c>
      <x:c r="G2277" s="10" t="n">
        <x:f>SUM(D2277:F2277)</x:f>
        <x:v>560.997343995</x:v>
      </x:c>
    </x:row>
    <x:row r="2278" ht="24" customHeight="1">
      <x:c r="A2278" s="10" t="str">
        <x:v>S05-01</x:v>
      </x:c>
      <x:c r="B2278" s="10" t="str">
        <x:v>B</x:v>
      </x:c>
      <x:c r="C2278" s="18" t="n">
        <x:v>4.570666566</x:v>
      </x:c>
      <x:c r="D2278" s="10" t="n">
        <x:v>560</x:v>
      </x:c>
      <x:c r="E2278" s="10" t="n">
        <x:v>0.966336005</x:v>
      </x:c>
      <x:c r="F2278" s="10" t="n">
        <x:v>0.008192</x:v>
      </x:c>
      <x:c r="G2278" s="10" t="n">
        <x:f>SUM(D2278:F2278)</x:f>
        <x:v>560.974528005</x:v>
      </x:c>
    </x:row>
    <x:row r="2279" ht="24" customHeight="1">
      <x:c r="A2279" s="10" t="str">
        <x:v>S05-01</x:v>
      </x:c>
      <x:c r="B2279" s="10" t="str">
        <x:v>B</x:v>
      </x:c>
      <x:c r="C2279" s="18" t="n">
        <x:v>4.570666666</x:v>
      </x:c>
      <x:c r="D2279" s="10" t="n">
        <x:v>560</x:v>
      </x:c>
      <x:c r="E2279" s="10" t="n">
        <x:v>0.975936</x:v>
      </x:c>
      <x:c r="F2279" s="10" t="n">
        <x:v>0.008192</x:v>
      </x:c>
      <x:c r="G2279" s="10" t="n">
        <x:f>SUM(D2279:F2279)</x:f>
        <x:v>560.984128</x:v>
      </x:c>
    </x:row>
    <x:row r="2280" ht="24" customHeight="1">
      <x:c r="A2280" s="10" t="str">
        <x:v>S05-01</x:v>
      </x:c>
      <x:c r="B2280" s="10" t="str">
        <x:v>B</x:v>
      </x:c>
      <x:c r="C2280" s="18" t="n">
        <x:v>4.570666766</x:v>
      </x:c>
      <x:c r="D2280" s="10" t="n">
        <x:v>560</x:v>
      </x:c>
      <x:c r="E2280" s="10" t="n">
        <x:v>0.975936014</x:v>
      </x:c>
      <x:c r="F2280" s="10" t="n">
        <x:v>0.008192</x:v>
      </x:c>
      <x:c r="G2280" s="10" t="n">
        <x:f>SUM(D2280:F2280)</x:f>
        <x:v>560.984128014</x:v>
      </x:c>
    </x:row>
    <x:row r="2281" ht="24" customHeight="1">
      <x:c r="A2281" s="10" t="str">
        <x:v>S05-01</x:v>
      </x:c>
      <x:c r="B2281" s="10" t="str">
        <x:v>B</x:v>
      </x:c>
      <x:c r="C2281" s="18" t="n">
        <x:v>8.164166566</x:v>
      </x:c>
      <x:c r="D2281" s="10" t="n">
        <x:v>560</x:v>
      </x:c>
      <x:c r="E2281" s="10" t="n">
        <x:v>1.493399986</x:v>
      </x:c>
      <x:c r="F2281" s="10" t="n">
        <x:v>0.008192</x:v>
      </x:c>
      <x:c r="G2281" s="10" t="n">
        <x:f>SUM(D2281:F2281)</x:f>
        <x:v>561.501591986</x:v>
      </x:c>
    </x:row>
    <x:row r="2282" ht="24" customHeight="1">
      <x:c r="A2282" s="10" t="str">
        <x:v>S05-01</x:v>
      </x:c>
      <x:c r="B2282" s="10" t="str">
        <x:v>B</x:v>
      </x:c>
      <x:c r="C2282" s="18" t="n">
        <x:v>8.164166666</x:v>
      </x:c>
      <x:c r="D2282" s="10" t="n">
        <x:v>560</x:v>
      </x:c>
      <x:c r="E2282" s="10" t="n">
        <x:v>1.4934</x:v>
      </x:c>
      <x:c r="F2282" s="10" t="n">
        <x:v>0.008192</x:v>
      </x:c>
      <x:c r="G2282" s="10" t="n">
        <x:f>SUM(D2282:F2282)</x:f>
        <x:v>561.501592</x:v>
      </x:c>
    </x:row>
    <x:row r="2283" ht="24" customHeight="1">
      <x:c r="A2283" s="10" t="str">
        <x:v>S05-01</x:v>
      </x:c>
      <x:c r="B2283" s="10" t="str">
        <x:v>B</x:v>
      </x:c>
      <x:c r="C2283" s="18" t="n">
        <x:v>8.164166766</x:v>
      </x:c>
      <x:c r="D2283" s="10" t="n">
        <x:v>560</x:v>
      </x:c>
      <x:c r="E2283" s="10" t="n">
        <x:v>1.493399995</x:v>
      </x:c>
      <x:c r="F2283" s="10" t="n">
        <x:v>0.008192</x:v>
      </x:c>
      <x:c r="G2283" s="10" t="n">
        <x:f>SUM(D2283:F2283)</x:f>
        <x:v>561.501591995</x:v>
      </x:c>
    </x:row>
    <x:row r="2284" ht="24" customHeight="1">
      <x:c r="A2284" s="10" t="str">
        <x:v>S05-01</x:v>
      </x:c>
      <x:c r="B2284" s="10" t="str">
        <x:v>B</x:v>
      </x:c>
      <x:c r="C2284" s="18" t="n">
        <x:v>24.702666566</x:v>
      </x:c>
      <x:c r="D2284" s="10" t="n">
        <x:v>560</x:v>
      </x:c>
      <x:c r="E2284" s="10" t="n">
        <x:v>0.699552005</x:v>
      </x:c>
      <x:c r="F2284" s="10" t="n">
        <x:v>0.008192</x:v>
      </x:c>
      <x:c r="G2284" s="10" t="n">
        <x:f>SUM(D2284:F2284)</x:f>
        <x:v>560.707744005</x:v>
      </x:c>
    </x:row>
    <x:row r="2285" ht="24" customHeight="1">
      <x:c r="A2285" s="10" t="str">
        <x:v>S05-01</x:v>
      </x:c>
      <x:c r="B2285" s="10" t="str">
        <x:v>B</x:v>
      </x:c>
      <x:c r="C2285" s="18" t="n">
        <x:v>24.702666666</x:v>
      </x:c>
      <x:c r="D2285" s="10" t="n">
        <x:v>560</x:v>
      </x:c>
      <x:c r="E2285" s="10" t="n">
        <x:v>0.699552</x:v>
      </x:c>
      <x:c r="F2285" s="10" t="n">
        <x:v>0.008192</x:v>
      </x:c>
      <x:c r="G2285" s="10" t="n">
        <x:f>SUM(D2285:F2285)</x:f>
        <x:v>560.707744</x:v>
      </x:c>
    </x:row>
    <x:row r="2286" ht="24" customHeight="1">
      <x:c r="A2286" s="10" t="str">
        <x:v>S05-01</x:v>
      </x:c>
      <x:c r="B2286" s="10" t="str">
        <x:v>B</x:v>
      </x:c>
      <x:c r="C2286" s="18" t="n">
        <x:v>24.702666766</x:v>
      </x:c>
      <x:c r="D2286" s="10" t="n">
        <x:v>560</x:v>
      </x:c>
      <x:c r="E2286" s="10" t="n">
        <x:v>0.699552</x:v>
      </x:c>
      <x:c r="F2286" s="10" t="n">
        <x:v>0.004096</x:v>
      </x:c>
      <x:c r="G2286" s="10" t="n">
        <x:f>SUM(D2286:F2286)</x:f>
        <x:v>560.703648</x:v>
      </x:c>
    </x:row>
    <x:row r="2287" ht="24" customHeight="1">
      <x:c r="A2287" s="10" t="str">
        <x:v>S05-01</x:v>
      </x:c>
      <x:c r="B2287" s="10" t="str">
        <x:v>B</x:v>
      </x:c>
      <x:c r="C2287" s="18" t="n">
        <x:v>24.742666566</x:v>
      </x:c>
      <x:c r="D2287" s="10" t="n">
        <x:v>560</x:v>
      </x:c>
      <x:c r="E2287" s="10" t="n">
        <x:v>0.699552</x:v>
      </x:c>
      <x:c r="F2287" s="10" t="n">
        <x:v>0.004096</x:v>
      </x:c>
      <x:c r="G2287" s="10" t="n">
        <x:f>SUM(D2287:F2287)</x:f>
        <x:v>560.703648</x:v>
      </x:c>
    </x:row>
    <x:row r="2288" ht="24" customHeight="1">
      <x:c r="A2288" s="10" t="str">
        <x:v>S05-01</x:v>
      </x:c>
      <x:c r="B2288" s="10" t="str">
        <x:v>B</x:v>
      </x:c>
      <x:c r="C2288" s="18" t="n">
        <x:v>24.742666666</x:v>
      </x:c>
      <x:c r="D2288" s="10" t="n">
        <x:v>560</x:v>
      </x:c>
      <x:c r="E2288" s="10" t="n">
        <x:v>0.699552</x:v>
      </x:c>
      <x:c r="F2288" s="10" t="n">
        <x:v>0.004096</x:v>
      </x:c>
      <x:c r="G2288" s="10" t="n">
        <x:f>SUM(D2288:F2288)</x:f>
        <x:v>560.703648</x:v>
      </x:c>
    </x:row>
    <x:row r="2289" ht="24" customHeight="1">
      <x:c r="A2289" s="10" t="str">
        <x:v>S05-01</x:v>
      </x:c>
      <x:c r="B2289" s="10" t="str">
        <x:v>B</x:v>
      </x:c>
      <x:c r="C2289" s="18" t="n">
        <x:v>24.742666766</x:v>
      </x:c>
      <x:c r="D2289" s="10" t="n">
        <x:v>560</x:v>
      </x:c>
      <x:c r="E2289" s="10" t="n">
        <x:v>0.699551995</x:v>
      </x:c>
      <x:c r="F2289" s="10" t="n">
        <x:v>0.004096</x:v>
      </x:c>
      <x:c r="G2289" s="10" t="n">
        <x:f>SUM(D2289:F2289)</x:f>
        <x:v>560.703647995</x:v>
      </x:c>
    </x:row>
    <x:row r="2290" ht="24" customHeight="1">
      <x:c r="A2290" s="10" t="str">
        <x:v>S05-01</x:v>
      </x:c>
      <x:c r="B2290" s="10" t="str">
        <x:v>B</x:v>
      </x:c>
      <x:c r="C2290" s="18" t="n">
        <x:v>39.316666566</x:v>
      </x:c>
      <x:c r="D2290" s="10" t="n">
        <x:v>560</x:v>
      </x:c>
      <x:c r="E2290" s="10" t="n">
        <x:v>5e-9</x:v>
      </x:c>
      <x:c r="F2290" s="10" t="n">
        <x:v>0.004096</x:v>
      </x:c>
      <x:c r="G2290" s="10" t="n">
        <x:f>SUM(D2290:F2290)</x:f>
        <x:v>560.004096005</x:v>
      </x:c>
    </x:row>
    <x:row r="2291" ht="24" customHeight="1">
      <x:c r="A2291" s="10" t="str">
        <x:v>S05-01</x:v>
      </x:c>
      <x:c r="B2291" s="10" t="str">
        <x:v>B</x:v>
      </x:c>
      <x:c r="C2291" s="18" t="n">
        <x:v>39.316666666</x:v>
      </x:c>
      <x:c r="D2291" s="10" t="n">
        <x:v>560</x:v>
      </x:c>
      <x:c r="E2291" s="10" t="n">
        <x:v>0</x:v>
      </x:c>
      <x:c r="F2291" s="10" t="n">
        <x:v>0.004096</x:v>
      </x:c>
      <x:c r="G2291" s="10" t="n">
        <x:f>SUM(D2291:F2291)</x:f>
        <x:v>560.004096</x:v>
      </x:c>
    </x:row>
    <x:row r="2292" ht="24" customHeight="1">
      <x:c r="A2292" s="10" t="str">
        <x:v>S05-01</x:v>
      </x:c>
      <x:c r="B2292" s="10" t="str">
        <x:v>B</x:v>
      </x:c>
      <x:c r="C2292" s="18" t="n">
        <x:v>39.316666766</x:v>
      </x:c>
      <x:c r="D2292" s="10" t="n">
        <x:v>560</x:v>
      </x:c>
      <x:c r="E2292" s="10" t="n">
        <x:v>0</x:v>
      </x:c>
      <x:c r="F2292" s="10" t="n">
        <x:v>0</x:v>
      </x:c>
      <x:c r="G2292" s="10" t="n">
        <x:f>SUM(D2292:F2292)</x:f>
        <x:v>560</x:v>
      </x:c>
    </x:row>
    <x:row r="2293" ht="24" customHeight="1">
      <x:c r="A2293" s="10" t="str">
        <x:v>S05-02</x:v>
      </x:c>
      <x:c r="B2293" s="10" t="str">
        <x:v>A</x:v>
      </x:c>
      <x:c r="C2293" s="18" t="n">
        <x:v>-6.0000001</x:v>
      </x:c>
      <x:c r="D2293" s="10" t="n">
        <x:v>560</x:v>
      </x:c>
      <x:c r="E2293" s="10" t="n">
        <x:v>0</x:v>
      </x:c>
      <x:c r="F2293" s="10" t="n">
        <x:v>0</x:v>
      </x:c>
      <x:c r="G2293" s="10" t="n">
        <x:f>SUM(D2293:F2293)</x:f>
        <x:v>560</x:v>
      </x:c>
    </x:row>
    <x:row r="2294" ht="24" customHeight="1">
      <x:c r="A2294" s="10" t="str">
        <x:v>S05-02</x:v>
      </x:c>
      <x:c r="B2294" s="10" t="str">
        <x:v>A</x:v>
      </x:c>
      <x:c r="C2294" s="18" t="n">
        <x:v>-6</x:v>
      </x:c>
      <x:c r="D2294" s="10" t="n">
        <x:v>560</x:v>
      </x:c>
      <x:c r="E2294" s="10" t="n">
        <x:v>0</x:v>
      </x:c>
      <x:c r="F2294" s="10" t="n">
        <x:v>0</x:v>
      </x:c>
      <x:c r="G2294" s="10" t="n">
        <x:f>SUM(D2294:F2294)</x:f>
        <x:v>560</x:v>
      </x:c>
    </x:row>
    <x:row r="2295" ht="24" customHeight="1">
      <x:c r="A2295" s="10" t="str">
        <x:v>S05-02</x:v>
      </x:c>
      <x:c r="B2295" s="10" t="str">
        <x:v>A</x:v>
      </x:c>
      <x:c r="C2295" s="18" t="n">
        <x:v>-5.9999999</x:v>
      </x:c>
      <x:c r="D2295" s="10" t="n">
        <x:v>560</x:v>
      </x:c>
      <x:c r="E2295" s="10" t="n">
        <x:v>0</x:v>
      </x:c>
      <x:c r="F2295" s="10" t="n">
        <x:v>0</x:v>
      </x:c>
      <x:c r="G2295" s="10" t="n">
        <x:f>SUM(D2295:F2295)</x:f>
        <x:v>560</x:v>
      </x:c>
    </x:row>
    <x:row r="2296" ht="24" customHeight="1">
      <x:c r="A2296" s="10" t="str">
        <x:v>S05-02</x:v>
      </x:c>
      <x:c r="B2296" s="10" t="str">
        <x:v>A</x:v>
      </x:c>
      <x:c r="C2296" s="18" t="n">
        <x:v>-4.8000001</x:v>
      </x:c>
      <x:c r="D2296" s="10" t="n">
        <x:v>560</x:v>
      </x:c>
      <x:c r="E2296" s="10" t="n">
        <x:v>0</x:v>
      </x:c>
      <x:c r="F2296" s="10" t="n">
        <x:v>0</x:v>
      </x:c>
      <x:c r="G2296" s="10" t="n">
        <x:f>SUM(D2296:F2296)</x:f>
        <x:v>560</x:v>
      </x:c>
    </x:row>
    <x:row r="2297" ht="24" customHeight="1">
      <x:c r="A2297" s="10" t="str">
        <x:v>S05-02</x:v>
      </x:c>
      <x:c r="B2297" s="10" t="str">
        <x:v>A</x:v>
      </x:c>
      <x:c r="C2297" s="18" t="n">
        <x:v>-4.8</x:v>
      </x:c>
      <x:c r="D2297" s="10" t="n">
        <x:v>560</x:v>
      </x:c>
      <x:c r="E2297" s="10" t="n">
        <x:v>0</x:v>
      </x:c>
      <x:c r="F2297" s="10" t="n">
        <x:v>0.004096</x:v>
      </x:c>
      <x:c r="G2297" s="10" t="n">
        <x:f>SUM(D2297:F2297)</x:f>
        <x:v>560.004096</x:v>
      </x:c>
    </x:row>
    <x:row r="2298" ht="24" customHeight="1">
      <x:c r="A2298" s="10" t="str">
        <x:v>S05-02</x:v>
      </x:c>
      <x:c r="B2298" s="10" t="str">
        <x:v>A</x:v>
      </x:c>
      <x:c r="C2298" s="18" t="n">
        <x:v>-4.7999999</x:v>
      </x:c>
      <x:c r="D2298" s="10" t="n">
        <x:v>560</x:v>
      </x:c>
      <x:c r="E2298" s="10" t="n">
        <x:v>0</x:v>
      </x:c>
      <x:c r="F2298" s="10" t="n">
        <x:v>0.004096</x:v>
      </x:c>
      <x:c r="G2298" s="10" t="n">
        <x:f>SUM(D2298:F2298)</x:f>
        <x:v>560.004096</x:v>
      </x:c>
    </x:row>
    <x:row r="2299" ht="24" customHeight="1">
      <x:c r="A2299" s="10" t="str">
        <x:v>S05-02</x:v>
      </x:c>
      <x:c r="B2299" s="10" t="str">
        <x:v>A</x:v>
      </x:c>
      <x:c r="C2299" s="18" t="n">
        <x:v>-4.324666767</x:v>
      </x:c>
      <x:c r="D2299" s="10" t="n">
        <x:v>560</x:v>
      </x:c>
      <x:c r="E2299" s="10" t="n">
        <x:v>0</x:v>
      </x:c>
      <x:c r="F2299" s="10" t="n">
        <x:v>0.004096</x:v>
      </x:c>
      <x:c r="G2299" s="10" t="n">
        <x:f>SUM(D2299:F2299)</x:f>
        <x:v>560.004096</x:v>
      </x:c>
    </x:row>
    <x:row r="2300" ht="24" customHeight="1">
      <x:c r="A2300" s="10" t="str">
        <x:v>S05-02</x:v>
      </x:c>
      <x:c r="B2300" s="10" t="str">
        <x:v>A</x:v>
      </x:c>
      <x:c r="C2300" s="18" t="n">
        <x:v>-4.324666667</x:v>
      </x:c>
      <x:c r="D2300" s="10" t="n">
        <x:v>560</x:v>
      </x:c>
      <x:c r="E2300" s="10" t="n">
        <x:v>0.0096</x:v>
      </x:c>
      <x:c r="F2300" s="10" t="n">
        <x:v>0.004096</x:v>
      </x:c>
      <x:c r="G2300" s="10" t="n">
        <x:f>SUM(D2300:F2300)</x:f>
        <x:v>560.013696</x:v>
      </x:c>
    </x:row>
    <x:row r="2301" ht="24" customHeight="1">
      <x:c r="A2301" s="10" t="str">
        <x:v>S05-02</x:v>
      </x:c>
      <x:c r="B2301" s="10" t="str">
        <x:v>A</x:v>
      </x:c>
      <x:c r="C2301" s="18" t="n">
        <x:v>-4.324666567</x:v>
      </x:c>
      <x:c r="D2301" s="10" t="n">
        <x:v>560</x:v>
      </x:c>
      <x:c r="E2301" s="10" t="n">
        <x:v>0.009600019</x:v>
      </x:c>
      <x:c r="F2301" s="10" t="n">
        <x:v>0.004096</x:v>
      </x:c>
      <x:c r="G2301" s="10" t="n">
        <x:f>SUM(D2301:F2301)</x:f>
        <x:v>560.013696019</x:v>
      </x:c>
    </x:row>
    <x:row r="2302" ht="24" customHeight="1">
      <x:c r="A2302" s="10" t="str">
        <x:v>S05-02</x:v>
      </x:c>
      <x:c r="B2302" s="10" t="str">
        <x:v>A</x:v>
      </x:c>
      <x:c r="C2302" s="18" t="n">
        <x:v>-4.284666767</x:v>
      </x:c>
      <x:c r="D2302" s="10" t="n">
        <x:v>560</x:v>
      </x:c>
      <x:c r="E2302" s="10" t="n">
        <x:v>0.017279981</x:v>
      </x:c>
      <x:c r="F2302" s="10" t="n">
        <x:v>0.004096</x:v>
      </x:c>
      <x:c r="G2302" s="10" t="n">
        <x:f>SUM(D2302:F2302)</x:f>
        <x:v>560.021375981</x:v>
      </x:c>
    </x:row>
    <x:row r="2303" ht="24" customHeight="1">
      <x:c r="A2303" s="10" t="str">
        <x:v>S05-02</x:v>
      </x:c>
      <x:c r="B2303" s="10" t="str">
        <x:v>A</x:v>
      </x:c>
      <x:c r="C2303" s="18" t="n">
        <x:v>-4.284666667</x:v>
      </x:c>
      <x:c r="D2303" s="10" t="n">
        <x:v>560</x:v>
      </x:c>
      <x:c r="E2303" s="10" t="n">
        <x:v>0.01728</x:v>
      </x:c>
      <x:c r="F2303" s="10" t="n">
        <x:v>0.004096</x:v>
      </x:c>
      <x:c r="G2303" s="10" t="n">
        <x:f>SUM(D2303:F2303)</x:f>
        <x:v>560.021376</x:v>
      </x:c>
    </x:row>
    <x:row r="2304" ht="24" customHeight="1">
      <x:c r="A2304" s="10" t="str">
        <x:v>S05-02</x:v>
      </x:c>
      <x:c r="B2304" s="10" t="str">
        <x:v>A</x:v>
      </x:c>
      <x:c r="C2304" s="18" t="n">
        <x:v>-4.284666567</x:v>
      </x:c>
      <x:c r="D2304" s="10" t="n">
        <x:v>560</x:v>
      </x:c>
      <x:c r="E2304" s="10" t="n">
        <x:v>0.017280014</x:v>
      </x:c>
      <x:c r="F2304" s="10" t="n">
        <x:v>0.004096</x:v>
      </x:c>
      <x:c r="G2304" s="10" t="n">
        <x:f>SUM(D2304:F2304)</x:f>
        <x:v>560.021376014</x:v>
      </x:c>
    </x:row>
    <x:row r="2305" ht="24" customHeight="1">
      <x:c r="A2305" s="10" t="str">
        <x:v>S05-02</x:v>
      </x:c>
      <x:c r="B2305" s="10" t="str">
        <x:v>A</x:v>
      </x:c>
      <x:c r="C2305" s="18" t="n">
        <x:v>-3.5200001</x:v>
      </x:c>
      <x:c r="D2305" s="10" t="n">
        <x:v>560</x:v>
      </x:c>
      <x:c r="E2305" s="10" t="n">
        <x:v>0.127391986</x:v>
      </x:c>
      <x:c r="F2305" s="10" t="n">
        <x:v>0.004096</x:v>
      </x:c>
      <x:c r="G2305" s="10" t="n">
        <x:f>SUM(D2305:F2305)</x:f>
        <x:v>560.131487986</x:v>
      </x:c>
    </x:row>
    <x:row r="2306" ht="24" customHeight="1">
      <x:c r="A2306" s="10" t="str">
        <x:v>S05-02</x:v>
      </x:c>
      <x:c r="B2306" s="10" t="str">
        <x:v>A</x:v>
      </x:c>
      <x:c r="C2306" s="18" t="n">
        <x:v>-3.52</x:v>
      </x:c>
      <x:c r="D2306" s="10" t="n">
        <x:v>560</x:v>
      </x:c>
      <x:c r="E2306" s="10" t="n">
        <x:v>0.127392</x:v>
      </x:c>
      <x:c r="F2306" s="10" t="n">
        <x:v>0.004096</x:v>
      </x:c>
      <x:c r="G2306" s="10" t="n">
        <x:f>SUM(D2306:F2306)</x:f>
        <x:v>560.131488</x:v>
      </x:c>
    </x:row>
    <x:row r="2307" ht="24" customHeight="1">
      <x:c r="A2307" s="10" t="str">
        <x:v>S05-02</x:v>
      </x:c>
      <x:c r="B2307" s="10" t="str">
        <x:v>A</x:v>
      </x:c>
      <x:c r="C2307" s="18" t="n">
        <x:v>-3.5199999</x:v>
      </x:c>
      <x:c r="D2307" s="10" t="n">
        <x:v>560</x:v>
      </x:c>
      <x:c r="E2307" s="10" t="n">
        <x:v>0.127392019</x:v>
      </x:c>
      <x:c r="F2307" s="10" t="n">
        <x:v>0.004096</x:v>
      </x:c>
      <x:c r="G2307" s="10" t="n">
        <x:f>SUM(D2307:F2307)</x:f>
        <x:v>560.131488019</x:v>
      </x:c>
    </x:row>
    <x:row r="2308" ht="24" customHeight="1">
      <x:c r="A2308" s="10" t="str">
        <x:v>S05-02</x:v>
      </x:c>
      <x:c r="B2308" s="10" t="str">
        <x:v>A</x:v>
      </x:c>
      <x:c r="C2308" s="18" t="n">
        <x:v>-0.9000001</x:v>
      </x:c>
      <x:c r="D2308" s="10" t="n">
        <x:v>560</x:v>
      </x:c>
      <x:c r="E2308" s="10" t="n">
        <x:v>0.630431981</x:v>
      </x:c>
      <x:c r="F2308" s="10" t="n">
        <x:v>0.004096</x:v>
      </x:c>
      <x:c r="G2308" s="10" t="n">
        <x:f>SUM(D2308:F2308)</x:f>
        <x:v>560.634527981</x:v>
      </x:c>
    </x:row>
    <x:row r="2309" ht="24" customHeight="1">
      <x:c r="A2309" s="10" t="str">
        <x:v>S05-02</x:v>
      </x:c>
      <x:c r="B2309" s="10" t="str">
        <x:v>A</x:v>
      </x:c>
      <x:c r="C2309" s="18" t="n">
        <x:v>-0.9</x:v>
      </x:c>
      <x:c r="D2309" s="10" t="n">
        <x:v>560</x:v>
      </x:c>
      <x:c r="E2309" s="10" t="n">
        <x:v>0.630432</x:v>
      </x:c>
      <x:c r="F2309" s="10" t="n">
        <x:v>0.008192</x:v>
      </x:c>
      <x:c r="G2309" s="10" t="n">
        <x:f>SUM(D2309:F2309)</x:f>
        <x:v>560.638624</x:v>
      </x:c>
    </x:row>
    <x:row r="2310" ht="24" customHeight="1">
      <x:c r="A2310" s="10" t="str">
        <x:v>S05-02</x:v>
      </x:c>
      <x:c r="B2310" s="10" t="str">
        <x:v>A</x:v>
      </x:c>
      <x:c r="C2310" s="18" t="n">
        <x:v>-0.8999999</x:v>
      </x:c>
      <x:c r="D2310" s="10" t="n">
        <x:v>560</x:v>
      </x:c>
      <x:c r="E2310" s="10" t="n">
        <x:v>0.630432019</x:v>
      </x:c>
      <x:c r="F2310" s="10" t="n">
        <x:v>0.008192</x:v>
      </x:c>
      <x:c r="G2310" s="10" t="n">
        <x:f>SUM(D2310:F2310)</x:f>
        <x:v>560.638624019</x:v>
      </x:c>
    </x:row>
    <x:row r="2311" ht="24" customHeight="1">
      <x:c r="A2311" s="10" t="str">
        <x:v>S05-02</x:v>
      </x:c>
      <x:c r="B2311" s="10" t="str">
        <x:v>A</x:v>
      </x:c>
      <x:c r="C2311" s="18" t="n">
        <x:v>-0.4990001</x:v>
      </x:c>
      <x:c r="D2311" s="10" t="n">
        <x:v>560</x:v>
      </x:c>
      <x:c r="E2311" s="10" t="n">
        <x:v>0.707423981</x:v>
      </x:c>
      <x:c r="F2311" s="10" t="n">
        <x:v>0.008192</x:v>
      </x:c>
      <x:c r="G2311" s="10" t="n">
        <x:f>SUM(D2311:F2311)</x:f>
        <x:v>560.715615981</x:v>
      </x:c>
    </x:row>
    <x:row r="2312" ht="24" customHeight="1">
      <x:c r="A2312" s="10" t="str">
        <x:v>S05-02</x:v>
      </x:c>
      <x:c r="B2312" s="10" t="str">
        <x:v>A</x:v>
      </x:c>
      <x:c r="C2312" s="18" t="n">
        <x:v>-0.499</x:v>
      </x:c>
      <x:c r="D2312" s="10" t="n">
        <x:v>560</x:v>
      </x:c>
      <x:c r="E2312" s="10" t="n">
        <x:v>0.717024</x:v>
      </x:c>
      <x:c r="F2312" s="10" t="n">
        <x:v>0.008192</x:v>
      </x:c>
      <x:c r="G2312" s="10" t="n">
        <x:f>SUM(D2312:F2312)</x:f>
        <x:v>560.725216</x:v>
      </x:c>
    </x:row>
    <x:row r="2313" ht="24" customHeight="1">
      <x:c r="A2313" s="10" t="str">
        <x:v>S05-02</x:v>
      </x:c>
      <x:c r="B2313" s="10" t="str">
        <x:v>A</x:v>
      </x:c>
      <x:c r="C2313" s="18" t="n">
        <x:v>-0.4989999</x:v>
      </x:c>
      <x:c r="D2313" s="10" t="n">
        <x:v>560</x:v>
      </x:c>
      <x:c r="E2313" s="10" t="n">
        <x:v>0.717024038</x:v>
      </x:c>
      <x:c r="F2313" s="10" t="n">
        <x:v>0.008192</x:v>
      </x:c>
      <x:c r="G2313" s="10" t="n">
        <x:f>SUM(D2313:F2313)</x:f>
        <x:v>560.725216038</x:v>
      </x:c>
    </x:row>
    <x:row r="2314" ht="24" customHeight="1">
      <x:c r="A2314" s="10" t="str">
        <x:v>S05-02</x:v>
      </x:c>
      <x:c r="B2314" s="10" t="str">
        <x:v>A</x:v>
      </x:c>
      <x:c r="C2314" s="18" t="n">
        <x:v>-1e-7</x:v>
      </x:c>
      <x:c r="D2314" s="10" t="n">
        <x:v>560</x:v>
      </x:c>
      <x:c r="E2314" s="10" t="n">
        <x:v>0.908639962</x:v>
      </x:c>
      <x:c r="F2314" s="10" t="n">
        <x:v>0.008192</x:v>
      </x:c>
      <x:c r="G2314" s="10" t="n">
        <x:f>SUM(D2314:F2314)</x:f>
        <x:v>560.9168319620001</x:v>
      </x:c>
    </x:row>
    <x:row r="2315" ht="24" customHeight="1">
      <x:c r="A2315" s="10" t="str">
        <x:v>S05-02</x:v>
      </x:c>
      <x:c r="B2315" s="10" t="str">
        <x:v>A</x:v>
      </x:c>
      <x:c r="C2315" s="18" t="n">
        <x:v>0</x:v>
      </x:c>
      <x:c r="D2315" s="10" t="n">
        <x:v>560</x:v>
      </x:c>
      <x:c r="E2315" s="10" t="n">
        <x:v>0.90864</x:v>
      </x:c>
      <x:c r="F2315" s="10" t="n">
        <x:v>0.008192</x:v>
      </x:c>
      <x:c r="G2315" s="10" t="n">
        <x:f>SUM(D2315:F2315)</x:f>
        <x:v>560.916832</x:v>
      </x:c>
    </x:row>
    <x:row r="2316" ht="24" customHeight="1">
      <x:c r="A2316" s="10" t="str">
        <x:v>S05-02</x:v>
      </x:c>
      <x:c r="B2316" s="10" t="str">
        <x:v>A</x:v>
      </x:c>
      <x:c r="C2316" s="18" t="n">
        <x:v>1e-7</x:v>
      </x:c>
      <x:c r="D2316" s="10" t="n">
        <x:v>560</x:v>
      </x:c>
      <x:c r="E2316" s="10" t="n">
        <x:v>0.908640038</x:v>
      </x:c>
      <x:c r="F2316" s="10" t="n">
        <x:v>0.008192</x:v>
      </x:c>
      <x:c r="G2316" s="10" t="n">
        <x:f>SUM(D2316:F2316)</x:f>
        <x:v>560.916832038</x:v>
      </x:c>
    </x:row>
    <x:row r="2317" ht="24" customHeight="1">
      <x:c r="A2317" s="10" t="str">
        <x:v>S05-02</x:v>
      </x:c>
      <x:c r="B2317" s="10" t="str">
        <x:v>A</x:v>
      </x:c>
      <x:c r="C2317" s="18" t="n">
        <x:v>0.1404999</x:v>
      </x:c>
      <x:c r="D2317" s="10" t="n">
        <x:v>560</x:v>
      </x:c>
      <x:c r="E2317" s="10" t="n">
        <x:v>0.962591962</x:v>
      </x:c>
      <x:c r="F2317" s="10" t="n">
        <x:v>0.008192</x:v>
      </x:c>
      <x:c r="G2317" s="10" t="n">
        <x:f>SUM(D2317:F2317)</x:f>
        <x:v>560.970783962</x:v>
      </x:c>
    </x:row>
    <x:row r="2318" ht="24" customHeight="1">
      <x:c r="A2318" s="10" t="str">
        <x:v>S05-02</x:v>
      </x:c>
      <x:c r="B2318" s="10" t="str">
        <x:v>A</x:v>
      </x:c>
      <x:c r="C2318" s="18" t="n">
        <x:v>0.1405</x:v>
      </x:c>
      <x:c r="D2318" s="10" t="n">
        <x:v>560</x:v>
      </x:c>
      <x:c r="E2318" s="10" t="n">
        <x:v>0.962592</x:v>
      </x:c>
      <x:c r="F2318" s="10" t="n">
        <x:v>0.008192</x:v>
      </x:c>
      <x:c r="G2318" s="10" t="n">
        <x:f>SUM(D2318:F2318)</x:f>
        <x:v>560.970784</x:v>
      </x:c>
    </x:row>
    <x:row r="2319" ht="24" customHeight="1">
      <x:c r="A2319" s="10" t="str">
        <x:v>S05-02</x:v>
      </x:c>
      <x:c r="B2319" s="10" t="str">
        <x:v>A</x:v>
      </x:c>
      <x:c r="C2319" s="18" t="n">
        <x:v>0.1405001</x:v>
      </x:c>
      <x:c r="D2319" s="10" t="n">
        <x:v>560</x:v>
      </x:c>
      <x:c r="E2319" s="10" t="n">
        <x:v>0.962592019</x:v>
      </x:c>
      <x:c r="F2319" s="10" t="n">
        <x:v>0.008192</x:v>
      </x:c>
      <x:c r="G2319" s="10" t="n">
        <x:f>SUM(D2319:F2319)</x:f>
        <x:v>560.970784019</x:v>
      </x:c>
    </x:row>
    <x:row r="2320" ht="24" customHeight="1">
      <x:c r="A2320" s="10" t="str">
        <x:v>S05-02</x:v>
      </x:c>
      <x:c r="B2320" s="10" t="str">
        <x:v>A</x:v>
      </x:c>
      <x:c r="C2320" s="18" t="n">
        <x:v>0.896666567</x:v>
      </x:c>
      <x:c r="D2320" s="10" t="n">
        <x:v>560</x:v>
      </x:c>
      <x:c r="E2320" s="10" t="n">
        <x:v>1.107775981</x:v>
      </x:c>
      <x:c r="F2320" s="10" t="n">
        <x:v>0.008192</x:v>
      </x:c>
      <x:c r="G2320" s="10" t="n">
        <x:f>SUM(D2320:F2320)</x:f>
        <x:v>561.115967981</x:v>
      </x:c>
    </x:row>
    <x:row r="2321" ht="24" customHeight="1">
      <x:c r="A2321" s="10" t="str">
        <x:v>S05-02</x:v>
      </x:c>
      <x:c r="B2321" s="10" t="str">
        <x:v>A</x:v>
      </x:c>
      <x:c r="C2321" s="18" t="n">
        <x:v>0.896666667</x:v>
      </x:c>
      <x:c r="D2321" s="10" t="n">
        <x:v>560</x:v>
      </x:c>
      <x:c r="E2321" s="10" t="n">
        <x:v>1.107776</x:v>
      </x:c>
      <x:c r="F2321" s="10" t="n">
        <x:v>0.008192</x:v>
      </x:c>
      <x:c r="G2321" s="10" t="n">
        <x:f>SUM(D2321:F2321)</x:f>
        <x:v>561.115968</x:v>
      </x:c>
    </x:row>
    <x:row r="2322" ht="24" customHeight="1">
      <x:c r="A2322" s="10" t="str">
        <x:v>S05-02</x:v>
      </x:c>
      <x:c r="B2322" s="10" t="str">
        <x:v>A</x:v>
      </x:c>
      <x:c r="C2322" s="18" t="n">
        <x:v>0.896666767</x:v>
      </x:c>
      <x:c r="D2322" s="10" t="n">
        <x:v>560</x:v>
      </x:c>
      <x:c r="E2322" s="10" t="n">
        <x:v>1.107776019</x:v>
      </x:c>
      <x:c r="F2322" s="10" t="n">
        <x:v>0.008192</x:v>
      </x:c>
      <x:c r="G2322" s="10" t="n">
        <x:f>SUM(D2322:F2322)</x:f>
        <x:v>561.115968019</x:v>
      </x:c>
    </x:row>
    <x:row r="2323" ht="24" customHeight="1">
      <x:c r="A2323" s="10" t="str">
        <x:v>S05-02</x:v>
      </x:c>
      <x:c r="B2323" s="10" t="str">
        <x:v>A</x:v>
      </x:c>
      <x:c r="C2323" s="18" t="n">
        <x:v>0.936666567</x:v>
      </x:c>
      <x:c r="D2323" s="10" t="n">
        <x:v>560</x:v>
      </x:c>
      <x:c r="E2323" s="10" t="n">
        <x:v>1.115455981</x:v>
      </x:c>
      <x:c r="F2323" s="10" t="n">
        <x:v>0.008192</x:v>
      </x:c>
      <x:c r="G2323" s="10" t="n">
        <x:f>SUM(D2323:F2323)</x:f>
        <x:v>561.123647981</x:v>
      </x:c>
    </x:row>
    <x:row r="2324" ht="24" customHeight="1">
      <x:c r="A2324" s="10" t="str">
        <x:v>S05-02</x:v>
      </x:c>
      <x:c r="B2324" s="10" t="str">
        <x:v>A</x:v>
      </x:c>
      <x:c r="C2324" s="18" t="n">
        <x:v>0.936666667</x:v>
      </x:c>
      <x:c r="D2324" s="10" t="n">
        <x:v>560</x:v>
      </x:c>
      <x:c r="E2324" s="10" t="n">
        <x:v>1.115456</x:v>
      </x:c>
      <x:c r="F2324" s="10" t="n">
        <x:v>0.008192</x:v>
      </x:c>
      <x:c r="G2324" s="10" t="n">
        <x:f>SUM(D2324:F2324)</x:f>
        <x:v>561.123648</x:v>
      </x:c>
    </x:row>
    <x:row r="2325" ht="24" customHeight="1">
      <x:c r="A2325" s="10" t="str">
        <x:v>S05-02</x:v>
      </x:c>
      <x:c r="B2325" s="10" t="str">
        <x:v>A</x:v>
      </x:c>
      <x:c r="C2325" s="18" t="n">
        <x:v>0.936666767</x:v>
      </x:c>
      <x:c r="D2325" s="10" t="n">
        <x:v>560</x:v>
      </x:c>
      <x:c r="E2325" s="10" t="n">
        <x:v>1.115456015</x:v>
      </x:c>
      <x:c r="F2325" s="10" t="n">
        <x:v>0.008192</x:v>
      </x:c>
      <x:c r="G2325" s="10" t="n">
        <x:f>SUM(D2325:F2325)</x:f>
        <x:v>561.123648015</x:v>
      </x:c>
    </x:row>
    <x:row r="2326" ht="24" customHeight="1">
      <x:c r="A2326" s="10" t="str">
        <x:v>S05-02</x:v>
      </x:c>
      <x:c r="B2326" s="10" t="str">
        <x:v>A</x:v>
      </x:c>
      <x:c r="C2326" s="18" t="n">
        <x:v>3.694666567</x:v>
      </x:c>
      <x:c r="D2326" s="10" t="n">
        <x:v>560</x:v>
      </x:c>
      <x:c r="E2326" s="10" t="n">
        <x:v>1.512607986</x:v>
      </x:c>
      <x:c r="F2326" s="10" t="n">
        <x:v>0.008192</x:v>
      </x:c>
      <x:c r="G2326" s="10" t="n">
        <x:f>SUM(D2326:F2326)</x:f>
        <x:v>561.520799986</x:v>
      </x:c>
    </x:row>
    <x:row r="2327" ht="24" customHeight="1">
      <x:c r="A2327" s="10" t="str">
        <x:v>S05-02</x:v>
      </x:c>
      <x:c r="B2327" s="10" t="str">
        <x:v>A</x:v>
      </x:c>
      <x:c r="C2327" s="18" t="n">
        <x:v>3.694666667</x:v>
      </x:c>
      <x:c r="D2327" s="10" t="n">
        <x:v>560</x:v>
      </x:c>
      <x:c r="E2327" s="10" t="n">
        <x:v>1.512608</x:v>
      </x:c>
      <x:c r="F2327" s="10" t="n">
        <x:v>0.008192</x:v>
      </x:c>
      <x:c r="G2327" s="10" t="n">
        <x:f>SUM(D2327:F2327)</x:f>
        <x:v>561.5208</x:v>
      </x:c>
    </x:row>
    <x:row r="2328" ht="24" customHeight="1">
      <x:c r="A2328" s="10" t="str">
        <x:v>S05-02</x:v>
      </x:c>
      <x:c r="B2328" s="10" t="str">
        <x:v>A</x:v>
      </x:c>
      <x:c r="C2328" s="18" t="n">
        <x:v>3.694666767</x:v>
      </x:c>
      <x:c r="D2328" s="10" t="n">
        <x:v>560</x:v>
      </x:c>
      <x:c r="E2328" s="10" t="n">
        <x:v>1.512608019</x:v>
      </x:c>
      <x:c r="F2328" s="10" t="n">
        <x:v>0.004096</x:v>
      </x:c>
      <x:c r="G2328" s="10" t="n">
        <x:f>SUM(D2328:F2328)</x:f>
        <x:v>561.516704019</x:v>
      </x:c>
    </x:row>
    <x:row r="2329" ht="24" customHeight="1">
      <x:c r="A2329" s="10" t="str">
        <x:v>S05-02</x:v>
      </x:c>
      <x:c r="B2329" s="10" t="str">
        <x:v>A</x:v>
      </x:c>
      <x:c r="C2329" s="18" t="n">
        <x:v>3.734666567</x:v>
      </x:c>
      <x:c r="D2329" s="10" t="n">
        <x:v>560</x:v>
      </x:c>
      <x:c r="E2329" s="10" t="n">
        <x:v>1.520287981</x:v>
      </x:c>
      <x:c r="F2329" s="10" t="n">
        <x:v>0.004096</x:v>
      </x:c>
      <x:c r="G2329" s="10" t="n">
        <x:f>SUM(D2329:F2329)</x:f>
        <x:v>561.524383981</x:v>
      </x:c>
    </x:row>
    <x:row r="2330" ht="24" customHeight="1">
      <x:c r="A2330" s="10" t="str">
        <x:v>S05-02</x:v>
      </x:c>
      <x:c r="B2330" s="10" t="str">
        <x:v>A</x:v>
      </x:c>
      <x:c r="C2330" s="18" t="n">
        <x:v>3.734666667</x:v>
      </x:c>
      <x:c r="D2330" s="10" t="n">
        <x:v>560</x:v>
      </x:c>
      <x:c r="E2330" s="10" t="n">
        <x:v>1.520288</x:v>
      </x:c>
      <x:c r="F2330" s="10" t="n">
        <x:v>0.004096</x:v>
      </x:c>
      <x:c r="G2330" s="10" t="n">
        <x:f>SUM(D2330:F2330)</x:f>
        <x:v>561.524384</x:v>
      </x:c>
    </x:row>
    <x:row r="2331" ht="24" customHeight="1">
      <x:c r="A2331" s="10" t="str">
        <x:v>S05-02</x:v>
      </x:c>
      <x:c r="B2331" s="10" t="str">
        <x:v>A</x:v>
      </x:c>
      <x:c r="C2331" s="18" t="n">
        <x:v>3.734666767</x:v>
      </x:c>
      <x:c r="D2331" s="10" t="n">
        <x:v>560</x:v>
      </x:c>
      <x:c r="E2331" s="10" t="n">
        <x:v>1.520288015</x:v>
      </x:c>
      <x:c r="F2331" s="10" t="n">
        <x:v>0.004096</x:v>
      </x:c>
      <x:c r="G2331" s="10" t="n">
        <x:f>SUM(D2331:F2331)</x:f>
        <x:v>561.524384015</x:v>
      </x:c>
    </x:row>
    <x:row r="2332" ht="24" customHeight="1">
      <x:c r="A2332" s="10" t="str">
        <x:v>S05-02</x:v>
      </x:c>
      <x:c r="B2332" s="10" t="str">
        <x:v>A</x:v>
      </x:c>
      <x:c r="C2332" s="18" t="n">
        <x:v>4.614833233</x:v>
      </x:c>
      <x:c r="D2332" s="10" t="n">
        <x:v>560</x:v>
      </x:c>
      <x:c r="E2332" s="10" t="n">
        <x:v>1.647031986</x:v>
      </x:c>
      <x:c r="F2332" s="10" t="n">
        <x:v>0.004096</x:v>
      </x:c>
      <x:c r="G2332" s="10" t="n">
        <x:f>SUM(D2332:F2332)</x:f>
        <x:v>561.651127986</x:v>
      </x:c>
    </x:row>
    <x:row r="2333" ht="24" customHeight="1">
      <x:c r="A2333" s="10" t="str">
        <x:v>S05-02</x:v>
      </x:c>
      <x:c r="B2333" s="10" t="str">
        <x:v>A</x:v>
      </x:c>
      <x:c r="C2333" s="18" t="n">
        <x:v>4.614833333</x:v>
      </x:c>
      <x:c r="D2333" s="10" t="n">
        <x:v>560</x:v>
      </x:c>
      <x:c r="E2333" s="10" t="n">
        <x:v>1.647032</x:v>
      </x:c>
      <x:c r="F2333" s="10" t="n">
        <x:v>0.004096</x:v>
      </x:c>
      <x:c r="G2333" s="10" t="n">
        <x:f>SUM(D2333:F2333)</x:f>
        <x:v>561.651128</x:v>
      </x:c>
    </x:row>
    <x:row r="2334" ht="24" customHeight="1">
      <x:c r="A2334" s="10" t="str">
        <x:v>S05-02</x:v>
      </x:c>
      <x:c r="B2334" s="10" t="str">
        <x:v>A</x:v>
      </x:c>
      <x:c r="C2334" s="18" t="n">
        <x:v>4.614833433</x:v>
      </x:c>
      <x:c r="D2334" s="10" t="n">
        <x:v>560</x:v>
      </x:c>
      <x:c r="E2334" s="10" t="n">
        <x:v>1.647031995</x:v>
      </x:c>
      <x:c r="F2334" s="10" t="n">
        <x:v>0.004096</x:v>
      </x:c>
      <x:c r="G2334" s="10" t="n">
        <x:f>SUM(D2334:F2334)</x:f>
        <x:v>561.651127995</x:v>
      </x:c>
    </x:row>
    <x:row r="2335" ht="24" customHeight="1">
      <x:c r="A2335" s="10" t="str">
        <x:v>S05-02</x:v>
      </x:c>
      <x:c r="B2335" s="10" t="str">
        <x:v>A</x:v>
      </x:c>
      <x:c r="C2335" s="18" t="n">
        <x:v>38.9279999</x:v>
      </x:c>
      <x:c r="D2335" s="10" t="n">
        <x:v>560</x:v>
      </x:c>
      <x:c r="E2335" s="10" t="n">
        <x:v>5e-9</x:v>
      </x:c>
      <x:c r="F2335" s="10" t="n">
        <x:v>0.004096</x:v>
      </x:c>
      <x:c r="G2335" s="10" t="n">
        <x:f>SUM(D2335:F2335)</x:f>
        <x:v>560.004096005</x:v>
      </x:c>
    </x:row>
    <x:row r="2336" ht="24" customHeight="1">
      <x:c r="A2336" s="10" t="str">
        <x:v>S05-02</x:v>
      </x:c>
      <x:c r="B2336" s="10" t="str">
        <x:v>A</x:v>
      </x:c>
      <x:c r="C2336" s="18" t="n">
        <x:v>38.928</x:v>
      </x:c>
      <x:c r="D2336" s="10" t="n">
        <x:v>560</x:v>
      </x:c>
      <x:c r="E2336" s="10" t="n">
        <x:v>0</x:v>
      </x:c>
      <x:c r="F2336" s="10" t="n">
        <x:v>0.004096</x:v>
      </x:c>
      <x:c r="G2336" s="10" t="n">
        <x:f>SUM(D2336:F2336)</x:f>
        <x:v>560.004096</x:v>
      </x:c>
    </x:row>
    <x:row r="2337" ht="24" customHeight="1">
      <x:c r="A2337" s="10" t="str">
        <x:v>S05-02</x:v>
      </x:c>
      <x:c r="B2337" s="10" t="str">
        <x:v>A</x:v>
      </x:c>
      <x:c r="C2337" s="18" t="n">
        <x:v>38.9280001</x:v>
      </x:c>
      <x:c r="D2337" s="10" t="n">
        <x:v>560</x:v>
      </x:c>
      <x:c r="E2337" s="10" t="n">
        <x:v>0</x:v>
      </x:c>
      <x:c r="F2337" s="10" t="n">
        <x:v>0</x:v>
      </x:c>
      <x:c r="G2337" s="10" t="n">
        <x:f>SUM(D2337:F2337)</x:f>
        <x:v>560</x:v>
      </x:c>
    </x:row>
    <x:row r="2338" ht="24" customHeight="1">
      <x:c r="A2338" s="10" t="str">
        <x:v>S05-02</x:v>
      </x:c>
      <x:c r="B2338" s="10" t="str">
        <x:v>B</x:v>
      </x:c>
      <x:c r="C2338" s="18" t="n">
        <x:v>-6.0000001</x:v>
      </x:c>
      <x:c r="D2338" s="10" t="n">
        <x:v>560</x:v>
      </x:c>
      <x:c r="E2338" s="10" t="n">
        <x:v>0</x:v>
      </x:c>
      <x:c r="F2338" s="10" t="n">
        <x:v>0</x:v>
      </x:c>
      <x:c r="G2338" s="10" t="n">
        <x:f>SUM(D2338:F2338)</x:f>
        <x:v>560</x:v>
      </x:c>
    </x:row>
    <x:row r="2339" ht="24" customHeight="1">
      <x:c r="A2339" s="10" t="str">
        <x:v>S05-02</x:v>
      </x:c>
      <x:c r="B2339" s="10" t="str">
        <x:v>B</x:v>
      </x:c>
      <x:c r="C2339" s="18" t="n">
        <x:v>-6</x:v>
      </x:c>
      <x:c r="D2339" s="10" t="n">
        <x:v>560</x:v>
      </x:c>
      <x:c r="E2339" s="10" t="n">
        <x:v>0</x:v>
      </x:c>
      <x:c r="F2339" s="10" t="n">
        <x:v>0</x:v>
      </x:c>
      <x:c r="G2339" s="10" t="n">
        <x:f>SUM(D2339:F2339)</x:f>
        <x:v>560</x:v>
      </x:c>
    </x:row>
    <x:row r="2340" ht="24" customHeight="1">
      <x:c r="A2340" s="10" t="str">
        <x:v>S05-02</x:v>
      </x:c>
      <x:c r="B2340" s="10" t="str">
        <x:v>B</x:v>
      </x:c>
      <x:c r="C2340" s="18" t="n">
        <x:v>-5.9999999</x:v>
      </x:c>
      <x:c r="D2340" s="10" t="n">
        <x:v>560</x:v>
      </x:c>
      <x:c r="E2340" s="10" t="n">
        <x:v>0</x:v>
      </x:c>
      <x:c r="F2340" s="10" t="n">
        <x:v>0</x:v>
      </x:c>
      <x:c r="G2340" s="10" t="n">
        <x:f>SUM(D2340:F2340)</x:f>
        <x:v>560</x:v>
      </x:c>
    </x:row>
    <x:row r="2341" ht="24" customHeight="1">
      <x:c r="A2341" s="10" t="str">
        <x:v>S05-02</x:v>
      </x:c>
      <x:c r="B2341" s="10" t="str">
        <x:v>B</x:v>
      </x:c>
      <x:c r="C2341" s="18" t="n">
        <x:v>-4.8000001</x:v>
      </x:c>
      <x:c r="D2341" s="10" t="n">
        <x:v>560</x:v>
      </x:c>
      <x:c r="E2341" s="10" t="n">
        <x:v>0</x:v>
      </x:c>
      <x:c r="F2341" s="10" t="n">
        <x:v>0</x:v>
      </x:c>
      <x:c r="G2341" s="10" t="n">
        <x:f>SUM(D2341:F2341)</x:f>
        <x:v>560</x:v>
      </x:c>
    </x:row>
    <x:row r="2342" ht="24" customHeight="1">
      <x:c r="A2342" s="10" t="str">
        <x:v>S05-02</x:v>
      </x:c>
      <x:c r="B2342" s="10" t="str">
        <x:v>B</x:v>
      </x:c>
      <x:c r="C2342" s="18" t="n">
        <x:v>-4.8</x:v>
      </x:c>
      <x:c r="D2342" s="10" t="n">
        <x:v>560</x:v>
      </x:c>
      <x:c r="E2342" s="10" t="n">
        <x:v>0</x:v>
      </x:c>
      <x:c r="F2342" s="10" t="n">
        <x:v>0.004096</x:v>
      </x:c>
      <x:c r="G2342" s="10" t="n">
        <x:f>SUM(D2342:F2342)</x:f>
        <x:v>560.004096</x:v>
      </x:c>
    </x:row>
    <x:row r="2343" ht="24" customHeight="1">
      <x:c r="A2343" s="10" t="str">
        <x:v>S05-02</x:v>
      </x:c>
      <x:c r="B2343" s="10" t="str">
        <x:v>B</x:v>
      </x:c>
      <x:c r="C2343" s="18" t="n">
        <x:v>-4.7999999</x:v>
      </x:c>
      <x:c r="D2343" s="10" t="n">
        <x:v>560</x:v>
      </x:c>
      <x:c r="E2343" s="10" t="n">
        <x:v>0</x:v>
      </x:c>
      <x:c r="F2343" s="10" t="n">
        <x:v>0.004096</x:v>
      </x:c>
      <x:c r="G2343" s="10" t="n">
        <x:f>SUM(D2343:F2343)</x:f>
        <x:v>560.004096</x:v>
      </x:c>
    </x:row>
    <x:row r="2344" ht="24" customHeight="1">
      <x:c r="A2344" s="10" t="str">
        <x:v>S05-02</x:v>
      </x:c>
      <x:c r="B2344" s="10" t="str">
        <x:v>B</x:v>
      </x:c>
      <x:c r="C2344" s="18" t="n">
        <x:v>-4.324666767</x:v>
      </x:c>
      <x:c r="D2344" s="10" t="n">
        <x:v>560</x:v>
      </x:c>
      <x:c r="E2344" s="10" t="n">
        <x:v>0</x:v>
      </x:c>
      <x:c r="F2344" s="10" t="n">
        <x:v>0.004096</x:v>
      </x:c>
      <x:c r="G2344" s="10" t="n">
        <x:f>SUM(D2344:F2344)</x:f>
        <x:v>560.004096</x:v>
      </x:c>
    </x:row>
    <x:row r="2345" ht="24" customHeight="1">
      <x:c r="A2345" s="10" t="str">
        <x:v>S05-02</x:v>
      </x:c>
      <x:c r="B2345" s="10" t="str">
        <x:v>B</x:v>
      </x:c>
      <x:c r="C2345" s="18" t="n">
        <x:v>-4.324666667</x:v>
      </x:c>
      <x:c r="D2345" s="10" t="n">
        <x:v>560</x:v>
      </x:c>
      <x:c r="E2345" s="10" t="n">
        <x:v>0.0096</x:v>
      </x:c>
      <x:c r="F2345" s="10" t="n">
        <x:v>0.004096</x:v>
      </x:c>
      <x:c r="G2345" s="10" t="n">
        <x:f>SUM(D2345:F2345)</x:f>
        <x:v>560.013696</x:v>
      </x:c>
    </x:row>
    <x:row r="2346" ht="24" customHeight="1">
      <x:c r="A2346" s="10" t="str">
        <x:v>S05-02</x:v>
      </x:c>
      <x:c r="B2346" s="10" t="str">
        <x:v>B</x:v>
      </x:c>
      <x:c r="C2346" s="18" t="n">
        <x:v>-4.324666567</x:v>
      </x:c>
      <x:c r="D2346" s="10" t="n">
        <x:v>560</x:v>
      </x:c>
      <x:c r="E2346" s="10" t="n">
        <x:v>0.009600019</x:v>
      </x:c>
      <x:c r="F2346" s="10" t="n">
        <x:v>0.004096</x:v>
      </x:c>
      <x:c r="G2346" s="10" t="n">
        <x:f>SUM(D2346:F2346)</x:f>
        <x:v>560.013696019</x:v>
      </x:c>
    </x:row>
    <x:row r="2347" ht="24" customHeight="1">
      <x:c r="A2347" s="10" t="str">
        <x:v>S05-02</x:v>
      </x:c>
      <x:c r="B2347" s="10" t="str">
        <x:v>B</x:v>
      </x:c>
      <x:c r="C2347" s="18" t="n">
        <x:v>-4.284666767</x:v>
      </x:c>
      <x:c r="D2347" s="10" t="n">
        <x:v>560</x:v>
      </x:c>
      <x:c r="E2347" s="10" t="n">
        <x:v>0.017279981</x:v>
      </x:c>
      <x:c r="F2347" s="10" t="n">
        <x:v>0.004096</x:v>
      </x:c>
      <x:c r="G2347" s="10" t="n">
        <x:f>SUM(D2347:F2347)</x:f>
        <x:v>560.021375981</x:v>
      </x:c>
    </x:row>
    <x:row r="2348" ht="24" customHeight="1">
      <x:c r="A2348" s="10" t="str">
        <x:v>S05-02</x:v>
      </x:c>
      <x:c r="B2348" s="10" t="str">
        <x:v>B</x:v>
      </x:c>
      <x:c r="C2348" s="18" t="n">
        <x:v>-4.284666667</x:v>
      </x:c>
      <x:c r="D2348" s="10" t="n">
        <x:v>560</x:v>
      </x:c>
      <x:c r="E2348" s="10" t="n">
        <x:v>0.01728</x:v>
      </x:c>
      <x:c r="F2348" s="10" t="n">
        <x:v>0.004096</x:v>
      </x:c>
      <x:c r="G2348" s="10" t="n">
        <x:f>SUM(D2348:F2348)</x:f>
        <x:v>560.021376</x:v>
      </x:c>
    </x:row>
    <x:row r="2349" ht="24" customHeight="1">
      <x:c r="A2349" s="10" t="str">
        <x:v>S05-02</x:v>
      </x:c>
      <x:c r="B2349" s="10" t="str">
        <x:v>B</x:v>
      </x:c>
      <x:c r="C2349" s="18" t="n">
        <x:v>-4.284666567</x:v>
      </x:c>
      <x:c r="D2349" s="10" t="n">
        <x:v>560</x:v>
      </x:c>
      <x:c r="E2349" s="10" t="n">
        <x:v>0.017280014</x:v>
      </x:c>
      <x:c r="F2349" s="10" t="n">
        <x:v>0.004096</x:v>
      </x:c>
      <x:c r="G2349" s="10" t="n">
        <x:f>SUM(D2349:F2349)</x:f>
        <x:v>560.021376014</x:v>
      </x:c>
    </x:row>
    <x:row r="2350" ht="24" customHeight="1">
      <x:c r="A2350" s="10" t="str">
        <x:v>S05-02</x:v>
      </x:c>
      <x:c r="B2350" s="10" t="str">
        <x:v>B</x:v>
      </x:c>
      <x:c r="C2350" s="18" t="n">
        <x:v>-3.5200001</x:v>
      </x:c>
      <x:c r="D2350" s="10" t="n">
        <x:v>560</x:v>
      </x:c>
      <x:c r="E2350" s="10" t="n">
        <x:v>0.127391986</x:v>
      </x:c>
      <x:c r="F2350" s="10" t="n">
        <x:v>0.004096</x:v>
      </x:c>
      <x:c r="G2350" s="10" t="n">
        <x:f>SUM(D2350:F2350)</x:f>
        <x:v>560.131487986</x:v>
      </x:c>
    </x:row>
    <x:row r="2351" ht="24" customHeight="1">
      <x:c r="A2351" s="10" t="str">
        <x:v>S05-02</x:v>
      </x:c>
      <x:c r="B2351" s="10" t="str">
        <x:v>B</x:v>
      </x:c>
      <x:c r="C2351" s="18" t="n">
        <x:v>-3.52</x:v>
      </x:c>
      <x:c r="D2351" s="10" t="n">
        <x:v>560</x:v>
      </x:c>
      <x:c r="E2351" s="10" t="n">
        <x:v>0.127392</x:v>
      </x:c>
      <x:c r="F2351" s="10" t="n">
        <x:v>0.004096</x:v>
      </x:c>
      <x:c r="G2351" s="10" t="n">
        <x:f>SUM(D2351:F2351)</x:f>
        <x:v>560.131488</x:v>
      </x:c>
    </x:row>
    <x:row r="2352" ht="24" customHeight="1">
      <x:c r="A2352" s="10" t="str">
        <x:v>S05-02</x:v>
      </x:c>
      <x:c r="B2352" s="10" t="str">
        <x:v>B</x:v>
      </x:c>
      <x:c r="C2352" s="18" t="n">
        <x:v>-3.5199999</x:v>
      </x:c>
      <x:c r="D2352" s="10" t="n">
        <x:v>560</x:v>
      </x:c>
      <x:c r="E2352" s="10" t="n">
        <x:v>0.127392019</x:v>
      </x:c>
      <x:c r="F2352" s="10" t="n">
        <x:v>0.004096</x:v>
      </x:c>
      <x:c r="G2352" s="10" t="n">
        <x:f>SUM(D2352:F2352)</x:f>
        <x:v>560.131488019</x:v>
      </x:c>
    </x:row>
    <x:row r="2353" ht="24" customHeight="1">
      <x:c r="A2353" s="10" t="str">
        <x:v>S05-02</x:v>
      </x:c>
      <x:c r="B2353" s="10" t="str">
        <x:v>B</x:v>
      </x:c>
      <x:c r="C2353" s="18" t="n">
        <x:v>-1e-7</x:v>
      </x:c>
      <x:c r="D2353" s="10" t="n">
        <x:v>560</x:v>
      </x:c>
      <x:c r="E2353" s="10" t="n">
        <x:v>0.803231981</x:v>
      </x:c>
      <x:c r="F2353" s="10" t="n">
        <x:v>0.004096</x:v>
      </x:c>
      <x:c r="G2353" s="10" t="n">
        <x:f>SUM(D2353:F2353)</x:f>
        <x:v>560.807327981</x:v>
      </x:c>
    </x:row>
    <x:row r="2354" ht="24" customHeight="1">
      <x:c r="A2354" s="10" t="str">
        <x:v>S05-02</x:v>
      </x:c>
      <x:c r="B2354" s="10" t="str">
        <x:v>B</x:v>
      </x:c>
      <x:c r="C2354" s="18" t="n">
        <x:v>0</x:v>
      </x:c>
      <x:c r="D2354" s="10" t="n">
        <x:v>560</x:v>
      </x:c>
      <x:c r="E2354" s="10" t="n">
        <x:v>0.803232</x:v>
      </x:c>
      <x:c r="F2354" s="10" t="n">
        <x:v>0.004096</x:v>
      </x:c>
      <x:c r="G2354" s="10" t="n">
        <x:f>SUM(D2354:F2354)</x:f>
        <x:v>560.807328</x:v>
      </x:c>
    </x:row>
    <x:row r="2355" ht="24" customHeight="1">
      <x:c r="A2355" s="10" t="str">
        <x:v>S05-02</x:v>
      </x:c>
      <x:c r="B2355" s="10" t="str">
        <x:v>B</x:v>
      </x:c>
      <x:c r="C2355" s="18" t="n">
        <x:v>1e-7</x:v>
      </x:c>
      <x:c r="D2355" s="10" t="n">
        <x:v>560</x:v>
      </x:c>
      <x:c r="E2355" s="10" t="n">
        <x:v>0.803232019</x:v>
      </x:c>
      <x:c r="F2355" s="10" t="n">
        <x:v>0.004096</x:v>
      </x:c>
      <x:c r="G2355" s="10" t="n">
        <x:f>SUM(D2355:F2355)</x:f>
        <x:v>560.807328019</x:v>
      </x:c>
    </x:row>
    <x:row r="2356" ht="24" customHeight="1">
      <x:c r="A2356" s="10" t="str">
        <x:v>S05-02</x:v>
      </x:c>
      <x:c r="B2356" s="10" t="str">
        <x:v>B</x:v>
      </x:c>
      <x:c r="C2356" s="18" t="n">
        <x:v>0.896666567</x:v>
      </x:c>
      <x:c r="D2356" s="10" t="n">
        <x:v>560</x:v>
      </x:c>
      <x:c r="E2356" s="10" t="n">
        <x:v>0.975391981</x:v>
      </x:c>
      <x:c r="F2356" s="10" t="n">
        <x:v>0.004096</x:v>
      </x:c>
      <x:c r="G2356" s="10" t="n">
        <x:f>SUM(D2356:F2356)</x:f>
        <x:v>560.979487981</x:v>
      </x:c>
    </x:row>
    <x:row r="2357" ht="24" customHeight="1">
      <x:c r="A2357" s="10" t="str">
        <x:v>S05-02</x:v>
      </x:c>
      <x:c r="B2357" s="10" t="str">
        <x:v>B</x:v>
      </x:c>
      <x:c r="C2357" s="18" t="n">
        <x:v>0.896666667</x:v>
      </x:c>
      <x:c r="D2357" s="10" t="n">
        <x:v>560</x:v>
      </x:c>
      <x:c r="E2357" s="10" t="n">
        <x:v>0.975392</x:v>
      </x:c>
      <x:c r="F2357" s="10" t="n">
        <x:v>0.008192</x:v>
      </x:c>
      <x:c r="G2357" s="10" t="n">
        <x:f>SUM(D2357:F2357)</x:f>
        <x:v>560.9835840000001</x:v>
      </x:c>
    </x:row>
    <x:row r="2358" ht="24" customHeight="1">
      <x:c r="A2358" s="10" t="str">
        <x:v>S05-02</x:v>
      </x:c>
      <x:c r="B2358" s="10" t="str">
        <x:v>B</x:v>
      </x:c>
      <x:c r="C2358" s="18" t="n">
        <x:v>0.896666767</x:v>
      </x:c>
      <x:c r="D2358" s="10" t="n">
        <x:v>560</x:v>
      </x:c>
      <x:c r="E2358" s="10" t="n">
        <x:v>0.975392019</x:v>
      </x:c>
      <x:c r="F2358" s="10" t="n">
        <x:v>0.008192</x:v>
      </x:c>
      <x:c r="G2358" s="10" t="n">
        <x:f>SUM(D2358:F2358)</x:f>
        <x:v>560.983584019</x:v>
      </x:c>
    </x:row>
    <x:row r="2359" ht="24" customHeight="1">
      <x:c r="A2359" s="10" t="str">
        <x:v>S05-02</x:v>
      </x:c>
      <x:c r="B2359" s="10" t="str">
        <x:v>B</x:v>
      </x:c>
      <x:c r="C2359" s="18" t="n">
        <x:v>0.996666567</x:v>
      </x:c>
      <x:c r="D2359" s="10" t="n">
        <x:v>560</x:v>
      </x:c>
      <x:c r="E2359" s="10" t="n">
        <x:v>0.994591981</x:v>
      </x:c>
      <x:c r="F2359" s="10" t="n">
        <x:v>0.008192</x:v>
      </x:c>
      <x:c r="G2359" s="10" t="n">
        <x:f>SUM(D2359:F2359)</x:f>
        <x:v>561.002783981</x:v>
      </x:c>
    </x:row>
    <x:row r="2360" ht="24" customHeight="1">
      <x:c r="A2360" s="10" t="str">
        <x:v>S05-02</x:v>
      </x:c>
      <x:c r="B2360" s="10" t="str">
        <x:v>B</x:v>
      </x:c>
      <x:c r="C2360" s="18" t="n">
        <x:v>0.996666667</x:v>
      </x:c>
      <x:c r="D2360" s="10" t="n">
        <x:v>560</x:v>
      </x:c>
      <x:c r="E2360" s="10" t="n">
        <x:v>0.994592</x:v>
      </x:c>
      <x:c r="F2360" s="10" t="n">
        <x:v>0.008192</x:v>
      </x:c>
      <x:c r="G2360" s="10" t="n">
        <x:f>SUM(D2360:F2360)</x:f>
        <x:v>561.002784</x:v>
      </x:c>
    </x:row>
    <x:row r="2361" ht="24" customHeight="1">
      <x:c r="A2361" s="10" t="str">
        <x:v>S05-02</x:v>
      </x:c>
      <x:c r="B2361" s="10" t="str">
        <x:v>B</x:v>
      </x:c>
      <x:c r="C2361" s="18" t="n">
        <x:v>0.996666767</x:v>
      </x:c>
      <x:c r="D2361" s="10" t="n">
        <x:v>560</x:v>
      </x:c>
      <x:c r="E2361" s="10" t="n">
        <x:v>0.994592</x:v>
      </x:c>
      <x:c r="F2361" s="10" t="n">
        <x:v>0.008192</x:v>
      </x:c>
      <x:c r="G2361" s="10" t="n">
        <x:f>SUM(D2361:F2361)</x:f>
        <x:v>561.002784</x:v>
      </x:c>
    </x:row>
    <x:row r="2362" ht="24" customHeight="1">
      <x:c r="A2362" s="10" t="str">
        <x:v>S05-02</x:v>
      </x:c>
      <x:c r="B2362" s="10" t="str">
        <x:v>B</x:v>
      </x:c>
      <x:c r="C2362" s="18" t="n">
        <x:v>1.297666567</x:v>
      </x:c>
      <x:c r="D2362" s="10" t="n">
        <x:v>560</x:v>
      </x:c>
      <x:c r="E2362" s="10" t="n">
        <x:v>0.994592</x:v>
      </x:c>
      <x:c r="F2362" s="10" t="n">
        <x:v>0.008192</x:v>
      </x:c>
      <x:c r="G2362" s="10" t="n">
        <x:f>SUM(D2362:F2362)</x:f>
        <x:v>561.002784</x:v>
      </x:c>
    </x:row>
    <x:row r="2363" ht="24" customHeight="1">
      <x:c r="A2363" s="10" t="str">
        <x:v>S05-02</x:v>
      </x:c>
      <x:c r="B2363" s="10" t="str">
        <x:v>B</x:v>
      </x:c>
      <x:c r="C2363" s="18" t="n">
        <x:v>1.297666667</x:v>
      </x:c>
      <x:c r="D2363" s="10" t="n">
        <x:v>560</x:v>
      </x:c>
      <x:c r="E2363" s="10" t="n">
        <x:v>1.004192</x:v>
      </x:c>
      <x:c r="F2363" s="10" t="n">
        <x:v>0.008192</x:v>
      </x:c>
      <x:c r="G2363" s="10" t="n">
        <x:f>SUM(D2363:F2363)</x:f>
        <x:v>561.012384</x:v>
      </x:c>
    </x:row>
    <x:row r="2364" ht="24" customHeight="1">
      <x:c r="A2364" s="10" t="str">
        <x:v>S05-02</x:v>
      </x:c>
      <x:c r="B2364" s="10" t="str">
        <x:v>B</x:v>
      </x:c>
      <x:c r="C2364" s="18" t="n">
        <x:v>1.297666767</x:v>
      </x:c>
      <x:c r="D2364" s="10" t="n">
        <x:v>560</x:v>
      </x:c>
      <x:c r="E2364" s="10" t="n">
        <x:v>1.004192019</x:v>
      </x:c>
      <x:c r="F2364" s="10" t="n">
        <x:v>0.008192</x:v>
      </x:c>
      <x:c r="G2364" s="10" t="n">
        <x:f>SUM(D2364:F2364)</x:f>
        <x:v>561.012384019</x:v>
      </x:c>
    </x:row>
    <x:row r="2365" ht="24" customHeight="1">
      <x:c r="A2365" s="10" t="str">
        <x:v>S05-02</x:v>
      </x:c>
      <x:c r="B2365" s="10" t="str">
        <x:v>B</x:v>
      </x:c>
      <x:c r="C2365" s="18" t="n">
        <x:v>1.337666567</x:v>
      </x:c>
      <x:c r="D2365" s="10" t="n">
        <x:v>560</x:v>
      </x:c>
      <x:c r="E2365" s="10" t="n">
        <x:v>1.011871981</x:v>
      </x:c>
      <x:c r="F2365" s="10" t="n">
        <x:v>0.008192</x:v>
      </x:c>
      <x:c r="G2365" s="10" t="n">
        <x:f>SUM(D2365:F2365)</x:f>
        <x:v>561.020063981</x:v>
      </x:c>
    </x:row>
    <x:row r="2366" ht="24" customHeight="1">
      <x:c r="A2366" s="10" t="str">
        <x:v>S05-02</x:v>
      </x:c>
      <x:c r="B2366" s="10" t="str">
        <x:v>B</x:v>
      </x:c>
      <x:c r="C2366" s="18" t="n">
        <x:v>1.337666667</x:v>
      </x:c>
      <x:c r="D2366" s="10" t="n">
        <x:v>560</x:v>
      </x:c>
      <x:c r="E2366" s="10" t="n">
        <x:v>1.011872</x:v>
      </x:c>
      <x:c r="F2366" s="10" t="n">
        <x:v>0.008192</x:v>
      </x:c>
      <x:c r="G2366" s="10" t="n">
        <x:f>SUM(D2366:F2366)</x:f>
        <x:v>561.020064</x:v>
      </x:c>
    </x:row>
    <x:row r="2367" ht="24" customHeight="1">
      <x:c r="A2367" s="10" t="str">
        <x:v>S05-02</x:v>
      </x:c>
      <x:c r="B2367" s="10" t="str">
        <x:v>B</x:v>
      </x:c>
      <x:c r="C2367" s="18" t="n">
        <x:v>1.337666767</x:v>
      </x:c>
      <x:c r="D2367" s="10" t="n">
        <x:v>560</x:v>
      </x:c>
      <x:c r="E2367" s="10" t="n">
        <x:v>1.011872015</x:v>
      </x:c>
      <x:c r="F2367" s="10" t="n">
        <x:v>0.008192</x:v>
      </x:c>
      <x:c r="G2367" s="10" t="n">
        <x:f>SUM(D2367:F2367)</x:f>
        <x:v>561.020064015</x:v>
      </x:c>
    </x:row>
    <x:row r="2368" ht="24" customHeight="1">
      <x:c r="A2368" s="10" t="str">
        <x:v>S05-02</x:v>
      </x:c>
      <x:c r="B2368" s="10" t="str">
        <x:v>B</x:v>
      </x:c>
      <x:c r="C2368" s="18" t="n">
        <x:v>1.937166567</x:v>
      </x:c>
      <x:c r="D2368" s="10" t="n">
        <x:v>560</x:v>
      </x:c>
      <x:c r="E2368" s="10" t="n">
        <x:v>1.098199986</x:v>
      </x:c>
      <x:c r="F2368" s="10" t="n">
        <x:v>0.008192</x:v>
      </x:c>
      <x:c r="G2368" s="10" t="n">
        <x:f>SUM(D2368:F2368)</x:f>
        <x:v>561.1063919860001</x:v>
      </x:c>
    </x:row>
    <x:row r="2369" ht="24" customHeight="1">
      <x:c r="A2369" s="10" t="str">
        <x:v>S05-02</x:v>
      </x:c>
      <x:c r="B2369" s="10" t="str">
        <x:v>B</x:v>
      </x:c>
      <x:c r="C2369" s="18" t="n">
        <x:v>1.937166667</x:v>
      </x:c>
      <x:c r="D2369" s="10" t="n">
        <x:v>560</x:v>
      </x:c>
      <x:c r="E2369" s="10" t="n">
        <x:v>1.0982</x:v>
      </x:c>
      <x:c r="F2369" s="10" t="n">
        <x:v>0.008192</x:v>
      </x:c>
      <x:c r="G2369" s="10" t="n">
        <x:f>SUM(D2369:F2369)</x:f>
        <x:v>561.106392</x:v>
      </x:c>
    </x:row>
    <x:row r="2370" ht="24" customHeight="1">
      <x:c r="A2370" s="10" t="str">
        <x:v>S05-02</x:v>
      </x:c>
      <x:c r="B2370" s="10" t="str">
        <x:v>B</x:v>
      </x:c>
      <x:c r="C2370" s="18" t="n">
        <x:v>1.937166767</x:v>
      </x:c>
      <x:c r="D2370" s="10" t="n">
        <x:v>560</x:v>
      </x:c>
      <x:c r="E2370" s="10" t="n">
        <x:v>1.098199995</x:v>
      </x:c>
      <x:c r="F2370" s="10" t="n">
        <x:v>0.008192</x:v>
      </x:c>
      <x:c r="G2370" s="10" t="n">
        <x:f>SUM(D2370:F2370)</x:f>
        <x:v>561.106391995</x:v>
      </x:c>
    </x:row>
    <x:row r="2371" ht="24" customHeight="1">
      <x:c r="A2371" s="10" t="str">
        <x:v>S05-02</x:v>
      </x:c>
      <x:c r="B2371" s="10" t="str">
        <x:v>B</x:v>
      </x:c>
      <x:c r="C2371" s="18" t="n">
        <x:v>4.095666567</x:v>
      </x:c>
      <x:c r="D2371" s="10" t="n">
        <x:v>560</x:v>
      </x:c>
      <x:c r="E2371" s="10" t="n">
        <x:v>0.994592005</x:v>
      </x:c>
      <x:c r="F2371" s="10" t="n">
        <x:v>0.008192</x:v>
      </x:c>
      <x:c r="G2371" s="10" t="n">
        <x:f>SUM(D2371:F2371)</x:f>
        <x:v>561.002784005</x:v>
      </x:c>
    </x:row>
    <x:row r="2372" ht="24" customHeight="1">
      <x:c r="A2372" s="10" t="str">
        <x:v>S05-02</x:v>
      </x:c>
      <x:c r="B2372" s="10" t="str">
        <x:v>B</x:v>
      </x:c>
      <x:c r="C2372" s="18" t="n">
        <x:v>4.095666667</x:v>
      </x:c>
      <x:c r="D2372" s="10" t="n">
        <x:v>560</x:v>
      </x:c>
      <x:c r="E2372" s="10" t="n">
        <x:v>0.994592</x:v>
      </x:c>
      <x:c r="F2372" s="10" t="n">
        <x:v>0.012288</x:v>
      </x:c>
      <x:c r="G2372" s="10" t="n">
        <x:f>SUM(D2372:F2372)</x:f>
        <x:v>561.00688</x:v>
      </x:c>
    </x:row>
    <x:row r="2373" ht="24" customHeight="1">
      <x:c r="A2373" s="10" t="str">
        <x:v>S05-02</x:v>
      </x:c>
      <x:c r="B2373" s="10" t="str">
        <x:v>B</x:v>
      </x:c>
      <x:c r="C2373" s="18" t="n">
        <x:v>4.095666767</x:v>
      </x:c>
      <x:c r="D2373" s="10" t="n">
        <x:v>560</x:v>
      </x:c>
      <x:c r="E2373" s="10" t="n">
        <x:v>0.994592</x:v>
      </x:c>
      <x:c r="F2373" s="10" t="n">
        <x:v>0.008192</x:v>
      </x:c>
      <x:c r="G2373" s="10" t="n">
        <x:f>SUM(D2373:F2373)</x:f>
        <x:v>561.002784</x:v>
      </x:c>
    </x:row>
    <x:row r="2374" ht="24" customHeight="1">
      <x:c r="A2374" s="10" t="str">
        <x:v>S05-02</x:v>
      </x:c>
      <x:c r="B2374" s="10" t="str">
        <x:v>B</x:v>
      </x:c>
      <x:c r="C2374" s="18" t="n">
        <x:v>4.135666567</x:v>
      </x:c>
      <x:c r="D2374" s="10" t="n">
        <x:v>560</x:v>
      </x:c>
      <x:c r="E2374" s="10" t="n">
        <x:v>0.994592</x:v>
      </x:c>
      <x:c r="F2374" s="10" t="n">
        <x:v>0.008192</x:v>
      </x:c>
      <x:c r="G2374" s="10" t="n">
        <x:f>SUM(D2374:F2374)</x:f>
        <x:v>561.002784</x:v>
      </x:c>
    </x:row>
    <x:row r="2375" ht="24" customHeight="1">
      <x:c r="A2375" s="10" t="str">
        <x:v>S05-02</x:v>
      </x:c>
      <x:c r="B2375" s="10" t="str">
        <x:v>B</x:v>
      </x:c>
      <x:c r="C2375" s="18" t="n">
        <x:v>4.135666667</x:v>
      </x:c>
      <x:c r="D2375" s="10" t="n">
        <x:v>560</x:v>
      </x:c>
      <x:c r="E2375" s="10" t="n">
        <x:v>0.994592</x:v>
      </x:c>
      <x:c r="F2375" s="10" t="n">
        <x:v>0.008192</x:v>
      </x:c>
      <x:c r="G2375" s="10" t="n">
        <x:f>SUM(D2375:F2375)</x:f>
        <x:v>561.002784</x:v>
      </x:c>
    </x:row>
    <x:row r="2376" ht="24" customHeight="1">
      <x:c r="A2376" s="10" t="str">
        <x:v>S05-02</x:v>
      </x:c>
      <x:c r="B2376" s="10" t="str">
        <x:v>B</x:v>
      </x:c>
      <x:c r="C2376" s="18" t="n">
        <x:v>4.135666767</x:v>
      </x:c>
      <x:c r="D2376" s="10" t="n">
        <x:v>560</x:v>
      </x:c>
      <x:c r="E2376" s="10" t="n">
        <x:v>0.994591995</x:v>
      </x:c>
      <x:c r="F2376" s="10" t="n">
        <x:v>0.008192</x:v>
      </x:c>
      <x:c r="G2376" s="10" t="n">
        <x:f>SUM(D2376:F2376)</x:f>
        <x:v>561.002783995</x:v>
      </x:c>
    </x:row>
    <x:row r="2377" ht="24" customHeight="1">
      <x:c r="A2377" s="10" t="str">
        <x:v>S05-02</x:v>
      </x:c>
      <x:c r="B2377" s="10" t="str">
        <x:v>B</x:v>
      </x:c>
      <x:c r="C2377" s="18" t="n">
        <x:v>4.6109999</x:v>
      </x:c>
      <x:c r="D2377" s="10" t="n">
        <x:v>560</x:v>
      </x:c>
      <x:c r="E2377" s="10" t="n">
        <x:v>0.971776005</x:v>
      </x:c>
      <x:c r="F2377" s="10" t="n">
        <x:v>0.008192</x:v>
      </x:c>
      <x:c r="G2377" s="10" t="n">
        <x:f>SUM(D2377:F2377)</x:f>
        <x:v>560.979968005</x:v>
      </x:c>
    </x:row>
    <x:row r="2378" ht="24" customHeight="1">
      <x:c r="A2378" s="10" t="str">
        <x:v>S05-02</x:v>
      </x:c>
      <x:c r="B2378" s="10" t="str">
        <x:v>B</x:v>
      </x:c>
      <x:c r="C2378" s="18" t="n">
        <x:v>4.611</x:v>
      </x:c>
      <x:c r="D2378" s="10" t="n">
        <x:v>560</x:v>
      </x:c>
      <x:c r="E2378" s="10" t="n">
        <x:v>0.981376</x:v>
      </x:c>
      <x:c r="F2378" s="10" t="n">
        <x:v>0.008192</x:v>
      </x:c>
      <x:c r="G2378" s="10" t="n">
        <x:f>SUM(D2378:F2378)</x:f>
        <x:v>560.989568</x:v>
      </x:c>
    </x:row>
    <x:row r="2379" ht="24" customHeight="1">
      <x:c r="A2379" s="10" t="str">
        <x:v>S05-02</x:v>
      </x:c>
      <x:c r="B2379" s="10" t="str">
        <x:v>B</x:v>
      </x:c>
      <x:c r="C2379" s="18" t="n">
        <x:v>4.6110001</x:v>
      </x:c>
      <x:c r="D2379" s="10" t="n">
        <x:v>560</x:v>
      </x:c>
      <x:c r="E2379" s="10" t="n">
        <x:v>0.981376015</x:v>
      </x:c>
      <x:c r="F2379" s="10" t="n">
        <x:v>0.008192</x:v>
      </x:c>
      <x:c r="G2379" s="10" t="n">
        <x:f>SUM(D2379:F2379)</x:f>
        <x:v>560.989568015</x:v>
      </x:c>
    </x:row>
    <x:row r="2380" ht="24" customHeight="1">
      <x:c r="A2380" s="10" t="str">
        <x:v>S05-02</x:v>
      </x:c>
      <x:c r="B2380" s="10" t="str">
        <x:v>B</x:v>
      </x:c>
      <x:c r="C2380" s="18" t="n">
        <x:v>8.179166566</x:v>
      </x:c>
      <x:c r="D2380" s="10" t="n">
        <x:v>560</x:v>
      </x:c>
      <x:c r="E2380" s="10" t="n">
        <x:v>1.495191986</x:v>
      </x:c>
      <x:c r="F2380" s="10" t="n">
        <x:v>0.008192</x:v>
      </x:c>
      <x:c r="G2380" s="10" t="n">
        <x:f>SUM(D2380:F2380)</x:f>
        <x:v>561.503383986</x:v>
      </x:c>
    </x:row>
    <x:row r="2381" ht="24" customHeight="1">
      <x:c r="A2381" s="10" t="str">
        <x:v>S05-02</x:v>
      </x:c>
      <x:c r="B2381" s="10" t="str">
        <x:v>B</x:v>
      </x:c>
      <x:c r="C2381" s="18" t="n">
        <x:v>8.179166666</x:v>
      </x:c>
      <x:c r="D2381" s="10" t="n">
        <x:v>560</x:v>
      </x:c>
      <x:c r="E2381" s="10" t="n">
        <x:v>1.495192</x:v>
      </x:c>
      <x:c r="F2381" s="10" t="n">
        <x:v>0.008192</x:v>
      </x:c>
      <x:c r="G2381" s="10" t="n">
        <x:f>SUM(D2381:F2381)</x:f>
        <x:v>561.503384</x:v>
      </x:c>
    </x:row>
    <x:row r="2382" ht="24" customHeight="1">
      <x:c r="A2382" s="10" t="str">
        <x:v>S05-02</x:v>
      </x:c>
      <x:c r="B2382" s="10" t="str">
        <x:v>B</x:v>
      </x:c>
      <x:c r="C2382" s="18" t="n">
        <x:v>8.179166766</x:v>
      </x:c>
      <x:c r="D2382" s="10" t="n">
        <x:v>560</x:v>
      </x:c>
      <x:c r="E2382" s="10" t="n">
        <x:v>1.495191995</x:v>
      </x:c>
      <x:c r="F2382" s="10" t="n">
        <x:v>0.008192</x:v>
      </x:c>
      <x:c r="G2382" s="10" t="n">
        <x:f>SUM(D2382:F2382)</x:f>
        <x:v>561.503383995</x:v>
      </x:c>
    </x:row>
    <x:row r="2383" ht="24" customHeight="1">
      <x:c r="A2383" s="10" t="str">
        <x:v>S05-02</x:v>
      </x:c>
      <x:c r="B2383" s="10" t="str">
        <x:v>B</x:v>
      </x:c>
      <x:c r="C2383" s="18" t="n">
        <x:v>24.856333236</x:v>
      </x:c>
      <x:c r="D2383" s="10" t="n">
        <x:v>560</x:v>
      </x:c>
      <x:c r="E2383" s="10" t="n">
        <x:v>0.694688005</x:v>
      </x:c>
      <x:c r="F2383" s="10" t="n">
        <x:v>0.008192</x:v>
      </x:c>
      <x:c r="G2383" s="10" t="n">
        <x:f>SUM(D2383:F2383)</x:f>
        <x:v>560.702880005</x:v>
      </x:c>
    </x:row>
    <x:row r="2384" ht="24" customHeight="1">
      <x:c r="A2384" s="10" t="str">
        <x:v>S05-02</x:v>
      </x:c>
      <x:c r="B2384" s="10" t="str">
        <x:v>B</x:v>
      </x:c>
      <x:c r="C2384" s="18" t="n">
        <x:v>24.856333336</x:v>
      </x:c>
      <x:c r="D2384" s="10" t="n">
        <x:v>560</x:v>
      </x:c>
      <x:c r="E2384" s="10" t="n">
        <x:v>0.694688</x:v>
      </x:c>
      <x:c r="F2384" s="10" t="n">
        <x:v>0.008192</x:v>
      </x:c>
      <x:c r="G2384" s="10" t="n">
        <x:f>SUM(D2384:F2384)</x:f>
        <x:v>560.70288</x:v>
      </x:c>
    </x:row>
    <x:row r="2385" ht="24" customHeight="1">
      <x:c r="A2385" s="10" t="str">
        <x:v>S05-02</x:v>
      </x:c>
      <x:c r="B2385" s="10" t="str">
        <x:v>B</x:v>
      </x:c>
      <x:c r="C2385" s="18" t="n">
        <x:v>24.856333436</x:v>
      </x:c>
      <x:c r="D2385" s="10" t="n">
        <x:v>560</x:v>
      </x:c>
      <x:c r="E2385" s="10" t="n">
        <x:v>0.694688</x:v>
      </x:c>
      <x:c r="F2385" s="10" t="n">
        <x:v>0.004096</x:v>
      </x:c>
      <x:c r="G2385" s="10" t="n">
        <x:f>SUM(D2385:F2385)</x:f>
        <x:v>560.698784</x:v>
      </x:c>
    </x:row>
    <x:row r="2386" ht="24" customHeight="1">
      <x:c r="A2386" s="10" t="str">
        <x:v>S05-02</x:v>
      </x:c>
      <x:c r="B2386" s="10" t="str">
        <x:v>B</x:v>
      </x:c>
      <x:c r="C2386" s="18" t="n">
        <x:v>24.896333236</x:v>
      </x:c>
      <x:c r="D2386" s="10" t="n">
        <x:v>560</x:v>
      </x:c>
      <x:c r="E2386" s="10" t="n">
        <x:v>0.694688</x:v>
      </x:c>
      <x:c r="F2386" s="10" t="n">
        <x:v>0.004096</x:v>
      </x:c>
      <x:c r="G2386" s="10" t="n">
        <x:f>SUM(D2386:F2386)</x:f>
        <x:v>560.698784</x:v>
      </x:c>
    </x:row>
    <x:row r="2387" ht="24" customHeight="1">
      <x:c r="A2387" s="10" t="str">
        <x:v>S05-02</x:v>
      </x:c>
      <x:c r="B2387" s="10" t="str">
        <x:v>B</x:v>
      </x:c>
      <x:c r="C2387" s="18" t="n">
        <x:v>24.896333336</x:v>
      </x:c>
      <x:c r="D2387" s="10" t="n">
        <x:v>560</x:v>
      </x:c>
      <x:c r="E2387" s="10" t="n">
        <x:v>0.694688</x:v>
      </x:c>
      <x:c r="F2387" s="10" t="n">
        <x:v>0.004096</x:v>
      </x:c>
      <x:c r="G2387" s="10" t="n">
        <x:f>SUM(D2387:F2387)</x:f>
        <x:v>560.698784</x:v>
      </x:c>
    </x:row>
    <x:row r="2388" ht="24" customHeight="1">
      <x:c r="A2388" s="10" t="str">
        <x:v>S05-02</x:v>
      </x:c>
      <x:c r="B2388" s="10" t="str">
        <x:v>B</x:v>
      </x:c>
      <x:c r="C2388" s="18" t="n">
        <x:v>24.896333436</x:v>
      </x:c>
      <x:c r="D2388" s="10" t="n">
        <x:v>560</x:v>
      </x:c>
      <x:c r="E2388" s="10" t="n">
        <x:v>0.694687995</x:v>
      </x:c>
      <x:c r="F2388" s="10" t="n">
        <x:v>0.004096</x:v>
      </x:c>
      <x:c r="G2388" s="10" t="n">
        <x:f>SUM(D2388:F2388)</x:f>
        <x:v>560.698783995</x:v>
      </x:c>
    </x:row>
    <x:row r="2389" ht="24" customHeight="1">
      <x:c r="A2389" s="10" t="str">
        <x:v>S05-02</x:v>
      </x:c>
      <x:c r="B2389" s="10" t="str">
        <x:v>B</x:v>
      </x:c>
      <x:c r="C2389" s="18" t="n">
        <x:v>39.3689999</x:v>
      </x:c>
      <x:c r="D2389" s="10" t="n">
        <x:v>560</x:v>
      </x:c>
      <x:c r="E2389" s="10" t="n">
        <x:v>5e-9</x:v>
      </x:c>
      <x:c r="F2389" s="10" t="n">
        <x:v>0.004096</x:v>
      </x:c>
      <x:c r="G2389" s="10" t="n">
        <x:f>SUM(D2389:F2389)</x:f>
        <x:v>560.004096005</x:v>
      </x:c>
    </x:row>
    <x:row r="2390" ht="24" customHeight="1">
      <x:c r="A2390" s="10" t="str">
        <x:v>S05-02</x:v>
      </x:c>
      <x:c r="B2390" s="10" t="str">
        <x:v>B</x:v>
      </x:c>
      <x:c r="C2390" s="18" t="n">
        <x:v>39.369</x:v>
      </x:c>
      <x:c r="D2390" s="10" t="n">
        <x:v>560</x:v>
      </x:c>
      <x:c r="E2390" s="10" t="n">
        <x:v>0</x:v>
      </x:c>
      <x:c r="F2390" s="10" t="n">
        <x:v>0.004096</x:v>
      </x:c>
      <x:c r="G2390" s="10" t="n">
        <x:f>SUM(D2390:F2390)</x:f>
        <x:v>560.004096</x:v>
      </x:c>
    </x:row>
    <x:row r="2391" ht="24" customHeight="1">
      <x:c r="A2391" s="10" t="str">
        <x:v>S05-02</x:v>
      </x:c>
      <x:c r="B2391" s="10" t="str">
        <x:v>B</x:v>
      </x:c>
      <x:c r="C2391" s="18" t="n">
        <x:v>39.3690001</x:v>
      </x:c>
      <x:c r="D2391" s="10" t="n">
        <x:v>560</x:v>
      </x:c>
      <x:c r="E2391" s="10" t="n">
        <x:v>0</x:v>
      </x:c>
      <x:c r="F2391" s="10" t="n">
        <x:v>0</x:v>
      </x:c>
      <x:c r="G2391" s="10" t="n">
        <x:f>SUM(D2391:F2391)</x:f>
        <x:v>560</x:v>
      </x:c>
    </x:row>
    <x:row r="2392" ht="24" customHeight="1">
      <x:c r="A2392" s="10" t="str">
        <x:v>S05-03</x:v>
      </x:c>
      <x:c r="B2392" s="10" t="str">
        <x:v>A</x:v>
      </x:c>
      <x:c r="C2392" s="18" t="n">
        <x:v>-6.0000001</x:v>
      </x:c>
      <x:c r="D2392" s="10" t="n">
        <x:v>560</x:v>
      </x:c>
      <x:c r="E2392" s="10" t="n">
        <x:v>0</x:v>
      </x:c>
      <x:c r="F2392" s="10" t="n">
        <x:v>0</x:v>
      </x:c>
      <x:c r="G2392" s="10" t="n">
        <x:f>SUM(D2392:F2392)</x:f>
        <x:v>560</x:v>
      </x:c>
    </x:row>
    <x:row r="2393" ht="24" customHeight="1">
      <x:c r="A2393" s="10" t="str">
        <x:v>S05-03</x:v>
      </x:c>
      <x:c r="B2393" s="10" t="str">
        <x:v>A</x:v>
      </x:c>
      <x:c r="C2393" s="18" t="n">
        <x:v>-6</x:v>
      </x:c>
      <x:c r="D2393" s="10" t="n">
        <x:v>560</x:v>
      </x:c>
      <x:c r="E2393" s="10" t="n">
        <x:v>0</x:v>
      </x:c>
      <x:c r="F2393" s="10" t="n">
        <x:v>0</x:v>
      </x:c>
      <x:c r="G2393" s="10" t="n">
        <x:f>SUM(D2393:F2393)</x:f>
        <x:v>560</x:v>
      </x:c>
    </x:row>
    <x:row r="2394" ht="24" customHeight="1">
      <x:c r="A2394" s="10" t="str">
        <x:v>S05-03</x:v>
      </x:c>
      <x:c r="B2394" s="10" t="str">
        <x:v>A</x:v>
      </x:c>
      <x:c r="C2394" s="18" t="n">
        <x:v>-5.9999999</x:v>
      </x:c>
      <x:c r="D2394" s="10" t="n">
        <x:v>560</x:v>
      </x:c>
      <x:c r="E2394" s="10" t="n">
        <x:v>0</x:v>
      </x:c>
      <x:c r="F2394" s="10" t="n">
        <x:v>0</x:v>
      </x:c>
      <x:c r="G2394" s="10" t="n">
        <x:f>SUM(D2394:F2394)</x:f>
        <x:v>560</x:v>
      </x:c>
    </x:row>
    <x:row r="2395" ht="24" customHeight="1">
      <x:c r="A2395" s="10" t="str">
        <x:v>S05-03</x:v>
      </x:c>
      <x:c r="B2395" s="10" t="str">
        <x:v>A</x:v>
      </x:c>
      <x:c r="C2395" s="18" t="n">
        <x:v>-4.8000001</x:v>
      </x:c>
      <x:c r="D2395" s="10" t="n">
        <x:v>560</x:v>
      </x:c>
      <x:c r="E2395" s="10" t="n">
        <x:v>0</x:v>
      </x:c>
      <x:c r="F2395" s="10" t="n">
        <x:v>0</x:v>
      </x:c>
      <x:c r="G2395" s="10" t="n">
        <x:f>SUM(D2395:F2395)</x:f>
        <x:v>560</x:v>
      </x:c>
    </x:row>
    <x:row r="2396" ht="24" customHeight="1">
      <x:c r="A2396" s="10" t="str">
        <x:v>S05-03</x:v>
      </x:c>
      <x:c r="B2396" s="10" t="str">
        <x:v>A</x:v>
      </x:c>
      <x:c r="C2396" s="18" t="n">
        <x:v>-4.8</x:v>
      </x:c>
      <x:c r="D2396" s="10" t="n">
        <x:v>560</x:v>
      </x:c>
      <x:c r="E2396" s="10" t="n">
        <x:v>0</x:v>
      </x:c>
      <x:c r="F2396" s="10" t="n">
        <x:v>0.004096</x:v>
      </x:c>
      <x:c r="G2396" s="10" t="n">
        <x:f>SUM(D2396:F2396)</x:f>
        <x:v>560.004096</x:v>
      </x:c>
    </x:row>
    <x:row r="2397" ht="24" customHeight="1">
      <x:c r="A2397" s="10" t="str">
        <x:v>S05-03</x:v>
      </x:c>
      <x:c r="B2397" s="10" t="str">
        <x:v>A</x:v>
      </x:c>
      <x:c r="C2397" s="18" t="n">
        <x:v>-4.7999999</x:v>
      </x:c>
      <x:c r="D2397" s="10" t="n">
        <x:v>560</x:v>
      </x:c>
      <x:c r="E2397" s="10" t="n">
        <x:v>0</x:v>
      </x:c>
      <x:c r="F2397" s="10" t="n">
        <x:v>0.004096</x:v>
      </x:c>
      <x:c r="G2397" s="10" t="n">
        <x:f>SUM(D2397:F2397)</x:f>
        <x:v>560.004096</x:v>
      </x:c>
    </x:row>
    <x:row r="2398" ht="24" customHeight="1">
      <x:c r="A2398" s="10" t="str">
        <x:v>S05-03</x:v>
      </x:c>
      <x:c r="B2398" s="10" t="str">
        <x:v>A</x:v>
      </x:c>
      <x:c r="C2398" s="18" t="n">
        <x:v>-4.324666767</x:v>
      </x:c>
      <x:c r="D2398" s="10" t="n">
        <x:v>560</x:v>
      </x:c>
      <x:c r="E2398" s="10" t="n">
        <x:v>0</x:v>
      </x:c>
      <x:c r="F2398" s="10" t="n">
        <x:v>0.004096</x:v>
      </x:c>
      <x:c r="G2398" s="10" t="n">
        <x:f>SUM(D2398:F2398)</x:f>
        <x:v>560.004096</x:v>
      </x:c>
    </x:row>
    <x:row r="2399" ht="24" customHeight="1">
      <x:c r="A2399" s="10" t="str">
        <x:v>S05-03</x:v>
      </x:c>
      <x:c r="B2399" s="10" t="str">
        <x:v>A</x:v>
      </x:c>
      <x:c r="C2399" s="18" t="n">
        <x:v>-4.324666667</x:v>
      </x:c>
      <x:c r="D2399" s="10" t="n">
        <x:v>560</x:v>
      </x:c>
      <x:c r="E2399" s="10" t="n">
        <x:v>0.0096</x:v>
      </x:c>
      <x:c r="F2399" s="10" t="n">
        <x:v>0.004096</x:v>
      </x:c>
      <x:c r="G2399" s="10" t="n">
        <x:f>SUM(D2399:F2399)</x:f>
        <x:v>560.013696</x:v>
      </x:c>
    </x:row>
    <x:row r="2400" ht="24" customHeight="1">
      <x:c r="A2400" s="10" t="str">
        <x:v>S05-03</x:v>
      </x:c>
      <x:c r="B2400" s="10" t="str">
        <x:v>A</x:v>
      </x:c>
      <x:c r="C2400" s="18" t="n">
        <x:v>-4.324666567</x:v>
      </x:c>
      <x:c r="D2400" s="10" t="n">
        <x:v>560</x:v>
      </x:c>
      <x:c r="E2400" s="10" t="n">
        <x:v>0.009600019</x:v>
      </x:c>
      <x:c r="F2400" s="10" t="n">
        <x:v>0.004096</x:v>
      </x:c>
      <x:c r="G2400" s="10" t="n">
        <x:f>SUM(D2400:F2400)</x:f>
        <x:v>560.013696019</x:v>
      </x:c>
    </x:row>
    <x:row r="2401" ht="24" customHeight="1">
      <x:c r="A2401" s="10" t="str">
        <x:v>S05-03</x:v>
      </x:c>
      <x:c r="B2401" s="10" t="str">
        <x:v>A</x:v>
      </x:c>
      <x:c r="C2401" s="18" t="n">
        <x:v>-4.284666767</x:v>
      </x:c>
      <x:c r="D2401" s="10" t="n">
        <x:v>560</x:v>
      </x:c>
      <x:c r="E2401" s="10" t="n">
        <x:v>0.017279981</x:v>
      </x:c>
      <x:c r="F2401" s="10" t="n">
        <x:v>0.004096</x:v>
      </x:c>
      <x:c r="G2401" s="10" t="n">
        <x:f>SUM(D2401:F2401)</x:f>
        <x:v>560.021375981</x:v>
      </x:c>
    </x:row>
    <x:row r="2402" ht="24" customHeight="1">
      <x:c r="A2402" s="10" t="str">
        <x:v>S05-03</x:v>
      </x:c>
      <x:c r="B2402" s="10" t="str">
        <x:v>A</x:v>
      </x:c>
      <x:c r="C2402" s="18" t="n">
        <x:v>-4.284666667</x:v>
      </x:c>
      <x:c r="D2402" s="10" t="n">
        <x:v>560</x:v>
      </x:c>
      <x:c r="E2402" s="10" t="n">
        <x:v>0.01728</x:v>
      </x:c>
      <x:c r="F2402" s="10" t="n">
        <x:v>0.004096</x:v>
      </x:c>
      <x:c r="G2402" s="10" t="n">
        <x:f>SUM(D2402:F2402)</x:f>
        <x:v>560.021376</x:v>
      </x:c>
    </x:row>
    <x:row r="2403" ht="24" customHeight="1">
      <x:c r="A2403" s="10" t="str">
        <x:v>S05-03</x:v>
      </x:c>
      <x:c r="B2403" s="10" t="str">
        <x:v>A</x:v>
      </x:c>
      <x:c r="C2403" s="18" t="n">
        <x:v>-4.284666567</x:v>
      </x:c>
      <x:c r="D2403" s="10" t="n">
        <x:v>560</x:v>
      </x:c>
      <x:c r="E2403" s="10" t="n">
        <x:v>0.017280014</x:v>
      </x:c>
      <x:c r="F2403" s="10" t="n">
        <x:v>0.004096</x:v>
      </x:c>
      <x:c r="G2403" s="10" t="n">
        <x:f>SUM(D2403:F2403)</x:f>
        <x:v>560.021376014</x:v>
      </x:c>
    </x:row>
    <x:row r="2404" ht="24" customHeight="1">
      <x:c r="A2404" s="10" t="str">
        <x:v>S05-03</x:v>
      </x:c>
      <x:c r="B2404" s="10" t="str">
        <x:v>A</x:v>
      </x:c>
      <x:c r="C2404" s="18" t="n">
        <x:v>-3.5200001</x:v>
      </x:c>
      <x:c r="D2404" s="10" t="n">
        <x:v>560</x:v>
      </x:c>
      <x:c r="E2404" s="10" t="n">
        <x:v>0.127391986</x:v>
      </x:c>
      <x:c r="F2404" s="10" t="n">
        <x:v>0.004096</x:v>
      </x:c>
      <x:c r="G2404" s="10" t="n">
        <x:f>SUM(D2404:F2404)</x:f>
        <x:v>560.131487986</x:v>
      </x:c>
    </x:row>
    <x:row r="2405" ht="24" customHeight="1">
      <x:c r="A2405" s="10" t="str">
        <x:v>S05-03</x:v>
      </x:c>
      <x:c r="B2405" s="10" t="str">
        <x:v>A</x:v>
      </x:c>
      <x:c r="C2405" s="18" t="n">
        <x:v>-3.52</x:v>
      </x:c>
      <x:c r="D2405" s="10" t="n">
        <x:v>560</x:v>
      </x:c>
      <x:c r="E2405" s="10" t="n">
        <x:v>0.127392</x:v>
      </x:c>
      <x:c r="F2405" s="10" t="n">
        <x:v>0.004096</x:v>
      </x:c>
      <x:c r="G2405" s="10" t="n">
        <x:f>SUM(D2405:F2405)</x:f>
        <x:v>560.131488</x:v>
      </x:c>
    </x:row>
    <x:row r="2406" ht="24" customHeight="1">
      <x:c r="A2406" s="10" t="str">
        <x:v>S05-03</x:v>
      </x:c>
      <x:c r="B2406" s="10" t="str">
        <x:v>A</x:v>
      </x:c>
      <x:c r="C2406" s="18" t="n">
        <x:v>-3.5199999</x:v>
      </x:c>
      <x:c r="D2406" s="10" t="n">
        <x:v>560</x:v>
      </x:c>
      <x:c r="E2406" s="10" t="n">
        <x:v>0.127392019</x:v>
      </x:c>
      <x:c r="F2406" s="10" t="n">
        <x:v>0.004096</x:v>
      </x:c>
      <x:c r="G2406" s="10" t="n">
        <x:f>SUM(D2406:F2406)</x:f>
        <x:v>560.131488019</x:v>
      </x:c>
    </x:row>
    <x:row r="2407" ht="24" customHeight="1">
      <x:c r="A2407" s="10" t="str">
        <x:v>S05-03</x:v>
      </x:c>
      <x:c r="B2407" s="10" t="str">
        <x:v>A</x:v>
      </x:c>
      <x:c r="C2407" s="18" t="n">
        <x:v>-0.9000001</x:v>
      </x:c>
      <x:c r="D2407" s="10" t="n">
        <x:v>560</x:v>
      </x:c>
      <x:c r="E2407" s="10" t="n">
        <x:v>0.630431981</x:v>
      </x:c>
      <x:c r="F2407" s="10" t="n">
        <x:v>0.004096</x:v>
      </x:c>
      <x:c r="G2407" s="10" t="n">
        <x:f>SUM(D2407:F2407)</x:f>
        <x:v>560.634527981</x:v>
      </x:c>
    </x:row>
    <x:row r="2408" ht="24" customHeight="1">
      <x:c r="A2408" s="10" t="str">
        <x:v>S05-03</x:v>
      </x:c>
      <x:c r="B2408" s="10" t="str">
        <x:v>A</x:v>
      </x:c>
      <x:c r="C2408" s="18" t="n">
        <x:v>-0.9</x:v>
      </x:c>
      <x:c r="D2408" s="10" t="n">
        <x:v>560</x:v>
      </x:c>
      <x:c r="E2408" s="10" t="n">
        <x:v>0.630432</x:v>
      </x:c>
      <x:c r="F2408" s="10" t="n">
        <x:v>0.008192</x:v>
      </x:c>
      <x:c r="G2408" s="10" t="n">
        <x:f>SUM(D2408:F2408)</x:f>
        <x:v>560.638624</x:v>
      </x:c>
    </x:row>
    <x:row r="2409" ht="24" customHeight="1">
      <x:c r="A2409" s="10" t="str">
        <x:v>S05-03</x:v>
      </x:c>
      <x:c r="B2409" s="10" t="str">
        <x:v>A</x:v>
      </x:c>
      <x:c r="C2409" s="18" t="n">
        <x:v>-0.8999999</x:v>
      </x:c>
      <x:c r="D2409" s="10" t="n">
        <x:v>560</x:v>
      </x:c>
      <x:c r="E2409" s="10" t="n">
        <x:v>0.630432019</x:v>
      </x:c>
      <x:c r="F2409" s="10" t="n">
        <x:v>0.008192</x:v>
      </x:c>
      <x:c r="G2409" s="10" t="n">
        <x:f>SUM(D2409:F2409)</x:f>
        <x:v>560.638624019</x:v>
      </x:c>
    </x:row>
    <x:row r="2410" ht="24" customHeight="1">
      <x:c r="A2410" s="10" t="str">
        <x:v>S05-03</x:v>
      </x:c>
      <x:c r="B2410" s="10" t="str">
        <x:v>A</x:v>
      </x:c>
      <x:c r="C2410" s="18" t="n">
        <x:v>-0.4990001</x:v>
      </x:c>
      <x:c r="D2410" s="10" t="n">
        <x:v>560</x:v>
      </x:c>
      <x:c r="E2410" s="10" t="n">
        <x:v>0.707423981</x:v>
      </x:c>
      <x:c r="F2410" s="10" t="n">
        <x:v>0.008192</x:v>
      </x:c>
      <x:c r="G2410" s="10" t="n">
        <x:f>SUM(D2410:F2410)</x:f>
        <x:v>560.715615981</x:v>
      </x:c>
    </x:row>
    <x:row r="2411" ht="24" customHeight="1">
      <x:c r="A2411" s="10" t="str">
        <x:v>S05-03</x:v>
      </x:c>
      <x:c r="B2411" s="10" t="str">
        <x:v>A</x:v>
      </x:c>
      <x:c r="C2411" s="18" t="n">
        <x:v>-0.499</x:v>
      </x:c>
      <x:c r="D2411" s="10" t="n">
        <x:v>560</x:v>
      </x:c>
      <x:c r="E2411" s="10" t="n">
        <x:v>0.717024</x:v>
      </x:c>
      <x:c r="F2411" s="10" t="n">
        <x:v>0.008192</x:v>
      </x:c>
      <x:c r="G2411" s="10" t="n">
        <x:f>SUM(D2411:F2411)</x:f>
        <x:v>560.725216</x:v>
      </x:c>
    </x:row>
    <x:row r="2412" ht="24" customHeight="1">
      <x:c r="A2412" s="10" t="str">
        <x:v>S05-03</x:v>
      </x:c>
      <x:c r="B2412" s="10" t="str">
        <x:v>A</x:v>
      </x:c>
      <x:c r="C2412" s="18" t="n">
        <x:v>-0.4989999</x:v>
      </x:c>
      <x:c r="D2412" s="10" t="n">
        <x:v>560</x:v>
      </x:c>
      <x:c r="E2412" s="10" t="n">
        <x:v>0.717024038</x:v>
      </x:c>
      <x:c r="F2412" s="10" t="n">
        <x:v>0.008192</x:v>
      </x:c>
      <x:c r="G2412" s="10" t="n">
        <x:f>SUM(D2412:F2412)</x:f>
        <x:v>560.725216038</x:v>
      </x:c>
    </x:row>
    <x:row r="2413" ht="24" customHeight="1">
      <x:c r="A2413" s="10" t="str">
        <x:v>S05-03</x:v>
      </x:c>
      <x:c r="B2413" s="10" t="str">
        <x:v>A</x:v>
      </x:c>
      <x:c r="C2413" s="18" t="n">
        <x:v>-1e-7</x:v>
      </x:c>
      <x:c r="D2413" s="10" t="n">
        <x:v>560</x:v>
      </x:c>
      <x:c r="E2413" s="10" t="n">
        <x:v>0.908639962</x:v>
      </x:c>
      <x:c r="F2413" s="10" t="n">
        <x:v>0.008192</x:v>
      </x:c>
      <x:c r="G2413" s="10" t="n">
        <x:f>SUM(D2413:F2413)</x:f>
        <x:v>560.9168319620001</x:v>
      </x:c>
    </x:row>
    <x:row r="2414" ht="24" customHeight="1">
      <x:c r="A2414" s="10" t="str">
        <x:v>S05-03</x:v>
      </x:c>
      <x:c r="B2414" s="10" t="str">
        <x:v>A</x:v>
      </x:c>
      <x:c r="C2414" s="18" t="n">
        <x:v>0</x:v>
      </x:c>
      <x:c r="D2414" s="10" t="n">
        <x:v>560</x:v>
      </x:c>
      <x:c r="E2414" s="10" t="n">
        <x:v>0.90864</x:v>
      </x:c>
      <x:c r="F2414" s="10" t="n">
        <x:v>0.008192</x:v>
      </x:c>
      <x:c r="G2414" s="10" t="n">
        <x:f>SUM(D2414:F2414)</x:f>
        <x:v>560.916832</x:v>
      </x:c>
    </x:row>
    <x:row r="2415" ht="24" customHeight="1">
      <x:c r="A2415" s="10" t="str">
        <x:v>S05-03</x:v>
      </x:c>
      <x:c r="B2415" s="10" t="str">
        <x:v>A</x:v>
      </x:c>
      <x:c r="C2415" s="18" t="n">
        <x:v>1e-7</x:v>
      </x:c>
      <x:c r="D2415" s="10" t="n">
        <x:v>560</x:v>
      </x:c>
      <x:c r="E2415" s="10" t="n">
        <x:v>0.908640038</x:v>
      </x:c>
      <x:c r="F2415" s="10" t="n">
        <x:v>0.008192</x:v>
      </x:c>
      <x:c r="G2415" s="10" t="n">
        <x:f>SUM(D2415:F2415)</x:f>
        <x:v>560.916832038</x:v>
      </x:c>
    </x:row>
    <x:row r="2416" ht="24" customHeight="1">
      <x:c r="A2416" s="10" t="str">
        <x:v>S05-03</x:v>
      </x:c>
      <x:c r="B2416" s="10" t="str">
        <x:v>A</x:v>
      </x:c>
      <x:c r="C2416" s="18" t="n">
        <x:v>0.1434999</x:v>
      </x:c>
      <x:c r="D2416" s="10" t="n">
        <x:v>560</x:v>
      </x:c>
      <x:c r="E2416" s="10" t="n">
        <x:v>0.963743962</x:v>
      </x:c>
      <x:c r="F2416" s="10" t="n">
        <x:v>0.008192</x:v>
      </x:c>
      <x:c r="G2416" s="10" t="n">
        <x:f>SUM(D2416:F2416)</x:f>
        <x:v>560.971935962</x:v>
      </x:c>
    </x:row>
    <x:row r="2417" ht="24" customHeight="1">
      <x:c r="A2417" s="10" t="str">
        <x:v>S05-03</x:v>
      </x:c>
      <x:c r="B2417" s="10" t="str">
        <x:v>A</x:v>
      </x:c>
      <x:c r="C2417" s="18" t="n">
        <x:v>0.1435</x:v>
      </x:c>
      <x:c r="D2417" s="10" t="n">
        <x:v>560</x:v>
      </x:c>
      <x:c r="E2417" s="10" t="n">
        <x:v>0.963744</x:v>
      </x:c>
      <x:c r="F2417" s="10" t="n">
        <x:v>0.008192</x:v>
      </x:c>
      <x:c r="G2417" s="10" t="n">
        <x:f>SUM(D2417:F2417)</x:f>
        <x:v>560.971936</x:v>
      </x:c>
    </x:row>
    <x:row r="2418" ht="24" customHeight="1">
      <x:c r="A2418" s="10" t="str">
        <x:v>S05-03</x:v>
      </x:c>
      <x:c r="B2418" s="10" t="str">
        <x:v>A</x:v>
      </x:c>
      <x:c r="C2418" s="18" t="n">
        <x:v>0.1435001</x:v>
      </x:c>
      <x:c r="D2418" s="10" t="n">
        <x:v>560</x:v>
      </x:c>
      <x:c r="E2418" s="10" t="n">
        <x:v>0.963744019</x:v>
      </x:c>
      <x:c r="F2418" s="10" t="n">
        <x:v>0.008192</x:v>
      </x:c>
      <x:c r="G2418" s="10" t="n">
        <x:f>SUM(D2418:F2418)</x:f>
        <x:v>560.971936019</x:v>
      </x:c>
    </x:row>
    <x:row r="2419" ht="24" customHeight="1">
      <x:c r="A2419" s="10" t="str">
        <x:v>S05-03</x:v>
      </x:c>
      <x:c r="B2419" s="10" t="str">
        <x:v>A</x:v>
      </x:c>
      <x:c r="C2419" s="18" t="n">
        <x:v>0.8499999</x:v>
      </x:c>
      <x:c r="D2419" s="10" t="n">
        <x:v>560</x:v>
      </x:c>
      <x:c r="E2419" s="10" t="n">
        <x:v>1.099391981</x:v>
      </x:c>
      <x:c r="F2419" s="10" t="n">
        <x:v>0.008192</x:v>
      </x:c>
      <x:c r="G2419" s="10" t="n">
        <x:f>SUM(D2419:F2419)</x:f>
        <x:v>561.1075839810001</x:v>
      </x:c>
    </x:row>
    <x:row r="2420" ht="24" customHeight="1">
      <x:c r="A2420" s="10" t="str">
        <x:v>S05-03</x:v>
      </x:c>
      <x:c r="B2420" s="10" t="str">
        <x:v>A</x:v>
      </x:c>
      <x:c r="C2420" s="18" t="n">
        <x:v>0.85</x:v>
      </x:c>
      <x:c r="D2420" s="10" t="n">
        <x:v>560</x:v>
      </x:c>
      <x:c r="E2420" s="10" t="n">
        <x:v>1.099392</x:v>
      </x:c>
      <x:c r="F2420" s="10" t="n">
        <x:v>0.008192</x:v>
      </x:c>
      <x:c r="G2420" s="10" t="n">
        <x:f>SUM(D2420:F2420)</x:f>
        <x:v>561.107584</x:v>
      </x:c>
    </x:row>
    <x:row r="2421" ht="24" customHeight="1">
      <x:c r="A2421" s="10" t="str">
        <x:v>S05-03</x:v>
      </x:c>
      <x:c r="B2421" s="10" t="str">
        <x:v>A</x:v>
      </x:c>
      <x:c r="C2421" s="18" t="n">
        <x:v>0.8500001</x:v>
      </x:c>
      <x:c r="D2421" s="10" t="n">
        <x:v>560</x:v>
      </x:c>
      <x:c r="E2421" s="10" t="n">
        <x:v>1.099392019</x:v>
      </x:c>
      <x:c r="F2421" s="10" t="n">
        <x:v>0.008192</x:v>
      </x:c>
      <x:c r="G2421" s="10" t="n">
        <x:f>SUM(D2421:F2421)</x:f>
        <x:v>561.107584019</x:v>
      </x:c>
    </x:row>
    <x:row r="2422" ht="24" customHeight="1">
      <x:c r="A2422" s="10" t="str">
        <x:v>S05-03</x:v>
      </x:c>
      <x:c r="B2422" s="10" t="str">
        <x:v>A</x:v>
      </x:c>
      <x:c r="C2422" s="18" t="n">
        <x:v>0.8899999</x:v>
      </x:c>
      <x:c r="D2422" s="10" t="n">
        <x:v>560</x:v>
      </x:c>
      <x:c r="E2422" s="10" t="n">
        <x:v>1.107071981</x:v>
      </x:c>
      <x:c r="F2422" s="10" t="n">
        <x:v>0.008192</x:v>
      </x:c>
      <x:c r="G2422" s="10" t="n">
        <x:f>SUM(D2422:F2422)</x:f>
        <x:v>561.115263981</x:v>
      </x:c>
    </x:row>
    <x:row r="2423" ht="24" customHeight="1">
      <x:c r="A2423" s="10" t="str">
        <x:v>S05-03</x:v>
      </x:c>
      <x:c r="B2423" s="10" t="str">
        <x:v>A</x:v>
      </x:c>
      <x:c r="C2423" s="18" t="n">
        <x:v>0.89</x:v>
      </x:c>
      <x:c r="D2423" s="10" t="n">
        <x:v>560</x:v>
      </x:c>
      <x:c r="E2423" s="10" t="n">
        <x:v>1.107072</x:v>
      </x:c>
      <x:c r="F2423" s="10" t="n">
        <x:v>0.008192</x:v>
      </x:c>
      <x:c r="G2423" s="10" t="n">
        <x:f>SUM(D2423:F2423)</x:f>
        <x:v>561.115264</x:v>
      </x:c>
    </x:row>
    <x:row r="2424" ht="24" customHeight="1">
      <x:c r="A2424" s="10" t="str">
        <x:v>S05-03</x:v>
      </x:c>
      <x:c r="B2424" s="10" t="str">
        <x:v>A</x:v>
      </x:c>
      <x:c r="C2424" s="18" t="n">
        <x:v>0.8900001</x:v>
      </x:c>
      <x:c r="D2424" s="10" t="n">
        <x:v>560</x:v>
      </x:c>
      <x:c r="E2424" s="10" t="n">
        <x:v>1.107072014</x:v>
      </x:c>
      <x:c r="F2424" s="10" t="n">
        <x:v>0.008192</x:v>
      </x:c>
      <x:c r="G2424" s="10" t="n">
        <x:f>SUM(D2424:F2424)</x:f>
        <x:v>561.115264014</x:v>
      </x:c>
    </x:row>
    <x:row r="2425" ht="24" customHeight="1">
      <x:c r="A2425" s="10" t="str">
        <x:v>S05-03</x:v>
      </x:c>
      <x:c r="B2425" s="10" t="str">
        <x:v>A</x:v>
      </x:c>
      <x:c r="C2425" s="18" t="n">
        <x:v>3.6599999</x:v>
      </x:c>
      <x:c r="D2425" s="10" t="n">
        <x:v>560</x:v>
      </x:c>
      <x:c r="E2425" s="10" t="n">
        <x:v>1.505951986</x:v>
      </x:c>
      <x:c r="F2425" s="10" t="n">
        <x:v>0.008192</x:v>
      </x:c>
      <x:c r="G2425" s="10" t="n">
        <x:f>SUM(D2425:F2425)</x:f>
        <x:v>561.514143986</x:v>
      </x:c>
    </x:row>
    <x:row r="2426" ht="24" customHeight="1">
      <x:c r="A2426" s="10" t="str">
        <x:v>S05-03</x:v>
      </x:c>
      <x:c r="B2426" s="10" t="str">
        <x:v>A</x:v>
      </x:c>
      <x:c r="C2426" s="18" t="n">
        <x:v>3.66</x:v>
      </x:c>
      <x:c r="D2426" s="10" t="n">
        <x:v>560</x:v>
      </x:c>
      <x:c r="E2426" s="10" t="n">
        <x:v>1.505952</x:v>
      </x:c>
      <x:c r="F2426" s="10" t="n">
        <x:v>0.008192</x:v>
      </x:c>
      <x:c r="G2426" s="10" t="n">
        <x:f>SUM(D2426:F2426)</x:f>
        <x:v>561.514144</x:v>
      </x:c>
    </x:row>
    <x:row r="2427" ht="24" customHeight="1">
      <x:c r="A2427" s="10" t="str">
        <x:v>S05-03</x:v>
      </x:c>
      <x:c r="B2427" s="10" t="str">
        <x:v>A</x:v>
      </x:c>
      <x:c r="C2427" s="18" t="n">
        <x:v>3.6600001</x:v>
      </x:c>
      <x:c r="D2427" s="10" t="n">
        <x:v>560</x:v>
      </x:c>
      <x:c r="E2427" s="10" t="n">
        <x:v>1.505952019</x:v>
      </x:c>
      <x:c r="F2427" s="10" t="n">
        <x:v>0.004096</x:v>
      </x:c>
      <x:c r="G2427" s="10" t="n">
        <x:f>SUM(D2427:F2427)</x:f>
        <x:v>561.510048019</x:v>
      </x:c>
    </x:row>
    <x:row r="2428" ht="24" customHeight="1">
      <x:c r="A2428" s="10" t="str">
        <x:v>S05-03</x:v>
      </x:c>
      <x:c r="B2428" s="10" t="str">
        <x:v>A</x:v>
      </x:c>
      <x:c r="C2428" s="18" t="n">
        <x:v>3.6999999</x:v>
      </x:c>
      <x:c r="D2428" s="10" t="n">
        <x:v>560</x:v>
      </x:c>
      <x:c r="E2428" s="10" t="n">
        <x:v>1.513631981</x:v>
      </x:c>
      <x:c r="F2428" s="10" t="n">
        <x:v>0.004096</x:v>
      </x:c>
      <x:c r="G2428" s="10" t="n">
        <x:f>SUM(D2428:F2428)</x:f>
        <x:v>561.517727981</x:v>
      </x:c>
    </x:row>
    <x:row r="2429" ht="24" customHeight="1">
      <x:c r="A2429" s="10" t="str">
        <x:v>S05-03</x:v>
      </x:c>
      <x:c r="B2429" s="10" t="str">
        <x:v>A</x:v>
      </x:c>
      <x:c r="C2429" s="18" t="n">
        <x:v>3.7</x:v>
      </x:c>
      <x:c r="D2429" s="10" t="n">
        <x:v>560</x:v>
      </x:c>
      <x:c r="E2429" s="10" t="n">
        <x:v>1.513632</x:v>
      </x:c>
      <x:c r="F2429" s="10" t="n">
        <x:v>0.004096</x:v>
      </x:c>
      <x:c r="G2429" s="10" t="n">
        <x:f>SUM(D2429:F2429)</x:f>
        <x:v>561.517728</x:v>
      </x:c>
    </x:row>
    <x:row r="2430" ht="24" customHeight="1">
      <x:c r="A2430" s="10" t="str">
        <x:v>S05-03</x:v>
      </x:c>
      <x:c r="B2430" s="10" t="str">
        <x:v>A</x:v>
      </x:c>
      <x:c r="C2430" s="18" t="n">
        <x:v>3.7000001</x:v>
      </x:c>
      <x:c r="D2430" s="10" t="n">
        <x:v>560</x:v>
      </x:c>
      <x:c r="E2430" s="10" t="n">
        <x:v>1.513632014</x:v>
      </x:c>
      <x:c r="F2430" s="10" t="n">
        <x:v>0.004096</x:v>
      </x:c>
      <x:c r="G2430" s="10" t="n">
        <x:f>SUM(D2430:F2430)</x:f>
        <x:v>561.517728014</x:v>
      </x:c>
    </x:row>
    <x:row r="2431" ht="24" customHeight="1">
      <x:c r="A2431" s="10" t="str">
        <x:v>S05-03</x:v>
      </x:c>
      <x:c r="B2431" s="10" t="str">
        <x:v>A</x:v>
      </x:c>
      <x:c r="C2431" s="18" t="n">
        <x:v>4.617833233</x:v>
      </x:c>
      <x:c r="D2431" s="10" t="n">
        <x:v>560</x:v>
      </x:c>
      <x:c r="E2431" s="10" t="n">
        <x:v>1.645799986</x:v>
      </x:c>
      <x:c r="F2431" s="10" t="n">
        <x:v>0.004096</x:v>
      </x:c>
      <x:c r="G2431" s="10" t="n">
        <x:f>SUM(D2431:F2431)</x:f>
        <x:v>561.649895986</x:v>
      </x:c>
    </x:row>
    <x:row r="2432" ht="24" customHeight="1">
      <x:c r="A2432" s="10" t="str">
        <x:v>S05-03</x:v>
      </x:c>
      <x:c r="B2432" s="10" t="str">
        <x:v>A</x:v>
      </x:c>
      <x:c r="C2432" s="18" t="n">
        <x:v>4.617833333</x:v>
      </x:c>
      <x:c r="D2432" s="10" t="n">
        <x:v>560</x:v>
      </x:c>
      <x:c r="E2432" s="10" t="n">
        <x:v>1.6458</x:v>
      </x:c>
      <x:c r="F2432" s="10" t="n">
        <x:v>0.004096</x:v>
      </x:c>
      <x:c r="G2432" s="10" t="n">
        <x:f>SUM(D2432:F2432)</x:f>
        <x:v>561.649896</x:v>
      </x:c>
    </x:row>
    <x:row r="2433" ht="24" customHeight="1">
      <x:c r="A2433" s="10" t="str">
        <x:v>S05-03</x:v>
      </x:c>
      <x:c r="B2433" s="10" t="str">
        <x:v>A</x:v>
      </x:c>
      <x:c r="C2433" s="18" t="n">
        <x:v>4.617833433</x:v>
      </x:c>
      <x:c r="D2433" s="10" t="n">
        <x:v>560</x:v>
      </x:c>
      <x:c r="E2433" s="10" t="n">
        <x:v>1.645799995</x:v>
      </x:c>
      <x:c r="F2433" s="10" t="n">
        <x:v>0.004096</x:v>
      </x:c>
      <x:c r="G2433" s="10" t="n">
        <x:f>SUM(D2433:F2433)</x:f>
        <x:v>561.649895995</x:v>
      </x:c>
    </x:row>
    <x:row r="2434" ht="24" customHeight="1">
      <x:c r="A2434" s="10" t="str">
        <x:v>S05-03</x:v>
      </x:c>
      <x:c r="B2434" s="10" t="str">
        <x:v>A</x:v>
      </x:c>
      <x:c r="C2434" s="18" t="n">
        <x:v>38.905333233</x:v>
      </x:c>
      <x:c r="D2434" s="10" t="n">
        <x:v>560</x:v>
      </x:c>
      <x:c r="E2434" s="10" t="n">
        <x:v>5e-9</x:v>
      </x:c>
      <x:c r="F2434" s="10" t="n">
        <x:v>0.004096</x:v>
      </x:c>
      <x:c r="G2434" s="10" t="n">
        <x:f>SUM(D2434:F2434)</x:f>
        <x:v>560.004096005</x:v>
      </x:c>
    </x:row>
    <x:row r="2435" ht="24" customHeight="1">
      <x:c r="A2435" s="10" t="str">
        <x:v>S05-03</x:v>
      </x:c>
      <x:c r="B2435" s="10" t="str">
        <x:v>A</x:v>
      </x:c>
      <x:c r="C2435" s="18" t="n">
        <x:v>38.905333333</x:v>
      </x:c>
      <x:c r="D2435" s="10" t="n">
        <x:v>560</x:v>
      </x:c>
      <x:c r="E2435" s="10" t="n">
        <x:v>0</x:v>
      </x:c>
      <x:c r="F2435" s="10" t="n">
        <x:v>0.004096</x:v>
      </x:c>
      <x:c r="G2435" s="10" t="n">
        <x:f>SUM(D2435:F2435)</x:f>
        <x:v>560.004096</x:v>
      </x:c>
    </x:row>
    <x:row r="2436" ht="24" customHeight="1">
      <x:c r="A2436" s="10" t="str">
        <x:v>S05-03</x:v>
      </x:c>
      <x:c r="B2436" s="10" t="str">
        <x:v>A</x:v>
      </x:c>
      <x:c r="C2436" s="18" t="n">
        <x:v>38.905333433</x:v>
      </x:c>
      <x:c r="D2436" s="10" t="n">
        <x:v>560</x:v>
      </x:c>
      <x:c r="E2436" s="10" t="n">
        <x:v>0</x:v>
      </x:c>
      <x:c r="F2436" s="10" t="n">
        <x:v>0</x:v>
      </x:c>
      <x:c r="G2436" s="10" t="n">
        <x:f>SUM(D2436:F2436)</x:f>
        <x:v>560</x:v>
      </x:c>
    </x:row>
    <x:row r="2437" ht="24" customHeight="1">
      <x:c r="A2437" s="10" t="str">
        <x:v>S05-03</x:v>
      </x:c>
      <x:c r="B2437" s="10" t="str">
        <x:v>B</x:v>
      </x:c>
      <x:c r="C2437" s="18" t="n">
        <x:v>-6.0000001</x:v>
      </x:c>
      <x:c r="D2437" s="10" t="n">
        <x:v>560</x:v>
      </x:c>
      <x:c r="E2437" s="10" t="n">
        <x:v>0</x:v>
      </x:c>
      <x:c r="F2437" s="10" t="n">
        <x:v>0</x:v>
      </x:c>
      <x:c r="G2437" s="10" t="n">
        <x:f>SUM(D2437:F2437)</x:f>
        <x:v>560</x:v>
      </x:c>
    </x:row>
    <x:row r="2438" ht="24" customHeight="1">
      <x:c r="A2438" s="10" t="str">
        <x:v>S05-03</x:v>
      </x:c>
      <x:c r="B2438" s="10" t="str">
        <x:v>B</x:v>
      </x:c>
      <x:c r="C2438" s="18" t="n">
        <x:v>-6</x:v>
      </x:c>
      <x:c r="D2438" s="10" t="n">
        <x:v>560</x:v>
      </x:c>
      <x:c r="E2438" s="10" t="n">
        <x:v>0</x:v>
      </x:c>
      <x:c r="F2438" s="10" t="n">
        <x:v>0</x:v>
      </x:c>
      <x:c r="G2438" s="10" t="n">
        <x:f>SUM(D2438:F2438)</x:f>
        <x:v>560</x:v>
      </x:c>
    </x:row>
    <x:row r="2439" ht="24" customHeight="1">
      <x:c r="A2439" s="10" t="str">
        <x:v>S05-03</x:v>
      </x:c>
      <x:c r="B2439" s="10" t="str">
        <x:v>B</x:v>
      </x:c>
      <x:c r="C2439" s="18" t="n">
        <x:v>-5.9999999</x:v>
      </x:c>
      <x:c r="D2439" s="10" t="n">
        <x:v>560</x:v>
      </x:c>
      <x:c r="E2439" s="10" t="n">
        <x:v>0</x:v>
      </x:c>
      <x:c r="F2439" s="10" t="n">
        <x:v>0</x:v>
      </x:c>
      <x:c r="G2439" s="10" t="n">
        <x:f>SUM(D2439:F2439)</x:f>
        <x:v>560</x:v>
      </x:c>
    </x:row>
    <x:row r="2440" ht="24" customHeight="1">
      <x:c r="A2440" s="10" t="str">
        <x:v>S05-03</x:v>
      </x:c>
      <x:c r="B2440" s="10" t="str">
        <x:v>B</x:v>
      </x:c>
      <x:c r="C2440" s="18" t="n">
        <x:v>-4.8000001</x:v>
      </x:c>
      <x:c r="D2440" s="10" t="n">
        <x:v>560</x:v>
      </x:c>
      <x:c r="E2440" s="10" t="n">
        <x:v>0</x:v>
      </x:c>
      <x:c r="F2440" s="10" t="n">
        <x:v>0</x:v>
      </x:c>
      <x:c r="G2440" s="10" t="n">
        <x:f>SUM(D2440:F2440)</x:f>
        <x:v>560</x:v>
      </x:c>
    </x:row>
    <x:row r="2441" ht="24" customHeight="1">
      <x:c r="A2441" s="10" t="str">
        <x:v>S05-03</x:v>
      </x:c>
      <x:c r="B2441" s="10" t="str">
        <x:v>B</x:v>
      </x:c>
      <x:c r="C2441" s="18" t="n">
        <x:v>-4.8</x:v>
      </x:c>
      <x:c r="D2441" s="10" t="n">
        <x:v>560</x:v>
      </x:c>
      <x:c r="E2441" s="10" t="n">
        <x:v>0</x:v>
      </x:c>
      <x:c r="F2441" s="10" t="n">
        <x:v>0.004096</x:v>
      </x:c>
      <x:c r="G2441" s="10" t="n">
        <x:f>SUM(D2441:F2441)</x:f>
        <x:v>560.004096</x:v>
      </x:c>
    </x:row>
    <x:row r="2442" ht="24" customHeight="1">
      <x:c r="A2442" s="10" t="str">
        <x:v>S05-03</x:v>
      </x:c>
      <x:c r="B2442" s="10" t="str">
        <x:v>B</x:v>
      </x:c>
      <x:c r="C2442" s="18" t="n">
        <x:v>-4.7999999</x:v>
      </x:c>
      <x:c r="D2442" s="10" t="n">
        <x:v>560</x:v>
      </x:c>
      <x:c r="E2442" s="10" t="n">
        <x:v>0</x:v>
      </x:c>
      <x:c r="F2442" s="10" t="n">
        <x:v>0.004096</x:v>
      </x:c>
      <x:c r="G2442" s="10" t="n">
        <x:f>SUM(D2442:F2442)</x:f>
        <x:v>560.004096</x:v>
      </x:c>
    </x:row>
    <x:row r="2443" ht="24" customHeight="1">
      <x:c r="A2443" s="10" t="str">
        <x:v>S05-03</x:v>
      </x:c>
      <x:c r="B2443" s="10" t="str">
        <x:v>B</x:v>
      </x:c>
      <x:c r="C2443" s="18" t="n">
        <x:v>-4.324666767</x:v>
      </x:c>
      <x:c r="D2443" s="10" t="n">
        <x:v>560</x:v>
      </x:c>
      <x:c r="E2443" s="10" t="n">
        <x:v>0</x:v>
      </x:c>
      <x:c r="F2443" s="10" t="n">
        <x:v>0.004096</x:v>
      </x:c>
      <x:c r="G2443" s="10" t="n">
        <x:f>SUM(D2443:F2443)</x:f>
        <x:v>560.004096</x:v>
      </x:c>
    </x:row>
    <x:row r="2444" ht="24" customHeight="1">
      <x:c r="A2444" s="10" t="str">
        <x:v>S05-03</x:v>
      </x:c>
      <x:c r="B2444" s="10" t="str">
        <x:v>B</x:v>
      </x:c>
      <x:c r="C2444" s="18" t="n">
        <x:v>-4.324666667</x:v>
      </x:c>
      <x:c r="D2444" s="10" t="n">
        <x:v>560</x:v>
      </x:c>
      <x:c r="E2444" s="10" t="n">
        <x:v>0.0096</x:v>
      </x:c>
      <x:c r="F2444" s="10" t="n">
        <x:v>0.004096</x:v>
      </x:c>
      <x:c r="G2444" s="10" t="n">
        <x:f>SUM(D2444:F2444)</x:f>
        <x:v>560.013696</x:v>
      </x:c>
    </x:row>
    <x:row r="2445" ht="24" customHeight="1">
      <x:c r="A2445" s="10" t="str">
        <x:v>S05-03</x:v>
      </x:c>
      <x:c r="B2445" s="10" t="str">
        <x:v>B</x:v>
      </x:c>
      <x:c r="C2445" s="18" t="n">
        <x:v>-4.324666567</x:v>
      </x:c>
      <x:c r="D2445" s="10" t="n">
        <x:v>560</x:v>
      </x:c>
      <x:c r="E2445" s="10" t="n">
        <x:v>0.009600019</x:v>
      </x:c>
      <x:c r="F2445" s="10" t="n">
        <x:v>0.004096</x:v>
      </x:c>
      <x:c r="G2445" s="10" t="n">
        <x:f>SUM(D2445:F2445)</x:f>
        <x:v>560.013696019</x:v>
      </x:c>
    </x:row>
    <x:row r="2446" ht="24" customHeight="1">
      <x:c r="A2446" s="10" t="str">
        <x:v>S05-03</x:v>
      </x:c>
      <x:c r="B2446" s="10" t="str">
        <x:v>B</x:v>
      </x:c>
      <x:c r="C2446" s="18" t="n">
        <x:v>-4.284666767</x:v>
      </x:c>
      <x:c r="D2446" s="10" t="n">
        <x:v>560</x:v>
      </x:c>
      <x:c r="E2446" s="10" t="n">
        <x:v>0.017279981</x:v>
      </x:c>
      <x:c r="F2446" s="10" t="n">
        <x:v>0.004096</x:v>
      </x:c>
      <x:c r="G2446" s="10" t="n">
        <x:f>SUM(D2446:F2446)</x:f>
        <x:v>560.021375981</x:v>
      </x:c>
    </x:row>
    <x:row r="2447" ht="24" customHeight="1">
      <x:c r="A2447" s="10" t="str">
        <x:v>S05-03</x:v>
      </x:c>
      <x:c r="B2447" s="10" t="str">
        <x:v>B</x:v>
      </x:c>
      <x:c r="C2447" s="18" t="n">
        <x:v>-4.284666667</x:v>
      </x:c>
      <x:c r="D2447" s="10" t="n">
        <x:v>560</x:v>
      </x:c>
      <x:c r="E2447" s="10" t="n">
        <x:v>0.01728</x:v>
      </x:c>
      <x:c r="F2447" s="10" t="n">
        <x:v>0.004096</x:v>
      </x:c>
      <x:c r="G2447" s="10" t="n">
        <x:f>SUM(D2447:F2447)</x:f>
        <x:v>560.021376</x:v>
      </x:c>
    </x:row>
    <x:row r="2448" ht="24" customHeight="1">
      <x:c r="A2448" s="10" t="str">
        <x:v>S05-03</x:v>
      </x:c>
      <x:c r="B2448" s="10" t="str">
        <x:v>B</x:v>
      </x:c>
      <x:c r="C2448" s="18" t="n">
        <x:v>-4.284666567</x:v>
      </x:c>
      <x:c r="D2448" s="10" t="n">
        <x:v>560</x:v>
      </x:c>
      <x:c r="E2448" s="10" t="n">
        <x:v>0.017280014</x:v>
      </x:c>
      <x:c r="F2448" s="10" t="n">
        <x:v>0.004096</x:v>
      </x:c>
      <x:c r="G2448" s="10" t="n">
        <x:f>SUM(D2448:F2448)</x:f>
        <x:v>560.021376014</x:v>
      </x:c>
    </x:row>
    <x:row r="2449" ht="24" customHeight="1">
      <x:c r="A2449" s="10" t="str">
        <x:v>S05-03</x:v>
      </x:c>
      <x:c r="B2449" s="10" t="str">
        <x:v>B</x:v>
      </x:c>
      <x:c r="C2449" s="18" t="n">
        <x:v>-3.5200001</x:v>
      </x:c>
      <x:c r="D2449" s="10" t="n">
        <x:v>560</x:v>
      </x:c>
      <x:c r="E2449" s="10" t="n">
        <x:v>0.127391986</x:v>
      </x:c>
      <x:c r="F2449" s="10" t="n">
        <x:v>0.004096</x:v>
      </x:c>
      <x:c r="G2449" s="10" t="n">
        <x:f>SUM(D2449:F2449)</x:f>
        <x:v>560.131487986</x:v>
      </x:c>
    </x:row>
    <x:row r="2450" ht="24" customHeight="1">
      <x:c r="A2450" s="10" t="str">
        <x:v>S05-03</x:v>
      </x:c>
      <x:c r="B2450" s="10" t="str">
        <x:v>B</x:v>
      </x:c>
      <x:c r="C2450" s="18" t="n">
        <x:v>-3.52</x:v>
      </x:c>
      <x:c r="D2450" s="10" t="n">
        <x:v>560</x:v>
      </x:c>
      <x:c r="E2450" s="10" t="n">
        <x:v>0.127392</x:v>
      </x:c>
      <x:c r="F2450" s="10" t="n">
        <x:v>0.004096</x:v>
      </x:c>
      <x:c r="G2450" s="10" t="n">
        <x:f>SUM(D2450:F2450)</x:f>
        <x:v>560.131488</x:v>
      </x:c>
    </x:row>
    <x:row r="2451" ht="24" customHeight="1">
      <x:c r="A2451" s="10" t="str">
        <x:v>S05-03</x:v>
      </x:c>
      <x:c r="B2451" s="10" t="str">
        <x:v>B</x:v>
      </x:c>
      <x:c r="C2451" s="18" t="n">
        <x:v>-3.5199999</x:v>
      </x:c>
      <x:c r="D2451" s="10" t="n">
        <x:v>560</x:v>
      </x:c>
      <x:c r="E2451" s="10" t="n">
        <x:v>0.127392019</x:v>
      </x:c>
      <x:c r="F2451" s="10" t="n">
        <x:v>0.004096</x:v>
      </x:c>
      <x:c r="G2451" s="10" t="n">
        <x:f>SUM(D2451:F2451)</x:f>
        <x:v>560.131488019</x:v>
      </x:c>
    </x:row>
    <x:row r="2452" ht="24" customHeight="1">
      <x:c r="A2452" s="10" t="str">
        <x:v>S05-03</x:v>
      </x:c>
      <x:c r="B2452" s="10" t="str">
        <x:v>B</x:v>
      </x:c>
      <x:c r="C2452" s="18" t="n">
        <x:v>-1e-7</x:v>
      </x:c>
      <x:c r="D2452" s="10" t="n">
        <x:v>560</x:v>
      </x:c>
      <x:c r="E2452" s="10" t="n">
        <x:v>0.803231981</x:v>
      </x:c>
      <x:c r="F2452" s="10" t="n">
        <x:v>0.004096</x:v>
      </x:c>
      <x:c r="G2452" s="10" t="n">
        <x:f>SUM(D2452:F2452)</x:f>
        <x:v>560.807327981</x:v>
      </x:c>
    </x:row>
    <x:row r="2453" ht="24" customHeight="1">
      <x:c r="A2453" s="10" t="str">
        <x:v>S05-03</x:v>
      </x:c>
      <x:c r="B2453" s="10" t="str">
        <x:v>B</x:v>
      </x:c>
      <x:c r="C2453" s="18" t="n">
        <x:v>0</x:v>
      </x:c>
      <x:c r="D2453" s="10" t="n">
        <x:v>560</x:v>
      </x:c>
      <x:c r="E2453" s="10" t="n">
        <x:v>0.803232</x:v>
      </x:c>
      <x:c r="F2453" s="10" t="n">
        <x:v>0.004096</x:v>
      </x:c>
      <x:c r="G2453" s="10" t="n">
        <x:f>SUM(D2453:F2453)</x:f>
        <x:v>560.807328</x:v>
      </x:c>
    </x:row>
    <x:row r="2454" ht="24" customHeight="1">
      <x:c r="A2454" s="10" t="str">
        <x:v>S05-03</x:v>
      </x:c>
      <x:c r="B2454" s="10" t="str">
        <x:v>B</x:v>
      </x:c>
      <x:c r="C2454" s="18" t="n">
        <x:v>1e-7</x:v>
      </x:c>
      <x:c r="D2454" s="10" t="n">
        <x:v>560</x:v>
      </x:c>
      <x:c r="E2454" s="10" t="n">
        <x:v>0.803232019</x:v>
      </x:c>
      <x:c r="F2454" s="10" t="n">
        <x:v>0.004096</x:v>
      </x:c>
      <x:c r="G2454" s="10" t="n">
        <x:f>SUM(D2454:F2454)</x:f>
        <x:v>560.807328019</x:v>
      </x:c>
    </x:row>
    <x:row r="2455" ht="24" customHeight="1">
      <x:c r="A2455" s="10" t="str">
        <x:v>S05-03</x:v>
      </x:c>
      <x:c r="B2455" s="10" t="str">
        <x:v>B</x:v>
      </x:c>
      <x:c r="C2455" s="18" t="n">
        <x:v>0.8499999</x:v>
      </x:c>
      <x:c r="D2455" s="10" t="n">
        <x:v>560</x:v>
      </x:c>
      <x:c r="E2455" s="10" t="n">
        <x:v>0.966431981</x:v>
      </x:c>
      <x:c r="F2455" s="10" t="n">
        <x:v>0.004096</x:v>
      </x:c>
      <x:c r="G2455" s="10" t="n">
        <x:f>SUM(D2455:F2455)</x:f>
        <x:v>560.970527981</x:v>
      </x:c>
    </x:row>
    <x:row r="2456" ht="24" customHeight="1">
      <x:c r="A2456" s="10" t="str">
        <x:v>S05-03</x:v>
      </x:c>
      <x:c r="B2456" s="10" t="str">
        <x:v>B</x:v>
      </x:c>
      <x:c r="C2456" s="18" t="n">
        <x:v>0.85</x:v>
      </x:c>
      <x:c r="D2456" s="10" t="n">
        <x:v>560</x:v>
      </x:c>
      <x:c r="E2456" s="10" t="n">
        <x:v>0.966432</x:v>
      </x:c>
      <x:c r="F2456" s="10" t="n">
        <x:v>0.008192</x:v>
      </x:c>
      <x:c r="G2456" s="10" t="n">
        <x:f>SUM(D2456:F2456)</x:f>
        <x:v>560.9746240000001</x:v>
      </x:c>
    </x:row>
    <x:row r="2457" ht="24" customHeight="1">
      <x:c r="A2457" s="10" t="str">
        <x:v>S05-03</x:v>
      </x:c>
      <x:c r="B2457" s="10" t="str">
        <x:v>B</x:v>
      </x:c>
      <x:c r="C2457" s="18" t="n">
        <x:v>0.8500001</x:v>
      </x:c>
      <x:c r="D2457" s="10" t="n">
        <x:v>560</x:v>
      </x:c>
      <x:c r="E2457" s="10" t="n">
        <x:v>0.966432019</x:v>
      </x:c>
      <x:c r="F2457" s="10" t="n">
        <x:v>0.008192</x:v>
      </x:c>
      <x:c r="G2457" s="10" t="n">
        <x:f>SUM(D2457:F2457)</x:f>
        <x:v>560.974624019</x:v>
      </x:c>
    </x:row>
    <x:row r="2458" ht="24" customHeight="1">
      <x:c r="A2458" s="10" t="str">
        <x:v>S05-03</x:v>
      </x:c>
      <x:c r="B2458" s="10" t="str">
        <x:v>B</x:v>
      </x:c>
      <x:c r="C2458" s="18" t="n">
        <x:v>0.9499999</x:v>
      </x:c>
      <x:c r="D2458" s="10" t="n">
        <x:v>560</x:v>
      </x:c>
      <x:c r="E2458" s="10" t="n">
        <x:v>0.985631981</x:v>
      </x:c>
      <x:c r="F2458" s="10" t="n">
        <x:v>0.008192</x:v>
      </x:c>
      <x:c r="G2458" s="10" t="n">
        <x:f>SUM(D2458:F2458)</x:f>
        <x:v>560.993823981</x:v>
      </x:c>
    </x:row>
    <x:row r="2459" ht="24" customHeight="1">
      <x:c r="A2459" s="10" t="str">
        <x:v>S05-03</x:v>
      </x:c>
      <x:c r="B2459" s="10" t="str">
        <x:v>B</x:v>
      </x:c>
      <x:c r="C2459" s="18" t="n">
        <x:v>0.95</x:v>
      </x:c>
      <x:c r="D2459" s="10" t="n">
        <x:v>560</x:v>
      </x:c>
      <x:c r="E2459" s="10" t="n">
        <x:v>0.985632</x:v>
      </x:c>
      <x:c r="F2459" s="10" t="n">
        <x:v>0.008192</x:v>
      </x:c>
      <x:c r="G2459" s="10" t="n">
        <x:f>SUM(D2459:F2459)</x:f>
        <x:v>560.993824</x:v>
      </x:c>
    </x:row>
    <x:row r="2460" ht="24" customHeight="1">
      <x:c r="A2460" s="10" t="str">
        <x:v>S05-03</x:v>
      </x:c>
      <x:c r="B2460" s="10" t="str">
        <x:v>B</x:v>
      </x:c>
      <x:c r="C2460" s="18" t="n">
        <x:v>0.9500001</x:v>
      </x:c>
      <x:c r="D2460" s="10" t="n">
        <x:v>560</x:v>
      </x:c>
      <x:c r="E2460" s="10" t="n">
        <x:v>0.985632</x:v>
      </x:c>
      <x:c r="F2460" s="10" t="n">
        <x:v>0.008192</x:v>
      </x:c>
      <x:c r="G2460" s="10" t="n">
        <x:f>SUM(D2460:F2460)</x:f>
        <x:v>560.993824</x:v>
      </x:c>
    </x:row>
    <x:row r="2461" ht="24" customHeight="1">
      <x:c r="A2461" s="10" t="str">
        <x:v>S05-03</x:v>
      </x:c>
      <x:c r="B2461" s="10" t="str">
        <x:v>B</x:v>
      </x:c>
      <x:c r="C2461" s="18" t="n">
        <x:v>1.2509999</x:v>
      </x:c>
      <x:c r="D2461" s="10" t="n">
        <x:v>560</x:v>
      </x:c>
      <x:c r="E2461" s="10" t="n">
        <x:v>0.985632</x:v>
      </x:c>
      <x:c r="F2461" s="10" t="n">
        <x:v>0.008192</x:v>
      </x:c>
      <x:c r="G2461" s="10" t="n">
        <x:f>SUM(D2461:F2461)</x:f>
        <x:v>560.993824</x:v>
      </x:c>
    </x:row>
    <x:row r="2462" ht="24" customHeight="1">
      <x:c r="A2462" s="10" t="str">
        <x:v>S05-03</x:v>
      </x:c>
      <x:c r="B2462" s="10" t="str">
        <x:v>B</x:v>
      </x:c>
      <x:c r="C2462" s="18" t="n">
        <x:v>1.251</x:v>
      </x:c>
      <x:c r="D2462" s="10" t="n">
        <x:v>560</x:v>
      </x:c>
      <x:c r="E2462" s="10" t="n">
        <x:v>0.995232</x:v>
      </x:c>
      <x:c r="F2462" s="10" t="n">
        <x:v>0.008192</x:v>
      </x:c>
      <x:c r="G2462" s="10" t="n">
        <x:f>SUM(D2462:F2462)</x:f>
        <x:v>561.003424</x:v>
      </x:c>
    </x:row>
    <x:row r="2463" ht="24" customHeight="1">
      <x:c r="A2463" s="10" t="str">
        <x:v>S05-03</x:v>
      </x:c>
      <x:c r="B2463" s="10" t="str">
        <x:v>B</x:v>
      </x:c>
      <x:c r="C2463" s="18" t="n">
        <x:v>1.2510001</x:v>
      </x:c>
      <x:c r="D2463" s="10" t="n">
        <x:v>560</x:v>
      </x:c>
      <x:c r="E2463" s="10" t="n">
        <x:v>0.995232019</x:v>
      </x:c>
      <x:c r="F2463" s="10" t="n">
        <x:v>0.008192</x:v>
      </x:c>
      <x:c r="G2463" s="10" t="n">
        <x:f>SUM(D2463:F2463)</x:f>
        <x:v>561.003424019</x:v>
      </x:c>
    </x:row>
    <x:row r="2464" ht="24" customHeight="1">
      <x:c r="A2464" s="10" t="str">
        <x:v>S05-03</x:v>
      </x:c>
      <x:c r="B2464" s="10" t="str">
        <x:v>B</x:v>
      </x:c>
      <x:c r="C2464" s="18" t="n">
        <x:v>1.2909999</x:v>
      </x:c>
      <x:c r="D2464" s="10" t="n">
        <x:v>560</x:v>
      </x:c>
      <x:c r="E2464" s="10" t="n">
        <x:v>1.002911981</x:v>
      </x:c>
      <x:c r="F2464" s="10" t="n">
        <x:v>0.008192</x:v>
      </x:c>
      <x:c r="G2464" s="10" t="n">
        <x:f>SUM(D2464:F2464)</x:f>
        <x:v>561.011103981</x:v>
      </x:c>
    </x:row>
    <x:row r="2465" ht="24" customHeight="1">
      <x:c r="A2465" s="10" t="str">
        <x:v>S05-03</x:v>
      </x:c>
      <x:c r="B2465" s="10" t="str">
        <x:v>B</x:v>
      </x:c>
      <x:c r="C2465" s="18" t="n">
        <x:v>1.291</x:v>
      </x:c>
      <x:c r="D2465" s="10" t="n">
        <x:v>560</x:v>
      </x:c>
      <x:c r="E2465" s="10" t="n">
        <x:v>1.002912</x:v>
      </x:c>
      <x:c r="F2465" s="10" t="n">
        <x:v>0.008192</x:v>
      </x:c>
      <x:c r="G2465" s="10" t="n">
        <x:f>SUM(D2465:F2465)</x:f>
        <x:v>561.011104</x:v>
      </x:c>
    </x:row>
    <x:row r="2466" ht="24" customHeight="1">
      <x:c r="A2466" s="10" t="str">
        <x:v>S05-03</x:v>
      </x:c>
      <x:c r="B2466" s="10" t="str">
        <x:v>B</x:v>
      </x:c>
      <x:c r="C2466" s="18" t="n">
        <x:v>1.2910001</x:v>
      </x:c>
      <x:c r="D2466" s="10" t="n">
        <x:v>560</x:v>
      </x:c>
      <x:c r="E2466" s="10" t="n">
        <x:v>1.002912014</x:v>
      </x:c>
      <x:c r="F2466" s="10" t="n">
        <x:v>0.008192</x:v>
      </x:c>
      <x:c r="G2466" s="10" t="n">
        <x:f>SUM(D2466:F2466)</x:f>
        <x:v>561.011104014</x:v>
      </x:c>
    </x:row>
    <x:row r="2467" ht="24" customHeight="1">
      <x:c r="A2467" s="10" t="str">
        <x:v>S05-03</x:v>
      </x:c>
      <x:c r="B2467" s="10" t="str">
        <x:v>B</x:v>
      </x:c>
      <x:c r="C2467" s="18" t="n">
        <x:v>1.8934999</x:v>
      </x:c>
      <x:c r="D2467" s="10" t="n">
        <x:v>560</x:v>
      </x:c>
      <x:c r="E2467" s="10" t="n">
        <x:v>1.089671986</x:v>
      </x:c>
      <x:c r="F2467" s="10" t="n">
        <x:v>0.008192</x:v>
      </x:c>
      <x:c r="G2467" s="10" t="n">
        <x:f>SUM(D2467:F2467)</x:f>
        <x:v>561.097863986</x:v>
      </x:c>
    </x:row>
    <x:row r="2468" ht="24" customHeight="1">
      <x:c r="A2468" s="10" t="str">
        <x:v>S05-03</x:v>
      </x:c>
      <x:c r="B2468" s="10" t="str">
        <x:v>B</x:v>
      </x:c>
      <x:c r="C2468" s="18" t="n">
        <x:v>1.8935</x:v>
      </x:c>
      <x:c r="D2468" s="10" t="n">
        <x:v>560</x:v>
      </x:c>
      <x:c r="E2468" s="10" t="n">
        <x:v>1.089672</x:v>
      </x:c>
      <x:c r="F2468" s="10" t="n">
        <x:v>0.008192</x:v>
      </x:c>
      <x:c r="G2468" s="10" t="n">
        <x:f>SUM(D2468:F2468)</x:f>
        <x:v>561.097864</x:v>
      </x:c>
    </x:row>
    <x:row r="2469" ht="24" customHeight="1">
      <x:c r="A2469" s="10" t="str">
        <x:v>S05-03</x:v>
      </x:c>
      <x:c r="B2469" s="10" t="str">
        <x:v>B</x:v>
      </x:c>
      <x:c r="C2469" s="18" t="n">
        <x:v>1.8935001</x:v>
      </x:c>
      <x:c r="D2469" s="10" t="n">
        <x:v>560</x:v>
      </x:c>
      <x:c r="E2469" s="10" t="n">
        <x:v>1.089671995</x:v>
      </x:c>
      <x:c r="F2469" s="10" t="n">
        <x:v>0.008192</x:v>
      </x:c>
      <x:c r="G2469" s="10" t="n">
        <x:f>SUM(D2469:F2469)</x:f>
        <x:v>561.097863995</x:v>
      </x:c>
    </x:row>
    <x:row r="2470" ht="24" customHeight="1">
      <x:c r="A2470" s="10" t="str">
        <x:v>S05-03</x:v>
      </x:c>
      <x:c r="B2470" s="10" t="str">
        <x:v>B</x:v>
      </x:c>
      <x:c r="C2470" s="18" t="n">
        <x:v>4.0609999</x:v>
      </x:c>
      <x:c r="D2470" s="10" t="n">
        <x:v>560</x:v>
      </x:c>
      <x:c r="E2470" s="10" t="n">
        <x:v>0.985632005</x:v>
      </x:c>
      <x:c r="F2470" s="10" t="n">
        <x:v>0.008192</x:v>
      </x:c>
      <x:c r="G2470" s="10" t="n">
        <x:f>SUM(D2470:F2470)</x:f>
        <x:v>560.993824005</x:v>
      </x:c>
    </x:row>
    <x:row r="2471" ht="24" customHeight="1">
      <x:c r="A2471" s="10" t="str">
        <x:v>S05-03</x:v>
      </x:c>
      <x:c r="B2471" s="10" t="str">
        <x:v>B</x:v>
      </x:c>
      <x:c r="C2471" s="18" t="n">
        <x:v>4.061</x:v>
      </x:c>
      <x:c r="D2471" s="10" t="n">
        <x:v>560</x:v>
      </x:c>
      <x:c r="E2471" s="10" t="n">
        <x:v>0.985632</x:v>
      </x:c>
      <x:c r="F2471" s="10" t="n">
        <x:v>0.012288</x:v>
      </x:c>
      <x:c r="G2471" s="10" t="n">
        <x:f>SUM(D2471:F2471)</x:f>
        <x:v>560.99792</x:v>
      </x:c>
    </x:row>
    <x:row r="2472" ht="24" customHeight="1">
      <x:c r="A2472" s="10" t="str">
        <x:v>S05-03</x:v>
      </x:c>
      <x:c r="B2472" s="10" t="str">
        <x:v>B</x:v>
      </x:c>
      <x:c r="C2472" s="18" t="n">
        <x:v>4.0610001</x:v>
      </x:c>
      <x:c r="D2472" s="10" t="n">
        <x:v>560</x:v>
      </x:c>
      <x:c r="E2472" s="10" t="n">
        <x:v>0.985632</x:v>
      </x:c>
      <x:c r="F2472" s="10" t="n">
        <x:v>0.008192</x:v>
      </x:c>
      <x:c r="G2472" s="10" t="n">
        <x:f>SUM(D2472:F2472)</x:f>
        <x:v>560.993824</x:v>
      </x:c>
    </x:row>
    <x:row r="2473" ht="24" customHeight="1">
      <x:c r="A2473" s="10" t="str">
        <x:v>S05-03</x:v>
      </x:c>
      <x:c r="B2473" s="10" t="str">
        <x:v>B</x:v>
      </x:c>
      <x:c r="C2473" s="18" t="n">
        <x:v>4.1009999</x:v>
      </x:c>
      <x:c r="D2473" s="10" t="n">
        <x:v>560</x:v>
      </x:c>
      <x:c r="E2473" s="10" t="n">
        <x:v>0.985632</x:v>
      </x:c>
      <x:c r="F2473" s="10" t="n">
        <x:v>0.008192</x:v>
      </x:c>
      <x:c r="G2473" s="10" t="n">
        <x:f>SUM(D2473:F2473)</x:f>
        <x:v>560.993824</x:v>
      </x:c>
    </x:row>
    <x:row r="2474" ht="24" customHeight="1">
      <x:c r="A2474" s="10" t="str">
        <x:v>S05-03</x:v>
      </x:c>
      <x:c r="B2474" s="10" t="str">
        <x:v>B</x:v>
      </x:c>
      <x:c r="C2474" s="18" t="n">
        <x:v>4.101</x:v>
      </x:c>
      <x:c r="D2474" s="10" t="n">
        <x:v>560</x:v>
      </x:c>
      <x:c r="E2474" s="10" t="n">
        <x:v>0.985632</x:v>
      </x:c>
      <x:c r="F2474" s="10" t="n">
        <x:v>0.008192</x:v>
      </x:c>
      <x:c r="G2474" s="10" t="n">
        <x:f>SUM(D2474:F2474)</x:f>
        <x:v>560.993824</x:v>
      </x:c>
    </x:row>
    <x:row r="2475" ht="24" customHeight="1">
      <x:c r="A2475" s="10" t="str">
        <x:v>S05-03</x:v>
      </x:c>
      <x:c r="B2475" s="10" t="str">
        <x:v>B</x:v>
      </x:c>
      <x:c r="C2475" s="18" t="n">
        <x:v>4.1010001</x:v>
      </x:c>
      <x:c r="D2475" s="10" t="n">
        <x:v>560</x:v>
      </x:c>
      <x:c r="E2475" s="10" t="n">
        <x:v>0.985631995</x:v>
      </x:c>
      <x:c r="F2475" s="10" t="n">
        <x:v>0.008192</x:v>
      </x:c>
      <x:c r="G2475" s="10" t="n">
        <x:f>SUM(D2475:F2475)</x:f>
        <x:v>560.993823995</x:v>
      </x:c>
    </x:row>
    <x:row r="2476" ht="24" customHeight="1">
      <x:c r="A2476" s="10" t="str">
        <x:v>S05-03</x:v>
      </x:c>
      <x:c r="B2476" s="10" t="str">
        <x:v>B</x:v>
      </x:c>
      <x:c r="C2476" s="18" t="n">
        <x:v>4.576333233</x:v>
      </x:c>
      <x:c r="D2476" s="10" t="n">
        <x:v>560</x:v>
      </x:c>
      <x:c r="E2476" s="10" t="n">
        <x:v>0.962816005</x:v>
      </x:c>
      <x:c r="F2476" s="10" t="n">
        <x:v>0.008192</x:v>
      </x:c>
      <x:c r="G2476" s="10" t="n">
        <x:f>SUM(D2476:F2476)</x:f>
        <x:v>560.971008005</x:v>
      </x:c>
    </x:row>
    <x:row r="2477" ht="24" customHeight="1">
      <x:c r="A2477" s="10" t="str">
        <x:v>S05-03</x:v>
      </x:c>
      <x:c r="B2477" s="10" t="str">
        <x:v>B</x:v>
      </x:c>
      <x:c r="C2477" s="18" t="n">
        <x:v>4.576333333</x:v>
      </x:c>
      <x:c r="D2477" s="10" t="n">
        <x:v>560</x:v>
      </x:c>
      <x:c r="E2477" s="10" t="n">
        <x:v>0.972416</x:v>
      </x:c>
      <x:c r="F2477" s="10" t="n">
        <x:v>0.008192</x:v>
      </x:c>
      <x:c r="G2477" s="10" t="n">
        <x:f>SUM(D2477:F2477)</x:f>
        <x:v>560.980608</x:v>
      </x:c>
    </x:row>
    <x:row r="2478" ht="24" customHeight="1">
      <x:c r="A2478" s="10" t="str">
        <x:v>S05-03</x:v>
      </x:c>
      <x:c r="B2478" s="10" t="str">
        <x:v>B</x:v>
      </x:c>
      <x:c r="C2478" s="18" t="n">
        <x:v>4.576333433</x:v>
      </x:c>
      <x:c r="D2478" s="10" t="n">
        <x:v>560</x:v>
      </x:c>
      <x:c r="E2478" s="10" t="n">
        <x:v>0.972416014</x:v>
      </x:c>
      <x:c r="F2478" s="10" t="n">
        <x:v>0.008192</x:v>
      </x:c>
      <x:c r="G2478" s="10" t="n">
        <x:f>SUM(D2478:F2478)</x:f>
        <x:v>560.980608014</x:v>
      </x:c>
    </x:row>
    <x:row r="2479" ht="24" customHeight="1">
      <x:c r="A2479" s="10" t="str">
        <x:v>S05-03</x:v>
      </x:c>
      <x:c r="B2479" s="10" t="str">
        <x:v>B</x:v>
      </x:c>
      <x:c r="C2479" s="18" t="n">
        <x:v>8.194166566</x:v>
      </x:c>
      <x:c r="D2479" s="10" t="n">
        <x:v>560</x:v>
      </x:c>
      <x:c r="E2479" s="10" t="n">
        <x:v>1.493383986</x:v>
      </x:c>
      <x:c r="F2479" s="10" t="n">
        <x:v>0.008192</x:v>
      </x:c>
      <x:c r="G2479" s="10" t="n">
        <x:f>SUM(D2479:F2479)</x:f>
        <x:v>561.501575986</x:v>
      </x:c>
    </x:row>
    <x:row r="2480" ht="24" customHeight="1">
      <x:c r="A2480" s="10" t="str">
        <x:v>S05-03</x:v>
      </x:c>
      <x:c r="B2480" s="10" t="str">
        <x:v>B</x:v>
      </x:c>
      <x:c r="C2480" s="18" t="n">
        <x:v>8.194166666</x:v>
      </x:c>
      <x:c r="D2480" s="10" t="n">
        <x:v>560</x:v>
      </x:c>
      <x:c r="E2480" s="10" t="n">
        <x:v>1.493384</x:v>
      </x:c>
      <x:c r="F2480" s="10" t="n">
        <x:v>0.008192</x:v>
      </x:c>
      <x:c r="G2480" s="10" t="n">
        <x:f>SUM(D2480:F2480)</x:f>
        <x:v>561.501576</x:v>
      </x:c>
    </x:row>
    <x:row r="2481" ht="24" customHeight="1">
      <x:c r="A2481" s="10" t="str">
        <x:v>S05-03</x:v>
      </x:c>
      <x:c r="B2481" s="10" t="str">
        <x:v>B</x:v>
      </x:c>
      <x:c r="C2481" s="18" t="n">
        <x:v>8.194166766</x:v>
      </x:c>
      <x:c r="D2481" s="10" t="n">
        <x:v>560</x:v>
      </x:c>
      <x:c r="E2481" s="10" t="n">
        <x:v>1.493383995</x:v>
      </x:c>
      <x:c r="F2481" s="10" t="n">
        <x:v>0.008192</x:v>
      </x:c>
      <x:c r="G2481" s="10" t="n">
        <x:f>SUM(D2481:F2481)</x:f>
        <x:v>561.501575995</x:v>
      </x:c>
    </x:row>
    <x:row r="2482" ht="24" customHeight="1">
      <x:c r="A2482" s="10" t="str">
        <x:v>S05-03</x:v>
      </x:c>
      <x:c r="B2482" s="10" t="str">
        <x:v>B</x:v>
      </x:c>
      <x:c r="C2482" s="18" t="n">
        <x:v>24.634999901</x:v>
      </x:c>
      <x:c r="D2482" s="10" t="n">
        <x:v>560</x:v>
      </x:c>
      <x:c r="E2482" s="10" t="n">
        <x:v>0.704224005</x:v>
      </x:c>
      <x:c r="F2482" s="10" t="n">
        <x:v>0.008192</x:v>
      </x:c>
      <x:c r="G2482" s="10" t="n">
        <x:f>SUM(D2482:F2482)</x:f>
        <x:v>560.712416005</x:v>
      </x:c>
    </x:row>
    <x:row r="2483" ht="24" customHeight="1">
      <x:c r="A2483" s="10" t="str">
        <x:v>S05-03</x:v>
      </x:c>
      <x:c r="B2483" s="10" t="str">
        <x:v>B</x:v>
      </x:c>
      <x:c r="C2483" s="18" t="n">
        <x:v>24.635000001</x:v>
      </x:c>
      <x:c r="D2483" s="10" t="n">
        <x:v>560</x:v>
      </x:c>
      <x:c r="E2483" s="10" t="n">
        <x:v>0.704224</x:v>
      </x:c>
      <x:c r="F2483" s="10" t="n">
        <x:v>0.008192</x:v>
      </x:c>
      <x:c r="G2483" s="10" t="n">
        <x:f>SUM(D2483:F2483)</x:f>
        <x:v>560.712416</x:v>
      </x:c>
    </x:row>
    <x:row r="2484" ht="24" customHeight="1">
      <x:c r="A2484" s="10" t="str">
        <x:v>S05-03</x:v>
      </x:c>
      <x:c r="B2484" s="10" t="str">
        <x:v>B</x:v>
      </x:c>
      <x:c r="C2484" s="18" t="n">
        <x:v>24.635000101</x:v>
      </x:c>
      <x:c r="D2484" s="10" t="n">
        <x:v>560</x:v>
      </x:c>
      <x:c r="E2484" s="10" t="n">
        <x:v>0.704224</x:v>
      </x:c>
      <x:c r="F2484" s="10" t="n">
        <x:v>0.004096</x:v>
      </x:c>
      <x:c r="G2484" s="10" t="n">
        <x:f>SUM(D2484:F2484)</x:f>
        <x:v>560.70832</x:v>
      </x:c>
    </x:row>
    <x:row r="2485" ht="24" customHeight="1">
      <x:c r="A2485" s="10" t="str">
        <x:v>S05-03</x:v>
      </x:c>
      <x:c r="B2485" s="10" t="str">
        <x:v>B</x:v>
      </x:c>
      <x:c r="C2485" s="18" t="n">
        <x:v>24.674999901</x:v>
      </x:c>
      <x:c r="D2485" s="10" t="n">
        <x:v>560</x:v>
      </x:c>
      <x:c r="E2485" s="10" t="n">
        <x:v>0.704224</x:v>
      </x:c>
      <x:c r="F2485" s="10" t="n">
        <x:v>0.004096</x:v>
      </x:c>
      <x:c r="G2485" s="10" t="n">
        <x:f>SUM(D2485:F2485)</x:f>
        <x:v>560.70832</x:v>
      </x:c>
    </x:row>
    <x:row r="2486" ht="24" customHeight="1">
      <x:c r="A2486" s="10" t="str">
        <x:v>S05-03</x:v>
      </x:c>
      <x:c r="B2486" s="10" t="str">
        <x:v>B</x:v>
      </x:c>
      <x:c r="C2486" s="18" t="n">
        <x:v>24.675000001</x:v>
      </x:c>
      <x:c r="D2486" s="10" t="n">
        <x:v>560</x:v>
      </x:c>
      <x:c r="E2486" s="10" t="n">
        <x:v>0.704224</x:v>
      </x:c>
      <x:c r="F2486" s="10" t="n">
        <x:v>0.004096</x:v>
      </x:c>
      <x:c r="G2486" s="10" t="n">
        <x:f>SUM(D2486:F2486)</x:f>
        <x:v>560.70832</x:v>
      </x:c>
    </x:row>
    <x:row r="2487" ht="24" customHeight="1">
      <x:c r="A2487" s="10" t="str">
        <x:v>S05-03</x:v>
      </x:c>
      <x:c r="B2487" s="10" t="str">
        <x:v>B</x:v>
      </x:c>
      <x:c r="C2487" s="18" t="n">
        <x:v>24.675000101</x:v>
      </x:c>
      <x:c r="D2487" s="10" t="n">
        <x:v>560</x:v>
      </x:c>
      <x:c r="E2487" s="10" t="n">
        <x:v>0.704223995</x:v>
      </x:c>
      <x:c r="F2487" s="10" t="n">
        <x:v>0.004096</x:v>
      </x:c>
      <x:c r="G2487" s="10" t="n">
        <x:f>SUM(D2487:F2487)</x:f>
        <x:v>560.708319995</x:v>
      </x:c>
    </x:row>
    <x:row r="2488" ht="24" customHeight="1">
      <x:c r="A2488" s="10" t="str">
        <x:v>S05-03</x:v>
      </x:c>
      <x:c r="B2488" s="10" t="str">
        <x:v>B</x:v>
      </x:c>
      <x:c r="C2488" s="18" t="n">
        <x:v>39.346333233</x:v>
      </x:c>
      <x:c r="D2488" s="10" t="n">
        <x:v>560</x:v>
      </x:c>
      <x:c r="E2488" s="10" t="n">
        <x:v>5e-9</x:v>
      </x:c>
      <x:c r="F2488" s="10" t="n">
        <x:v>0.004096</x:v>
      </x:c>
      <x:c r="G2488" s="10" t="n">
        <x:f>SUM(D2488:F2488)</x:f>
        <x:v>560.004096005</x:v>
      </x:c>
    </x:row>
    <x:row r="2489" ht="24" customHeight="1">
      <x:c r="A2489" s="10" t="str">
        <x:v>S05-03</x:v>
      </x:c>
      <x:c r="B2489" s="10" t="str">
        <x:v>B</x:v>
      </x:c>
      <x:c r="C2489" s="18" t="n">
        <x:v>39.346333333</x:v>
      </x:c>
      <x:c r="D2489" s="10" t="n">
        <x:v>560</x:v>
      </x:c>
      <x:c r="E2489" s="10" t="n">
        <x:v>0</x:v>
      </x:c>
      <x:c r="F2489" s="10" t="n">
        <x:v>0.004096</x:v>
      </x:c>
      <x:c r="G2489" s="10" t="n">
        <x:f>SUM(D2489:F2489)</x:f>
        <x:v>560.004096</x:v>
      </x:c>
    </x:row>
    <x:row r="2490" ht="24" customHeight="1">
      <x:c r="A2490" s="10" t="str">
        <x:v>S05-03</x:v>
      </x:c>
      <x:c r="B2490" s="10" t="str">
        <x:v>B</x:v>
      </x:c>
      <x:c r="C2490" s="18" t="n">
        <x:v>39.346333433</x:v>
      </x:c>
      <x:c r="D2490" s="10" t="n">
        <x:v>560</x:v>
      </x:c>
      <x:c r="E2490" s="10" t="n">
        <x:v>0</x:v>
      </x:c>
      <x:c r="F2490" s="10" t="n">
        <x:v>0</x:v>
      </x:c>
      <x:c r="G2490" s="10" t="n">
        <x:f>SUM(D2490:F2490)</x:f>
        <x:v>560</x:v>
      </x:c>
    </x:row>
    <x:row r="2491" ht="24" customHeight="1">
      <x:c r="A2491" s="10" t="str">
        <x:v>S05-04</x:v>
      </x:c>
      <x:c r="B2491" s="10" t="str">
        <x:v>A</x:v>
      </x:c>
      <x:c r="C2491" s="18" t="n">
        <x:v>-6.0000001</x:v>
      </x:c>
      <x:c r="D2491" s="10" t="n">
        <x:v>560</x:v>
      </x:c>
      <x:c r="E2491" s="10" t="n">
        <x:v>0</x:v>
      </x:c>
      <x:c r="F2491" s="10" t="n">
        <x:v>0</x:v>
      </x:c>
      <x:c r="G2491" s="10" t="n">
        <x:f>SUM(D2491:F2491)</x:f>
        <x:v>560</x:v>
      </x:c>
    </x:row>
    <x:row r="2492" ht="24" customHeight="1">
      <x:c r="A2492" s="10" t="str">
        <x:v>S05-04</x:v>
      </x:c>
      <x:c r="B2492" s="10" t="str">
        <x:v>A</x:v>
      </x:c>
      <x:c r="C2492" s="18" t="n">
        <x:v>-6</x:v>
      </x:c>
      <x:c r="D2492" s="10" t="n">
        <x:v>560</x:v>
      </x:c>
      <x:c r="E2492" s="10" t="n">
        <x:v>0</x:v>
      </x:c>
      <x:c r="F2492" s="10" t="n">
        <x:v>0</x:v>
      </x:c>
      <x:c r="G2492" s="10" t="n">
        <x:f>SUM(D2492:F2492)</x:f>
        <x:v>560</x:v>
      </x:c>
    </x:row>
    <x:row r="2493" ht="24" customHeight="1">
      <x:c r="A2493" s="10" t="str">
        <x:v>S05-04</x:v>
      </x:c>
      <x:c r="B2493" s="10" t="str">
        <x:v>A</x:v>
      </x:c>
      <x:c r="C2493" s="18" t="n">
        <x:v>-5.9999999</x:v>
      </x:c>
      <x:c r="D2493" s="10" t="n">
        <x:v>560</x:v>
      </x:c>
      <x:c r="E2493" s="10" t="n">
        <x:v>0</x:v>
      </x:c>
      <x:c r="F2493" s="10" t="n">
        <x:v>0</x:v>
      </x:c>
      <x:c r="G2493" s="10" t="n">
        <x:f>SUM(D2493:F2493)</x:f>
        <x:v>560</x:v>
      </x:c>
    </x:row>
    <x:row r="2494" ht="24" customHeight="1">
      <x:c r="A2494" s="10" t="str">
        <x:v>S05-04</x:v>
      </x:c>
      <x:c r="B2494" s="10" t="str">
        <x:v>A</x:v>
      </x:c>
      <x:c r="C2494" s="18" t="n">
        <x:v>-4.8000001</x:v>
      </x:c>
      <x:c r="D2494" s="10" t="n">
        <x:v>560</x:v>
      </x:c>
      <x:c r="E2494" s="10" t="n">
        <x:v>0</x:v>
      </x:c>
      <x:c r="F2494" s="10" t="n">
        <x:v>0</x:v>
      </x:c>
      <x:c r="G2494" s="10" t="n">
        <x:f>SUM(D2494:F2494)</x:f>
        <x:v>560</x:v>
      </x:c>
    </x:row>
    <x:row r="2495" ht="24" customHeight="1">
      <x:c r="A2495" s="10" t="str">
        <x:v>S05-04</x:v>
      </x:c>
      <x:c r="B2495" s="10" t="str">
        <x:v>A</x:v>
      </x:c>
      <x:c r="C2495" s="18" t="n">
        <x:v>-4.8</x:v>
      </x:c>
      <x:c r="D2495" s="10" t="n">
        <x:v>560</x:v>
      </x:c>
      <x:c r="E2495" s="10" t="n">
        <x:v>0</x:v>
      </x:c>
      <x:c r="F2495" s="10" t="n">
        <x:v>0.004096</x:v>
      </x:c>
      <x:c r="G2495" s="10" t="n">
        <x:f>SUM(D2495:F2495)</x:f>
        <x:v>560.004096</x:v>
      </x:c>
    </x:row>
    <x:row r="2496" ht="24" customHeight="1">
      <x:c r="A2496" s="10" t="str">
        <x:v>S05-04</x:v>
      </x:c>
      <x:c r="B2496" s="10" t="str">
        <x:v>A</x:v>
      </x:c>
      <x:c r="C2496" s="18" t="n">
        <x:v>-4.7999999</x:v>
      </x:c>
      <x:c r="D2496" s="10" t="n">
        <x:v>560</x:v>
      </x:c>
      <x:c r="E2496" s="10" t="n">
        <x:v>0</x:v>
      </x:c>
      <x:c r="F2496" s="10" t="n">
        <x:v>0.004096</x:v>
      </x:c>
      <x:c r="G2496" s="10" t="n">
        <x:f>SUM(D2496:F2496)</x:f>
        <x:v>560.004096</x:v>
      </x:c>
    </x:row>
    <x:row r="2497" ht="24" customHeight="1">
      <x:c r="A2497" s="10" t="str">
        <x:v>S05-04</x:v>
      </x:c>
      <x:c r="B2497" s="10" t="str">
        <x:v>A</x:v>
      </x:c>
      <x:c r="C2497" s="18" t="n">
        <x:v>-4.324666767</x:v>
      </x:c>
      <x:c r="D2497" s="10" t="n">
        <x:v>560</x:v>
      </x:c>
      <x:c r="E2497" s="10" t="n">
        <x:v>0</x:v>
      </x:c>
      <x:c r="F2497" s="10" t="n">
        <x:v>0.004096</x:v>
      </x:c>
      <x:c r="G2497" s="10" t="n">
        <x:f>SUM(D2497:F2497)</x:f>
        <x:v>560.004096</x:v>
      </x:c>
    </x:row>
    <x:row r="2498" ht="24" customHeight="1">
      <x:c r="A2498" s="10" t="str">
        <x:v>S05-04</x:v>
      </x:c>
      <x:c r="B2498" s="10" t="str">
        <x:v>A</x:v>
      </x:c>
      <x:c r="C2498" s="18" t="n">
        <x:v>-4.324666667</x:v>
      </x:c>
      <x:c r="D2498" s="10" t="n">
        <x:v>560</x:v>
      </x:c>
      <x:c r="E2498" s="10" t="n">
        <x:v>0.0096</x:v>
      </x:c>
      <x:c r="F2498" s="10" t="n">
        <x:v>0.004096</x:v>
      </x:c>
      <x:c r="G2498" s="10" t="n">
        <x:f>SUM(D2498:F2498)</x:f>
        <x:v>560.013696</x:v>
      </x:c>
    </x:row>
    <x:row r="2499" ht="24" customHeight="1">
      <x:c r="A2499" s="10" t="str">
        <x:v>S05-04</x:v>
      </x:c>
      <x:c r="B2499" s="10" t="str">
        <x:v>A</x:v>
      </x:c>
      <x:c r="C2499" s="18" t="n">
        <x:v>-4.324666567</x:v>
      </x:c>
      <x:c r="D2499" s="10" t="n">
        <x:v>560</x:v>
      </x:c>
      <x:c r="E2499" s="10" t="n">
        <x:v>0.009600019</x:v>
      </x:c>
      <x:c r="F2499" s="10" t="n">
        <x:v>0.004096</x:v>
      </x:c>
      <x:c r="G2499" s="10" t="n">
        <x:f>SUM(D2499:F2499)</x:f>
        <x:v>560.013696019</x:v>
      </x:c>
    </x:row>
    <x:row r="2500" ht="24" customHeight="1">
      <x:c r="A2500" s="10" t="str">
        <x:v>S05-04</x:v>
      </x:c>
      <x:c r="B2500" s="10" t="str">
        <x:v>A</x:v>
      </x:c>
      <x:c r="C2500" s="18" t="n">
        <x:v>-4.284666767</x:v>
      </x:c>
      <x:c r="D2500" s="10" t="n">
        <x:v>560</x:v>
      </x:c>
      <x:c r="E2500" s="10" t="n">
        <x:v>0.017279981</x:v>
      </x:c>
      <x:c r="F2500" s="10" t="n">
        <x:v>0.004096</x:v>
      </x:c>
      <x:c r="G2500" s="10" t="n">
        <x:f>SUM(D2500:F2500)</x:f>
        <x:v>560.021375981</x:v>
      </x:c>
    </x:row>
    <x:row r="2501" ht="24" customHeight="1">
      <x:c r="A2501" s="10" t="str">
        <x:v>S05-04</x:v>
      </x:c>
      <x:c r="B2501" s="10" t="str">
        <x:v>A</x:v>
      </x:c>
      <x:c r="C2501" s="18" t="n">
        <x:v>-4.284666667</x:v>
      </x:c>
      <x:c r="D2501" s="10" t="n">
        <x:v>560</x:v>
      </x:c>
      <x:c r="E2501" s="10" t="n">
        <x:v>0.01728</x:v>
      </x:c>
      <x:c r="F2501" s="10" t="n">
        <x:v>0.004096</x:v>
      </x:c>
      <x:c r="G2501" s="10" t="n">
        <x:f>SUM(D2501:F2501)</x:f>
        <x:v>560.021376</x:v>
      </x:c>
    </x:row>
    <x:row r="2502" ht="24" customHeight="1">
      <x:c r="A2502" s="10" t="str">
        <x:v>S05-04</x:v>
      </x:c>
      <x:c r="B2502" s="10" t="str">
        <x:v>A</x:v>
      </x:c>
      <x:c r="C2502" s="18" t="n">
        <x:v>-4.284666567</x:v>
      </x:c>
      <x:c r="D2502" s="10" t="n">
        <x:v>560</x:v>
      </x:c>
      <x:c r="E2502" s="10" t="n">
        <x:v>0.017280014</x:v>
      </x:c>
      <x:c r="F2502" s="10" t="n">
        <x:v>0.004096</x:v>
      </x:c>
      <x:c r="G2502" s="10" t="n">
        <x:f>SUM(D2502:F2502)</x:f>
        <x:v>560.021376014</x:v>
      </x:c>
    </x:row>
    <x:row r="2503" ht="24" customHeight="1">
      <x:c r="A2503" s="10" t="str">
        <x:v>S05-04</x:v>
      </x:c>
      <x:c r="B2503" s="10" t="str">
        <x:v>A</x:v>
      </x:c>
      <x:c r="C2503" s="18" t="n">
        <x:v>-3.5200001</x:v>
      </x:c>
      <x:c r="D2503" s="10" t="n">
        <x:v>560</x:v>
      </x:c>
      <x:c r="E2503" s="10" t="n">
        <x:v>0.127391986</x:v>
      </x:c>
      <x:c r="F2503" s="10" t="n">
        <x:v>0.004096</x:v>
      </x:c>
      <x:c r="G2503" s="10" t="n">
        <x:f>SUM(D2503:F2503)</x:f>
        <x:v>560.131487986</x:v>
      </x:c>
    </x:row>
    <x:row r="2504" ht="24" customHeight="1">
      <x:c r="A2504" s="10" t="str">
        <x:v>S05-04</x:v>
      </x:c>
      <x:c r="B2504" s="10" t="str">
        <x:v>A</x:v>
      </x:c>
      <x:c r="C2504" s="18" t="n">
        <x:v>-3.52</x:v>
      </x:c>
      <x:c r="D2504" s="10" t="n">
        <x:v>560</x:v>
      </x:c>
      <x:c r="E2504" s="10" t="n">
        <x:v>0.127392</x:v>
      </x:c>
      <x:c r="F2504" s="10" t="n">
        <x:v>0.004096</x:v>
      </x:c>
      <x:c r="G2504" s="10" t="n">
        <x:f>SUM(D2504:F2504)</x:f>
        <x:v>560.131488</x:v>
      </x:c>
    </x:row>
    <x:row r="2505" ht="24" customHeight="1">
      <x:c r="A2505" s="10" t="str">
        <x:v>S05-04</x:v>
      </x:c>
      <x:c r="B2505" s="10" t="str">
        <x:v>A</x:v>
      </x:c>
      <x:c r="C2505" s="18" t="n">
        <x:v>-3.5199999</x:v>
      </x:c>
      <x:c r="D2505" s="10" t="n">
        <x:v>560</x:v>
      </x:c>
      <x:c r="E2505" s="10" t="n">
        <x:v>0.127392019</x:v>
      </x:c>
      <x:c r="F2505" s="10" t="n">
        <x:v>0.004096</x:v>
      </x:c>
      <x:c r="G2505" s="10" t="n">
        <x:f>SUM(D2505:F2505)</x:f>
        <x:v>560.131488019</x:v>
      </x:c>
    </x:row>
    <x:row r="2506" ht="24" customHeight="1">
      <x:c r="A2506" s="10" t="str">
        <x:v>S05-04</x:v>
      </x:c>
      <x:c r="B2506" s="10" t="str">
        <x:v>A</x:v>
      </x:c>
      <x:c r="C2506" s="18" t="n">
        <x:v>-0.9000001</x:v>
      </x:c>
      <x:c r="D2506" s="10" t="n">
        <x:v>560</x:v>
      </x:c>
      <x:c r="E2506" s="10" t="n">
        <x:v>0.630431981</x:v>
      </x:c>
      <x:c r="F2506" s="10" t="n">
        <x:v>0.004096</x:v>
      </x:c>
      <x:c r="G2506" s="10" t="n">
        <x:f>SUM(D2506:F2506)</x:f>
        <x:v>560.634527981</x:v>
      </x:c>
    </x:row>
    <x:row r="2507" ht="24" customHeight="1">
      <x:c r="A2507" s="10" t="str">
        <x:v>S05-04</x:v>
      </x:c>
      <x:c r="B2507" s="10" t="str">
        <x:v>A</x:v>
      </x:c>
      <x:c r="C2507" s="18" t="n">
        <x:v>-0.9</x:v>
      </x:c>
      <x:c r="D2507" s="10" t="n">
        <x:v>560</x:v>
      </x:c>
      <x:c r="E2507" s="10" t="n">
        <x:v>0.630432</x:v>
      </x:c>
      <x:c r="F2507" s="10" t="n">
        <x:v>0.008192</x:v>
      </x:c>
      <x:c r="G2507" s="10" t="n">
        <x:f>SUM(D2507:F2507)</x:f>
        <x:v>560.638624</x:v>
      </x:c>
    </x:row>
    <x:row r="2508" ht="24" customHeight="1">
      <x:c r="A2508" s="10" t="str">
        <x:v>S05-04</x:v>
      </x:c>
      <x:c r="B2508" s="10" t="str">
        <x:v>A</x:v>
      </x:c>
      <x:c r="C2508" s="18" t="n">
        <x:v>-0.8999999</x:v>
      </x:c>
      <x:c r="D2508" s="10" t="n">
        <x:v>560</x:v>
      </x:c>
      <x:c r="E2508" s="10" t="n">
        <x:v>0.630432019</x:v>
      </x:c>
      <x:c r="F2508" s="10" t="n">
        <x:v>0.008192</x:v>
      </x:c>
      <x:c r="G2508" s="10" t="n">
        <x:f>SUM(D2508:F2508)</x:f>
        <x:v>560.638624019</x:v>
      </x:c>
    </x:row>
    <x:row r="2509" ht="24" customHeight="1">
      <x:c r="A2509" s="10" t="str">
        <x:v>S05-04</x:v>
      </x:c>
      <x:c r="B2509" s="10" t="str">
        <x:v>A</x:v>
      </x:c>
      <x:c r="C2509" s="18" t="n">
        <x:v>-0.4990001</x:v>
      </x:c>
      <x:c r="D2509" s="10" t="n">
        <x:v>560</x:v>
      </x:c>
      <x:c r="E2509" s="10" t="n">
        <x:v>0.707423981</x:v>
      </x:c>
      <x:c r="F2509" s="10" t="n">
        <x:v>0.008192</x:v>
      </x:c>
      <x:c r="G2509" s="10" t="n">
        <x:f>SUM(D2509:F2509)</x:f>
        <x:v>560.715615981</x:v>
      </x:c>
    </x:row>
    <x:row r="2510" ht="24" customHeight="1">
      <x:c r="A2510" s="10" t="str">
        <x:v>S05-04</x:v>
      </x:c>
      <x:c r="B2510" s="10" t="str">
        <x:v>A</x:v>
      </x:c>
      <x:c r="C2510" s="18" t="n">
        <x:v>-0.499</x:v>
      </x:c>
      <x:c r="D2510" s="10" t="n">
        <x:v>560</x:v>
      </x:c>
      <x:c r="E2510" s="10" t="n">
        <x:v>0.717024</x:v>
      </x:c>
      <x:c r="F2510" s="10" t="n">
        <x:v>0.008192</x:v>
      </x:c>
      <x:c r="G2510" s="10" t="n">
        <x:f>SUM(D2510:F2510)</x:f>
        <x:v>560.725216</x:v>
      </x:c>
    </x:row>
    <x:row r="2511" ht="24" customHeight="1">
      <x:c r="A2511" s="10" t="str">
        <x:v>S05-04</x:v>
      </x:c>
      <x:c r="B2511" s="10" t="str">
        <x:v>A</x:v>
      </x:c>
      <x:c r="C2511" s="18" t="n">
        <x:v>-0.4989999</x:v>
      </x:c>
      <x:c r="D2511" s="10" t="n">
        <x:v>560</x:v>
      </x:c>
      <x:c r="E2511" s="10" t="n">
        <x:v>0.717024038</x:v>
      </x:c>
      <x:c r="F2511" s="10" t="n">
        <x:v>0.008192</x:v>
      </x:c>
      <x:c r="G2511" s="10" t="n">
        <x:f>SUM(D2511:F2511)</x:f>
        <x:v>560.725216038</x:v>
      </x:c>
    </x:row>
    <x:row r="2512" ht="24" customHeight="1">
      <x:c r="A2512" s="10" t="str">
        <x:v>S05-04</x:v>
      </x:c>
      <x:c r="B2512" s="10" t="str">
        <x:v>A</x:v>
      </x:c>
      <x:c r="C2512" s="18" t="n">
        <x:v>-1e-7</x:v>
      </x:c>
      <x:c r="D2512" s="10" t="n">
        <x:v>560</x:v>
      </x:c>
      <x:c r="E2512" s="10" t="n">
        <x:v>0.908639962</x:v>
      </x:c>
      <x:c r="F2512" s="10" t="n">
        <x:v>0.008192</x:v>
      </x:c>
      <x:c r="G2512" s="10" t="n">
        <x:f>SUM(D2512:F2512)</x:f>
        <x:v>560.9168319620001</x:v>
      </x:c>
    </x:row>
    <x:row r="2513" ht="24" customHeight="1">
      <x:c r="A2513" s="10" t="str">
        <x:v>S05-04</x:v>
      </x:c>
      <x:c r="B2513" s="10" t="str">
        <x:v>A</x:v>
      </x:c>
      <x:c r="C2513" s="18" t="n">
        <x:v>0</x:v>
      </x:c>
      <x:c r="D2513" s="10" t="n">
        <x:v>560</x:v>
      </x:c>
      <x:c r="E2513" s="10" t="n">
        <x:v>0.90864</x:v>
      </x:c>
      <x:c r="F2513" s="10" t="n">
        <x:v>0.008192</x:v>
      </x:c>
      <x:c r="G2513" s="10" t="n">
        <x:f>SUM(D2513:F2513)</x:f>
        <x:v>560.916832</x:v>
      </x:c>
    </x:row>
    <x:row r="2514" ht="24" customHeight="1">
      <x:c r="A2514" s="10" t="str">
        <x:v>S05-04</x:v>
      </x:c>
      <x:c r="B2514" s="10" t="str">
        <x:v>A</x:v>
      </x:c>
      <x:c r="C2514" s="18" t="n">
        <x:v>1e-7</x:v>
      </x:c>
      <x:c r="D2514" s="10" t="n">
        <x:v>560</x:v>
      </x:c>
      <x:c r="E2514" s="10" t="n">
        <x:v>0.908640038</x:v>
      </x:c>
      <x:c r="F2514" s="10" t="n">
        <x:v>0.008192</x:v>
      </x:c>
      <x:c r="G2514" s="10" t="n">
        <x:f>SUM(D2514:F2514)</x:f>
        <x:v>560.916832038</x:v>
      </x:c>
    </x:row>
    <x:row r="2515" ht="24" customHeight="1">
      <x:c r="A2515" s="10" t="str">
        <x:v>S05-04</x:v>
      </x:c>
      <x:c r="B2515" s="10" t="str">
        <x:v>A</x:v>
      </x:c>
      <x:c r="C2515" s="18" t="n">
        <x:v>0.1464999</x:v>
      </x:c>
      <x:c r="D2515" s="10" t="n">
        <x:v>560</x:v>
      </x:c>
      <x:c r="E2515" s="10" t="n">
        <x:v>0.964895962</x:v>
      </x:c>
      <x:c r="F2515" s="10" t="n">
        <x:v>0.008192</x:v>
      </x:c>
      <x:c r="G2515" s="10" t="n">
        <x:f>SUM(D2515:F2515)</x:f>
        <x:v>560.973087962</x:v>
      </x:c>
    </x:row>
    <x:row r="2516" ht="24" customHeight="1">
      <x:c r="A2516" s="10" t="str">
        <x:v>S05-04</x:v>
      </x:c>
      <x:c r="B2516" s="10" t="str">
        <x:v>A</x:v>
      </x:c>
      <x:c r="C2516" s="18" t="n">
        <x:v>0.1465</x:v>
      </x:c>
      <x:c r="D2516" s="10" t="n">
        <x:v>560</x:v>
      </x:c>
      <x:c r="E2516" s="10" t="n">
        <x:v>0.964896</x:v>
      </x:c>
      <x:c r="F2516" s="10" t="n">
        <x:v>0.008192</x:v>
      </x:c>
      <x:c r="G2516" s="10" t="n">
        <x:f>SUM(D2516:F2516)</x:f>
        <x:v>560.973088</x:v>
      </x:c>
    </x:row>
    <x:row r="2517" ht="24" customHeight="1">
      <x:c r="A2517" s="10" t="str">
        <x:v>S05-04</x:v>
      </x:c>
      <x:c r="B2517" s="10" t="str">
        <x:v>A</x:v>
      </x:c>
      <x:c r="C2517" s="18" t="n">
        <x:v>0.1465001</x:v>
      </x:c>
      <x:c r="D2517" s="10" t="n">
        <x:v>560</x:v>
      </x:c>
      <x:c r="E2517" s="10" t="n">
        <x:v>0.964896019</x:v>
      </x:c>
      <x:c r="F2517" s="10" t="n">
        <x:v>0.008192</x:v>
      </x:c>
      <x:c r="G2517" s="10" t="n">
        <x:f>SUM(D2517:F2517)</x:f>
        <x:v>560.973088019</x:v>
      </x:c>
    </x:row>
    <x:row r="2518" ht="24" customHeight="1">
      <x:c r="A2518" s="10" t="str">
        <x:v>S05-04</x:v>
      </x:c>
      <x:c r="B2518" s="10" t="str">
        <x:v>A</x:v>
      </x:c>
      <x:c r="C2518" s="18" t="n">
        <x:v>0.878333233</x:v>
      </x:c>
      <x:c r="D2518" s="10" t="n">
        <x:v>560</x:v>
      </x:c>
      <x:c r="E2518" s="10" t="n">
        <x:v>1.105407981</x:v>
      </x:c>
      <x:c r="F2518" s="10" t="n">
        <x:v>0.008192</x:v>
      </x:c>
      <x:c r="G2518" s="10" t="n">
        <x:f>SUM(D2518:F2518)</x:f>
        <x:v>561.113599981</x:v>
      </x:c>
    </x:row>
    <x:row r="2519" ht="24" customHeight="1">
      <x:c r="A2519" s="10" t="str">
        <x:v>S05-04</x:v>
      </x:c>
      <x:c r="B2519" s="10" t="str">
        <x:v>A</x:v>
      </x:c>
      <x:c r="C2519" s="18" t="n">
        <x:v>0.878333333</x:v>
      </x:c>
      <x:c r="D2519" s="10" t="n">
        <x:v>560</x:v>
      </x:c>
      <x:c r="E2519" s="10" t="n">
        <x:v>1.105408</x:v>
      </x:c>
      <x:c r="F2519" s="10" t="n">
        <x:v>0.008192</x:v>
      </x:c>
      <x:c r="G2519" s="10" t="n">
        <x:f>SUM(D2519:F2519)</x:f>
        <x:v>561.1136</x:v>
      </x:c>
    </x:row>
    <x:row r="2520" ht="24" customHeight="1">
      <x:c r="A2520" s="10" t="str">
        <x:v>S05-04</x:v>
      </x:c>
      <x:c r="B2520" s="10" t="str">
        <x:v>A</x:v>
      </x:c>
      <x:c r="C2520" s="18" t="n">
        <x:v>0.878333433</x:v>
      </x:c>
      <x:c r="D2520" s="10" t="n">
        <x:v>560</x:v>
      </x:c>
      <x:c r="E2520" s="10" t="n">
        <x:v>1.105408019</x:v>
      </x:c>
      <x:c r="F2520" s="10" t="n">
        <x:v>0.008192</x:v>
      </x:c>
      <x:c r="G2520" s="10" t="n">
        <x:f>SUM(D2520:F2520)</x:f>
        <x:v>561.113600019</x:v>
      </x:c>
    </x:row>
    <x:row r="2521" ht="24" customHeight="1">
      <x:c r="A2521" s="10" t="str">
        <x:v>S05-04</x:v>
      </x:c>
      <x:c r="B2521" s="10" t="str">
        <x:v>A</x:v>
      </x:c>
      <x:c r="C2521" s="18" t="n">
        <x:v>0.918333233</x:v>
      </x:c>
      <x:c r="D2521" s="10" t="n">
        <x:v>560</x:v>
      </x:c>
      <x:c r="E2521" s="10" t="n">
        <x:v>1.113087981</x:v>
      </x:c>
      <x:c r="F2521" s="10" t="n">
        <x:v>0.008192</x:v>
      </x:c>
      <x:c r="G2521" s="10" t="n">
        <x:f>SUM(D2521:F2521)</x:f>
        <x:v>561.121279981</x:v>
      </x:c>
    </x:row>
    <x:row r="2522" ht="24" customHeight="1">
      <x:c r="A2522" s="10" t="str">
        <x:v>S05-04</x:v>
      </x:c>
      <x:c r="B2522" s="10" t="str">
        <x:v>A</x:v>
      </x:c>
      <x:c r="C2522" s="18" t="n">
        <x:v>0.918333333</x:v>
      </x:c>
      <x:c r="D2522" s="10" t="n">
        <x:v>560</x:v>
      </x:c>
      <x:c r="E2522" s="10" t="n">
        <x:v>1.113088</x:v>
      </x:c>
      <x:c r="F2522" s="10" t="n">
        <x:v>0.008192</x:v>
      </x:c>
      <x:c r="G2522" s="10" t="n">
        <x:f>SUM(D2522:F2522)</x:f>
        <x:v>561.12128</x:v>
      </x:c>
    </x:row>
    <x:row r="2523" ht="24" customHeight="1">
      <x:c r="A2523" s="10" t="str">
        <x:v>S05-04</x:v>
      </x:c>
      <x:c r="B2523" s="10" t="str">
        <x:v>A</x:v>
      </x:c>
      <x:c r="C2523" s="18" t="n">
        <x:v>0.918333433</x:v>
      </x:c>
      <x:c r="D2523" s="10" t="n">
        <x:v>560</x:v>
      </x:c>
      <x:c r="E2523" s="10" t="n">
        <x:v>1.113088014</x:v>
      </x:c>
      <x:c r="F2523" s="10" t="n">
        <x:v>0.008192</x:v>
      </x:c>
      <x:c r="G2523" s="10" t="n">
        <x:f>SUM(D2523:F2523)</x:f>
        <x:v>561.121280014</x:v>
      </x:c>
    </x:row>
    <x:row r="2524" ht="24" customHeight="1">
      <x:c r="A2524" s="10" t="str">
        <x:v>S05-04</x:v>
      </x:c>
      <x:c r="B2524" s="10" t="str">
        <x:v>A</x:v>
      </x:c>
      <x:c r="C2524" s="18" t="n">
        <x:v>3.700333233</x:v>
      </x:c>
      <x:c r="D2524" s="10" t="n">
        <x:v>560</x:v>
      </x:c>
      <x:c r="E2524" s="10" t="n">
        <x:v>1.513695986</x:v>
      </x:c>
      <x:c r="F2524" s="10" t="n">
        <x:v>0.008192</x:v>
      </x:c>
      <x:c r="G2524" s="10" t="n">
        <x:f>SUM(D2524:F2524)</x:f>
        <x:v>561.521887986</x:v>
      </x:c>
    </x:row>
    <x:row r="2525" ht="24" customHeight="1">
      <x:c r="A2525" s="10" t="str">
        <x:v>S05-04</x:v>
      </x:c>
      <x:c r="B2525" s="10" t="str">
        <x:v>A</x:v>
      </x:c>
      <x:c r="C2525" s="18" t="n">
        <x:v>3.700333333</x:v>
      </x:c>
      <x:c r="D2525" s="10" t="n">
        <x:v>560</x:v>
      </x:c>
      <x:c r="E2525" s="10" t="n">
        <x:v>1.513696</x:v>
      </x:c>
      <x:c r="F2525" s="10" t="n">
        <x:v>0.008192</x:v>
      </x:c>
      <x:c r="G2525" s="10" t="n">
        <x:f>SUM(D2525:F2525)</x:f>
        <x:v>561.521888</x:v>
      </x:c>
    </x:row>
    <x:row r="2526" ht="24" customHeight="1">
      <x:c r="A2526" s="10" t="str">
        <x:v>S05-04</x:v>
      </x:c>
      <x:c r="B2526" s="10" t="str">
        <x:v>A</x:v>
      </x:c>
      <x:c r="C2526" s="18" t="n">
        <x:v>3.700333433</x:v>
      </x:c>
      <x:c r="D2526" s="10" t="n">
        <x:v>560</x:v>
      </x:c>
      <x:c r="E2526" s="10" t="n">
        <x:v>1.513696019</x:v>
      </x:c>
      <x:c r="F2526" s="10" t="n">
        <x:v>0.004096</x:v>
      </x:c>
      <x:c r="G2526" s="10" t="n">
        <x:f>SUM(D2526:F2526)</x:f>
        <x:v>561.517792019</x:v>
      </x:c>
    </x:row>
    <x:row r="2527" ht="24" customHeight="1">
      <x:c r="A2527" s="10" t="str">
        <x:v>S05-04</x:v>
      </x:c>
      <x:c r="B2527" s="10" t="str">
        <x:v>A</x:v>
      </x:c>
      <x:c r="C2527" s="18" t="n">
        <x:v>3.740333233</x:v>
      </x:c>
      <x:c r="D2527" s="10" t="n">
        <x:v>560</x:v>
      </x:c>
      <x:c r="E2527" s="10" t="n">
        <x:v>1.521375981</x:v>
      </x:c>
      <x:c r="F2527" s="10" t="n">
        <x:v>0.004096</x:v>
      </x:c>
      <x:c r="G2527" s="10" t="n">
        <x:f>SUM(D2527:F2527)</x:f>
        <x:v>561.525471981</x:v>
      </x:c>
    </x:row>
    <x:row r="2528" ht="24" customHeight="1">
      <x:c r="A2528" s="10" t="str">
        <x:v>S05-04</x:v>
      </x:c>
      <x:c r="B2528" s="10" t="str">
        <x:v>A</x:v>
      </x:c>
      <x:c r="C2528" s="18" t="n">
        <x:v>3.740333333</x:v>
      </x:c>
      <x:c r="D2528" s="10" t="n">
        <x:v>560</x:v>
      </x:c>
      <x:c r="E2528" s="10" t="n">
        <x:v>1.521376</x:v>
      </x:c>
      <x:c r="F2528" s="10" t="n">
        <x:v>0.004096</x:v>
      </x:c>
      <x:c r="G2528" s="10" t="n">
        <x:f>SUM(D2528:F2528)</x:f>
        <x:v>561.525472</x:v>
      </x:c>
    </x:row>
    <x:row r="2529" ht="24" customHeight="1">
      <x:c r="A2529" s="10" t="str">
        <x:v>S05-04</x:v>
      </x:c>
      <x:c r="B2529" s="10" t="str">
        <x:v>A</x:v>
      </x:c>
      <x:c r="C2529" s="18" t="n">
        <x:v>3.740333433</x:v>
      </x:c>
      <x:c r="D2529" s="10" t="n">
        <x:v>560</x:v>
      </x:c>
      <x:c r="E2529" s="10" t="n">
        <x:v>1.521376014</x:v>
      </x:c>
      <x:c r="F2529" s="10" t="n">
        <x:v>0.004096</x:v>
      </x:c>
      <x:c r="G2529" s="10" t="n">
        <x:f>SUM(D2529:F2529)</x:f>
        <x:v>561.525472014</x:v>
      </x:c>
    </x:row>
    <x:row r="2530" ht="24" customHeight="1">
      <x:c r="A2530" s="10" t="str">
        <x:v>S05-04</x:v>
      </x:c>
      <x:c r="B2530" s="10" t="str">
        <x:v>A</x:v>
      </x:c>
      <x:c r="C2530" s="18" t="n">
        <x:v>4.620833233</x:v>
      </x:c>
      <x:c r="D2530" s="10" t="n">
        <x:v>560</x:v>
      </x:c>
      <x:c r="E2530" s="10" t="n">
        <x:v>1.648167986</x:v>
      </x:c>
      <x:c r="F2530" s="10" t="n">
        <x:v>0.004096</x:v>
      </x:c>
      <x:c r="G2530" s="10" t="n">
        <x:f>SUM(D2530:F2530)</x:f>
        <x:v>561.652263986</x:v>
      </x:c>
    </x:row>
    <x:row r="2531" ht="24" customHeight="1">
      <x:c r="A2531" s="10" t="str">
        <x:v>S05-04</x:v>
      </x:c>
      <x:c r="B2531" s="10" t="str">
        <x:v>A</x:v>
      </x:c>
      <x:c r="C2531" s="18" t="n">
        <x:v>4.620833333</x:v>
      </x:c>
      <x:c r="D2531" s="10" t="n">
        <x:v>560</x:v>
      </x:c>
      <x:c r="E2531" s="10" t="n">
        <x:v>1.648168</x:v>
      </x:c>
      <x:c r="F2531" s="10" t="n">
        <x:v>0.004096</x:v>
      </x:c>
      <x:c r="G2531" s="10" t="n">
        <x:f>SUM(D2531:F2531)</x:f>
        <x:v>561.6522640000001</x:v>
      </x:c>
    </x:row>
    <x:row r="2532" ht="24" customHeight="1">
      <x:c r="A2532" s="10" t="str">
        <x:v>S05-04</x:v>
      </x:c>
      <x:c r="B2532" s="10" t="str">
        <x:v>A</x:v>
      </x:c>
      <x:c r="C2532" s="18" t="n">
        <x:v>4.620833433</x:v>
      </x:c>
      <x:c r="D2532" s="10" t="n">
        <x:v>560</x:v>
      </x:c>
      <x:c r="E2532" s="10" t="n">
        <x:v>1.648167995</x:v>
      </x:c>
      <x:c r="F2532" s="10" t="n">
        <x:v>0.004096</x:v>
      </x:c>
      <x:c r="G2532" s="10" t="n">
        <x:f>SUM(D2532:F2532)</x:f>
        <x:v>561.652263995</x:v>
      </x:c>
    </x:row>
    <x:row r="2533" ht="24" customHeight="1">
      <x:c r="A2533" s="10" t="str">
        <x:v>S05-04</x:v>
      </x:c>
      <x:c r="B2533" s="10" t="str">
        <x:v>A</x:v>
      </x:c>
      <x:c r="C2533" s="18" t="n">
        <x:v>38.957666566</x:v>
      </x:c>
      <x:c r="D2533" s="10" t="n">
        <x:v>560</x:v>
      </x:c>
      <x:c r="E2533" s="10" t="n">
        <x:v>5e-9</x:v>
      </x:c>
      <x:c r="F2533" s="10" t="n">
        <x:v>0.004096</x:v>
      </x:c>
      <x:c r="G2533" s="10" t="n">
        <x:f>SUM(D2533:F2533)</x:f>
        <x:v>560.004096005</x:v>
      </x:c>
    </x:row>
    <x:row r="2534" ht="24" customHeight="1">
      <x:c r="A2534" s="10" t="str">
        <x:v>S05-04</x:v>
      </x:c>
      <x:c r="B2534" s="10" t="str">
        <x:v>A</x:v>
      </x:c>
      <x:c r="C2534" s="18" t="n">
        <x:v>38.957666666</x:v>
      </x:c>
      <x:c r="D2534" s="10" t="n">
        <x:v>560</x:v>
      </x:c>
      <x:c r="E2534" s="10" t="n">
        <x:v>0</x:v>
      </x:c>
      <x:c r="F2534" s="10" t="n">
        <x:v>0.004096</x:v>
      </x:c>
      <x:c r="G2534" s="10" t="n">
        <x:f>SUM(D2534:F2534)</x:f>
        <x:v>560.004096</x:v>
      </x:c>
    </x:row>
    <x:row r="2535" ht="24" customHeight="1">
      <x:c r="A2535" s="10" t="str">
        <x:v>S05-04</x:v>
      </x:c>
      <x:c r="B2535" s="10" t="str">
        <x:v>A</x:v>
      </x:c>
      <x:c r="C2535" s="18" t="n">
        <x:v>38.957666766</x:v>
      </x:c>
      <x:c r="D2535" s="10" t="n">
        <x:v>560</x:v>
      </x:c>
      <x:c r="E2535" s="10" t="n">
        <x:v>0</x:v>
      </x:c>
      <x:c r="F2535" s="10" t="n">
        <x:v>0</x:v>
      </x:c>
      <x:c r="G2535" s="10" t="n">
        <x:f>SUM(D2535:F2535)</x:f>
        <x:v>560</x:v>
      </x:c>
    </x:row>
    <x:row r="2536" ht="24" customHeight="1">
      <x:c r="A2536" s="10" t="str">
        <x:v>S05-04</x:v>
      </x:c>
      <x:c r="B2536" s="10" t="str">
        <x:v>B</x:v>
      </x:c>
      <x:c r="C2536" s="18" t="n">
        <x:v>-6.0000001</x:v>
      </x:c>
      <x:c r="D2536" s="10" t="n">
        <x:v>560</x:v>
      </x:c>
      <x:c r="E2536" s="10" t="n">
        <x:v>0</x:v>
      </x:c>
      <x:c r="F2536" s="10" t="n">
        <x:v>0</x:v>
      </x:c>
      <x:c r="G2536" s="10" t="n">
        <x:f>SUM(D2536:F2536)</x:f>
        <x:v>560</x:v>
      </x:c>
    </x:row>
    <x:row r="2537" ht="24" customHeight="1">
      <x:c r="A2537" s="10" t="str">
        <x:v>S05-04</x:v>
      </x:c>
      <x:c r="B2537" s="10" t="str">
        <x:v>B</x:v>
      </x:c>
      <x:c r="C2537" s="18" t="n">
        <x:v>-6</x:v>
      </x:c>
      <x:c r="D2537" s="10" t="n">
        <x:v>560</x:v>
      </x:c>
      <x:c r="E2537" s="10" t="n">
        <x:v>0</x:v>
      </x:c>
      <x:c r="F2537" s="10" t="n">
        <x:v>0</x:v>
      </x:c>
      <x:c r="G2537" s="10" t="n">
        <x:f>SUM(D2537:F2537)</x:f>
        <x:v>560</x:v>
      </x:c>
    </x:row>
    <x:row r="2538" ht="24" customHeight="1">
      <x:c r="A2538" s="10" t="str">
        <x:v>S05-04</x:v>
      </x:c>
      <x:c r="B2538" s="10" t="str">
        <x:v>B</x:v>
      </x:c>
      <x:c r="C2538" s="18" t="n">
        <x:v>-5.9999999</x:v>
      </x:c>
      <x:c r="D2538" s="10" t="n">
        <x:v>560</x:v>
      </x:c>
      <x:c r="E2538" s="10" t="n">
        <x:v>0</x:v>
      </x:c>
      <x:c r="F2538" s="10" t="n">
        <x:v>0</x:v>
      </x:c>
      <x:c r="G2538" s="10" t="n">
        <x:f>SUM(D2538:F2538)</x:f>
        <x:v>560</x:v>
      </x:c>
    </x:row>
    <x:row r="2539" ht="24" customHeight="1">
      <x:c r="A2539" s="10" t="str">
        <x:v>S05-04</x:v>
      </x:c>
      <x:c r="B2539" s="10" t="str">
        <x:v>B</x:v>
      </x:c>
      <x:c r="C2539" s="18" t="n">
        <x:v>-4.8000001</x:v>
      </x:c>
      <x:c r="D2539" s="10" t="n">
        <x:v>560</x:v>
      </x:c>
      <x:c r="E2539" s="10" t="n">
        <x:v>0</x:v>
      </x:c>
      <x:c r="F2539" s="10" t="n">
        <x:v>0</x:v>
      </x:c>
      <x:c r="G2539" s="10" t="n">
        <x:f>SUM(D2539:F2539)</x:f>
        <x:v>560</x:v>
      </x:c>
    </x:row>
    <x:row r="2540" ht="24" customHeight="1">
      <x:c r="A2540" s="10" t="str">
        <x:v>S05-04</x:v>
      </x:c>
      <x:c r="B2540" s="10" t="str">
        <x:v>B</x:v>
      </x:c>
      <x:c r="C2540" s="18" t="n">
        <x:v>-4.8</x:v>
      </x:c>
      <x:c r="D2540" s="10" t="n">
        <x:v>560</x:v>
      </x:c>
      <x:c r="E2540" s="10" t="n">
        <x:v>0</x:v>
      </x:c>
      <x:c r="F2540" s="10" t="n">
        <x:v>0.004096</x:v>
      </x:c>
      <x:c r="G2540" s="10" t="n">
        <x:f>SUM(D2540:F2540)</x:f>
        <x:v>560.004096</x:v>
      </x:c>
    </x:row>
    <x:row r="2541" ht="24" customHeight="1">
      <x:c r="A2541" s="10" t="str">
        <x:v>S05-04</x:v>
      </x:c>
      <x:c r="B2541" s="10" t="str">
        <x:v>B</x:v>
      </x:c>
      <x:c r="C2541" s="18" t="n">
        <x:v>-4.7999999</x:v>
      </x:c>
      <x:c r="D2541" s="10" t="n">
        <x:v>560</x:v>
      </x:c>
      <x:c r="E2541" s="10" t="n">
        <x:v>0</x:v>
      </x:c>
      <x:c r="F2541" s="10" t="n">
        <x:v>0.004096</x:v>
      </x:c>
      <x:c r="G2541" s="10" t="n">
        <x:f>SUM(D2541:F2541)</x:f>
        <x:v>560.004096</x:v>
      </x:c>
    </x:row>
    <x:row r="2542" ht="24" customHeight="1">
      <x:c r="A2542" s="10" t="str">
        <x:v>S05-04</x:v>
      </x:c>
      <x:c r="B2542" s="10" t="str">
        <x:v>B</x:v>
      </x:c>
      <x:c r="C2542" s="18" t="n">
        <x:v>-4.324666767</x:v>
      </x:c>
      <x:c r="D2542" s="10" t="n">
        <x:v>560</x:v>
      </x:c>
      <x:c r="E2542" s="10" t="n">
        <x:v>0</x:v>
      </x:c>
      <x:c r="F2542" s="10" t="n">
        <x:v>0.004096</x:v>
      </x:c>
      <x:c r="G2542" s="10" t="n">
        <x:f>SUM(D2542:F2542)</x:f>
        <x:v>560.004096</x:v>
      </x:c>
    </x:row>
    <x:row r="2543" ht="24" customHeight="1">
      <x:c r="A2543" s="10" t="str">
        <x:v>S05-04</x:v>
      </x:c>
      <x:c r="B2543" s="10" t="str">
        <x:v>B</x:v>
      </x:c>
      <x:c r="C2543" s="18" t="n">
        <x:v>-4.324666667</x:v>
      </x:c>
      <x:c r="D2543" s="10" t="n">
        <x:v>560</x:v>
      </x:c>
      <x:c r="E2543" s="10" t="n">
        <x:v>0.0096</x:v>
      </x:c>
      <x:c r="F2543" s="10" t="n">
        <x:v>0.004096</x:v>
      </x:c>
      <x:c r="G2543" s="10" t="n">
        <x:f>SUM(D2543:F2543)</x:f>
        <x:v>560.013696</x:v>
      </x:c>
    </x:row>
    <x:row r="2544" ht="24" customHeight="1">
      <x:c r="A2544" s="10" t="str">
        <x:v>S05-04</x:v>
      </x:c>
      <x:c r="B2544" s="10" t="str">
        <x:v>B</x:v>
      </x:c>
      <x:c r="C2544" s="18" t="n">
        <x:v>-4.324666567</x:v>
      </x:c>
      <x:c r="D2544" s="10" t="n">
        <x:v>560</x:v>
      </x:c>
      <x:c r="E2544" s="10" t="n">
        <x:v>0.009600019</x:v>
      </x:c>
      <x:c r="F2544" s="10" t="n">
        <x:v>0.004096</x:v>
      </x:c>
      <x:c r="G2544" s="10" t="n">
        <x:f>SUM(D2544:F2544)</x:f>
        <x:v>560.013696019</x:v>
      </x:c>
    </x:row>
    <x:row r="2545" ht="24" customHeight="1">
      <x:c r="A2545" s="10" t="str">
        <x:v>S05-04</x:v>
      </x:c>
      <x:c r="B2545" s="10" t="str">
        <x:v>B</x:v>
      </x:c>
      <x:c r="C2545" s="18" t="n">
        <x:v>-4.284666767</x:v>
      </x:c>
      <x:c r="D2545" s="10" t="n">
        <x:v>560</x:v>
      </x:c>
      <x:c r="E2545" s="10" t="n">
        <x:v>0.017279981</x:v>
      </x:c>
      <x:c r="F2545" s="10" t="n">
        <x:v>0.004096</x:v>
      </x:c>
      <x:c r="G2545" s="10" t="n">
        <x:f>SUM(D2545:F2545)</x:f>
        <x:v>560.021375981</x:v>
      </x:c>
    </x:row>
    <x:row r="2546" ht="24" customHeight="1">
      <x:c r="A2546" s="10" t="str">
        <x:v>S05-04</x:v>
      </x:c>
      <x:c r="B2546" s="10" t="str">
        <x:v>B</x:v>
      </x:c>
      <x:c r="C2546" s="18" t="n">
        <x:v>-4.284666667</x:v>
      </x:c>
      <x:c r="D2546" s="10" t="n">
        <x:v>560</x:v>
      </x:c>
      <x:c r="E2546" s="10" t="n">
        <x:v>0.01728</x:v>
      </x:c>
      <x:c r="F2546" s="10" t="n">
        <x:v>0.004096</x:v>
      </x:c>
      <x:c r="G2546" s="10" t="n">
        <x:f>SUM(D2546:F2546)</x:f>
        <x:v>560.021376</x:v>
      </x:c>
    </x:row>
    <x:row r="2547" ht="24" customHeight="1">
      <x:c r="A2547" s="10" t="str">
        <x:v>S05-04</x:v>
      </x:c>
      <x:c r="B2547" s="10" t="str">
        <x:v>B</x:v>
      </x:c>
      <x:c r="C2547" s="18" t="n">
        <x:v>-4.284666567</x:v>
      </x:c>
      <x:c r="D2547" s="10" t="n">
        <x:v>560</x:v>
      </x:c>
      <x:c r="E2547" s="10" t="n">
        <x:v>0.017280014</x:v>
      </x:c>
      <x:c r="F2547" s="10" t="n">
        <x:v>0.004096</x:v>
      </x:c>
      <x:c r="G2547" s="10" t="n">
        <x:f>SUM(D2547:F2547)</x:f>
        <x:v>560.021376014</x:v>
      </x:c>
    </x:row>
    <x:row r="2548" ht="24" customHeight="1">
      <x:c r="A2548" s="10" t="str">
        <x:v>S05-04</x:v>
      </x:c>
      <x:c r="B2548" s="10" t="str">
        <x:v>B</x:v>
      </x:c>
      <x:c r="C2548" s="18" t="n">
        <x:v>-3.5200001</x:v>
      </x:c>
      <x:c r="D2548" s="10" t="n">
        <x:v>560</x:v>
      </x:c>
      <x:c r="E2548" s="10" t="n">
        <x:v>0.127391986</x:v>
      </x:c>
      <x:c r="F2548" s="10" t="n">
        <x:v>0.004096</x:v>
      </x:c>
      <x:c r="G2548" s="10" t="n">
        <x:f>SUM(D2548:F2548)</x:f>
        <x:v>560.131487986</x:v>
      </x:c>
    </x:row>
    <x:row r="2549" ht="24" customHeight="1">
      <x:c r="A2549" s="10" t="str">
        <x:v>S05-04</x:v>
      </x:c>
      <x:c r="B2549" s="10" t="str">
        <x:v>B</x:v>
      </x:c>
      <x:c r="C2549" s="18" t="n">
        <x:v>-3.52</x:v>
      </x:c>
      <x:c r="D2549" s="10" t="n">
        <x:v>560</x:v>
      </x:c>
      <x:c r="E2549" s="10" t="n">
        <x:v>0.127392</x:v>
      </x:c>
      <x:c r="F2549" s="10" t="n">
        <x:v>0.004096</x:v>
      </x:c>
      <x:c r="G2549" s="10" t="n">
        <x:f>SUM(D2549:F2549)</x:f>
        <x:v>560.131488</x:v>
      </x:c>
    </x:row>
    <x:row r="2550" ht="24" customHeight="1">
      <x:c r="A2550" s="10" t="str">
        <x:v>S05-04</x:v>
      </x:c>
      <x:c r="B2550" s="10" t="str">
        <x:v>B</x:v>
      </x:c>
      <x:c r="C2550" s="18" t="n">
        <x:v>-3.5199999</x:v>
      </x:c>
      <x:c r="D2550" s="10" t="n">
        <x:v>560</x:v>
      </x:c>
      <x:c r="E2550" s="10" t="n">
        <x:v>0.127392019</x:v>
      </x:c>
      <x:c r="F2550" s="10" t="n">
        <x:v>0.004096</x:v>
      </x:c>
      <x:c r="G2550" s="10" t="n">
        <x:f>SUM(D2550:F2550)</x:f>
        <x:v>560.131488019</x:v>
      </x:c>
    </x:row>
    <x:row r="2551" ht="24" customHeight="1">
      <x:c r="A2551" s="10" t="str">
        <x:v>S05-04</x:v>
      </x:c>
      <x:c r="B2551" s="10" t="str">
        <x:v>B</x:v>
      </x:c>
      <x:c r="C2551" s="18" t="n">
        <x:v>-1e-7</x:v>
      </x:c>
      <x:c r="D2551" s="10" t="n">
        <x:v>560</x:v>
      </x:c>
      <x:c r="E2551" s="10" t="n">
        <x:v>0.803231981</x:v>
      </x:c>
      <x:c r="F2551" s="10" t="n">
        <x:v>0.004096</x:v>
      </x:c>
      <x:c r="G2551" s="10" t="n">
        <x:f>SUM(D2551:F2551)</x:f>
        <x:v>560.807327981</x:v>
      </x:c>
    </x:row>
    <x:row r="2552" ht="24" customHeight="1">
      <x:c r="A2552" s="10" t="str">
        <x:v>S05-04</x:v>
      </x:c>
      <x:c r="B2552" s="10" t="str">
        <x:v>B</x:v>
      </x:c>
      <x:c r="C2552" s="18" t="n">
        <x:v>0</x:v>
      </x:c>
      <x:c r="D2552" s="10" t="n">
        <x:v>560</x:v>
      </x:c>
      <x:c r="E2552" s="10" t="n">
        <x:v>0.803232</x:v>
      </x:c>
      <x:c r="F2552" s="10" t="n">
        <x:v>0.004096</x:v>
      </x:c>
      <x:c r="G2552" s="10" t="n">
        <x:f>SUM(D2552:F2552)</x:f>
        <x:v>560.807328</x:v>
      </x:c>
    </x:row>
    <x:row r="2553" ht="24" customHeight="1">
      <x:c r="A2553" s="10" t="str">
        <x:v>S05-04</x:v>
      </x:c>
      <x:c r="B2553" s="10" t="str">
        <x:v>B</x:v>
      </x:c>
      <x:c r="C2553" s="18" t="n">
        <x:v>1e-7</x:v>
      </x:c>
      <x:c r="D2553" s="10" t="n">
        <x:v>560</x:v>
      </x:c>
      <x:c r="E2553" s="10" t="n">
        <x:v>0.803232019</x:v>
      </x:c>
      <x:c r="F2553" s="10" t="n">
        <x:v>0.004096</x:v>
      </x:c>
      <x:c r="G2553" s="10" t="n">
        <x:f>SUM(D2553:F2553)</x:f>
        <x:v>560.807328019</x:v>
      </x:c>
    </x:row>
    <x:row r="2554" ht="24" customHeight="1">
      <x:c r="A2554" s="10" t="str">
        <x:v>S05-04</x:v>
      </x:c>
      <x:c r="B2554" s="10" t="str">
        <x:v>B</x:v>
      </x:c>
      <x:c r="C2554" s="18" t="n">
        <x:v>0.878333233</x:v>
      </x:c>
      <x:c r="D2554" s="10" t="n">
        <x:v>560</x:v>
      </x:c>
      <x:c r="E2554" s="10" t="n">
        <x:v>0.971871981</x:v>
      </x:c>
      <x:c r="F2554" s="10" t="n">
        <x:v>0.004096</x:v>
      </x:c>
      <x:c r="G2554" s="10" t="n">
        <x:f>SUM(D2554:F2554)</x:f>
        <x:v>560.975967981</x:v>
      </x:c>
    </x:row>
    <x:row r="2555" ht="24" customHeight="1">
      <x:c r="A2555" s="10" t="str">
        <x:v>S05-04</x:v>
      </x:c>
      <x:c r="B2555" s="10" t="str">
        <x:v>B</x:v>
      </x:c>
      <x:c r="C2555" s="18" t="n">
        <x:v>0.878333333</x:v>
      </x:c>
      <x:c r="D2555" s="10" t="n">
        <x:v>560</x:v>
      </x:c>
      <x:c r="E2555" s="10" t="n">
        <x:v>0.971872</x:v>
      </x:c>
      <x:c r="F2555" s="10" t="n">
        <x:v>0.008192</x:v>
      </x:c>
      <x:c r="G2555" s="10" t="n">
        <x:f>SUM(D2555:F2555)</x:f>
        <x:v>560.980064</x:v>
      </x:c>
    </x:row>
    <x:row r="2556" ht="24" customHeight="1">
      <x:c r="A2556" s="10" t="str">
        <x:v>S05-04</x:v>
      </x:c>
      <x:c r="B2556" s="10" t="str">
        <x:v>B</x:v>
      </x:c>
      <x:c r="C2556" s="18" t="n">
        <x:v>0.878333433</x:v>
      </x:c>
      <x:c r="D2556" s="10" t="n">
        <x:v>560</x:v>
      </x:c>
      <x:c r="E2556" s="10" t="n">
        <x:v>0.971872019</x:v>
      </x:c>
      <x:c r="F2556" s="10" t="n">
        <x:v>0.008192</x:v>
      </x:c>
      <x:c r="G2556" s="10" t="n">
        <x:f>SUM(D2556:F2556)</x:f>
        <x:v>560.980064019</x:v>
      </x:c>
    </x:row>
    <x:row r="2557" ht="24" customHeight="1">
      <x:c r="A2557" s="10" t="str">
        <x:v>S05-04</x:v>
      </x:c>
      <x:c r="B2557" s="10" t="str">
        <x:v>B</x:v>
      </x:c>
      <x:c r="C2557" s="18" t="n">
        <x:v>0.978333233</x:v>
      </x:c>
      <x:c r="D2557" s="10" t="n">
        <x:v>560</x:v>
      </x:c>
      <x:c r="E2557" s="10" t="n">
        <x:v>0.991071981</x:v>
      </x:c>
      <x:c r="F2557" s="10" t="n">
        <x:v>0.008192</x:v>
      </x:c>
      <x:c r="G2557" s="10" t="n">
        <x:f>SUM(D2557:F2557)</x:f>
        <x:v>560.999263981</x:v>
      </x:c>
    </x:row>
    <x:row r="2558" ht="24" customHeight="1">
      <x:c r="A2558" s="10" t="str">
        <x:v>S05-04</x:v>
      </x:c>
      <x:c r="B2558" s="10" t="str">
        <x:v>B</x:v>
      </x:c>
      <x:c r="C2558" s="18" t="n">
        <x:v>0.978333333</x:v>
      </x:c>
      <x:c r="D2558" s="10" t="n">
        <x:v>560</x:v>
      </x:c>
      <x:c r="E2558" s="10" t="n">
        <x:v>0.991072</x:v>
      </x:c>
      <x:c r="F2558" s="10" t="n">
        <x:v>0.008192</x:v>
      </x:c>
      <x:c r="G2558" s="10" t="n">
        <x:f>SUM(D2558:F2558)</x:f>
        <x:v>560.999264</x:v>
      </x:c>
    </x:row>
    <x:row r="2559" ht="24" customHeight="1">
      <x:c r="A2559" s="10" t="str">
        <x:v>S05-04</x:v>
      </x:c>
      <x:c r="B2559" s="10" t="str">
        <x:v>B</x:v>
      </x:c>
      <x:c r="C2559" s="18" t="n">
        <x:v>0.978333433</x:v>
      </x:c>
      <x:c r="D2559" s="10" t="n">
        <x:v>560</x:v>
      </x:c>
      <x:c r="E2559" s="10" t="n">
        <x:v>0.991072</x:v>
      </x:c>
      <x:c r="F2559" s="10" t="n">
        <x:v>0.008192</x:v>
      </x:c>
      <x:c r="G2559" s="10" t="n">
        <x:f>SUM(D2559:F2559)</x:f>
        <x:v>560.999264</x:v>
      </x:c>
    </x:row>
    <x:row r="2560" ht="24" customHeight="1">
      <x:c r="A2560" s="10" t="str">
        <x:v>S05-04</x:v>
      </x:c>
      <x:c r="B2560" s="10" t="str">
        <x:v>B</x:v>
      </x:c>
      <x:c r="C2560" s="18" t="n">
        <x:v>1.279333233</x:v>
      </x:c>
      <x:c r="D2560" s="10" t="n">
        <x:v>560</x:v>
      </x:c>
      <x:c r="E2560" s="10" t="n">
        <x:v>0.991072</x:v>
      </x:c>
      <x:c r="F2560" s="10" t="n">
        <x:v>0.008192</x:v>
      </x:c>
      <x:c r="G2560" s="10" t="n">
        <x:f>SUM(D2560:F2560)</x:f>
        <x:v>560.999264</x:v>
      </x:c>
    </x:row>
    <x:row r="2561" ht="24" customHeight="1">
      <x:c r="A2561" s="10" t="str">
        <x:v>S05-04</x:v>
      </x:c>
      <x:c r="B2561" s="10" t="str">
        <x:v>B</x:v>
      </x:c>
      <x:c r="C2561" s="18" t="n">
        <x:v>1.279333333</x:v>
      </x:c>
      <x:c r="D2561" s="10" t="n">
        <x:v>560</x:v>
      </x:c>
      <x:c r="E2561" s="10" t="n">
        <x:v>1.000672</x:v>
      </x:c>
      <x:c r="F2561" s="10" t="n">
        <x:v>0.008192</x:v>
      </x:c>
      <x:c r="G2561" s="10" t="n">
        <x:f>SUM(D2561:F2561)</x:f>
        <x:v>561.008864</x:v>
      </x:c>
    </x:row>
    <x:row r="2562" ht="24" customHeight="1">
      <x:c r="A2562" s="10" t="str">
        <x:v>S05-04</x:v>
      </x:c>
      <x:c r="B2562" s="10" t="str">
        <x:v>B</x:v>
      </x:c>
      <x:c r="C2562" s="18" t="n">
        <x:v>1.279333433</x:v>
      </x:c>
      <x:c r="D2562" s="10" t="n">
        <x:v>560</x:v>
      </x:c>
      <x:c r="E2562" s="10" t="n">
        <x:v>1.000672019</x:v>
      </x:c>
      <x:c r="F2562" s="10" t="n">
        <x:v>0.008192</x:v>
      </x:c>
      <x:c r="G2562" s="10" t="n">
        <x:f>SUM(D2562:F2562)</x:f>
        <x:v>561.008864019</x:v>
      </x:c>
    </x:row>
    <x:row r="2563" ht="24" customHeight="1">
      <x:c r="A2563" s="10" t="str">
        <x:v>S05-04</x:v>
      </x:c>
      <x:c r="B2563" s="10" t="str">
        <x:v>B</x:v>
      </x:c>
      <x:c r="C2563" s="18" t="n">
        <x:v>1.319333233</x:v>
      </x:c>
      <x:c r="D2563" s="10" t="n">
        <x:v>560</x:v>
      </x:c>
      <x:c r="E2563" s="10" t="n">
        <x:v>1.008351981</x:v>
      </x:c>
      <x:c r="F2563" s="10" t="n">
        <x:v>0.008192</x:v>
      </x:c>
      <x:c r="G2563" s="10" t="n">
        <x:f>SUM(D2563:F2563)</x:f>
        <x:v>561.016543981</x:v>
      </x:c>
    </x:row>
    <x:row r="2564" ht="24" customHeight="1">
      <x:c r="A2564" s="10" t="str">
        <x:v>S05-04</x:v>
      </x:c>
      <x:c r="B2564" s="10" t="str">
        <x:v>B</x:v>
      </x:c>
      <x:c r="C2564" s="18" t="n">
        <x:v>1.319333333</x:v>
      </x:c>
      <x:c r="D2564" s="10" t="n">
        <x:v>560</x:v>
      </x:c>
      <x:c r="E2564" s="10" t="n">
        <x:v>1.008352</x:v>
      </x:c>
      <x:c r="F2564" s="10" t="n">
        <x:v>0.008192</x:v>
      </x:c>
      <x:c r="G2564" s="10" t="n">
        <x:f>SUM(D2564:F2564)</x:f>
        <x:v>561.016544</x:v>
      </x:c>
    </x:row>
    <x:row r="2565" ht="24" customHeight="1">
      <x:c r="A2565" s="10" t="str">
        <x:v>S05-04</x:v>
      </x:c>
      <x:c r="B2565" s="10" t="str">
        <x:v>B</x:v>
      </x:c>
      <x:c r="C2565" s="18" t="n">
        <x:v>1.319333433</x:v>
      </x:c>
      <x:c r="D2565" s="10" t="n">
        <x:v>560</x:v>
      </x:c>
      <x:c r="E2565" s="10" t="n">
        <x:v>1.008352014</x:v>
      </x:c>
      <x:c r="F2565" s="10" t="n">
        <x:v>0.008192</x:v>
      </x:c>
      <x:c r="G2565" s="10" t="n">
        <x:f>SUM(D2565:F2565)</x:f>
        <x:v>561.016544014</x:v>
      </x:c>
    </x:row>
    <x:row r="2566" ht="24" customHeight="1">
      <x:c r="A2566" s="10" t="str">
        <x:v>S05-04</x:v>
      </x:c>
      <x:c r="B2566" s="10" t="str">
        <x:v>B</x:v>
      </x:c>
      <x:c r="C2566" s="18" t="n">
        <x:v>1.924833233</x:v>
      </x:c>
      <x:c r="D2566" s="10" t="n">
        <x:v>560</x:v>
      </x:c>
      <x:c r="E2566" s="10" t="n">
        <x:v>1.095543986</x:v>
      </x:c>
      <x:c r="F2566" s="10" t="n">
        <x:v>0.008192</x:v>
      </x:c>
      <x:c r="G2566" s="10" t="n">
        <x:f>SUM(D2566:F2566)</x:f>
        <x:v>561.1037359860001</x:v>
      </x:c>
    </x:row>
    <x:row r="2567" ht="24" customHeight="1">
      <x:c r="A2567" s="10" t="str">
        <x:v>S05-04</x:v>
      </x:c>
      <x:c r="B2567" s="10" t="str">
        <x:v>B</x:v>
      </x:c>
      <x:c r="C2567" s="18" t="n">
        <x:v>1.924833333</x:v>
      </x:c>
      <x:c r="D2567" s="10" t="n">
        <x:v>560</x:v>
      </x:c>
      <x:c r="E2567" s="10" t="n">
        <x:v>1.095544</x:v>
      </x:c>
      <x:c r="F2567" s="10" t="n">
        <x:v>0.008192</x:v>
      </x:c>
      <x:c r="G2567" s="10" t="n">
        <x:f>SUM(D2567:F2567)</x:f>
        <x:v>561.103736</x:v>
      </x:c>
    </x:row>
    <x:row r="2568" ht="24" customHeight="1">
      <x:c r="A2568" s="10" t="str">
        <x:v>S05-04</x:v>
      </x:c>
      <x:c r="B2568" s="10" t="str">
        <x:v>B</x:v>
      </x:c>
      <x:c r="C2568" s="18" t="n">
        <x:v>1.924833433</x:v>
      </x:c>
      <x:c r="D2568" s="10" t="n">
        <x:v>560</x:v>
      </x:c>
      <x:c r="E2568" s="10" t="n">
        <x:v>1.095543995</x:v>
      </x:c>
      <x:c r="F2568" s="10" t="n">
        <x:v>0.008192</x:v>
      </x:c>
      <x:c r="G2568" s="10" t="n">
        <x:f>SUM(D2568:F2568)</x:f>
        <x:v>561.103735995</x:v>
      </x:c>
    </x:row>
    <x:row r="2569" ht="24" customHeight="1">
      <x:c r="A2569" s="10" t="str">
        <x:v>S05-04</x:v>
      </x:c>
      <x:c r="B2569" s="10" t="str">
        <x:v>B</x:v>
      </x:c>
      <x:c r="C2569" s="18" t="n">
        <x:v>4.101333233</x:v>
      </x:c>
      <x:c r="D2569" s="10" t="n">
        <x:v>560</x:v>
      </x:c>
      <x:c r="E2569" s="10" t="n">
        <x:v>0.991072005</x:v>
      </x:c>
      <x:c r="F2569" s="10" t="n">
        <x:v>0.008192</x:v>
      </x:c>
      <x:c r="G2569" s="10" t="n">
        <x:f>SUM(D2569:F2569)</x:f>
        <x:v>560.999264005</x:v>
      </x:c>
    </x:row>
    <x:row r="2570" ht="24" customHeight="1">
      <x:c r="A2570" s="10" t="str">
        <x:v>S05-04</x:v>
      </x:c>
      <x:c r="B2570" s="10" t="str">
        <x:v>B</x:v>
      </x:c>
      <x:c r="C2570" s="18" t="n">
        <x:v>4.101333333</x:v>
      </x:c>
      <x:c r="D2570" s="10" t="n">
        <x:v>560</x:v>
      </x:c>
      <x:c r="E2570" s="10" t="n">
        <x:v>0.991072</x:v>
      </x:c>
      <x:c r="F2570" s="10" t="n">
        <x:v>0.012288</x:v>
      </x:c>
      <x:c r="G2570" s="10" t="n">
        <x:f>SUM(D2570:F2570)</x:f>
        <x:v>561.00336</x:v>
      </x:c>
    </x:row>
    <x:row r="2571" ht="24" customHeight="1">
      <x:c r="A2571" s="10" t="str">
        <x:v>S05-04</x:v>
      </x:c>
      <x:c r="B2571" s="10" t="str">
        <x:v>B</x:v>
      </x:c>
      <x:c r="C2571" s="18" t="n">
        <x:v>4.101333433</x:v>
      </x:c>
      <x:c r="D2571" s="10" t="n">
        <x:v>560</x:v>
      </x:c>
      <x:c r="E2571" s="10" t="n">
        <x:v>0.991072</x:v>
      </x:c>
      <x:c r="F2571" s="10" t="n">
        <x:v>0.008192</x:v>
      </x:c>
      <x:c r="G2571" s="10" t="n">
        <x:f>SUM(D2571:F2571)</x:f>
        <x:v>560.999264</x:v>
      </x:c>
    </x:row>
    <x:row r="2572" ht="24" customHeight="1">
      <x:c r="A2572" s="10" t="str">
        <x:v>S05-04</x:v>
      </x:c>
      <x:c r="B2572" s="10" t="str">
        <x:v>B</x:v>
      </x:c>
      <x:c r="C2572" s="18" t="n">
        <x:v>4.141333233</x:v>
      </x:c>
      <x:c r="D2572" s="10" t="n">
        <x:v>560</x:v>
      </x:c>
      <x:c r="E2572" s="10" t="n">
        <x:v>0.991072</x:v>
      </x:c>
      <x:c r="F2572" s="10" t="n">
        <x:v>0.008192</x:v>
      </x:c>
      <x:c r="G2572" s="10" t="n">
        <x:f>SUM(D2572:F2572)</x:f>
        <x:v>560.999264</x:v>
      </x:c>
    </x:row>
    <x:row r="2573" ht="24" customHeight="1">
      <x:c r="A2573" s="10" t="str">
        <x:v>S05-04</x:v>
      </x:c>
      <x:c r="B2573" s="10" t="str">
        <x:v>B</x:v>
      </x:c>
      <x:c r="C2573" s="18" t="n">
        <x:v>4.141333333</x:v>
      </x:c>
      <x:c r="D2573" s="10" t="n">
        <x:v>560</x:v>
      </x:c>
      <x:c r="E2573" s="10" t="n">
        <x:v>0.991072</x:v>
      </x:c>
      <x:c r="F2573" s="10" t="n">
        <x:v>0.008192</x:v>
      </x:c>
      <x:c r="G2573" s="10" t="n">
        <x:f>SUM(D2573:F2573)</x:f>
        <x:v>560.999264</x:v>
      </x:c>
    </x:row>
    <x:row r="2574" ht="24" customHeight="1">
      <x:c r="A2574" s="10" t="str">
        <x:v>S05-04</x:v>
      </x:c>
      <x:c r="B2574" s="10" t="str">
        <x:v>B</x:v>
      </x:c>
      <x:c r="C2574" s="18" t="n">
        <x:v>4.141333433</x:v>
      </x:c>
      <x:c r="D2574" s="10" t="n">
        <x:v>560</x:v>
      </x:c>
      <x:c r="E2574" s="10" t="n">
        <x:v>0.991071995</x:v>
      </x:c>
      <x:c r="F2574" s="10" t="n">
        <x:v>0.008192</x:v>
      </x:c>
      <x:c r="G2574" s="10" t="n">
        <x:f>SUM(D2574:F2574)</x:f>
        <x:v>560.999263995</x:v>
      </x:c>
    </x:row>
    <x:row r="2575" ht="24" customHeight="1">
      <x:c r="A2575" s="10" t="str">
        <x:v>S05-04</x:v>
      </x:c>
      <x:c r="B2575" s="10" t="str">
        <x:v>B</x:v>
      </x:c>
      <x:c r="C2575" s="18" t="n">
        <x:v>4.616666566</x:v>
      </x:c>
      <x:c r="D2575" s="10" t="n">
        <x:v>560</x:v>
      </x:c>
      <x:c r="E2575" s="10" t="n">
        <x:v>0.968256005</x:v>
      </x:c>
      <x:c r="F2575" s="10" t="n">
        <x:v>0.008192</x:v>
      </x:c>
      <x:c r="G2575" s="10" t="n">
        <x:f>SUM(D2575:F2575)</x:f>
        <x:v>560.976448005</x:v>
      </x:c>
    </x:row>
    <x:row r="2576" ht="24" customHeight="1">
      <x:c r="A2576" s="10" t="str">
        <x:v>S05-04</x:v>
      </x:c>
      <x:c r="B2576" s="10" t="str">
        <x:v>B</x:v>
      </x:c>
      <x:c r="C2576" s="18" t="n">
        <x:v>4.616666666</x:v>
      </x:c>
      <x:c r="D2576" s="10" t="n">
        <x:v>560</x:v>
      </x:c>
      <x:c r="E2576" s="10" t="n">
        <x:v>0.977856</x:v>
      </x:c>
      <x:c r="F2576" s="10" t="n">
        <x:v>0.008192</x:v>
      </x:c>
      <x:c r="G2576" s="10" t="n">
        <x:f>SUM(D2576:F2576)</x:f>
        <x:v>560.986048</x:v>
      </x:c>
    </x:row>
    <x:row r="2577" ht="24" customHeight="1">
      <x:c r="A2577" s="10" t="str">
        <x:v>S05-04</x:v>
      </x:c>
      <x:c r="B2577" s="10" t="str">
        <x:v>B</x:v>
      </x:c>
      <x:c r="C2577" s="18" t="n">
        <x:v>4.616666766</x:v>
      </x:c>
      <x:c r="D2577" s="10" t="n">
        <x:v>560</x:v>
      </x:c>
      <x:c r="E2577" s="10" t="n">
        <x:v>0.977856014</x:v>
      </x:c>
      <x:c r="F2577" s="10" t="n">
        <x:v>0.008192</x:v>
      </x:c>
      <x:c r="G2577" s="10" t="n">
        <x:f>SUM(D2577:F2577)</x:f>
        <x:v>560.9860480140001</x:v>
      </x:c>
    </x:row>
    <x:row r="2578" ht="24" customHeight="1">
      <x:c r="A2578" s="10" t="str">
        <x:v>S05-04</x:v>
      </x:c>
      <x:c r="B2578" s="10" t="str">
        <x:v>B</x:v>
      </x:c>
      <x:c r="C2578" s="18" t="n">
        <x:v>8.209166566</x:v>
      </x:c>
      <x:c r="D2578" s="10" t="n">
        <x:v>560</x:v>
      </x:c>
      <x:c r="E2578" s="10" t="n">
        <x:v>1.495175986</x:v>
      </x:c>
      <x:c r="F2578" s="10" t="n">
        <x:v>0.008192</x:v>
      </x:c>
      <x:c r="G2578" s="10" t="n">
        <x:f>SUM(D2578:F2578)</x:f>
        <x:v>561.5033679860001</x:v>
      </x:c>
    </x:row>
    <x:row r="2579" ht="24" customHeight="1">
      <x:c r="A2579" s="10" t="str">
        <x:v>S05-04</x:v>
      </x:c>
      <x:c r="B2579" s="10" t="str">
        <x:v>B</x:v>
      </x:c>
      <x:c r="C2579" s="18" t="n">
        <x:v>8.209166666</x:v>
      </x:c>
      <x:c r="D2579" s="10" t="n">
        <x:v>560</x:v>
      </x:c>
      <x:c r="E2579" s="10" t="n">
        <x:v>1.495176</x:v>
      </x:c>
      <x:c r="F2579" s="10" t="n">
        <x:v>0.008192</x:v>
      </x:c>
      <x:c r="G2579" s="10" t="n">
        <x:f>SUM(D2579:F2579)</x:f>
        <x:v>561.503368</x:v>
      </x:c>
    </x:row>
    <x:row r="2580" ht="24" customHeight="1">
      <x:c r="A2580" s="10" t="str">
        <x:v>S05-04</x:v>
      </x:c>
      <x:c r="B2580" s="10" t="str">
        <x:v>B</x:v>
      </x:c>
      <x:c r="C2580" s="18" t="n">
        <x:v>8.209166766</x:v>
      </x:c>
      <x:c r="D2580" s="10" t="n">
        <x:v>560</x:v>
      </x:c>
      <x:c r="E2580" s="10" t="n">
        <x:v>1.495175995</x:v>
      </x:c>
      <x:c r="F2580" s="10" t="n">
        <x:v>0.008192</x:v>
      </x:c>
      <x:c r="G2580" s="10" t="n">
        <x:f>SUM(D2580:F2580)</x:f>
        <x:v>561.503367995</x:v>
      </x:c>
    </x:row>
    <x:row r="2581" ht="24" customHeight="1">
      <x:c r="A2581" s="10" t="str">
        <x:v>S05-04</x:v>
      </x:c>
      <x:c r="B2581" s="10" t="str">
        <x:v>B</x:v>
      </x:c>
      <x:c r="C2581" s="18" t="n">
        <x:v>24.788666566</x:v>
      </x:c>
      <x:c r="D2581" s="10" t="n">
        <x:v>560</x:v>
      </x:c>
      <x:c r="E2581" s="10" t="n">
        <x:v>0.699360005</x:v>
      </x:c>
      <x:c r="F2581" s="10" t="n">
        <x:v>0.008192</x:v>
      </x:c>
      <x:c r="G2581" s="10" t="n">
        <x:f>SUM(D2581:F2581)</x:f>
        <x:v>560.707552005</x:v>
      </x:c>
    </x:row>
    <x:row r="2582" ht="24" customHeight="1">
      <x:c r="A2582" s="10" t="str">
        <x:v>S05-04</x:v>
      </x:c>
      <x:c r="B2582" s="10" t="str">
        <x:v>B</x:v>
      </x:c>
      <x:c r="C2582" s="18" t="n">
        <x:v>24.788666666</x:v>
      </x:c>
      <x:c r="D2582" s="10" t="n">
        <x:v>560</x:v>
      </x:c>
      <x:c r="E2582" s="10" t="n">
        <x:v>0.69936</x:v>
      </x:c>
      <x:c r="F2582" s="10" t="n">
        <x:v>0.008192</x:v>
      </x:c>
      <x:c r="G2582" s="10" t="n">
        <x:f>SUM(D2582:F2582)</x:f>
        <x:v>560.707552</x:v>
      </x:c>
    </x:row>
    <x:row r="2583" ht="24" customHeight="1">
      <x:c r="A2583" s="10" t="str">
        <x:v>S05-04</x:v>
      </x:c>
      <x:c r="B2583" s="10" t="str">
        <x:v>B</x:v>
      </x:c>
      <x:c r="C2583" s="18" t="n">
        <x:v>24.788666766</x:v>
      </x:c>
      <x:c r="D2583" s="10" t="n">
        <x:v>560</x:v>
      </x:c>
      <x:c r="E2583" s="10" t="n">
        <x:v>0.69936</x:v>
      </x:c>
      <x:c r="F2583" s="10" t="n">
        <x:v>0.004096</x:v>
      </x:c>
      <x:c r="G2583" s="10" t="n">
        <x:f>SUM(D2583:F2583)</x:f>
        <x:v>560.703456</x:v>
      </x:c>
    </x:row>
    <x:row r="2584" ht="24" customHeight="1">
      <x:c r="A2584" s="10" t="str">
        <x:v>S05-04</x:v>
      </x:c>
      <x:c r="B2584" s="10" t="str">
        <x:v>B</x:v>
      </x:c>
      <x:c r="C2584" s="18" t="n">
        <x:v>24.828666566</x:v>
      </x:c>
      <x:c r="D2584" s="10" t="n">
        <x:v>560</x:v>
      </x:c>
      <x:c r="E2584" s="10" t="n">
        <x:v>0.69936</x:v>
      </x:c>
      <x:c r="F2584" s="10" t="n">
        <x:v>0.004096</x:v>
      </x:c>
      <x:c r="G2584" s="10" t="n">
        <x:f>SUM(D2584:F2584)</x:f>
        <x:v>560.703456</x:v>
      </x:c>
    </x:row>
    <x:row r="2585" ht="24" customHeight="1">
      <x:c r="A2585" s="10" t="str">
        <x:v>S05-04</x:v>
      </x:c>
      <x:c r="B2585" s="10" t="str">
        <x:v>B</x:v>
      </x:c>
      <x:c r="C2585" s="18" t="n">
        <x:v>24.828666666</x:v>
      </x:c>
      <x:c r="D2585" s="10" t="n">
        <x:v>560</x:v>
      </x:c>
      <x:c r="E2585" s="10" t="n">
        <x:v>0.69936</x:v>
      </x:c>
      <x:c r="F2585" s="10" t="n">
        <x:v>0.004096</x:v>
      </x:c>
      <x:c r="G2585" s="10" t="n">
        <x:f>SUM(D2585:F2585)</x:f>
        <x:v>560.703456</x:v>
      </x:c>
    </x:row>
    <x:row r="2586" ht="24" customHeight="1">
      <x:c r="A2586" s="10" t="str">
        <x:v>S05-04</x:v>
      </x:c>
      <x:c r="B2586" s="10" t="str">
        <x:v>B</x:v>
      </x:c>
      <x:c r="C2586" s="18" t="n">
        <x:v>24.828666766</x:v>
      </x:c>
      <x:c r="D2586" s="10" t="n">
        <x:v>560</x:v>
      </x:c>
      <x:c r="E2586" s="10" t="n">
        <x:v>0.699359995</x:v>
      </x:c>
      <x:c r="F2586" s="10" t="n">
        <x:v>0.004096</x:v>
      </x:c>
      <x:c r="G2586" s="10" t="n">
        <x:f>SUM(D2586:F2586)</x:f>
        <x:v>560.703455995</x:v>
      </x:c>
    </x:row>
    <x:row r="2587" ht="24" customHeight="1">
      <x:c r="A2587" s="10" t="str">
        <x:v>S05-04</x:v>
      </x:c>
      <x:c r="B2587" s="10" t="str">
        <x:v>B</x:v>
      </x:c>
      <x:c r="C2587" s="18" t="n">
        <x:v>39.398666566</x:v>
      </x:c>
      <x:c r="D2587" s="10" t="n">
        <x:v>560</x:v>
      </x:c>
      <x:c r="E2587" s="10" t="n">
        <x:v>5e-9</x:v>
      </x:c>
      <x:c r="F2587" s="10" t="n">
        <x:v>0.004096</x:v>
      </x:c>
      <x:c r="G2587" s="10" t="n">
        <x:f>SUM(D2587:F2587)</x:f>
        <x:v>560.004096005</x:v>
      </x:c>
    </x:row>
    <x:row r="2588" ht="24" customHeight="1">
      <x:c r="A2588" s="10" t="str">
        <x:v>S05-04</x:v>
      </x:c>
      <x:c r="B2588" s="10" t="str">
        <x:v>B</x:v>
      </x:c>
      <x:c r="C2588" s="18" t="n">
        <x:v>39.398666666</x:v>
      </x:c>
      <x:c r="D2588" s="10" t="n">
        <x:v>560</x:v>
      </x:c>
      <x:c r="E2588" s="10" t="n">
        <x:v>0</x:v>
      </x:c>
      <x:c r="F2588" s="10" t="n">
        <x:v>0.004096</x:v>
      </x:c>
      <x:c r="G2588" s="10" t="n">
        <x:f>SUM(D2588:F2588)</x:f>
        <x:v>560.004096</x:v>
      </x:c>
    </x:row>
    <x:row r="2589" ht="24" customHeight="1">
      <x:c r="A2589" s="10" t="str">
        <x:v>S05-04</x:v>
      </x:c>
      <x:c r="B2589" s="10" t="str">
        <x:v>B</x:v>
      </x:c>
      <x:c r="C2589" s="18" t="n">
        <x:v>39.398666766</x:v>
      </x:c>
      <x:c r="D2589" s="10" t="n">
        <x:v>560</x:v>
      </x:c>
      <x:c r="E2589" s="10" t="n">
        <x:v>0</x:v>
      </x:c>
      <x:c r="F2589" s="10" t="n">
        <x:v>0</x:v>
      </x:c>
      <x:c r="G2589" s="10" t="n">
        <x:f>SUM(D2589:F2589)</x:f>
        <x:v>560</x:v>
      </x:c>
    </x:row>
    <x:row r="2590" ht="24" customHeight="1">
      <x:c r="A2590" s="10" t="str">
        <x:v>S05-05</x:v>
      </x:c>
      <x:c r="B2590" s="10" t="str">
        <x:v>A</x:v>
      </x:c>
      <x:c r="C2590" s="18" t="n">
        <x:v>-6.0000001</x:v>
      </x:c>
      <x:c r="D2590" s="10" t="n">
        <x:v>560</x:v>
      </x:c>
      <x:c r="E2590" s="10" t="n">
        <x:v>0</x:v>
      </x:c>
      <x:c r="F2590" s="10" t="n">
        <x:v>0</x:v>
      </x:c>
      <x:c r="G2590" s="10" t="n">
        <x:f>SUM(D2590:F2590)</x:f>
        <x:v>560</x:v>
      </x:c>
    </x:row>
    <x:row r="2591" ht="24" customHeight="1">
      <x:c r="A2591" s="10" t="str">
        <x:v>S05-05</x:v>
      </x:c>
      <x:c r="B2591" s="10" t="str">
        <x:v>A</x:v>
      </x:c>
      <x:c r="C2591" s="18" t="n">
        <x:v>-6</x:v>
      </x:c>
      <x:c r="D2591" s="10" t="n">
        <x:v>560</x:v>
      </x:c>
      <x:c r="E2591" s="10" t="n">
        <x:v>0</x:v>
      </x:c>
      <x:c r="F2591" s="10" t="n">
        <x:v>0</x:v>
      </x:c>
      <x:c r="G2591" s="10" t="n">
        <x:f>SUM(D2591:F2591)</x:f>
        <x:v>560</x:v>
      </x:c>
    </x:row>
    <x:row r="2592" ht="24" customHeight="1">
      <x:c r="A2592" s="10" t="str">
        <x:v>S05-05</x:v>
      </x:c>
      <x:c r="B2592" s="10" t="str">
        <x:v>A</x:v>
      </x:c>
      <x:c r="C2592" s="18" t="n">
        <x:v>-5.9999999</x:v>
      </x:c>
      <x:c r="D2592" s="10" t="n">
        <x:v>560</x:v>
      </x:c>
      <x:c r="E2592" s="10" t="n">
        <x:v>0</x:v>
      </x:c>
      <x:c r="F2592" s="10" t="n">
        <x:v>0</x:v>
      </x:c>
      <x:c r="G2592" s="10" t="n">
        <x:f>SUM(D2592:F2592)</x:f>
        <x:v>560</x:v>
      </x:c>
    </x:row>
    <x:row r="2593" ht="24" customHeight="1">
      <x:c r="A2593" s="10" t="str">
        <x:v>S05-05</x:v>
      </x:c>
      <x:c r="B2593" s="10" t="str">
        <x:v>A</x:v>
      </x:c>
      <x:c r="C2593" s="18" t="n">
        <x:v>-4.8000001</x:v>
      </x:c>
      <x:c r="D2593" s="10" t="n">
        <x:v>560</x:v>
      </x:c>
      <x:c r="E2593" s="10" t="n">
        <x:v>0</x:v>
      </x:c>
      <x:c r="F2593" s="10" t="n">
        <x:v>0</x:v>
      </x:c>
      <x:c r="G2593" s="10" t="n">
        <x:f>SUM(D2593:F2593)</x:f>
        <x:v>560</x:v>
      </x:c>
    </x:row>
    <x:row r="2594" ht="24" customHeight="1">
      <x:c r="A2594" s="10" t="str">
        <x:v>S05-05</x:v>
      </x:c>
      <x:c r="B2594" s="10" t="str">
        <x:v>A</x:v>
      </x:c>
      <x:c r="C2594" s="18" t="n">
        <x:v>-4.8</x:v>
      </x:c>
      <x:c r="D2594" s="10" t="n">
        <x:v>560</x:v>
      </x:c>
      <x:c r="E2594" s="10" t="n">
        <x:v>0</x:v>
      </x:c>
      <x:c r="F2594" s="10" t="n">
        <x:v>0.004096</x:v>
      </x:c>
      <x:c r="G2594" s="10" t="n">
        <x:f>SUM(D2594:F2594)</x:f>
        <x:v>560.004096</x:v>
      </x:c>
    </x:row>
    <x:row r="2595" ht="24" customHeight="1">
      <x:c r="A2595" s="10" t="str">
        <x:v>S05-05</x:v>
      </x:c>
      <x:c r="B2595" s="10" t="str">
        <x:v>A</x:v>
      </x:c>
      <x:c r="C2595" s="18" t="n">
        <x:v>-4.7999999</x:v>
      </x:c>
      <x:c r="D2595" s="10" t="n">
        <x:v>560</x:v>
      </x:c>
      <x:c r="E2595" s="10" t="n">
        <x:v>0</x:v>
      </x:c>
      <x:c r="F2595" s="10" t="n">
        <x:v>0.004096</x:v>
      </x:c>
      <x:c r="G2595" s="10" t="n">
        <x:f>SUM(D2595:F2595)</x:f>
        <x:v>560.004096</x:v>
      </x:c>
    </x:row>
    <x:row r="2596" ht="24" customHeight="1">
      <x:c r="A2596" s="10" t="str">
        <x:v>S05-05</x:v>
      </x:c>
      <x:c r="B2596" s="10" t="str">
        <x:v>A</x:v>
      </x:c>
      <x:c r="C2596" s="18" t="n">
        <x:v>-4.324666767</x:v>
      </x:c>
      <x:c r="D2596" s="10" t="n">
        <x:v>560</x:v>
      </x:c>
      <x:c r="E2596" s="10" t="n">
        <x:v>0</x:v>
      </x:c>
      <x:c r="F2596" s="10" t="n">
        <x:v>0.004096</x:v>
      </x:c>
      <x:c r="G2596" s="10" t="n">
        <x:f>SUM(D2596:F2596)</x:f>
        <x:v>560.004096</x:v>
      </x:c>
    </x:row>
    <x:row r="2597" ht="24" customHeight="1">
      <x:c r="A2597" s="10" t="str">
        <x:v>S05-05</x:v>
      </x:c>
      <x:c r="B2597" s="10" t="str">
        <x:v>A</x:v>
      </x:c>
      <x:c r="C2597" s="18" t="n">
        <x:v>-4.324666667</x:v>
      </x:c>
      <x:c r="D2597" s="10" t="n">
        <x:v>560</x:v>
      </x:c>
      <x:c r="E2597" s="10" t="n">
        <x:v>0.0096</x:v>
      </x:c>
      <x:c r="F2597" s="10" t="n">
        <x:v>0.004096</x:v>
      </x:c>
      <x:c r="G2597" s="10" t="n">
        <x:f>SUM(D2597:F2597)</x:f>
        <x:v>560.013696</x:v>
      </x:c>
    </x:row>
    <x:row r="2598" ht="24" customHeight="1">
      <x:c r="A2598" s="10" t="str">
        <x:v>S05-05</x:v>
      </x:c>
      <x:c r="B2598" s="10" t="str">
        <x:v>A</x:v>
      </x:c>
      <x:c r="C2598" s="18" t="n">
        <x:v>-4.324666567</x:v>
      </x:c>
      <x:c r="D2598" s="10" t="n">
        <x:v>560</x:v>
      </x:c>
      <x:c r="E2598" s="10" t="n">
        <x:v>0.009600019</x:v>
      </x:c>
      <x:c r="F2598" s="10" t="n">
        <x:v>0.004096</x:v>
      </x:c>
      <x:c r="G2598" s="10" t="n">
        <x:f>SUM(D2598:F2598)</x:f>
        <x:v>560.013696019</x:v>
      </x:c>
    </x:row>
    <x:row r="2599" ht="24" customHeight="1">
      <x:c r="A2599" s="10" t="str">
        <x:v>S05-05</x:v>
      </x:c>
      <x:c r="B2599" s="10" t="str">
        <x:v>A</x:v>
      </x:c>
      <x:c r="C2599" s="18" t="n">
        <x:v>-4.284666767</x:v>
      </x:c>
      <x:c r="D2599" s="10" t="n">
        <x:v>560</x:v>
      </x:c>
      <x:c r="E2599" s="10" t="n">
        <x:v>0.017279981</x:v>
      </x:c>
      <x:c r="F2599" s="10" t="n">
        <x:v>0.004096</x:v>
      </x:c>
      <x:c r="G2599" s="10" t="n">
        <x:f>SUM(D2599:F2599)</x:f>
        <x:v>560.021375981</x:v>
      </x:c>
    </x:row>
    <x:row r="2600" ht="24" customHeight="1">
      <x:c r="A2600" s="10" t="str">
        <x:v>S05-05</x:v>
      </x:c>
      <x:c r="B2600" s="10" t="str">
        <x:v>A</x:v>
      </x:c>
      <x:c r="C2600" s="18" t="n">
        <x:v>-4.284666667</x:v>
      </x:c>
      <x:c r="D2600" s="10" t="n">
        <x:v>560</x:v>
      </x:c>
      <x:c r="E2600" s="10" t="n">
        <x:v>0.01728</x:v>
      </x:c>
      <x:c r="F2600" s="10" t="n">
        <x:v>0.004096</x:v>
      </x:c>
      <x:c r="G2600" s="10" t="n">
        <x:f>SUM(D2600:F2600)</x:f>
        <x:v>560.021376</x:v>
      </x:c>
    </x:row>
    <x:row r="2601" ht="24" customHeight="1">
      <x:c r="A2601" s="10" t="str">
        <x:v>S05-05</x:v>
      </x:c>
      <x:c r="B2601" s="10" t="str">
        <x:v>A</x:v>
      </x:c>
      <x:c r="C2601" s="18" t="n">
        <x:v>-4.284666567</x:v>
      </x:c>
      <x:c r="D2601" s="10" t="n">
        <x:v>560</x:v>
      </x:c>
      <x:c r="E2601" s="10" t="n">
        <x:v>0.017280014</x:v>
      </x:c>
      <x:c r="F2601" s="10" t="n">
        <x:v>0.004096</x:v>
      </x:c>
      <x:c r="G2601" s="10" t="n">
        <x:f>SUM(D2601:F2601)</x:f>
        <x:v>560.021376014</x:v>
      </x:c>
    </x:row>
    <x:row r="2602" ht="24" customHeight="1">
      <x:c r="A2602" s="10" t="str">
        <x:v>S05-05</x:v>
      </x:c>
      <x:c r="B2602" s="10" t="str">
        <x:v>A</x:v>
      </x:c>
      <x:c r="C2602" s="18" t="n">
        <x:v>-3.5200001</x:v>
      </x:c>
      <x:c r="D2602" s="10" t="n">
        <x:v>560</x:v>
      </x:c>
      <x:c r="E2602" s="10" t="n">
        <x:v>0.127391986</x:v>
      </x:c>
      <x:c r="F2602" s="10" t="n">
        <x:v>0.004096</x:v>
      </x:c>
      <x:c r="G2602" s="10" t="n">
        <x:f>SUM(D2602:F2602)</x:f>
        <x:v>560.131487986</x:v>
      </x:c>
    </x:row>
    <x:row r="2603" ht="24" customHeight="1">
      <x:c r="A2603" s="10" t="str">
        <x:v>S05-05</x:v>
      </x:c>
      <x:c r="B2603" s="10" t="str">
        <x:v>A</x:v>
      </x:c>
      <x:c r="C2603" s="18" t="n">
        <x:v>-3.52</x:v>
      </x:c>
      <x:c r="D2603" s="10" t="n">
        <x:v>560</x:v>
      </x:c>
      <x:c r="E2603" s="10" t="n">
        <x:v>0.127392</x:v>
      </x:c>
      <x:c r="F2603" s="10" t="n">
        <x:v>0.004096</x:v>
      </x:c>
      <x:c r="G2603" s="10" t="n">
        <x:f>SUM(D2603:F2603)</x:f>
        <x:v>560.131488</x:v>
      </x:c>
    </x:row>
    <x:row r="2604" ht="24" customHeight="1">
      <x:c r="A2604" s="10" t="str">
        <x:v>S05-05</x:v>
      </x:c>
      <x:c r="B2604" s="10" t="str">
        <x:v>A</x:v>
      </x:c>
      <x:c r="C2604" s="18" t="n">
        <x:v>-3.5199999</x:v>
      </x:c>
      <x:c r="D2604" s="10" t="n">
        <x:v>560</x:v>
      </x:c>
      <x:c r="E2604" s="10" t="n">
        <x:v>0.127392019</x:v>
      </x:c>
      <x:c r="F2604" s="10" t="n">
        <x:v>0.004096</x:v>
      </x:c>
      <x:c r="G2604" s="10" t="n">
        <x:f>SUM(D2604:F2604)</x:f>
        <x:v>560.131488019</x:v>
      </x:c>
    </x:row>
    <x:row r="2605" ht="24" customHeight="1">
      <x:c r="A2605" s="10" t="str">
        <x:v>S05-05</x:v>
      </x:c>
      <x:c r="B2605" s="10" t="str">
        <x:v>A</x:v>
      </x:c>
      <x:c r="C2605" s="18" t="n">
        <x:v>-0.9000001</x:v>
      </x:c>
      <x:c r="D2605" s="10" t="n">
        <x:v>560</x:v>
      </x:c>
      <x:c r="E2605" s="10" t="n">
        <x:v>0.630431981</x:v>
      </x:c>
      <x:c r="F2605" s="10" t="n">
        <x:v>0.004096</x:v>
      </x:c>
      <x:c r="G2605" s="10" t="n">
        <x:f>SUM(D2605:F2605)</x:f>
        <x:v>560.634527981</x:v>
      </x:c>
    </x:row>
    <x:row r="2606" ht="24" customHeight="1">
      <x:c r="A2606" s="10" t="str">
        <x:v>S05-05</x:v>
      </x:c>
      <x:c r="B2606" s="10" t="str">
        <x:v>A</x:v>
      </x:c>
      <x:c r="C2606" s="18" t="n">
        <x:v>-0.9</x:v>
      </x:c>
      <x:c r="D2606" s="10" t="n">
        <x:v>560</x:v>
      </x:c>
      <x:c r="E2606" s="10" t="n">
        <x:v>0.630432</x:v>
      </x:c>
      <x:c r="F2606" s="10" t="n">
        <x:v>0.008192</x:v>
      </x:c>
      <x:c r="G2606" s="10" t="n">
        <x:f>SUM(D2606:F2606)</x:f>
        <x:v>560.638624</x:v>
      </x:c>
    </x:row>
    <x:row r="2607" ht="24" customHeight="1">
      <x:c r="A2607" s="10" t="str">
        <x:v>S05-05</x:v>
      </x:c>
      <x:c r="B2607" s="10" t="str">
        <x:v>A</x:v>
      </x:c>
      <x:c r="C2607" s="18" t="n">
        <x:v>-0.8999999</x:v>
      </x:c>
      <x:c r="D2607" s="10" t="n">
        <x:v>560</x:v>
      </x:c>
      <x:c r="E2607" s="10" t="n">
        <x:v>0.630432019</x:v>
      </x:c>
      <x:c r="F2607" s="10" t="n">
        <x:v>0.008192</x:v>
      </x:c>
      <x:c r="G2607" s="10" t="n">
        <x:f>SUM(D2607:F2607)</x:f>
        <x:v>560.638624019</x:v>
      </x:c>
    </x:row>
    <x:row r="2608" ht="24" customHeight="1">
      <x:c r="A2608" s="10" t="str">
        <x:v>S05-05</x:v>
      </x:c>
      <x:c r="B2608" s="10" t="str">
        <x:v>A</x:v>
      </x:c>
      <x:c r="C2608" s="18" t="n">
        <x:v>-0.4990001</x:v>
      </x:c>
      <x:c r="D2608" s="10" t="n">
        <x:v>560</x:v>
      </x:c>
      <x:c r="E2608" s="10" t="n">
        <x:v>0.707423981</x:v>
      </x:c>
      <x:c r="F2608" s="10" t="n">
        <x:v>0.008192</x:v>
      </x:c>
      <x:c r="G2608" s="10" t="n">
        <x:f>SUM(D2608:F2608)</x:f>
        <x:v>560.715615981</x:v>
      </x:c>
    </x:row>
    <x:row r="2609" ht="24" customHeight="1">
      <x:c r="A2609" s="10" t="str">
        <x:v>S05-05</x:v>
      </x:c>
      <x:c r="B2609" s="10" t="str">
        <x:v>A</x:v>
      </x:c>
      <x:c r="C2609" s="18" t="n">
        <x:v>-0.499</x:v>
      </x:c>
      <x:c r="D2609" s="10" t="n">
        <x:v>560</x:v>
      </x:c>
      <x:c r="E2609" s="10" t="n">
        <x:v>0.717024</x:v>
      </x:c>
      <x:c r="F2609" s="10" t="n">
        <x:v>0.008192</x:v>
      </x:c>
      <x:c r="G2609" s="10" t="n">
        <x:f>SUM(D2609:F2609)</x:f>
        <x:v>560.725216</x:v>
      </x:c>
    </x:row>
    <x:row r="2610" ht="24" customHeight="1">
      <x:c r="A2610" s="10" t="str">
        <x:v>S05-05</x:v>
      </x:c>
      <x:c r="B2610" s="10" t="str">
        <x:v>A</x:v>
      </x:c>
      <x:c r="C2610" s="18" t="n">
        <x:v>-0.4989999</x:v>
      </x:c>
      <x:c r="D2610" s="10" t="n">
        <x:v>560</x:v>
      </x:c>
      <x:c r="E2610" s="10" t="n">
        <x:v>0.717024038</x:v>
      </x:c>
      <x:c r="F2610" s="10" t="n">
        <x:v>0.008192</x:v>
      </x:c>
      <x:c r="G2610" s="10" t="n">
        <x:f>SUM(D2610:F2610)</x:f>
        <x:v>560.725216038</x:v>
      </x:c>
    </x:row>
    <x:row r="2611" ht="24" customHeight="1">
      <x:c r="A2611" s="10" t="str">
        <x:v>S05-05</x:v>
      </x:c>
      <x:c r="B2611" s="10" t="str">
        <x:v>A</x:v>
      </x:c>
      <x:c r="C2611" s="18" t="n">
        <x:v>-1e-7</x:v>
      </x:c>
      <x:c r="D2611" s="10" t="n">
        <x:v>560</x:v>
      </x:c>
      <x:c r="E2611" s="10" t="n">
        <x:v>0.908639962</x:v>
      </x:c>
      <x:c r="F2611" s="10" t="n">
        <x:v>0.008192</x:v>
      </x:c>
      <x:c r="G2611" s="10" t="n">
        <x:f>SUM(D2611:F2611)</x:f>
        <x:v>560.9168319620001</x:v>
      </x:c>
    </x:row>
    <x:row r="2612" ht="24" customHeight="1">
      <x:c r="A2612" s="10" t="str">
        <x:v>S05-05</x:v>
      </x:c>
      <x:c r="B2612" s="10" t="str">
        <x:v>A</x:v>
      </x:c>
      <x:c r="C2612" s="18" t="n">
        <x:v>0</x:v>
      </x:c>
      <x:c r="D2612" s="10" t="n">
        <x:v>560</x:v>
      </x:c>
      <x:c r="E2612" s="10" t="n">
        <x:v>0.90864</x:v>
      </x:c>
      <x:c r="F2612" s="10" t="n">
        <x:v>0.008192</x:v>
      </x:c>
      <x:c r="G2612" s="10" t="n">
        <x:f>SUM(D2612:F2612)</x:f>
        <x:v>560.916832</x:v>
      </x:c>
    </x:row>
    <x:row r="2613" ht="24" customHeight="1">
      <x:c r="A2613" s="10" t="str">
        <x:v>S05-05</x:v>
      </x:c>
      <x:c r="B2613" s="10" t="str">
        <x:v>A</x:v>
      </x:c>
      <x:c r="C2613" s="18" t="n">
        <x:v>1e-7</x:v>
      </x:c>
      <x:c r="D2613" s="10" t="n">
        <x:v>560</x:v>
      </x:c>
      <x:c r="E2613" s="10" t="n">
        <x:v>0.908640038</x:v>
      </x:c>
      <x:c r="F2613" s="10" t="n">
        <x:v>0.008192</x:v>
      </x:c>
      <x:c r="G2613" s="10" t="n">
        <x:f>SUM(D2613:F2613)</x:f>
        <x:v>560.916832038</x:v>
      </x:c>
    </x:row>
    <x:row r="2614" ht="24" customHeight="1">
      <x:c r="A2614" s="10" t="str">
        <x:v>S05-05</x:v>
      </x:c>
      <x:c r="B2614" s="10" t="str">
        <x:v>A</x:v>
      </x:c>
      <x:c r="C2614" s="18" t="n">
        <x:v>0.1494999</x:v>
      </x:c>
      <x:c r="D2614" s="10" t="n">
        <x:v>560</x:v>
      </x:c>
      <x:c r="E2614" s="10" t="n">
        <x:v>0.966047962</x:v>
      </x:c>
      <x:c r="F2614" s="10" t="n">
        <x:v>0.008192</x:v>
      </x:c>
      <x:c r="G2614" s="10" t="n">
        <x:f>SUM(D2614:F2614)</x:f>
        <x:v>560.974239962</x:v>
      </x:c>
    </x:row>
    <x:row r="2615" ht="24" customHeight="1">
      <x:c r="A2615" s="10" t="str">
        <x:v>S05-05</x:v>
      </x:c>
      <x:c r="B2615" s="10" t="str">
        <x:v>A</x:v>
      </x:c>
      <x:c r="C2615" s="18" t="n">
        <x:v>0.1495</x:v>
      </x:c>
      <x:c r="D2615" s="10" t="n">
        <x:v>560</x:v>
      </x:c>
      <x:c r="E2615" s="10" t="n">
        <x:v>0.966048</x:v>
      </x:c>
      <x:c r="F2615" s="10" t="n">
        <x:v>0.008192</x:v>
      </x:c>
      <x:c r="G2615" s="10" t="n">
        <x:f>SUM(D2615:F2615)</x:f>
        <x:v>560.97424</x:v>
      </x:c>
    </x:row>
    <x:row r="2616" ht="24" customHeight="1">
      <x:c r="A2616" s="10" t="str">
        <x:v>S05-05</x:v>
      </x:c>
      <x:c r="B2616" s="10" t="str">
        <x:v>A</x:v>
      </x:c>
      <x:c r="C2616" s="18" t="n">
        <x:v>0.1495001</x:v>
      </x:c>
      <x:c r="D2616" s="10" t="n">
        <x:v>560</x:v>
      </x:c>
      <x:c r="E2616" s="10" t="n">
        <x:v>0.966048019</x:v>
      </x:c>
      <x:c r="F2616" s="10" t="n">
        <x:v>0.008192</x:v>
      </x:c>
      <x:c r="G2616" s="10" t="n">
        <x:f>SUM(D2616:F2616)</x:f>
        <x:v>560.974240019</x:v>
      </x:c>
    </x:row>
    <x:row r="2617" ht="24" customHeight="1">
      <x:c r="A2617" s="10" t="str">
        <x:v>S05-05</x:v>
      </x:c>
      <x:c r="B2617" s="10" t="str">
        <x:v>A</x:v>
      </x:c>
      <x:c r="C2617" s="18" t="n">
        <x:v>0.906666567</x:v>
      </x:c>
      <x:c r="D2617" s="10" t="n">
        <x:v>560</x:v>
      </x:c>
      <x:c r="E2617" s="10" t="n">
        <x:v>1.111423981</x:v>
      </x:c>
      <x:c r="F2617" s="10" t="n">
        <x:v>0.008192</x:v>
      </x:c>
      <x:c r="G2617" s="10" t="n">
        <x:f>SUM(D2617:F2617)</x:f>
        <x:v>561.119615981</x:v>
      </x:c>
    </x:row>
    <x:row r="2618" ht="24" customHeight="1">
      <x:c r="A2618" s="10" t="str">
        <x:v>S05-05</x:v>
      </x:c>
      <x:c r="B2618" s="10" t="str">
        <x:v>A</x:v>
      </x:c>
      <x:c r="C2618" s="18" t="n">
        <x:v>0.906666667</x:v>
      </x:c>
      <x:c r="D2618" s="10" t="n">
        <x:v>560</x:v>
      </x:c>
      <x:c r="E2618" s="10" t="n">
        <x:v>1.111424</x:v>
      </x:c>
      <x:c r="F2618" s="10" t="n">
        <x:v>0.008192</x:v>
      </x:c>
      <x:c r="G2618" s="10" t="n">
        <x:f>SUM(D2618:F2618)</x:f>
        <x:v>561.1196160000001</x:v>
      </x:c>
    </x:row>
    <x:row r="2619" ht="24" customHeight="1">
      <x:c r="A2619" s="10" t="str">
        <x:v>S05-05</x:v>
      </x:c>
      <x:c r="B2619" s="10" t="str">
        <x:v>A</x:v>
      </x:c>
      <x:c r="C2619" s="18" t="n">
        <x:v>0.906666767</x:v>
      </x:c>
      <x:c r="D2619" s="10" t="n">
        <x:v>560</x:v>
      </x:c>
      <x:c r="E2619" s="10" t="n">
        <x:v>1.111424019</x:v>
      </x:c>
      <x:c r="F2619" s="10" t="n">
        <x:v>0.008192</x:v>
      </x:c>
      <x:c r="G2619" s="10" t="n">
        <x:f>SUM(D2619:F2619)</x:f>
        <x:v>561.119616019</x:v>
      </x:c>
    </x:row>
    <x:row r="2620" ht="24" customHeight="1">
      <x:c r="A2620" s="10" t="str">
        <x:v>S05-05</x:v>
      </x:c>
      <x:c r="B2620" s="10" t="str">
        <x:v>A</x:v>
      </x:c>
      <x:c r="C2620" s="18" t="n">
        <x:v>0.946666567</x:v>
      </x:c>
      <x:c r="D2620" s="10" t="n">
        <x:v>560</x:v>
      </x:c>
      <x:c r="E2620" s="10" t="n">
        <x:v>1.119103981</x:v>
      </x:c>
      <x:c r="F2620" s="10" t="n">
        <x:v>0.008192</x:v>
      </x:c>
      <x:c r="G2620" s="10" t="n">
        <x:f>SUM(D2620:F2620)</x:f>
        <x:v>561.127295981</x:v>
      </x:c>
    </x:row>
    <x:row r="2621" ht="24" customHeight="1">
      <x:c r="A2621" s="10" t="str">
        <x:v>S05-05</x:v>
      </x:c>
      <x:c r="B2621" s="10" t="str">
        <x:v>A</x:v>
      </x:c>
      <x:c r="C2621" s="18" t="n">
        <x:v>0.946666667</x:v>
      </x:c>
      <x:c r="D2621" s="10" t="n">
        <x:v>560</x:v>
      </x:c>
      <x:c r="E2621" s="10" t="n">
        <x:v>1.119104</x:v>
      </x:c>
      <x:c r="F2621" s="10" t="n">
        <x:v>0.008192</x:v>
      </x:c>
      <x:c r="G2621" s="10" t="n">
        <x:f>SUM(D2621:F2621)</x:f>
        <x:v>561.127296</x:v>
      </x:c>
    </x:row>
    <x:row r="2622" ht="24" customHeight="1">
      <x:c r="A2622" s="10" t="str">
        <x:v>S05-05</x:v>
      </x:c>
      <x:c r="B2622" s="10" t="str">
        <x:v>A</x:v>
      </x:c>
      <x:c r="C2622" s="18" t="n">
        <x:v>0.946666767</x:v>
      </x:c>
      <x:c r="D2622" s="10" t="n">
        <x:v>560</x:v>
      </x:c>
      <x:c r="E2622" s="10" t="n">
        <x:v>1.119104015</x:v>
      </x:c>
      <x:c r="F2622" s="10" t="n">
        <x:v>0.008192</x:v>
      </x:c>
      <x:c r="G2622" s="10" t="n">
        <x:f>SUM(D2622:F2622)</x:f>
        <x:v>561.127296015</x:v>
      </x:c>
    </x:row>
    <x:row r="2623" ht="24" customHeight="1">
      <x:c r="A2623" s="10" t="str">
        <x:v>S05-05</x:v>
      </x:c>
      <x:c r="B2623" s="10" t="str">
        <x:v>A</x:v>
      </x:c>
      <x:c r="C2623" s="18" t="n">
        <x:v>3.740666567</x:v>
      </x:c>
      <x:c r="D2623" s="10" t="n">
        <x:v>560</x:v>
      </x:c>
      <x:c r="E2623" s="10" t="n">
        <x:v>1.521439986</x:v>
      </x:c>
      <x:c r="F2623" s="10" t="n">
        <x:v>0.008192</x:v>
      </x:c>
      <x:c r="G2623" s="10" t="n">
        <x:f>SUM(D2623:F2623)</x:f>
        <x:v>561.529631986</x:v>
      </x:c>
    </x:row>
    <x:row r="2624" ht="24" customHeight="1">
      <x:c r="A2624" s="10" t="str">
        <x:v>S05-05</x:v>
      </x:c>
      <x:c r="B2624" s="10" t="str">
        <x:v>A</x:v>
      </x:c>
      <x:c r="C2624" s="18" t="n">
        <x:v>3.740666667</x:v>
      </x:c>
      <x:c r="D2624" s="10" t="n">
        <x:v>560</x:v>
      </x:c>
      <x:c r="E2624" s="10" t="n">
        <x:v>1.52144</x:v>
      </x:c>
      <x:c r="F2624" s="10" t="n">
        <x:v>0.008192</x:v>
      </x:c>
      <x:c r="G2624" s="10" t="n">
        <x:f>SUM(D2624:F2624)</x:f>
        <x:v>561.529632</x:v>
      </x:c>
    </x:row>
    <x:row r="2625" ht="24" customHeight="1">
      <x:c r="A2625" s="10" t="str">
        <x:v>S05-05</x:v>
      </x:c>
      <x:c r="B2625" s="10" t="str">
        <x:v>A</x:v>
      </x:c>
      <x:c r="C2625" s="18" t="n">
        <x:v>3.740666767</x:v>
      </x:c>
      <x:c r="D2625" s="10" t="n">
        <x:v>560</x:v>
      </x:c>
      <x:c r="E2625" s="10" t="n">
        <x:v>1.521440019</x:v>
      </x:c>
      <x:c r="F2625" s="10" t="n">
        <x:v>0.004096</x:v>
      </x:c>
      <x:c r="G2625" s="10" t="n">
        <x:f>SUM(D2625:F2625)</x:f>
        <x:v>561.525536019</x:v>
      </x:c>
    </x:row>
    <x:row r="2626" ht="24" customHeight="1">
      <x:c r="A2626" s="10" t="str">
        <x:v>S05-05</x:v>
      </x:c>
      <x:c r="B2626" s="10" t="str">
        <x:v>A</x:v>
      </x:c>
      <x:c r="C2626" s="18" t="n">
        <x:v>3.780666567</x:v>
      </x:c>
      <x:c r="D2626" s="10" t="n">
        <x:v>560</x:v>
      </x:c>
      <x:c r="E2626" s="10" t="n">
        <x:v>1.529119981</x:v>
      </x:c>
      <x:c r="F2626" s="10" t="n">
        <x:v>0.004096</x:v>
      </x:c>
      <x:c r="G2626" s="10" t="n">
        <x:f>SUM(D2626:F2626)</x:f>
        <x:v>561.533215981</x:v>
      </x:c>
    </x:row>
    <x:row r="2627" ht="24" customHeight="1">
      <x:c r="A2627" s="10" t="str">
        <x:v>S05-05</x:v>
      </x:c>
      <x:c r="B2627" s="10" t="str">
        <x:v>A</x:v>
      </x:c>
      <x:c r="C2627" s="18" t="n">
        <x:v>3.780666667</x:v>
      </x:c>
      <x:c r="D2627" s="10" t="n">
        <x:v>560</x:v>
      </x:c>
      <x:c r="E2627" s="10" t="n">
        <x:v>1.52912</x:v>
      </x:c>
      <x:c r="F2627" s="10" t="n">
        <x:v>0.004096</x:v>
      </x:c>
      <x:c r="G2627" s="10" t="n">
        <x:f>SUM(D2627:F2627)</x:f>
        <x:v>561.533216</x:v>
      </x:c>
    </x:row>
    <x:row r="2628" ht="24" customHeight="1">
      <x:c r="A2628" s="10" t="str">
        <x:v>S05-05</x:v>
      </x:c>
      <x:c r="B2628" s="10" t="str">
        <x:v>A</x:v>
      </x:c>
      <x:c r="C2628" s="18" t="n">
        <x:v>3.780666767</x:v>
      </x:c>
      <x:c r="D2628" s="10" t="n">
        <x:v>560</x:v>
      </x:c>
      <x:c r="E2628" s="10" t="n">
        <x:v>1.529120015</x:v>
      </x:c>
      <x:c r="F2628" s="10" t="n">
        <x:v>0.004096</x:v>
      </x:c>
      <x:c r="G2628" s="10" t="n">
        <x:f>SUM(D2628:F2628)</x:f>
        <x:v>561.533216015</x:v>
      </x:c>
    </x:row>
    <x:row r="2629" ht="24" customHeight="1">
      <x:c r="A2629" s="10" t="str">
        <x:v>S05-05</x:v>
      </x:c>
      <x:c r="B2629" s="10" t="str">
        <x:v>A</x:v>
      </x:c>
      <x:c r="C2629" s="18" t="n">
        <x:v>4.623833233</x:v>
      </x:c>
      <x:c r="D2629" s="10" t="n">
        <x:v>560</x:v>
      </x:c>
      <x:c r="E2629" s="10" t="n">
        <x:v>1.650535986</x:v>
      </x:c>
      <x:c r="F2629" s="10" t="n">
        <x:v>0.004096</x:v>
      </x:c>
      <x:c r="G2629" s="10" t="n">
        <x:f>SUM(D2629:F2629)</x:f>
        <x:v>561.654631986</x:v>
      </x:c>
    </x:row>
    <x:row r="2630" ht="24" customHeight="1">
      <x:c r="A2630" s="10" t="str">
        <x:v>S05-05</x:v>
      </x:c>
      <x:c r="B2630" s="10" t="str">
        <x:v>A</x:v>
      </x:c>
      <x:c r="C2630" s="18" t="n">
        <x:v>4.623833333</x:v>
      </x:c>
      <x:c r="D2630" s="10" t="n">
        <x:v>560</x:v>
      </x:c>
      <x:c r="E2630" s="10" t="n">
        <x:v>1.650536</x:v>
      </x:c>
      <x:c r="F2630" s="10" t="n">
        <x:v>0.004096</x:v>
      </x:c>
      <x:c r="G2630" s="10" t="n">
        <x:f>SUM(D2630:F2630)</x:f>
        <x:v>561.654632</x:v>
      </x:c>
    </x:row>
    <x:row r="2631" ht="24" customHeight="1">
      <x:c r="A2631" s="10" t="str">
        <x:v>S05-05</x:v>
      </x:c>
      <x:c r="B2631" s="10" t="str">
        <x:v>A</x:v>
      </x:c>
      <x:c r="C2631" s="18" t="n">
        <x:v>4.623833433</x:v>
      </x:c>
      <x:c r="D2631" s="10" t="n">
        <x:v>560</x:v>
      </x:c>
      <x:c r="E2631" s="10" t="n">
        <x:v>1.650535995</x:v>
      </x:c>
      <x:c r="F2631" s="10" t="n">
        <x:v>0.004096</x:v>
      </x:c>
      <x:c r="G2631" s="10" t="n">
        <x:f>SUM(D2631:F2631)</x:f>
        <x:v>561.654631995</x:v>
      </x:c>
    </x:row>
    <x:row r="2632" ht="24" customHeight="1">
      <x:c r="A2632" s="10" t="str">
        <x:v>S05-05</x:v>
      </x:c>
      <x:c r="B2632" s="10" t="str">
        <x:v>A</x:v>
      </x:c>
      <x:c r="C2632" s="18" t="n">
        <x:v>39.0099999</x:v>
      </x:c>
      <x:c r="D2632" s="10" t="n">
        <x:v>560</x:v>
      </x:c>
      <x:c r="E2632" s="10" t="n">
        <x:v>5e-9</x:v>
      </x:c>
      <x:c r="F2632" s="10" t="n">
        <x:v>0.004096</x:v>
      </x:c>
      <x:c r="G2632" s="10" t="n">
        <x:f>SUM(D2632:F2632)</x:f>
        <x:v>560.004096005</x:v>
      </x:c>
    </x:row>
    <x:row r="2633" ht="24" customHeight="1">
      <x:c r="A2633" s="10" t="str">
        <x:v>S05-05</x:v>
      </x:c>
      <x:c r="B2633" s="10" t="str">
        <x:v>A</x:v>
      </x:c>
      <x:c r="C2633" s="18" t="n">
        <x:v>39.01</x:v>
      </x:c>
      <x:c r="D2633" s="10" t="n">
        <x:v>560</x:v>
      </x:c>
      <x:c r="E2633" s="10" t="n">
        <x:v>0</x:v>
      </x:c>
      <x:c r="F2633" s="10" t="n">
        <x:v>0.004096</x:v>
      </x:c>
      <x:c r="G2633" s="10" t="n">
        <x:f>SUM(D2633:F2633)</x:f>
        <x:v>560.004096</x:v>
      </x:c>
    </x:row>
    <x:row r="2634" ht="24" customHeight="1">
      <x:c r="A2634" s="10" t="str">
        <x:v>S05-05</x:v>
      </x:c>
      <x:c r="B2634" s="10" t="str">
        <x:v>A</x:v>
      </x:c>
      <x:c r="C2634" s="18" t="n">
        <x:v>39.0100001</x:v>
      </x:c>
      <x:c r="D2634" s="10" t="n">
        <x:v>560</x:v>
      </x:c>
      <x:c r="E2634" s="10" t="n">
        <x:v>0</x:v>
      </x:c>
      <x:c r="F2634" s="10" t="n">
        <x:v>0</x:v>
      </x:c>
      <x:c r="G2634" s="10" t="n">
        <x:f>SUM(D2634:F2634)</x:f>
        <x:v>560</x:v>
      </x:c>
    </x:row>
    <x:row r="2635" ht="24" customHeight="1">
      <x:c r="A2635" s="10" t="str">
        <x:v>S05-05</x:v>
      </x:c>
      <x:c r="B2635" s="10" t="str">
        <x:v>B</x:v>
      </x:c>
      <x:c r="C2635" s="18" t="n">
        <x:v>-6.0000001</x:v>
      </x:c>
      <x:c r="D2635" s="10" t="n">
        <x:v>560</x:v>
      </x:c>
      <x:c r="E2635" s="10" t="n">
        <x:v>0</x:v>
      </x:c>
      <x:c r="F2635" s="10" t="n">
        <x:v>0</x:v>
      </x:c>
      <x:c r="G2635" s="10" t="n">
        <x:f>SUM(D2635:F2635)</x:f>
        <x:v>560</x:v>
      </x:c>
    </x:row>
    <x:row r="2636" ht="24" customHeight="1">
      <x:c r="A2636" s="10" t="str">
        <x:v>S05-05</x:v>
      </x:c>
      <x:c r="B2636" s="10" t="str">
        <x:v>B</x:v>
      </x:c>
      <x:c r="C2636" s="18" t="n">
        <x:v>-6</x:v>
      </x:c>
      <x:c r="D2636" s="10" t="n">
        <x:v>560</x:v>
      </x:c>
      <x:c r="E2636" s="10" t="n">
        <x:v>0</x:v>
      </x:c>
      <x:c r="F2636" s="10" t="n">
        <x:v>0</x:v>
      </x:c>
      <x:c r="G2636" s="10" t="n">
        <x:f>SUM(D2636:F2636)</x:f>
        <x:v>560</x:v>
      </x:c>
    </x:row>
    <x:row r="2637" ht="24" customHeight="1">
      <x:c r="A2637" s="10" t="str">
        <x:v>S05-05</x:v>
      </x:c>
      <x:c r="B2637" s="10" t="str">
        <x:v>B</x:v>
      </x:c>
      <x:c r="C2637" s="18" t="n">
        <x:v>-5.9999999</x:v>
      </x:c>
      <x:c r="D2637" s="10" t="n">
        <x:v>560</x:v>
      </x:c>
      <x:c r="E2637" s="10" t="n">
        <x:v>0</x:v>
      </x:c>
      <x:c r="F2637" s="10" t="n">
        <x:v>0</x:v>
      </x:c>
      <x:c r="G2637" s="10" t="n">
        <x:f>SUM(D2637:F2637)</x:f>
        <x:v>560</x:v>
      </x:c>
    </x:row>
    <x:row r="2638" ht="24" customHeight="1">
      <x:c r="A2638" s="10" t="str">
        <x:v>S05-05</x:v>
      </x:c>
      <x:c r="B2638" s="10" t="str">
        <x:v>B</x:v>
      </x:c>
      <x:c r="C2638" s="18" t="n">
        <x:v>-4.8000001</x:v>
      </x:c>
      <x:c r="D2638" s="10" t="n">
        <x:v>560</x:v>
      </x:c>
      <x:c r="E2638" s="10" t="n">
        <x:v>0</x:v>
      </x:c>
      <x:c r="F2638" s="10" t="n">
        <x:v>0</x:v>
      </x:c>
      <x:c r="G2638" s="10" t="n">
        <x:f>SUM(D2638:F2638)</x:f>
        <x:v>560</x:v>
      </x:c>
    </x:row>
    <x:row r="2639" ht="24" customHeight="1">
      <x:c r="A2639" s="10" t="str">
        <x:v>S05-05</x:v>
      </x:c>
      <x:c r="B2639" s="10" t="str">
        <x:v>B</x:v>
      </x:c>
      <x:c r="C2639" s="18" t="n">
        <x:v>-4.8</x:v>
      </x:c>
      <x:c r="D2639" s="10" t="n">
        <x:v>560</x:v>
      </x:c>
      <x:c r="E2639" s="10" t="n">
        <x:v>0</x:v>
      </x:c>
      <x:c r="F2639" s="10" t="n">
        <x:v>0.004096</x:v>
      </x:c>
      <x:c r="G2639" s="10" t="n">
        <x:f>SUM(D2639:F2639)</x:f>
        <x:v>560.004096</x:v>
      </x:c>
    </x:row>
    <x:row r="2640" ht="24" customHeight="1">
      <x:c r="A2640" s="10" t="str">
        <x:v>S05-05</x:v>
      </x:c>
      <x:c r="B2640" s="10" t="str">
        <x:v>B</x:v>
      </x:c>
      <x:c r="C2640" s="18" t="n">
        <x:v>-4.7999999</x:v>
      </x:c>
      <x:c r="D2640" s="10" t="n">
        <x:v>560</x:v>
      </x:c>
      <x:c r="E2640" s="10" t="n">
        <x:v>0</x:v>
      </x:c>
      <x:c r="F2640" s="10" t="n">
        <x:v>0.004096</x:v>
      </x:c>
      <x:c r="G2640" s="10" t="n">
        <x:f>SUM(D2640:F2640)</x:f>
        <x:v>560.004096</x:v>
      </x:c>
    </x:row>
    <x:row r="2641" ht="24" customHeight="1">
      <x:c r="A2641" s="10" t="str">
        <x:v>S05-05</x:v>
      </x:c>
      <x:c r="B2641" s="10" t="str">
        <x:v>B</x:v>
      </x:c>
      <x:c r="C2641" s="18" t="n">
        <x:v>-4.324666767</x:v>
      </x:c>
      <x:c r="D2641" s="10" t="n">
        <x:v>560</x:v>
      </x:c>
      <x:c r="E2641" s="10" t="n">
        <x:v>0</x:v>
      </x:c>
      <x:c r="F2641" s="10" t="n">
        <x:v>0.004096</x:v>
      </x:c>
      <x:c r="G2641" s="10" t="n">
        <x:f>SUM(D2641:F2641)</x:f>
        <x:v>560.004096</x:v>
      </x:c>
    </x:row>
    <x:row r="2642" ht="24" customHeight="1">
      <x:c r="A2642" s="10" t="str">
        <x:v>S05-05</x:v>
      </x:c>
      <x:c r="B2642" s="10" t="str">
        <x:v>B</x:v>
      </x:c>
      <x:c r="C2642" s="18" t="n">
        <x:v>-4.324666667</x:v>
      </x:c>
      <x:c r="D2642" s="10" t="n">
        <x:v>560</x:v>
      </x:c>
      <x:c r="E2642" s="10" t="n">
        <x:v>0.0096</x:v>
      </x:c>
      <x:c r="F2642" s="10" t="n">
        <x:v>0.004096</x:v>
      </x:c>
      <x:c r="G2642" s="10" t="n">
        <x:f>SUM(D2642:F2642)</x:f>
        <x:v>560.013696</x:v>
      </x:c>
    </x:row>
    <x:row r="2643" ht="24" customHeight="1">
      <x:c r="A2643" s="10" t="str">
        <x:v>S05-05</x:v>
      </x:c>
      <x:c r="B2643" s="10" t="str">
        <x:v>B</x:v>
      </x:c>
      <x:c r="C2643" s="18" t="n">
        <x:v>-4.324666567</x:v>
      </x:c>
      <x:c r="D2643" s="10" t="n">
        <x:v>560</x:v>
      </x:c>
      <x:c r="E2643" s="10" t="n">
        <x:v>0.009600019</x:v>
      </x:c>
      <x:c r="F2643" s="10" t="n">
        <x:v>0.004096</x:v>
      </x:c>
      <x:c r="G2643" s="10" t="n">
        <x:f>SUM(D2643:F2643)</x:f>
        <x:v>560.013696019</x:v>
      </x:c>
    </x:row>
    <x:row r="2644" ht="24" customHeight="1">
      <x:c r="A2644" s="10" t="str">
        <x:v>S05-05</x:v>
      </x:c>
      <x:c r="B2644" s="10" t="str">
        <x:v>B</x:v>
      </x:c>
      <x:c r="C2644" s="18" t="n">
        <x:v>-4.284666767</x:v>
      </x:c>
      <x:c r="D2644" s="10" t="n">
        <x:v>560</x:v>
      </x:c>
      <x:c r="E2644" s="10" t="n">
        <x:v>0.017279981</x:v>
      </x:c>
      <x:c r="F2644" s="10" t="n">
        <x:v>0.004096</x:v>
      </x:c>
      <x:c r="G2644" s="10" t="n">
        <x:f>SUM(D2644:F2644)</x:f>
        <x:v>560.021375981</x:v>
      </x:c>
    </x:row>
    <x:row r="2645" ht="24" customHeight="1">
      <x:c r="A2645" s="10" t="str">
        <x:v>S05-05</x:v>
      </x:c>
      <x:c r="B2645" s="10" t="str">
        <x:v>B</x:v>
      </x:c>
      <x:c r="C2645" s="18" t="n">
        <x:v>-4.284666667</x:v>
      </x:c>
      <x:c r="D2645" s="10" t="n">
        <x:v>560</x:v>
      </x:c>
      <x:c r="E2645" s="10" t="n">
        <x:v>0.01728</x:v>
      </x:c>
      <x:c r="F2645" s="10" t="n">
        <x:v>0.004096</x:v>
      </x:c>
      <x:c r="G2645" s="10" t="n">
        <x:f>SUM(D2645:F2645)</x:f>
        <x:v>560.021376</x:v>
      </x:c>
    </x:row>
    <x:row r="2646" ht="24" customHeight="1">
      <x:c r="A2646" s="10" t="str">
        <x:v>S05-05</x:v>
      </x:c>
      <x:c r="B2646" s="10" t="str">
        <x:v>B</x:v>
      </x:c>
      <x:c r="C2646" s="18" t="n">
        <x:v>-4.284666567</x:v>
      </x:c>
      <x:c r="D2646" s="10" t="n">
        <x:v>560</x:v>
      </x:c>
      <x:c r="E2646" s="10" t="n">
        <x:v>0.017280014</x:v>
      </x:c>
      <x:c r="F2646" s="10" t="n">
        <x:v>0.004096</x:v>
      </x:c>
      <x:c r="G2646" s="10" t="n">
        <x:f>SUM(D2646:F2646)</x:f>
        <x:v>560.021376014</x:v>
      </x:c>
    </x:row>
    <x:row r="2647" ht="24" customHeight="1">
      <x:c r="A2647" s="10" t="str">
        <x:v>S05-05</x:v>
      </x:c>
      <x:c r="B2647" s="10" t="str">
        <x:v>B</x:v>
      </x:c>
      <x:c r="C2647" s="18" t="n">
        <x:v>-3.5200001</x:v>
      </x:c>
      <x:c r="D2647" s="10" t="n">
        <x:v>560</x:v>
      </x:c>
      <x:c r="E2647" s="10" t="n">
        <x:v>0.127391986</x:v>
      </x:c>
      <x:c r="F2647" s="10" t="n">
        <x:v>0.004096</x:v>
      </x:c>
      <x:c r="G2647" s="10" t="n">
        <x:f>SUM(D2647:F2647)</x:f>
        <x:v>560.131487986</x:v>
      </x:c>
    </x:row>
    <x:row r="2648" ht="24" customHeight="1">
      <x:c r="A2648" s="10" t="str">
        <x:v>S05-05</x:v>
      </x:c>
      <x:c r="B2648" s="10" t="str">
        <x:v>B</x:v>
      </x:c>
      <x:c r="C2648" s="18" t="n">
        <x:v>-3.52</x:v>
      </x:c>
      <x:c r="D2648" s="10" t="n">
        <x:v>560</x:v>
      </x:c>
      <x:c r="E2648" s="10" t="n">
        <x:v>0.127392</x:v>
      </x:c>
      <x:c r="F2648" s="10" t="n">
        <x:v>0.004096</x:v>
      </x:c>
      <x:c r="G2648" s="10" t="n">
        <x:f>SUM(D2648:F2648)</x:f>
        <x:v>560.131488</x:v>
      </x:c>
    </x:row>
    <x:row r="2649" ht="24" customHeight="1">
      <x:c r="A2649" s="10" t="str">
        <x:v>S05-05</x:v>
      </x:c>
      <x:c r="B2649" s="10" t="str">
        <x:v>B</x:v>
      </x:c>
      <x:c r="C2649" s="18" t="n">
        <x:v>-3.5199999</x:v>
      </x:c>
      <x:c r="D2649" s="10" t="n">
        <x:v>560</x:v>
      </x:c>
      <x:c r="E2649" s="10" t="n">
        <x:v>0.127392019</x:v>
      </x:c>
      <x:c r="F2649" s="10" t="n">
        <x:v>0.004096</x:v>
      </x:c>
      <x:c r="G2649" s="10" t="n">
        <x:f>SUM(D2649:F2649)</x:f>
        <x:v>560.131488019</x:v>
      </x:c>
    </x:row>
    <x:row r="2650" ht="24" customHeight="1">
      <x:c r="A2650" s="10" t="str">
        <x:v>S05-05</x:v>
      </x:c>
      <x:c r="B2650" s="10" t="str">
        <x:v>B</x:v>
      </x:c>
      <x:c r="C2650" s="18" t="n">
        <x:v>-1e-7</x:v>
      </x:c>
      <x:c r="D2650" s="10" t="n">
        <x:v>560</x:v>
      </x:c>
      <x:c r="E2650" s="10" t="n">
        <x:v>0.803231981</x:v>
      </x:c>
      <x:c r="F2650" s="10" t="n">
        <x:v>0.004096</x:v>
      </x:c>
      <x:c r="G2650" s="10" t="n">
        <x:f>SUM(D2650:F2650)</x:f>
        <x:v>560.807327981</x:v>
      </x:c>
    </x:row>
    <x:row r="2651" ht="24" customHeight="1">
      <x:c r="A2651" s="10" t="str">
        <x:v>S05-05</x:v>
      </x:c>
      <x:c r="B2651" s="10" t="str">
        <x:v>B</x:v>
      </x:c>
      <x:c r="C2651" s="18" t="n">
        <x:v>0</x:v>
      </x:c>
      <x:c r="D2651" s="10" t="n">
        <x:v>560</x:v>
      </x:c>
      <x:c r="E2651" s="10" t="n">
        <x:v>0.803232</x:v>
      </x:c>
      <x:c r="F2651" s="10" t="n">
        <x:v>0.004096</x:v>
      </x:c>
      <x:c r="G2651" s="10" t="n">
        <x:f>SUM(D2651:F2651)</x:f>
        <x:v>560.807328</x:v>
      </x:c>
    </x:row>
    <x:row r="2652" ht="24" customHeight="1">
      <x:c r="A2652" s="10" t="str">
        <x:v>S05-05</x:v>
      </x:c>
      <x:c r="B2652" s="10" t="str">
        <x:v>B</x:v>
      </x:c>
      <x:c r="C2652" s="18" t="n">
        <x:v>1e-7</x:v>
      </x:c>
      <x:c r="D2652" s="10" t="n">
        <x:v>560</x:v>
      </x:c>
      <x:c r="E2652" s="10" t="n">
        <x:v>0.803232019</x:v>
      </x:c>
      <x:c r="F2652" s="10" t="n">
        <x:v>0.004096</x:v>
      </x:c>
      <x:c r="G2652" s="10" t="n">
        <x:f>SUM(D2652:F2652)</x:f>
        <x:v>560.807328019</x:v>
      </x:c>
    </x:row>
    <x:row r="2653" ht="24" customHeight="1">
      <x:c r="A2653" s="10" t="str">
        <x:v>S05-05</x:v>
      </x:c>
      <x:c r="B2653" s="10" t="str">
        <x:v>B</x:v>
      </x:c>
      <x:c r="C2653" s="18" t="n">
        <x:v>0.906666567</x:v>
      </x:c>
      <x:c r="D2653" s="10" t="n">
        <x:v>560</x:v>
      </x:c>
      <x:c r="E2653" s="10" t="n">
        <x:v>0.977311981</x:v>
      </x:c>
      <x:c r="F2653" s="10" t="n">
        <x:v>0.004096</x:v>
      </x:c>
      <x:c r="G2653" s="10" t="n">
        <x:f>SUM(D2653:F2653)</x:f>
        <x:v>560.981407981</x:v>
      </x:c>
    </x:row>
    <x:row r="2654" ht="24" customHeight="1">
      <x:c r="A2654" s="10" t="str">
        <x:v>S05-05</x:v>
      </x:c>
      <x:c r="B2654" s="10" t="str">
        <x:v>B</x:v>
      </x:c>
      <x:c r="C2654" s="18" t="n">
        <x:v>0.906666667</x:v>
      </x:c>
      <x:c r="D2654" s="10" t="n">
        <x:v>560</x:v>
      </x:c>
      <x:c r="E2654" s="10" t="n">
        <x:v>0.977312</x:v>
      </x:c>
      <x:c r="F2654" s="10" t="n">
        <x:v>0.008192</x:v>
      </x:c>
      <x:c r="G2654" s="10" t="n">
        <x:f>SUM(D2654:F2654)</x:f>
        <x:v>560.985504</x:v>
      </x:c>
    </x:row>
    <x:row r="2655" ht="24" customHeight="1">
      <x:c r="A2655" s="10" t="str">
        <x:v>S05-05</x:v>
      </x:c>
      <x:c r="B2655" s="10" t="str">
        <x:v>B</x:v>
      </x:c>
      <x:c r="C2655" s="18" t="n">
        <x:v>0.906666767</x:v>
      </x:c>
      <x:c r="D2655" s="10" t="n">
        <x:v>560</x:v>
      </x:c>
      <x:c r="E2655" s="10" t="n">
        <x:v>0.977312019</x:v>
      </x:c>
      <x:c r="F2655" s="10" t="n">
        <x:v>0.008192</x:v>
      </x:c>
      <x:c r="G2655" s="10" t="n">
        <x:f>SUM(D2655:F2655)</x:f>
        <x:v>560.985504019</x:v>
      </x:c>
    </x:row>
    <x:row r="2656" ht="24" customHeight="1">
      <x:c r="A2656" s="10" t="str">
        <x:v>S05-05</x:v>
      </x:c>
      <x:c r="B2656" s="10" t="str">
        <x:v>B</x:v>
      </x:c>
      <x:c r="C2656" s="18" t="n">
        <x:v>1.006666567</x:v>
      </x:c>
      <x:c r="D2656" s="10" t="n">
        <x:v>560</x:v>
      </x:c>
      <x:c r="E2656" s="10" t="n">
        <x:v>0.996511981</x:v>
      </x:c>
      <x:c r="F2656" s="10" t="n">
        <x:v>0.008192</x:v>
      </x:c>
      <x:c r="G2656" s="10" t="n">
        <x:f>SUM(D2656:F2656)</x:f>
        <x:v>561.004703981</x:v>
      </x:c>
    </x:row>
    <x:row r="2657" ht="24" customHeight="1">
      <x:c r="A2657" s="10" t="str">
        <x:v>S05-05</x:v>
      </x:c>
      <x:c r="B2657" s="10" t="str">
        <x:v>B</x:v>
      </x:c>
      <x:c r="C2657" s="18" t="n">
        <x:v>1.006666667</x:v>
      </x:c>
      <x:c r="D2657" s="10" t="n">
        <x:v>560</x:v>
      </x:c>
      <x:c r="E2657" s="10" t="n">
        <x:v>0.996512</x:v>
      </x:c>
      <x:c r="F2657" s="10" t="n">
        <x:v>0.008192</x:v>
      </x:c>
      <x:c r="G2657" s="10" t="n">
        <x:f>SUM(D2657:F2657)</x:f>
        <x:v>561.0047040000001</x:v>
      </x:c>
    </x:row>
    <x:row r="2658" ht="24" customHeight="1">
      <x:c r="A2658" s="10" t="str">
        <x:v>S05-05</x:v>
      </x:c>
      <x:c r="B2658" s="10" t="str">
        <x:v>B</x:v>
      </x:c>
      <x:c r="C2658" s="18" t="n">
        <x:v>1.006666767</x:v>
      </x:c>
      <x:c r="D2658" s="10" t="n">
        <x:v>560</x:v>
      </x:c>
      <x:c r="E2658" s="10" t="n">
        <x:v>0.996512</x:v>
      </x:c>
      <x:c r="F2658" s="10" t="n">
        <x:v>0.008192</x:v>
      </x:c>
      <x:c r="G2658" s="10" t="n">
        <x:f>SUM(D2658:F2658)</x:f>
        <x:v>561.0047040000001</x:v>
      </x:c>
    </x:row>
    <x:row r="2659" ht="24" customHeight="1">
      <x:c r="A2659" s="10" t="str">
        <x:v>S05-05</x:v>
      </x:c>
      <x:c r="B2659" s="10" t="str">
        <x:v>B</x:v>
      </x:c>
      <x:c r="C2659" s="18" t="n">
        <x:v>1.307666567</x:v>
      </x:c>
      <x:c r="D2659" s="10" t="n">
        <x:v>560</x:v>
      </x:c>
      <x:c r="E2659" s="10" t="n">
        <x:v>0.996512</x:v>
      </x:c>
      <x:c r="F2659" s="10" t="n">
        <x:v>0.008192</x:v>
      </x:c>
      <x:c r="G2659" s="10" t="n">
        <x:f>SUM(D2659:F2659)</x:f>
        <x:v>561.0047040000001</x:v>
      </x:c>
    </x:row>
    <x:row r="2660" ht="24" customHeight="1">
      <x:c r="A2660" s="10" t="str">
        <x:v>S05-05</x:v>
      </x:c>
      <x:c r="B2660" s="10" t="str">
        <x:v>B</x:v>
      </x:c>
      <x:c r="C2660" s="18" t="n">
        <x:v>1.307666667</x:v>
      </x:c>
      <x:c r="D2660" s="10" t="n">
        <x:v>560</x:v>
      </x:c>
      <x:c r="E2660" s="10" t="n">
        <x:v>1.006112</x:v>
      </x:c>
      <x:c r="F2660" s="10" t="n">
        <x:v>0.008192</x:v>
      </x:c>
      <x:c r="G2660" s="10" t="n">
        <x:f>SUM(D2660:F2660)</x:f>
        <x:v>561.014304</x:v>
      </x:c>
    </x:row>
    <x:row r="2661" ht="24" customHeight="1">
      <x:c r="A2661" s="10" t="str">
        <x:v>S05-05</x:v>
      </x:c>
      <x:c r="B2661" s="10" t="str">
        <x:v>B</x:v>
      </x:c>
      <x:c r="C2661" s="18" t="n">
        <x:v>1.307666767</x:v>
      </x:c>
      <x:c r="D2661" s="10" t="n">
        <x:v>560</x:v>
      </x:c>
      <x:c r="E2661" s="10" t="n">
        <x:v>1.006112019</x:v>
      </x:c>
      <x:c r="F2661" s="10" t="n">
        <x:v>0.008192</x:v>
      </x:c>
      <x:c r="G2661" s="10" t="n">
        <x:f>SUM(D2661:F2661)</x:f>
        <x:v>561.0143040190001</x:v>
      </x:c>
    </x:row>
    <x:row r="2662" ht="24" customHeight="1">
      <x:c r="A2662" s="10" t="str">
        <x:v>S05-05</x:v>
      </x:c>
      <x:c r="B2662" s="10" t="str">
        <x:v>B</x:v>
      </x:c>
      <x:c r="C2662" s="18" t="n">
        <x:v>1.347666567</x:v>
      </x:c>
      <x:c r="D2662" s="10" t="n">
        <x:v>560</x:v>
      </x:c>
      <x:c r="E2662" s="10" t="n">
        <x:v>1.013791981</x:v>
      </x:c>
      <x:c r="F2662" s="10" t="n">
        <x:v>0.008192</x:v>
      </x:c>
      <x:c r="G2662" s="10" t="n">
        <x:f>SUM(D2662:F2662)</x:f>
        <x:v>561.0219839810001</x:v>
      </x:c>
    </x:row>
    <x:row r="2663" ht="24" customHeight="1">
      <x:c r="A2663" s="10" t="str">
        <x:v>S05-05</x:v>
      </x:c>
      <x:c r="B2663" s="10" t="str">
        <x:v>B</x:v>
      </x:c>
      <x:c r="C2663" s="18" t="n">
        <x:v>1.347666667</x:v>
      </x:c>
      <x:c r="D2663" s="10" t="n">
        <x:v>560</x:v>
      </x:c>
      <x:c r="E2663" s="10" t="n">
        <x:v>1.013792</x:v>
      </x:c>
      <x:c r="F2663" s="10" t="n">
        <x:v>0.008192</x:v>
      </x:c>
      <x:c r="G2663" s="10" t="n">
        <x:f>SUM(D2663:F2663)</x:f>
        <x:v>561.021984</x:v>
      </x:c>
    </x:row>
    <x:row r="2664" ht="24" customHeight="1">
      <x:c r="A2664" s="10" t="str">
        <x:v>S05-05</x:v>
      </x:c>
      <x:c r="B2664" s="10" t="str">
        <x:v>B</x:v>
      </x:c>
      <x:c r="C2664" s="18" t="n">
        <x:v>1.347666767</x:v>
      </x:c>
      <x:c r="D2664" s="10" t="n">
        <x:v>560</x:v>
      </x:c>
      <x:c r="E2664" s="10" t="n">
        <x:v>1.013792015</x:v>
      </x:c>
      <x:c r="F2664" s="10" t="n">
        <x:v>0.008192</x:v>
      </x:c>
      <x:c r="G2664" s="10" t="n">
        <x:f>SUM(D2664:F2664)</x:f>
        <x:v>561.021984015</x:v>
      </x:c>
    </x:row>
    <x:row r="2665" ht="24" customHeight="1">
      <x:c r="A2665" s="10" t="str">
        <x:v>S05-05</x:v>
      </x:c>
      <x:c r="B2665" s="10" t="str">
        <x:v>B</x:v>
      </x:c>
      <x:c r="C2665" s="18" t="n">
        <x:v>1.956166567</x:v>
      </x:c>
      <x:c r="D2665" s="10" t="n">
        <x:v>560</x:v>
      </x:c>
      <x:c r="E2665" s="10" t="n">
        <x:v>1.101415986</x:v>
      </x:c>
      <x:c r="F2665" s="10" t="n">
        <x:v>0.008192</x:v>
      </x:c>
      <x:c r="G2665" s="10" t="n">
        <x:f>SUM(D2665:F2665)</x:f>
        <x:v>561.109607986</x:v>
      </x:c>
    </x:row>
    <x:row r="2666" ht="24" customHeight="1">
      <x:c r="A2666" s="10" t="str">
        <x:v>S05-05</x:v>
      </x:c>
      <x:c r="B2666" s="10" t="str">
        <x:v>B</x:v>
      </x:c>
      <x:c r="C2666" s="18" t="n">
        <x:v>1.956166667</x:v>
      </x:c>
      <x:c r="D2666" s="10" t="n">
        <x:v>560</x:v>
      </x:c>
      <x:c r="E2666" s="10" t="n">
        <x:v>1.101416</x:v>
      </x:c>
      <x:c r="F2666" s="10" t="n">
        <x:v>0.008192</x:v>
      </x:c>
      <x:c r="G2666" s="10" t="n">
        <x:f>SUM(D2666:F2666)</x:f>
        <x:v>561.109608</x:v>
      </x:c>
    </x:row>
    <x:row r="2667" ht="24" customHeight="1">
      <x:c r="A2667" s="10" t="str">
        <x:v>S05-05</x:v>
      </x:c>
      <x:c r="B2667" s="10" t="str">
        <x:v>B</x:v>
      </x:c>
      <x:c r="C2667" s="18" t="n">
        <x:v>1.956166767</x:v>
      </x:c>
      <x:c r="D2667" s="10" t="n">
        <x:v>560</x:v>
      </x:c>
      <x:c r="E2667" s="10" t="n">
        <x:v>1.101415995</x:v>
      </x:c>
      <x:c r="F2667" s="10" t="n">
        <x:v>0.008192</x:v>
      </x:c>
      <x:c r="G2667" s="10" t="n">
        <x:f>SUM(D2667:F2667)</x:f>
        <x:v>561.109607995</x:v>
      </x:c>
    </x:row>
    <x:row r="2668" ht="24" customHeight="1">
      <x:c r="A2668" s="10" t="str">
        <x:v>S05-05</x:v>
      </x:c>
      <x:c r="B2668" s="10" t="str">
        <x:v>B</x:v>
      </x:c>
      <x:c r="C2668" s="18" t="n">
        <x:v>4.141666567</x:v>
      </x:c>
      <x:c r="D2668" s="10" t="n">
        <x:v>560</x:v>
      </x:c>
      <x:c r="E2668" s="10" t="n">
        <x:v>0.996512005</x:v>
      </x:c>
      <x:c r="F2668" s="10" t="n">
        <x:v>0.008192</x:v>
      </x:c>
      <x:c r="G2668" s="10" t="n">
        <x:f>SUM(D2668:F2668)</x:f>
        <x:v>561.004704005</x:v>
      </x:c>
    </x:row>
    <x:row r="2669" ht="24" customHeight="1">
      <x:c r="A2669" s="10" t="str">
        <x:v>S05-05</x:v>
      </x:c>
      <x:c r="B2669" s="10" t="str">
        <x:v>B</x:v>
      </x:c>
      <x:c r="C2669" s="18" t="n">
        <x:v>4.141666667</x:v>
      </x:c>
      <x:c r="D2669" s="10" t="n">
        <x:v>560</x:v>
      </x:c>
      <x:c r="E2669" s="10" t="n">
        <x:v>0.996512</x:v>
      </x:c>
      <x:c r="F2669" s="10" t="n">
        <x:v>0.012288</x:v>
      </x:c>
      <x:c r="G2669" s="10" t="n">
        <x:f>SUM(D2669:F2669)</x:f>
        <x:v>561.0088000000001</x:v>
      </x:c>
    </x:row>
    <x:row r="2670" ht="24" customHeight="1">
      <x:c r="A2670" s="10" t="str">
        <x:v>S05-05</x:v>
      </x:c>
      <x:c r="B2670" s="10" t="str">
        <x:v>B</x:v>
      </x:c>
      <x:c r="C2670" s="18" t="n">
        <x:v>4.141666767</x:v>
      </x:c>
      <x:c r="D2670" s="10" t="n">
        <x:v>560</x:v>
      </x:c>
      <x:c r="E2670" s="10" t="n">
        <x:v>0.996512</x:v>
      </x:c>
      <x:c r="F2670" s="10" t="n">
        <x:v>0.008192</x:v>
      </x:c>
      <x:c r="G2670" s="10" t="n">
        <x:f>SUM(D2670:F2670)</x:f>
        <x:v>561.0047040000001</x:v>
      </x:c>
    </x:row>
    <x:row r="2671" ht="24" customHeight="1">
      <x:c r="A2671" s="10" t="str">
        <x:v>S05-05</x:v>
      </x:c>
      <x:c r="B2671" s="10" t="str">
        <x:v>B</x:v>
      </x:c>
      <x:c r="C2671" s="18" t="n">
        <x:v>4.181666567</x:v>
      </x:c>
      <x:c r="D2671" s="10" t="n">
        <x:v>560</x:v>
      </x:c>
      <x:c r="E2671" s="10" t="n">
        <x:v>0.996512</x:v>
      </x:c>
      <x:c r="F2671" s="10" t="n">
        <x:v>0.008192</x:v>
      </x:c>
      <x:c r="G2671" s="10" t="n">
        <x:f>SUM(D2671:F2671)</x:f>
        <x:v>561.0047040000001</x:v>
      </x:c>
    </x:row>
    <x:row r="2672" ht="24" customHeight="1">
      <x:c r="A2672" s="10" t="str">
        <x:v>S05-05</x:v>
      </x:c>
      <x:c r="B2672" s="10" t="str">
        <x:v>B</x:v>
      </x:c>
      <x:c r="C2672" s="18" t="n">
        <x:v>4.181666667</x:v>
      </x:c>
      <x:c r="D2672" s="10" t="n">
        <x:v>560</x:v>
      </x:c>
      <x:c r="E2672" s="10" t="n">
        <x:v>0.996512</x:v>
      </x:c>
      <x:c r="F2672" s="10" t="n">
        <x:v>0.008192</x:v>
      </x:c>
      <x:c r="G2672" s="10" t="n">
        <x:f>SUM(D2672:F2672)</x:f>
        <x:v>561.0047040000001</x:v>
      </x:c>
    </x:row>
    <x:row r="2673" ht="24" customHeight="1">
      <x:c r="A2673" s="10" t="str">
        <x:v>S05-05</x:v>
      </x:c>
      <x:c r="B2673" s="10" t="str">
        <x:v>B</x:v>
      </x:c>
      <x:c r="C2673" s="18" t="n">
        <x:v>4.181666767</x:v>
      </x:c>
      <x:c r="D2673" s="10" t="n">
        <x:v>560</x:v>
      </x:c>
      <x:c r="E2673" s="10" t="n">
        <x:v>0.996511995</x:v>
      </x:c>
      <x:c r="F2673" s="10" t="n">
        <x:v>0.008192</x:v>
      </x:c>
      <x:c r="G2673" s="10" t="n">
        <x:f>SUM(D2673:F2673)</x:f>
        <x:v>561.004703995</x:v>
      </x:c>
    </x:row>
    <x:row r="2674" ht="24" customHeight="1">
      <x:c r="A2674" s="10" t="str">
        <x:v>S05-05</x:v>
      </x:c>
      <x:c r="B2674" s="10" t="str">
        <x:v>B</x:v>
      </x:c>
      <x:c r="C2674" s="18" t="n">
        <x:v>4.6569999</x:v>
      </x:c>
      <x:c r="D2674" s="10" t="n">
        <x:v>560</x:v>
      </x:c>
      <x:c r="E2674" s="10" t="n">
        <x:v>0.973696005</x:v>
      </x:c>
      <x:c r="F2674" s="10" t="n">
        <x:v>0.008192</x:v>
      </x:c>
      <x:c r="G2674" s="10" t="n">
        <x:f>SUM(D2674:F2674)</x:f>
        <x:v>560.981888005</x:v>
      </x:c>
    </x:row>
    <x:row r="2675" ht="24" customHeight="1">
      <x:c r="A2675" s="10" t="str">
        <x:v>S05-05</x:v>
      </x:c>
      <x:c r="B2675" s="10" t="str">
        <x:v>B</x:v>
      </x:c>
      <x:c r="C2675" s="18" t="n">
        <x:v>4.657</x:v>
      </x:c>
      <x:c r="D2675" s="10" t="n">
        <x:v>560</x:v>
      </x:c>
      <x:c r="E2675" s="10" t="n">
        <x:v>0.983296</x:v>
      </x:c>
      <x:c r="F2675" s="10" t="n">
        <x:v>0.008192</x:v>
      </x:c>
      <x:c r="G2675" s="10" t="n">
        <x:f>SUM(D2675:F2675)</x:f>
        <x:v>560.991488</x:v>
      </x:c>
    </x:row>
    <x:row r="2676" ht="24" customHeight="1">
      <x:c r="A2676" s="10" t="str">
        <x:v>S05-05</x:v>
      </x:c>
      <x:c r="B2676" s="10" t="str">
        <x:v>B</x:v>
      </x:c>
      <x:c r="C2676" s="18" t="n">
        <x:v>4.6570001</x:v>
      </x:c>
      <x:c r="D2676" s="10" t="n">
        <x:v>560</x:v>
      </x:c>
      <x:c r="E2676" s="10" t="n">
        <x:v>0.983296015</x:v>
      </x:c>
      <x:c r="F2676" s="10" t="n">
        <x:v>0.008192</x:v>
      </x:c>
      <x:c r="G2676" s="10" t="n">
        <x:f>SUM(D2676:F2676)</x:f>
        <x:v>560.991488015</x:v>
      </x:c>
    </x:row>
    <x:row r="2677" ht="24" customHeight="1">
      <x:c r="A2677" s="10" t="str">
        <x:v>S05-05</x:v>
      </x:c>
      <x:c r="B2677" s="10" t="str">
        <x:v>B</x:v>
      </x:c>
      <x:c r="C2677" s="18" t="n">
        <x:v>8.224166566</x:v>
      </x:c>
      <x:c r="D2677" s="10" t="n">
        <x:v>560</x:v>
      </x:c>
      <x:c r="E2677" s="10" t="n">
        <x:v>1.496967986</x:v>
      </x:c>
      <x:c r="F2677" s="10" t="n">
        <x:v>0.008192</x:v>
      </x:c>
      <x:c r="G2677" s="10" t="n">
        <x:f>SUM(D2677:F2677)</x:f>
        <x:v>561.505159986</x:v>
      </x:c>
    </x:row>
    <x:row r="2678" ht="24" customHeight="1">
      <x:c r="A2678" s="10" t="str">
        <x:v>S05-05</x:v>
      </x:c>
      <x:c r="B2678" s="10" t="str">
        <x:v>B</x:v>
      </x:c>
      <x:c r="C2678" s="18" t="n">
        <x:v>8.224166666</x:v>
      </x:c>
      <x:c r="D2678" s="10" t="n">
        <x:v>560</x:v>
      </x:c>
      <x:c r="E2678" s="10" t="n">
        <x:v>1.496968</x:v>
      </x:c>
      <x:c r="F2678" s="10" t="n">
        <x:v>0.008192</x:v>
      </x:c>
      <x:c r="G2678" s="10" t="n">
        <x:f>SUM(D2678:F2678)</x:f>
        <x:v>561.50516</x:v>
      </x:c>
    </x:row>
    <x:row r="2679" ht="24" customHeight="1">
      <x:c r="A2679" s="10" t="str">
        <x:v>S05-05</x:v>
      </x:c>
      <x:c r="B2679" s="10" t="str">
        <x:v>B</x:v>
      </x:c>
      <x:c r="C2679" s="18" t="n">
        <x:v>8.224166766</x:v>
      </x:c>
      <x:c r="D2679" s="10" t="n">
        <x:v>560</x:v>
      </x:c>
      <x:c r="E2679" s="10" t="n">
        <x:v>1.496967995</x:v>
      </x:c>
      <x:c r="F2679" s="10" t="n">
        <x:v>0.008192</x:v>
      </x:c>
      <x:c r="G2679" s="10" t="n">
        <x:f>SUM(D2679:F2679)</x:f>
        <x:v>561.505159995</x:v>
      </x:c>
    </x:row>
    <x:row r="2680" ht="24" customHeight="1">
      <x:c r="A2680" s="10" t="str">
        <x:v>S05-05</x:v>
      </x:c>
      <x:c r="B2680" s="10" t="str">
        <x:v>B</x:v>
      </x:c>
      <x:c r="C2680" s="18" t="n">
        <x:v>24.942333236</x:v>
      </x:c>
      <x:c r="D2680" s="10" t="n">
        <x:v>560</x:v>
      </x:c>
      <x:c r="E2680" s="10" t="n">
        <x:v>0.694496005</x:v>
      </x:c>
      <x:c r="F2680" s="10" t="n">
        <x:v>0.008192</x:v>
      </x:c>
      <x:c r="G2680" s="10" t="n">
        <x:f>SUM(D2680:F2680)</x:f>
        <x:v>560.702688005</x:v>
      </x:c>
    </x:row>
    <x:row r="2681" ht="24" customHeight="1">
      <x:c r="A2681" s="10" t="str">
        <x:v>S05-05</x:v>
      </x:c>
      <x:c r="B2681" s="10" t="str">
        <x:v>B</x:v>
      </x:c>
      <x:c r="C2681" s="18" t="n">
        <x:v>24.942333336</x:v>
      </x:c>
      <x:c r="D2681" s="10" t="n">
        <x:v>560</x:v>
      </x:c>
      <x:c r="E2681" s="10" t="n">
        <x:v>0.694496</x:v>
      </x:c>
      <x:c r="F2681" s="10" t="n">
        <x:v>0.008192</x:v>
      </x:c>
      <x:c r="G2681" s="10" t="n">
        <x:f>SUM(D2681:F2681)</x:f>
        <x:v>560.702688</x:v>
      </x:c>
    </x:row>
    <x:row r="2682" ht="24" customHeight="1">
      <x:c r="A2682" s="10" t="str">
        <x:v>S05-05</x:v>
      </x:c>
      <x:c r="B2682" s="10" t="str">
        <x:v>B</x:v>
      </x:c>
      <x:c r="C2682" s="18" t="n">
        <x:v>24.942333436</x:v>
      </x:c>
      <x:c r="D2682" s="10" t="n">
        <x:v>560</x:v>
      </x:c>
      <x:c r="E2682" s="10" t="n">
        <x:v>0.694496</x:v>
      </x:c>
      <x:c r="F2682" s="10" t="n">
        <x:v>0.004096</x:v>
      </x:c>
      <x:c r="G2682" s="10" t="n">
        <x:f>SUM(D2682:F2682)</x:f>
        <x:v>560.698592</x:v>
      </x:c>
    </x:row>
    <x:row r="2683" ht="24" customHeight="1">
      <x:c r="A2683" s="10" t="str">
        <x:v>S05-05</x:v>
      </x:c>
      <x:c r="B2683" s="10" t="str">
        <x:v>B</x:v>
      </x:c>
      <x:c r="C2683" s="18" t="n">
        <x:v>24.982333236</x:v>
      </x:c>
      <x:c r="D2683" s="10" t="n">
        <x:v>560</x:v>
      </x:c>
      <x:c r="E2683" s="10" t="n">
        <x:v>0.694496</x:v>
      </x:c>
      <x:c r="F2683" s="10" t="n">
        <x:v>0.004096</x:v>
      </x:c>
      <x:c r="G2683" s="10" t="n">
        <x:f>SUM(D2683:F2683)</x:f>
        <x:v>560.698592</x:v>
      </x:c>
    </x:row>
    <x:row r="2684" ht="24" customHeight="1">
      <x:c r="A2684" s="10" t="str">
        <x:v>S05-05</x:v>
      </x:c>
      <x:c r="B2684" s="10" t="str">
        <x:v>B</x:v>
      </x:c>
      <x:c r="C2684" s="18" t="n">
        <x:v>24.982333336</x:v>
      </x:c>
      <x:c r="D2684" s="10" t="n">
        <x:v>560</x:v>
      </x:c>
      <x:c r="E2684" s="10" t="n">
        <x:v>0.694496</x:v>
      </x:c>
      <x:c r="F2684" s="10" t="n">
        <x:v>0.004096</x:v>
      </x:c>
      <x:c r="G2684" s="10" t="n">
        <x:f>SUM(D2684:F2684)</x:f>
        <x:v>560.698592</x:v>
      </x:c>
    </x:row>
    <x:row r="2685" ht="24" customHeight="1">
      <x:c r="A2685" s="10" t="str">
        <x:v>S05-05</x:v>
      </x:c>
      <x:c r="B2685" s="10" t="str">
        <x:v>B</x:v>
      </x:c>
      <x:c r="C2685" s="18" t="n">
        <x:v>24.982333436</x:v>
      </x:c>
      <x:c r="D2685" s="10" t="n">
        <x:v>560</x:v>
      </x:c>
      <x:c r="E2685" s="10" t="n">
        <x:v>0.694495995</x:v>
      </x:c>
      <x:c r="F2685" s="10" t="n">
        <x:v>0.004096</x:v>
      </x:c>
      <x:c r="G2685" s="10" t="n">
        <x:f>SUM(D2685:F2685)</x:f>
        <x:v>560.698591995</x:v>
      </x:c>
    </x:row>
    <x:row r="2686" ht="24" customHeight="1">
      <x:c r="A2686" s="10" t="str">
        <x:v>S05-05</x:v>
      </x:c>
      <x:c r="B2686" s="10" t="str">
        <x:v>B</x:v>
      </x:c>
      <x:c r="C2686" s="18" t="n">
        <x:v>39.4509999</x:v>
      </x:c>
      <x:c r="D2686" s="10" t="n">
        <x:v>560</x:v>
      </x:c>
      <x:c r="E2686" s="10" t="n">
        <x:v>5e-9</x:v>
      </x:c>
      <x:c r="F2686" s="10" t="n">
        <x:v>0.004096</x:v>
      </x:c>
      <x:c r="G2686" s="10" t="n">
        <x:f>SUM(D2686:F2686)</x:f>
        <x:v>560.004096005</x:v>
      </x:c>
    </x:row>
    <x:row r="2687" ht="24" customHeight="1">
      <x:c r="A2687" s="10" t="str">
        <x:v>S05-05</x:v>
      </x:c>
      <x:c r="B2687" s="10" t="str">
        <x:v>B</x:v>
      </x:c>
      <x:c r="C2687" s="18" t="n">
        <x:v>39.451</x:v>
      </x:c>
      <x:c r="D2687" s="10" t="n">
        <x:v>560</x:v>
      </x:c>
      <x:c r="E2687" s="10" t="n">
        <x:v>0</x:v>
      </x:c>
      <x:c r="F2687" s="10" t="n">
        <x:v>0.004096</x:v>
      </x:c>
      <x:c r="G2687" s="10" t="n">
        <x:f>SUM(D2687:F2687)</x:f>
        <x:v>560.004096</x:v>
      </x:c>
    </x:row>
    <x:row r="2688" ht="24" customHeight="1">
      <x:c r="A2688" s="10" t="str">
        <x:v>S05-05</x:v>
      </x:c>
      <x:c r="B2688" s="10" t="str">
        <x:v>B</x:v>
      </x:c>
      <x:c r="C2688" s="18" t="n">
        <x:v>39.4510001</x:v>
      </x:c>
      <x:c r="D2688" s="10" t="n">
        <x:v>560</x:v>
      </x:c>
      <x:c r="E2688" s="10" t="n">
        <x:v>0</x:v>
      </x:c>
      <x:c r="F2688" s="10" t="n">
        <x:v>0</x:v>
      </x:c>
      <x:c r="G2688" s="10" t="n">
        <x:f>SUM(D2688:F2688)</x:f>
        <x:v>560</x:v>
      </x:c>
    </x:row>
    <x:row r="2689" ht="24" customHeight="1">
      <x:c r="A2689" s="10" t="str">
        <x:v>S05-06</x:v>
      </x:c>
      <x:c r="B2689" s="10" t="str">
        <x:v>A</x:v>
      </x:c>
      <x:c r="C2689" s="18" t="n">
        <x:v>-6.0000001</x:v>
      </x:c>
      <x:c r="D2689" s="10" t="n">
        <x:v>560</x:v>
      </x:c>
      <x:c r="E2689" s="10" t="n">
        <x:v>0</x:v>
      </x:c>
      <x:c r="F2689" s="10" t="n">
        <x:v>0</x:v>
      </x:c>
      <x:c r="G2689" s="10" t="n">
        <x:f>SUM(D2689:F2689)</x:f>
        <x:v>560</x:v>
      </x:c>
    </x:row>
    <x:row r="2690" ht="24" customHeight="1">
      <x:c r="A2690" s="10" t="str">
        <x:v>S05-06</x:v>
      </x:c>
      <x:c r="B2690" s="10" t="str">
        <x:v>A</x:v>
      </x:c>
      <x:c r="C2690" s="18" t="n">
        <x:v>-6</x:v>
      </x:c>
      <x:c r="D2690" s="10" t="n">
        <x:v>560</x:v>
      </x:c>
      <x:c r="E2690" s="10" t="n">
        <x:v>0</x:v>
      </x:c>
      <x:c r="F2690" s="10" t="n">
        <x:v>0</x:v>
      </x:c>
      <x:c r="G2690" s="10" t="n">
        <x:f>SUM(D2690:F2690)</x:f>
        <x:v>560</x:v>
      </x:c>
    </x:row>
    <x:row r="2691" ht="24" customHeight="1">
      <x:c r="A2691" s="10" t="str">
        <x:v>S05-06</x:v>
      </x:c>
      <x:c r="B2691" s="10" t="str">
        <x:v>A</x:v>
      </x:c>
      <x:c r="C2691" s="18" t="n">
        <x:v>-5.9999999</x:v>
      </x:c>
      <x:c r="D2691" s="10" t="n">
        <x:v>560</x:v>
      </x:c>
      <x:c r="E2691" s="10" t="n">
        <x:v>0</x:v>
      </x:c>
      <x:c r="F2691" s="10" t="n">
        <x:v>0</x:v>
      </x:c>
      <x:c r="G2691" s="10" t="n">
        <x:f>SUM(D2691:F2691)</x:f>
        <x:v>560</x:v>
      </x:c>
    </x:row>
    <x:row r="2692" ht="24" customHeight="1">
      <x:c r="A2692" s="10" t="str">
        <x:v>S05-06</x:v>
      </x:c>
      <x:c r="B2692" s="10" t="str">
        <x:v>A</x:v>
      </x:c>
      <x:c r="C2692" s="18" t="n">
        <x:v>-4.8000001</x:v>
      </x:c>
      <x:c r="D2692" s="10" t="n">
        <x:v>560</x:v>
      </x:c>
      <x:c r="E2692" s="10" t="n">
        <x:v>0</x:v>
      </x:c>
      <x:c r="F2692" s="10" t="n">
        <x:v>0</x:v>
      </x:c>
      <x:c r="G2692" s="10" t="n">
        <x:f>SUM(D2692:F2692)</x:f>
        <x:v>560</x:v>
      </x:c>
    </x:row>
    <x:row r="2693" ht="24" customHeight="1">
      <x:c r="A2693" s="10" t="str">
        <x:v>S05-06</x:v>
      </x:c>
      <x:c r="B2693" s="10" t="str">
        <x:v>A</x:v>
      </x:c>
      <x:c r="C2693" s="18" t="n">
        <x:v>-4.8</x:v>
      </x:c>
      <x:c r="D2693" s="10" t="n">
        <x:v>560</x:v>
      </x:c>
      <x:c r="E2693" s="10" t="n">
        <x:v>0</x:v>
      </x:c>
      <x:c r="F2693" s="10" t="n">
        <x:v>0.004096</x:v>
      </x:c>
      <x:c r="G2693" s="10" t="n">
        <x:f>SUM(D2693:F2693)</x:f>
        <x:v>560.004096</x:v>
      </x:c>
    </x:row>
    <x:row r="2694" ht="24" customHeight="1">
      <x:c r="A2694" s="10" t="str">
        <x:v>S05-06</x:v>
      </x:c>
      <x:c r="B2694" s="10" t="str">
        <x:v>A</x:v>
      </x:c>
      <x:c r="C2694" s="18" t="n">
        <x:v>-4.7999999</x:v>
      </x:c>
      <x:c r="D2694" s="10" t="n">
        <x:v>560</x:v>
      </x:c>
      <x:c r="E2694" s="10" t="n">
        <x:v>0</x:v>
      </x:c>
      <x:c r="F2694" s="10" t="n">
        <x:v>0.004096</x:v>
      </x:c>
      <x:c r="G2694" s="10" t="n">
        <x:f>SUM(D2694:F2694)</x:f>
        <x:v>560.004096</x:v>
      </x:c>
    </x:row>
    <x:row r="2695" ht="24" customHeight="1">
      <x:c r="A2695" s="10" t="str">
        <x:v>S05-06</x:v>
      </x:c>
      <x:c r="B2695" s="10" t="str">
        <x:v>A</x:v>
      </x:c>
      <x:c r="C2695" s="18" t="n">
        <x:v>-4.324666767</x:v>
      </x:c>
      <x:c r="D2695" s="10" t="n">
        <x:v>560</x:v>
      </x:c>
      <x:c r="E2695" s="10" t="n">
        <x:v>0</x:v>
      </x:c>
      <x:c r="F2695" s="10" t="n">
        <x:v>0.004096</x:v>
      </x:c>
      <x:c r="G2695" s="10" t="n">
        <x:f>SUM(D2695:F2695)</x:f>
        <x:v>560.004096</x:v>
      </x:c>
    </x:row>
    <x:row r="2696" ht="24" customHeight="1">
      <x:c r="A2696" s="10" t="str">
        <x:v>S05-06</x:v>
      </x:c>
      <x:c r="B2696" s="10" t="str">
        <x:v>A</x:v>
      </x:c>
      <x:c r="C2696" s="18" t="n">
        <x:v>-4.324666667</x:v>
      </x:c>
      <x:c r="D2696" s="10" t="n">
        <x:v>560</x:v>
      </x:c>
      <x:c r="E2696" s="10" t="n">
        <x:v>0.0096</x:v>
      </x:c>
      <x:c r="F2696" s="10" t="n">
        <x:v>0.004096</x:v>
      </x:c>
      <x:c r="G2696" s="10" t="n">
        <x:f>SUM(D2696:F2696)</x:f>
        <x:v>560.013696</x:v>
      </x:c>
    </x:row>
    <x:row r="2697" ht="24" customHeight="1">
      <x:c r="A2697" s="10" t="str">
        <x:v>S05-06</x:v>
      </x:c>
      <x:c r="B2697" s="10" t="str">
        <x:v>A</x:v>
      </x:c>
      <x:c r="C2697" s="18" t="n">
        <x:v>-4.324666567</x:v>
      </x:c>
      <x:c r="D2697" s="10" t="n">
        <x:v>560</x:v>
      </x:c>
      <x:c r="E2697" s="10" t="n">
        <x:v>0.009600019</x:v>
      </x:c>
      <x:c r="F2697" s="10" t="n">
        <x:v>0.004096</x:v>
      </x:c>
      <x:c r="G2697" s="10" t="n">
        <x:f>SUM(D2697:F2697)</x:f>
        <x:v>560.013696019</x:v>
      </x:c>
    </x:row>
    <x:row r="2698" ht="24" customHeight="1">
      <x:c r="A2698" s="10" t="str">
        <x:v>S05-06</x:v>
      </x:c>
      <x:c r="B2698" s="10" t="str">
        <x:v>A</x:v>
      </x:c>
      <x:c r="C2698" s="18" t="n">
        <x:v>-4.284666767</x:v>
      </x:c>
      <x:c r="D2698" s="10" t="n">
        <x:v>560</x:v>
      </x:c>
      <x:c r="E2698" s="10" t="n">
        <x:v>0.017279981</x:v>
      </x:c>
      <x:c r="F2698" s="10" t="n">
        <x:v>0.004096</x:v>
      </x:c>
      <x:c r="G2698" s="10" t="n">
        <x:f>SUM(D2698:F2698)</x:f>
        <x:v>560.021375981</x:v>
      </x:c>
    </x:row>
    <x:row r="2699" ht="24" customHeight="1">
      <x:c r="A2699" s="10" t="str">
        <x:v>S05-06</x:v>
      </x:c>
      <x:c r="B2699" s="10" t="str">
        <x:v>A</x:v>
      </x:c>
      <x:c r="C2699" s="18" t="n">
        <x:v>-4.284666667</x:v>
      </x:c>
      <x:c r="D2699" s="10" t="n">
        <x:v>560</x:v>
      </x:c>
      <x:c r="E2699" s="10" t="n">
        <x:v>0.01728</x:v>
      </x:c>
      <x:c r="F2699" s="10" t="n">
        <x:v>0.004096</x:v>
      </x:c>
      <x:c r="G2699" s="10" t="n">
        <x:f>SUM(D2699:F2699)</x:f>
        <x:v>560.021376</x:v>
      </x:c>
    </x:row>
    <x:row r="2700" ht="24" customHeight="1">
      <x:c r="A2700" s="10" t="str">
        <x:v>S05-06</x:v>
      </x:c>
      <x:c r="B2700" s="10" t="str">
        <x:v>A</x:v>
      </x:c>
      <x:c r="C2700" s="18" t="n">
        <x:v>-4.284666567</x:v>
      </x:c>
      <x:c r="D2700" s="10" t="n">
        <x:v>560</x:v>
      </x:c>
      <x:c r="E2700" s="10" t="n">
        <x:v>0.017280014</x:v>
      </x:c>
      <x:c r="F2700" s="10" t="n">
        <x:v>0.004096</x:v>
      </x:c>
      <x:c r="G2700" s="10" t="n">
        <x:f>SUM(D2700:F2700)</x:f>
        <x:v>560.021376014</x:v>
      </x:c>
    </x:row>
    <x:row r="2701" ht="24" customHeight="1">
      <x:c r="A2701" s="10" t="str">
        <x:v>S05-06</x:v>
      </x:c>
      <x:c r="B2701" s="10" t="str">
        <x:v>A</x:v>
      </x:c>
      <x:c r="C2701" s="18" t="n">
        <x:v>-3.5200001</x:v>
      </x:c>
      <x:c r="D2701" s="10" t="n">
        <x:v>560</x:v>
      </x:c>
      <x:c r="E2701" s="10" t="n">
        <x:v>0.127391986</x:v>
      </x:c>
      <x:c r="F2701" s="10" t="n">
        <x:v>0.004096</x:v>
      </x:c>
      <x:c r="G2701" s="10" t="n">
        <x:f>SUM(D2701:F2701)</x:f>
        <x:v>560.131487986</x:v>
      </x:c>
    </x:row>
    <x:row r="2702" ht="24" customHeight="1">
      <x:c r="A2702" s="10" t="str">
        <x:v>S05-06</x:v>
      </x:c>
      <x:c r="B2702" s="10" t="str">
        <x:v>A</x:v>
      </x:c>
      <x:c r="C2702" s="18" t="n">
        <x:v>-3.52</x:v>
      </x:c>
      <x:c r="D2702" s="10" t="n">
        <x:v>560</x:v>
      </x:c>
      <x:c r="E2702" s="10" t="n">
        <x:v>0.127392</x:v>
      </x:c>
      <x:c r="F2702" s="10" t="n">
        <x:v>0.004096</x:v>
      </x:c>
      <x:c r="G2702" s="10" t="n">
        <x:f>SUM(D2702:F2702)</x:f>
        <x:v>560.131488</x:v>
      </x:c>
    </x:row>
    <x:row r="2703" ht="24" customHeight="1">
      <x:c r="A2703" s="10" t="str">
        <x:v>S05-06</x:v>
      </x:c>
      <x:c r="B2703" s="10" t="str">
        <x:v>A</x:v>
      </x:c>
      <x:c r="C2703" s="18" t="n">
        <x:v>-3.5199999</x:v>
      </x:c>
      <x:c r="D2703" s="10" t="n">
        <x:v>560</x:v>
      </x:c>
      <x:c r="E2703" s="10" t="n">
        <x:v>0.127392019</x:v>
      </x:c>
      <x:c r="F2703" s="10" t="n">
        <x:v>0.004096</x:v>
      </x:c>
      <x:c r="G2703" s="10" t="n">
        <x:f>SUM(D2703:F2703)</x:f>
        <x:v>560.131488019</x:v>
      </x:c>
    </x:row>
    <x:row r="2704" ht="24" customHeight="1">
      <x:c r="A2704" s="10" t="str">
        <x:v>S05-06</x:v>
      </x:c>
      <x:c r="B2704" s="10" t="str">
        <x:v>A</x:v>
      </x:c>
      <x:c r="C2704" s="18" t="n">
        <x:v>-0.9000001</x:v>
      </x:c>
      <x:c r="D2704" s="10" t="n">
        <x:v>560</x:v>
      </x:c>
      <x:c r="E2704" s="10" t="n">
        <x:v>0.630431981</x:v>
      </x:c>
      <x:c r="F2704" s="10" t="n">
        <x:v>0.004096</x:v>
      </x:c>
      <x:c r="G2704" s="10" t="n">
        <x:f>SUM(D2704:F2704)</x:f>
        <x:v>560.634527981</x:v>
      </x:c>
    </x:row>
    <x:row r="2705" ht="24" customHeight="1">
      <x:c r="A2705" s="10" t="str">
        <x:v>S05-06</x:v>
      </x:c>
      <x:c r="B2705" s="10" t="str">
        <x:v>A</x:v>
      </x:c>
      <x:c r="C2705" s="18" t="n">
        <x:v>-0.9</x:v>
      </x:c>
      <x:c r="D2705" s="10" t="n">
        <x:v>560</x:v>
      </x:c>
      <x:c r="E2705" s="10" t="n">
        <x:v>0.630432</x:v>
      </x:c>
      <x:c r="F2705" s="10" t="n">
        <x:v>0.008192</x:v>
      </x:c>
      <x:c r="G2705" s="10" t="n">
        <x:f>SUM(D2705:F2705)</x:f>
        <x:v>560.638624</x:v>
      </x:c>
    </x:row>
    <x:row r="2706" ht="24" customHeight="1">
      <x:c r="A2706" s="10" t="str">
        <x:v>S05-06</x:v>
      </x:c>
      <x:c r="B2706" s="10" t="str">
        <x:v>A</x:v>
      </x:c>
      <x:c r="C2706" s="18" t="n">
        <x:v>-0.8999999</x:v>
      </x:c>
      <x:c r="D2706" s="10" t="n">
        <x:v>560</x:v>
      </x:c>
      <x:c r="E2706" s="10" t="n">
        <x:v>0.630432019</x:v>
      </x:c>
      <x:c r="F2706" s="10" t="n">
        <x:v>0.008192</x:v>
      </x:c>
      <x:c r="G2706" s="10" t="n">
        <x:f>SUM(D2706:F2706)</x:f>
        <x:v>560.638624019</x:v>
      </x:c>
    </x:row>
    <x:row r="2707" ht="24" customHeight="1">
      <x:c r="A2707" s="10" t="str">
        <x:v>S05-06</x:v>
      </x:c>
      <x:c r="B2707" s="10" t="str">
        <x:v>A</x:v>
      </x:c>
      <x:c r="C2707" s="18" t="n">
        <x:v>-0.4990001</x:v>
      </x:c>
      <x:c r="D2707" s="10" t="n">
        <x:v>560</x:v>
      </x:c>
      <x:c r="E2707" s="10" t="n">
        <x:v>0.707423981</x:v>
      </x:c>
      <x:c r="F2707" s="10" t="n">
        <x:v>0.008192</x:v>
      </x:c>
      <x:c r="G2707" s="10" t="n">
        <x:f>SUM(D2707:F2707)</x:f>
        <x:v>560.715615981</x:v>
      </x:c>
    </x:row>
    <x:row r="2708" ht="24" customHeight="1">
      <x:c r="A2708" s="10" t="str">
        <x:v>S05-06</x:v>
      </x:c>
      <x:c r="B2708" s="10" t="str">
        <x:v>A</x:v>
      </x:c>
      <x:c r="C2708" s="18" t="n">
        <x:v>-0.499</x:v>
      </x:c>
      <x:c r="D2708" s="10" t="n">
        <x:v>560</x:v>
      </x:c>
      <x:c r="E2708" s="10" t="n">
        <x:v>0.717024</x:v>
      </x:c>
      <x:c r="F2708" s="10" t="n">
        <x:v>0.008192</x:v>
      </x:c>
      <x:c r="G2708" s="10" t="n">
        <x:f>SUM(D2708:F2708)</x:f>
        <x:v>560.725216</x:v>
      </x:c>
    </x:row>
    <x:row r="2709" ht="24" customHeight="1">
      <x:c r="A2709" s="10" t="str">
        <x:v>S05-06</x:v>
      </x:c>
      <x:c r="B2709" s="10" t="str">
        <x:v>A</x:v>
      </x:c>
      <x:c r="C2709" s="18" t="n">
        <x:v>-0.4989999</x:v>
      </x:c>
      <x:c r="D2709" s="10" t="n">
        <x:v>560</x:v>
      </x:c>
      <x:c r="E2709" s="10" t="n">
        <x:v>0.717024038</x:v>
      </x:c>
      <x:c r="F2709" s="10" t="n">
        <x:v>0.008192</x:v>
      </x:c>
      <x:c r="G2709" s="10" t="n">
        <x:f>SUM(D2709:F2709)</x:f>
        <x:v>560.725216038</x:v>
      </x:c>
    </x:row>
    <x:row r="2710" ht="24" customHeight="1">
      <x:c r="A2710" s="10" t="str">
        <x:v>S05-06</x:v>
      </x:c>
      <x:c r="B2710" s="10" t="str">
        <x:v>A</x:v>
      </x:c>
      <x:c r="C2710" s="18" t="n">
        <x:v>-1e-7</x:v>
      </x:c>
      <x:c r="D2710" s="10" t="n">
        <x:v>560</x:v>
      </x:c>
      <x:c r="E2710" s="10" t="n">
        <x:v>0.908639962</x:v>
      </x:c>
      <x:c r="F2710" s="10" t="n">
        <x:v>0.008192</x:v>
      </x:c>
      <x:c r="G2710" s="10" t="n">
        <x:f>SUM(D2710:F2710)</x:f>
        <x:v>560.9168319620001</x:v>
      </x:c>
    </x:row>
    <x:row r="2711" ht="24" customHeight="1">
      <x:c r="A2711" s="10" t="str">
        <x:v>S05-06</x:v>
      </x:c>
      <x:c r="B2711" s="10" t="str">
        <x:v>A</x:v>
      </x:c>
      <x:c r="C2711" s="18" t="n">
        <x:v>0</x:v>
      </x:c>
      <x:c r="D2711" s="10" t="n">
        <x:v>560</x:v>
      </x:c>
      <x:c r="E2711" s="10" t="n">
        <x:v>0.90864</x:v>
      </x:c>
      <x:c r="F2711" s="10" t="n">
        <x:v>0.008192</x:v>
      </x:c>
      <x:c r="G2711" s="10" t="n">
        <x:f>SUM(D2711:F2711)</x:f>
        <x:v>560.916832</x:v>
      </x:c>
    </x:row>
    <x:row r="2712" ht="24" customHeight="1">
      <x:c r="A2712" s="10" t="str">
        <x:v>S05-06</x:v>
      </x:c>
      <x:c r="B2712" s="10" t="str">
        <x:v>A</x:v>
      </x:c>
      <x:c r="C2712" s="18" t="n">
        <x:v>1e-7</x:v>
      </x:c>
      <x:c r="D2712" s="10" t="n">
        <x:v>560</x:v>
      </x:c>
      <x:c r="E2712" s="10" t="n">
        <x:v>0.908640038</x:v>
      </x:c>
      <x:c r="F2712" s="10" t="n">
        <x:v>0.008192</x:v>
      </x:c>
      <x:c r="G2712" s="10" t="n">
        <x:f>SUM(D2712:F2712)</x:f>
        <x:v>560.916832038</x:v>
      </x:c>
    </x:row>
    <x:row r="2713" ht="24" customHeight="1">
      <x:c r="A2713" s="10" t="str">
        <x:v>S05-06</x:v>
      </x:c>
      <x:c r="B2713" s="10" t="str">
        <x:v>A</x:v>
      </x:c>
      <x:c r="C2713" s="18" t="n">
        <x:v>0.1524999</x:v>
      </x:c>
      <x:c r="D2713" s="10" t="n">
        <x:v>560</x:v>
      </x:c>
      <x:c r="E2713" s="10" t="n">
        <x:v>0.967199962</x:v>
      </x:c>
      <x:c r="F2713" s="10" t="n">
        <x:v>0.008192</x:v>
      </x:c>
      <x:c r="G2713" s="10" t="n">
        <x:f>SUM(D2713:F2713)</x:f>
        <x:v>560.975391962</x:v>
      </x:c>
    </x:row>
    <x:row r="2714" ht="24" customHeight="1">
      <x:c r="A2714" s="10" t="str">
        <x:v>S05-06</x:v>
      </x:c>
      <x:c r="B2714" s="10" t="str">
        <x:v>A</x:v>
      </x:c>
      <x:c r="C2714" s="18" t="n">
        <x:v>0.1525</x:v>
      </x:c>
      <x:c r="D2714" s="10" t="n">
        <x:v>560</x:v>
      </x:c>
      <x:c r="E2714" s="10" t="n">
        <x:v>0.9672</x:v>
      </x:c>
      <x:c r="F2714" s="10" t="n">
        <x:v>0.008192</x:v>
      </x:c>
      <x:c r="G2714" s="10" t="n">
        <x:f>SUM(D2714:F2714)</x:f>
        <x:v>560.975392</x:v>
      </x:c>
    </x:row>
    <x:row r="2715" ht="24" customHeight="1">
      <x:c r="A2715" s="10" t="str">
        <x:v>S05-06</x:v>
      </x:c>
      <x:c r="B2715" s="10" t="str">
        <x:v>A</x:v>
      </x:c>
      <x:c r="C2715" s="18" t="n">
        <x:v>0.1525001</x:v>
      </x:c>
      <x:c r="D2715" s="10" t="n">
        <x:v>560</x:v>
      </x:c>
      <x:c r="E2715" s="10" t="n">
        <x:v>0.967200019</x:v>
      </x:c>
      <x:c r="F2715" s="10" t="n">
        <x:v>0.008192</x:v>
      </x:c>
      <x:c r="G2715" s="10" t="n">
        <x:f>SUM(D2715:F2715)</x:f>
        <x:v>560.975392019</x:v>
      </x:c>
    </x:row>
    <x:row r="2716" ht="24" customHeight="1">
      <x:c r="A2716" s="10" t="str">
        <x:v>S05-06</x:v>
      </x:c>
      <x:c r="B2716" s="10" t="str">
        <x:v>A</x:v>
      </x:c>
      <x:c r="C2716" s="18" t="n">
        <x:v>0.8599999</x:v>
      </x:c>
      <x:c r="D2716" s="10" t="n">
        <x:v>560</x:v>
      </x:c>
      <x:c r="E2716" s="10" t="n">
        <x:v>1.103039981</x:v>
      </x:c>
      <x:c r="F2716" s="10" t="n">
        <x:v>0.008192</x:v>
      </x:c>
      <x:c r="G2716" s="10" t="n">
        <x:f>SUM(D2716:F2716)</x:f>
        <x:v>561.1112319810001</x:v>
      </x:c>
    </x:row>
    <x:row r="2717" ht="24" customHeight="1">
      <x:c r="A2717" s="10" t="str">
        <x:v>S05-06</x:v>
      </x:c>
      <x:c r="B2717" s="10" t="str">
        <x:v>A</x:v>
      </x:c>
      <x:c r="C2717" s="18" t="n">
        <x:v>0.86</x:v>
      </x:c>
      <x:c r="D2717" s="10" t="n">
        <x:v>560</x:v>
      </x:c>
      <x:c r="E2717" s="10" t="n">
        <x:v>1.10304</x:v>
      </x:c>
      <x:c r="F2717" s="10" t="n">
        <x:v>0.008192</x:v>
      </x:c>
      <x:c r="G2717" s="10" t="n">
        <x:f>SUM(D2717:F2717)</x:f>
        <x:v>561.111232</x:v>
      </x:c>
    </x:row>
    <x:row r="2718" ht="24" customHeight="1">
      <x:c r="A2718" s="10" t="str">
        <x:v>S05-06</x:v>
      </x:c>
      <x:c r="B2718" s="10" t="str">
        <x:v>A</x:v>
      </x:c>
      <x:c r="C2718" s="18" t="n">
        <x:v>0.8600001</x:v>
      </x:c>
      <x:c r="D2718" s="10" t="n">
        <x:v>560</x:v>
      </x:c>
      <x:c r="E2718" s="10" t="n">
        <x:v>1.103040019</x:v>
      </x:c>
      <x:c r="F2718" s="10" t="n">
        <x:v>0.008192</x:v>
      </x:c>
      <x:c r="G2718" s="10" t="n">
        <x:f>SUM(D2718:F2718)</x:f>
        <x:v>561.111232019</x:v>
      </x:c>
    </x:row>
    <x:row r="2719" ht="24" customHeight="1">
      <x:c r="A2719" s="10" t="str">
        <x:v>S05-06</x:v>
      </x:c>
      <x:c r="B2719" s="10" t="str">
        <x:v>A</x:v>
      </x:c>
      <x:c r="C2719" s="18" t="n">
        <x:v>0.8999999</x:v>
      </x:c>
      <x:c r="D2719" s="10" t="n">
        <x:v>560</x:v>
      </x:c>
      <x:c r="E2719" s="10" t="n">
        <x:v>1.110719981</x:v>
      </x:c>
      <x:c r="F2719" s="10" t="n">
        <x:v>0.008192</x:v>
      </x:c>
      <x:c r="G2719" s="10" t="n">
        <x:f>SUM(D2719:F2719)</x:f>
        <x:v>561.118911981</x:v>
      </x:c>
    </x:row>
    <x:row r="2720" ht="24" customHeight="1">
      <x:c r="A2720" s="10" t="str">
        <x:v>S05-06</x:v>
      </x:c>
      <x:c r="B2720" s="10" t="str">
        <x:v>A</x:v>
      </x:c>
      <x:c r="C2720" s="18" t="n">
        <x:v>0.9</x:v>
      </x:c>
      <x:c r="D2720" s="10" t="n">
        <x:v>560</x:v>
      </x:c>
      <x:c r="E2720" s="10" t="n">
        <x:v>1.11072</x:v>
      </x:c>
      <x:c r="F2720" s="10" t="n">
        <x:v>0.008192</x:v>
      </x:c>
      <x:c r="G2720" s="10" t="n">
        <x:f>SUM(D2720:F2720)</x:f>
        <x:v>561.118912</x:v>
      </x:c>
    </x:row>
    <x:row r="2721" ht="24" customHeight="1">
      <x:c r="A2721" s="10" t="str">
        <x:v>S05-06</x:v>
      </x:c>
      <x:c r="B2721" s="10" t="str">
        <x:v>A</x:v>
      </x:c>
      <x:c r="C2721" s="18" t="n">
        <x:v>0.9000001</x:v>
      </x:c>
      <x:c r="D2721" s="10" t="n">
        <x:v>560</x:v>
      </x:c>
      <x:c r="E2721" s="10" t="n">
        <x:v>1.110720014</x:v>
      </x:c>
      <x:c r="F2721" s="10" t="n">
        <x:v>0.008192</x:v>
      </x:c>
      <x:c r="G2721" s="10" t="n">
        <x:f>SUM(D2721:F2721)</x:f>
        <x:v>561.118912014</x:v>
      </x:c>
    </x:row>
    <x:row r="2722" ht="24" customHeight="1">
      <x:c r="A2722" s="10" t="str">
        <x:v>S05-06</x:v>
      </x:c>
      <x:c r="B2722" s="10" t="str">
        <x:v>A</x:v>
      </x:c>
      <x:c r="C2722" s="18" t="n">
        <x:v>3.7059999</x:v>
      </x:c>
      <x:c r="D2722" s="10" t="n">
        <x:v>560</x:v>
      </x:c>
      <x:c r="E2722" s="10" t="n">
        <x:v>1.514783986</x:v>
      </x:c>
      <x:c r="F2722" s="10" t="n">
        <x:v>0.008192</x:v>
      </x:c>
      <x:c r="G2722" s="10" t="n">
        <x:f>SUM(D2722:F2722)</x:f>
        <x:v>561.522975986</x:v>
      </x:c>
    </x:row>
    <x:row r="2723" ht="24" customHeight="1">
      <x:c r="A2723" s="10" t="str">
        <x:v>S05-06</x:v>
      </x:c>
      <x:c r="B2723" s="10" t="str">
        <x:v>A</x:v>
      </x:c>
      <x:c r="C2723" s="18" t="n">
        <x:v>3.706</x:v>
      </x:c>
      <x:c r="D2723" s="10" t="n">
        <x:v>560</x:v>
      </x:c>
      <x:c r="E2723" s="10" t="n">
        <x:v>1.514784</x:v>
      </x:c>
      <x:c r="F2723" s="10" t="n">
        <x:v>0.008192</x:v>
      </x:c>
      <x:c r="G2723" s="10" t="n">
        <x:f>SUM(D2723:F2723)</x:f>
        <x:v>561.522976</x:v>
      </x:c>
    </x:row>
    <x:row r="2724" ht="24" customHeight="1">
      <x:c r="A2724" s="10" t="str">
        <x:v>S05-06</x:v>
      </x:c>
      <x:c r="B2724" s="10" t="str">
        <x:v>A</x:v>
      </x:c>
      <x:c r="C2724" s="18" t="n">
        <x:v>3.7060001</x:v>
      </x:c>
      <x:c r="D2724" s="10" t="n">
        <x:v>560</x:v>
      </x:c>
      <x:c r="E2724" s="10" t="n">
        <x:v>1.514784019</x:v>
      </x:c>
      <x:c r="F2724" s="10" t="n">
        <x:v>0.004096</x:v>
      </x:c>
      <x:c r="G2724" s="10" t="n">
        <x:f>SUM(D2724:F2724)</x:f>
        <x:v>561.518880019</x:v>
      </x:c>
    </x:row>
    <x:row r="2725" ht="24" customHeight="1">
      <x:c r="A2725" s="10" t="str">
        <x:v>S05-06</x:v>
      </x:c>
      <x:c r="B2725" s="10" t="str">
        <x:v>A</x:v>
      </x:c>
      <x:c r="C2725" s="18" t="n">
        <x:v>3.7459999</x:v>
      </x:c>
      <x:c r="D2725" s="10" t="n">
        <x:v>560</x:v>
      </x:c>
      <x:c r="E2725" s="10" t="n">
        <x:v>1.522463981</x:v>
      </x:c>
      <x:c r="F2725" s="10" t="n">
        <x:v>0.004096</x:v>
      </x:c>
      <x:c r="G2725" s="10" t="n">
        <x:f>SUM(D2725:F2725)</x:f>
        <x:v>561.526559981</x:v>
      </x:c>
    </x:row>
    <x:row r="2726" ht="24" customHeight="1">
      <x:c r="A2726" s="10" t="str">
        <x:v>S05-06</x:v>
      </x:c>
      <x:c r="B2726" s="10" t="str">
        <x:v>A</x:v>
      </x:c>
      <x:c r="C2726" s="18" t="n">
        <x:v>3.746</x:v>
      </x:c>
      <x:c r="D2726" s="10" t="n">
        <x:v>560</x:v>
      </x:c>
      <x:c r="E2726" s="10" t="n">
        <x:v>1.522464</x:v>
      </x:c>
      <x:c r="F2726" s="10" t="n">
        <x:v>0.004096</x:v>
      </x:c>
      <x:c r="G2726" s="10" t="n">
        <x:f>SUM(D2726:F2726)</x:f>
        <x:v>561.52656</x:v>
      </x:c>
    </x:row>
    <x:row r="2727" ht="24" customHeight="1">
      <x:c r="A2727" s="10" t="str">
        <x:v>S05-06</x:v>
      </x:c>
      <x:c r="B2727" s="10" t="str">
        <x:v>A</x:v>
      </x:c>
      <x:c r="C2727" s="18" t="n">
        <x:v>3.7460001</x:v>
      </x:c>
      <x:c r="D2727" s="10" t="n">
        <x:v>560</x:v>
      </x:c>
      <x:c r="E2727" s="10" t="n">
        <x:v>1.522464014</x:v>
      </x:c>
      <x:c r="F2727" s="10" t="n">
        <x:v>0.004096</x:v>
      </x:c>
      <x:c r="G2727" s="10" t="n">
        <x:f>SUM(D2727:F2727)</x:f>
        <x:v>561.526560014</x:v>
      </x:c>
    </x:row>
    <x:row r="2728" ht="24" customHeight="1">
      <x:c r="A2728" s="10" t="str">
        <x:v>S05-06</x:v>
      </x:c>
      <x:c r="B2728" s="10" t="str">
        <x:v>A</x:v>
      </x:c>
      <x:c r="C2728" s="18" t="n">
        <x:v>4.626833233</x:v>
      </x:c>
      <x:c r="D2728" s="10" t="n">
        <x:v>560</x:v>
      </x:c>
      <x:c r="E2728" s="10" t="n">
        <x:v>1.649303986</x:v>
      </x:c>
      <x:c r="F2728" s="10" t="n">
        <x:v>0.004096</x:v>
      </x:c>
      <x:c r="G2728" s="10" t="n">
        <x:f>SUM(D2728:F2728)</x:f>
        <x:v>561.653399986</x:v>
      </x:c>
    </x:row>
    <x:row r="2729" ht="24" customHeight="1">
      <x:c r="A2729" s="10" t="str">
        <x:v>S05-06</x:v>
      </x:c>
      <x:c r="B2729" s="10" t="str">
        <x:v>A</x:v>
      </x:c>
      <x:c r="C2729" s="18" t="n">
        <x:v>4.626833333</x:v>
      </x:c>
      <x:c r="D2729" s="10" t="n">
        <x:v>560</x:v>
      </x:c>
      <x:c r="E2729" s="10" t="n">
        <x:v>1.649304</x:v>
      </x:c>
      <x:c r="F2729" s="10" t="n">
        <x:v>0.004096</x:v>
      </x:c>
      <x:c r="G2729" s="10" t="n">
        <x:f>SUM(D2729:F2729)</x:f>
        <x:v>561.6534</x:v>
      </x:c>
    </x:row>
    <x:row r="2730" ht="24" customHeight="1">
      <x:c r="A2730" s="10" t="str">
        <x:v>S05-06</x:v>
      </x:c>
      <x:c r="B2730" s="10" t="str">
        <x:v>A</x:v>
      </x:c>
      <x:c r="C2730" s="18" t="n">
        <x:v>4.626833433</x:v>
      </x:c>
      <x:c r="D2730" s="10" t="n">
        <x:v>560</x:v>
      </x:c>
      <x:c r="E2730" s="10" t="n">
        <x:v>1.649303995</x:v>
      </x:c>
      <x:c r="F2730" s="10" t="n">
        <x:v>0.004096</x:v>
      </x:c>
      <x:c r="G2730" s="10" t="n">
        <x:f>SUM(D2730:F2730)</x:f>
        <x:v>561.653399995</x:v>
      </x:c>
    </x:row>
    <x:row r="2731" ht="24" customHeight="1">
      <x:c r="A2731" s="10" t="str">
        <x:v>S05-06</x:v>
      </x:c>
      <x:c r="B2731" s="10" t="str">
        <x:v>A</x:v>
      </x:c>
      <x:c r="C2731" s="18" t="n">
        <x:v>38.987333233</x:v>
      </x:c>
      <x:c r="D2731" s="10" t="n">
        <x:v>560</x:v>
      </x:c>
      <x:c r="E2731" s="10" t="n">
        <x:v>5e-9</x:v>
      </x:c>
      <x:c r="F2731" s="10" t="n">
        <x:v>0.004096</x:v>
      </x:c>
      <x:c r="G2731" s="10" t="n">
        <x:f>SUM(D2731:F2731)</x:f>
        <x:v>560.004096005</x:v>
      </x:c>
    </x:row>
    <x:row r="2732" ht="24" customHeight="1">
      <x:c r="A2732" s="10" t="str">
        <x:v>S05-06</x:v>
      </x:c>
      <x:c r="B2732" s="10" t="str">
        <x:v>A</x:v>
      </x:c>
      <x:c r="C2732" s="18" t="n">
        <x:v>38.987333333</x:v>
      </x:c>
      <x:c r="D2732" s="10" t="n">
        <x:v>560</x:v>
      </x:c>
      <x:c r="E2732" s="10" t="n">
        <x:v>0</x:v>
      </x:c>
      <x:c r="F2732" s="10" t="n">
        <x:v>0.004096</x:v>
      </x:c>
      <x:c r="G2732" s="10" t="n">
        <x:f>SUM(D2732:F2732)</x:f>
        <x:v>560.004096</x:v>
      </x:c>
    </x:row>
    <x:row r="2733" ht="24" customHeight="1">
      <x:c r="A2733" s="10" t="str">
        <x:v>S05-06</x:v>
      </x:c>
      <x:c r="B2733" s="10" t="str">
        <x:v>A</x:v>
      </x:c>
      <x:c r="C2733" s="18" t="n">
        <x:v>38.987333433</x:v>
      </x:c>
      <x:c r="D2733" s="10" t="n">
        <x:v>560</x:v>
      </x:c>
      <x:c r="E2733" s="10" t="n">
        <x:v>0</x:v>
      </x:c>
      <x:c r="F2733" s="10" t="n">
        <x:v>0</x:v>
      </x:c>
      <x:c r="G2733" s="10" t="n">
        <x:f>SUM(D2733:F2733)</x:f>
        <x:v>560</x:v>
      </x:c>
    </x:row>
    <x:row r="2734" ht="24" customHeight="1">
      <x:c r="A2734" s="10" t="str">
        <x:v>S05-06</x:v>
      </x:c>
      <x:c r="B2734" s="10" t="str">
        <x:v>B</x:v>
      </x:c>
      <x:c r="C2734" s="18" t="n">
        <x:v>-6.0000001</x:v>
      </x:c>
      <x:c r="D2734" s="10" t="n">
        <x:v>560</x:v>
      </x:c>
      <x:c r="E2734" s="10" t="n">
        <x:v>0</x:v>
      </x:c>
      <x:c r="F2734" s="10" t="n">
        <x:v>0</x:v>
      </x:c>
      <x:c r="G2734" s="10" t="n">
        <x:f>SUM(D2734:F2734)</x:f>
        <x:v>560</x:v>
      </x:c>
    </x:row>
    <x:row r="2735" ht="24" customHeight="1">
      <x:c r="A2735" s="10" t="str">
        <x:v>S05-06</x:v>
      </x:c>
      <x:c r="B2735" s="10" t="str">
        <x:v>B</x:v>
      </x:c>
      <x:c r="C2735" s="18" t="n">
        <x:v>-6</x:v>
      </x:c>
      <x:c r="D2735" s="10" t="n">
        <x:v>560</x:v>
      </x:c>
      <x:c r="E2735" s="10" t="n">
        <x:v>0</x:v>
      </x:c>
      <x:c r="F2735" s="10" t="n">
        <x:v>0</x:v>
      </x:c>
      <x:c r="G2735" s="10" t="n">
        <x:f>SUM(D2735:F2735)</x:f>
        <x:v>560</x:v>
      </x:c>
    </x:row>
    <x:row r="2736" ht="24" customHeight="1">
      <x:c r="A2736" s="10" t="str">
        <x:v>S05-06</x:v>
      </x:c>
      <x:c r="B2736" s="10" t="str">
        <x:v>B</x:v>
      </x:c>
      <x:c r="C2736" s="18" t="n">
        <x:v>-5.9999999</x:v>
      </x:c>
      <x:c r="D2736" s="10" t="n">
        <x:v>560</x:v>
      </x:c>
      <x:c r="E2736" s="10" t="n">
        <x:v>0</x:v>
      </x:c>
      <x:c r="F2736" s="10" t="n">
        <x:v>0</x:v>
      </x:c>
      <x:c r="G2736" s="10" t="n">
        <x:f>SUM(D2736:F2736)</x:f>
        <x:v>560</x:v>
      </x:c>
    </x:row>
    <x:row r="2737" ht="24" customHeight="1">
      <x:c r="A2737" s="10" t="str">
        <x:v>S05-06</x:v>
      </x:c>
      <x:c r="B2737" s="10" t="str">
        <x:v>B</x:v>
      </x:c>
      <x:c r="C2737" s="18" t="n">
        <x:v>-4.8000001</x:v>
      </x:c>
      <x:c r="D2737" s="10" t="n">
        <x:v>560</x:v>
      </x:c>
      <x:c r="E2737" s="10" t="n">
        <x:v>0</x:v>
      </x:c>
      <x:c r="F2737" s="10" t="n">
        <x:v>0</x:v>
      </x:c>
      <x:c r="G2737" s="10" t="n">
        <x:f>SUM(D2737:F2737)</x:f>
        <x:v>560</x:v>
      </x:c>
    </x:row>
    <x:row r="2738" ht="24" customHeight="1">
      <x:c r="A2738" s="10" t="str">
        <x:v>S05-06</x:v>
      </x:c>
      <x:c r="B2738" s="10" t="str">
        <x:v>B</x:v>
      </x:c>
      <x:c r="C2738" s="18" t="n">
        <x:v>-4.8</x:v>
      </x:c>
      <x:c r="D2738" s="10" t="n">
        <x:v>560</x:v>
      </x:c>
      <x:c r="E2738" s="10" t="n">
        <x:v>0</x:v>
      </x:c>
      <x:c r="F2738" s="10" t="n">
        <x:v>0.004096</x:v>
      </x:c>
      <x:c r="G2738" s="10" t="n">
        <x:f>SUM(D2738:F2738)</x:f>
        <x:v>560.004096</x:v>
      </x:c>
    </x:row>
    <x:row r="2739" ht="24" customHeight="1">
      <x:c r="A2739" s="10" t="str">
        <x:v>S05-06</x:v>
      </x:c>
      <x:c r="B2739" s="10" t="str">
        <x:v>B</x:v>
      </x:c>
      <x:c r="C2739" s="18" t="n">
        <x:v>-4.7999999</x:v>
      </x:c>
      <x:c r="D2739" s="10" t="n">
        <x:v>560</x:v>
      </x:c>
      <x:c r="E2739" s="10" t="n">
        <x:v>0</x:v>
      </x:c>
      <x:c r="F2739" s="10" t="n">
        <x:v>0.004096</x:v>
      </x:c>
      <x:c r="G2739" s="10" t="n">
        <x:f>SUM(D2739:F2739)</x:f>
        <x:v>560.004096</x:v>
      </x:c>
    </x:row>
    <x:row r="2740" ht="24" customHeight="1">
      <x:c r="A2740" s="10" t="str">
        <x:v>S05-06</x:v>
      </x:c>
      <x:c r="B2740" s="10" t="str">
        <x:v>B</x:v>
      </x:c>
      <x:c r="C2740" s="18" t="n">
        <x:v>-4.324666767</x:v>
      </x:c>
      <x:c r="D2740" s="10" t="n">
        <x:v>560</x:v>
      </x:c>
      <x:c r="E2740" s="10" t="n">
        <x:v>0</x:v>
      </x:c>
      <x:c r="F2740" s="10" t="n">
        <x:v>0.004096</x:v>
      </x:c>
      <x:c r="G2740" s="10" t="n">
        <x:f>SUM(D2740:F2740)</x:f>
        <x:v>560.004096</x:v>
      </x:c>
    </x:row>
    <x:row r="2741" ht="24" customHeight="1">
      <x:c r="A2741" s="10" t="str">
        <x:v>S05-06</x:v>
      </x:c>
      <x:c r="B2741" s="10" t="str">
        <x:v>B</x:v>
      </x:c>
      <x:c r="C2741" s="18" t="n">
        <x:v>-4.324666667</x:v>
      </x:c>
      <x:c r="D2741" s="10" t="n">
        <x:v>560</x:v>
      </x:c>
      <x:c r="E2741" s="10" t="n">
        <x:v>0.0096</x:v>
      </x:c>
      <x:c r="F2741" s="10" t="n">
        <x:v>0.004096</x:v>
      </x:c>
      <x:c r="G2741" s="10" t="n">
        <x:f>SUM(D2741:F2741)</x:f>
        <x:v>560.013696</x:v>
      </x:c>
    </x:row>
    <x:row r="2742" ht="24" customHeight="1">
      <x:c r="A2742" s="10" t="str">
        <x:v>S05-06</x:v>
      </x:c>
      <x:c r="B2742" s="10" t="str">
        <x:v>B</x:v>
      </x:c>
      <x:c r="C2742" s="18" t="n">
        <x:v>-4.324666567</x:v>
      </x:c>
      <x:c r="D2742" s="10" t="n">
        <x:v>560</x:v>
      </x:c>
      <x:c r="E2742" s="10" t="n">
        <x:v>0.009600019</x:v>
      </x:c>
      <x:c r="F2742" s="10" t="n">
        <x:v>0.004096</x:v>
      </x:c>
      <x:c r="G2742" s="10" t="n">
        <x:f>SUM(D2742:F2742)</x:f>
        <x:v>560.013696019</x:v>
      </x:c>
    </x:row>
    <x:row r="2743" ht="24" customHeight="1">
      <x:c r="A2743" s="10" t="str">
        <x:v>S05-06</x:v>
      </x:c>
      <x:c r="B2743" s="10" t="str">
        <x:v>B</x:v>
      </x:c>
      <x:c r="C2743" s="18" t="n">
        <x:v>-4.284666767</x:v>
      </x:c>
      <x:c r="D2743" s="10" t="n">
        <x:v>560</x:v>
      </x:c>
      <x:c r="E2743" s="10" t="n">
        <x:v>0.017279981</x:v>
      </x:c>
      <x:c r="F2743" s="10" t="n">
        <x:v>0.004096</x:v>
      </x:c>
      <x:c r="G2743" s="10" t="n">
        <x:f>SUM(D2743:F2743)</x:f>
        <x:v>560.021375981</x:v>
      </x:c>
    </x:row>
    <x:row r="2744" ht="24" customHeight="1">
      <x:c r="A2744" s="10" t="str">
        <x:v>S05-06</x:v>
      </x:c>
      <x:c r="B2744" s="10" t="str">
        <x:v>B</x:v>
      </x:c>
      <x:c r="C2744" s="18" t="n">
        <x:v>-4.284666667</x:v>
      </x:c>
      <x:c r="D2744" s="10" t="n">
        <x:v>560</x:v>
      </x:c>
      <x:c r="E2744" s="10" t="n">
        <x:v>0.01728</x:v>
      </x:c>
      <x:c r="F2744" s="10" t="n">
        <x:v>0.004096</x:v>
      </x:c>
      <x:c r="G2744" s="10" t="n">
        <x:f>SUM(D2744:F2744)</x:f>
        <x:v>560.021376</x:v>
      </x:c>
    </x:row>
    <x:row r="2745" ht="24" customHeight="1">
      <x:c r="A2745" s="10" t="str">
        <x:v>S05-06</x:v>
      </x:c>
      <x:c r="B2745" s="10" t="str">
        <x:v>B</x:v>
      </x:c>
      <x:c r="C2745" s="18" t="n">
        <x:v>-4.284666567</x:v>
      </x:c>
      <x:c r="D2745" s="10" t="n">
        <x:v>560</x:v>
      </x:c>
      <x:c r="E2745" s="10" t="n">
        <x:v>0.017280014</x:v>
      </x:c>
      <x:c r="F2745" s="10" t="n">
        <x:v>0.004096</x:v>
      </x:c>
      <x:c r="G2745" s="10" t="n">
        <x:f>SUM(D2745:F2745)</x:f>
        <x:v>560.021376014</x:v>
      </x:c>
    </x:row>
    <x:row r="2746" ht="24" customHeight="1">
      <x:c r="A2746" s="10" t="str">
        <x:v>S05-06</x:v>
      </x:c>
      <x:c r="B2746" s="10" t="str">
        <x:v>B</x:v>
      </x:c>
      <x:c r="C2746" s="18" t="n">
        <x:v>-3.5200001</x:v>
      </x:c>
      <x:c r="D2746" s="10" t="n">
        <x:v>560</x:v>
      </x:c>
      <x:c r="E2746" s="10" t="n">
        <x:v>0.127391986</x:v>
      </x:c>
      <x:c r="F2746" s="10" t="n">
        <x:v>0.004096</x:v>
      </x:c>
      <x:c r="G2746" s="10" t="n">
        <x:f>SUM(D2746:F2746)</x:f>
        <x:v>560.131487986</x:v>
      </x:c>
    </x:row>
    <x:row r="2747" ht="24" customHeight="1">
      <x:c r="A2747" s="10" t="str">
        <x:v>S05-06</x:v>
      </x:c>
      <x:c r="B2747" s="10" t="str">
        <x:v>B</x:v>
      </x:c>
      <x:c r="C2747" s="18" t="n">
        <x:v>-3.52</x:v>
      </x:c>
      <x:c r="D2747" s="10" t="n">
        <x:v>560</x:v>
      </x:c>
      <x:c r="E2747" s="10" t="n">
        <x:v>0.127392</x:v>
      </x:c>
      <x:c r="F2747" s="10" t="n">
        <x:v>0.004096</x:v>
      </x:c>
      <x:c r="G2747" s="10" t="n">
        <x:f>SUM(D2747:F2747)</x:f>
        <x:v>560.131488</x:v>
      </x:c>
    </x:row>
    <x:row r="2748" ht="24" customHeight="1">
      <x:c r="A2748" s="10" t="str">
        <x:v>S05-06</x:v>
      </x:c>
      <x:c r="B2748" s="10" t="str">
        <x:v>B</x:v>
      </x:c>
      <x:c r="C2748" s="18" t="n">
        <x:v>-3.5199999</x:v>
      </x:c>
      <x:c r="D2748" s="10" t="n">
        <x:v>560</x:v>
      </x:c>
      <x:c r="E2748" s="10" t="n">
        <x:v>0.127392019</x:v>
      </x:c>
      <x:c r="F2748" s="10" t="n">
        <x:v>0.004096</x:v>
      </x:c>
      <x:c r="G2748" s="10" t="n">
        <x:f>SUM(D2748:F2748)</x:f>
        <x:v>560.131488019</x:v>
      </x:c>
    </x:row>
    <x:row r="2749" ht="24" customHeight="1">
      <x:c r="A2749" s="10" t="str">
        <x:v>S05-06</x:v>
      </x:c>
      <x:c r="B2749" s="10" t="str">
        <x:v>B</x:v>
      </x:c>
      <x:c r="C2749" s="18" t="n">
        <x:v>-1e-7</x:v>
      </x:c>
      <x:c r="D2749" s="10" t="n">
        <x:v>560</x:v>
      </x:c>
      <x:c r="E2749" s="10" t="n">
        <x:v>0.803231981</x:v>
      </x:c>
      <x:c r="F2749" s="10" t="n">
        <x:v>0.004096</x:v>
      </x:c>
      <x:c r="G2749" s="10" t="n">
        <x:f>SUM(D2749:F2749)</x:f>
        <x:v>560.807327981</x:v>
      </x:c>
    </x:row>
    <x:row r="2750" ht="24" customHeight="1">
      <x:c r="A2750" s="10" t="str">
        <x:v>S05-06</x:v>
      </x:c>
      <x:c r="B2750" s="10" t="str">
        <x:v>B</x:v>
      </x:c>
      <x:c r="C2750" s="18" t="n">
        <x:v>0</x:v>
      </x:c>
      <x:c r="D2750" s="10" t="n">
        <x:v>560</x:v>
      </x:c>
      <x:c r="E2750" s="10" t="n">
        <x:v>0.803232</x:v>
      </x:c>
      <x:c r="F2750" s="10" t="n">
        <x:v>0.004096</x:v>
      </x:c>
      <x:c r="G2750" s="10" t="n">
        <x:f>SUM(D2750:F2750)</x:f>
        <x:v>560.807328</x:v>
      </x:c>
    </x:row>
    <x:row r="2751" ht="24" customHeight="1">
      <x:c r="A2751" s="10" t="str">
        <x:v>S05-06</x:v>
      </x:c>
      <x:c r="B2751" s="10" t="str">
        <x:v>B</x:v>
      </x:c>
      <x:c r="C2751" s="18" t="n">
        <x:v>1e-7</x:v>
      </x:c>
      <x:c r="D2751" s="10" t="n">
        <x:v>560</x:v>
      </x:c>
      <x:c r="E2751" s="10" t="n">
        <x:v>0.803232019</x:v>
      </x:c>
      <x:c r="F2751" s="10" t="n">
        <x:v>0.004096</x:v>
      </x:c>
      <x:c r="G2751" s="10" t="n">
        <x:f>SUM(D2751:F2751)</x:f>
        <x:v>560.807328019</x:v>
      </x:c>
    </x:row>
    <x:row r="2752" ht="24" customHeight="1">
      <x:c r="A2752" s="10" t="str">
        <x:v>S05-06</x:v>
      </x:c>
      <x:c r="B2752" s="10" t="str">
        <x:v>B</x:v>
      </x:c>
      <x:c r="C2752" s="18" t="n">
        <x:v>0.8599999</x:v>
      </x:c>
      <x:c r="D2752" s="10" t="n">
        <x:v>560</x:v>
      </x:c>
      <x:c r="E2752" s="10" t="n">
        <x:v>0.968351981</x:v>
      </x:c>
      <x:c r="F2752" s="10" t="n">
        <x:v>0.004096</x:v>
      </x:c>
      <x:c r="G2752" s="10" t="n">
        <x:f>SUM(D2752:F2752)</x:f>
        <x:v>560.972447981</x:v>
      </x:c>
    </x:row>
    <x:row r="2753" ht="24" customHeight="1">
      <x:c r="A2753" s="10" t="str">
        <x:v>S05-06</x:v>
      </x:c>
      <x:c r="B2753" s="10" t="str">
        <x:v>B</x:v>
      </x:c>
      <x:c r="C2753" s="18" t="n">
        <x:v>0.86</x:v>
      </x:c>
      <x:c r="D2753" s="10" t="n">
        <x:v>560</x:v>
      </x:c>
      <x:c r="E2753" s="10" t="n">
        <x:v>0.968352</x:v>
      </x:c>
      <x:c r="F2753" s="10" t="n">
        <x:v>0.008192</x:v>
      </x:c>
      <x:c r="G2753" s="10" t="n">
        <x:f>SUM(D2753:F2753)</x:f>
        <x:v>560.976544</x:v>
      </x:c>
    </x:row>
    <x:row r="2754" ht="24" customHeight="1">
      <x:c r="A2754" s="10" t="str">
        <x:v>S05-06</x:v>
      </x:c>
      <x:c r="B2754" s="10" t="str">
        <x:v>B</x:v>
      </x:c>
      <x:c r="C2754" s="18" t="n">
        <x:v>0.8600001</x:v>
      </x:c>
      <x:c r="D2754" s="10" t="n">
        <x:v>560</x:v>
      </x:c>
      <x:c r="E2754" s="10" t="n">
        <x:v>0.968352019</x:v>
      </x:c>
      <x:c r="F2754" s="10" t="n">
        <x:v>0.008192</x:v>
      </x:c>
      <x:c r="G2754" s="10" t="n">
        <x:f>SUM(D2754:F2754)</x:f>
        <x:v>560.976544019</x:v>
      </x:c>
    </x:row>
    <x:row r="2755" ht="24" customHeight="1">
      <x:c r="A2755" s="10" t="str">
        <x:v>S05-06</x:v>
      </x:c>
      <x:c r="B2755" s="10" t="str">
        <x:v>B</x:v>
      </x:c>
      <x:c r="C2755" s="18" t="n">
        <x:v>0.9599999</x:v>
      </x:c>
      <x:c r="D2755" s="10" t="n">
        <x:v>560</x:v>
      </x:c>
      <x:c r="E2755" s="10" t="n">
        <x:v>0.987551981</x:v>
      </x:c>
      <x:c r="F2755" s="10" t="n">
        <x:v>0.008192</x:v>
      </x:c>
      <x:c r="G2755" s="10" t="n">
        <x:f>SUM(D2755:F2755)</x:f>
        <x:v>560.995743981</x:v>
      </x:c>
    </x:row>
    <x:row r="2756" ht="24" customHeight="1">
      <x:c r="A2756" s="10" t="str">
        <x:v>S05-06</x:v>
      </x:c>
      <x:c r="B2756" s="10" t="str">
        <x:v>B</x:v>
      </x:c>
      <x:c r="C2756" s="18" t="n">
        <x:v>0.96</x:v>
      </x:c>
      <x:c r="D2756" s="10" t="n">
        <x:v>560</x:v>
      </x:c>
      <x:c r="E2756" s="10" t="n">
        <x:v>0.987552</x:v>
      </x:c>
      <x:c r="F2756" s="10" t="n">
        <x:v>0.008192</x:v>
      </x:c>
      <x:c r="G2756" s="10" t="n">
        <x:f>SUM(D2756:F2756)</x:f>
        <x:v>560.9957440000001</x:v>
      </x:c>
    </x:row>
    <x:row r="2757" ht="24" customHeight="1">
      <x:c r="A2757" s="10" t="str">
        <x:v>S05-06</x:v>
      </x:c>
      <x:c r="B2757" s="10" t="str">
        <x:v>B</x:v>
      </x:c>
      <x:c r="C2757" s="18" t="n">
        <x:v>0.9600001</x:v>
      </x:c>
      <x:c r="D2757" s="10" t="n">
        <x:v>560</x:v>
      </x:c>
      <x:c r="E2757" s="10" t="n">
        <x:v>0.987552</x:v>
      </x:c>
      <x:c r="F2757" s="10" t="n">
        <x:v>0.008192</x:v>
      </x:c>
      <x:c r="G2757" s="10" t="n">
        <x:f>SUM(D2757:F2757)</x:f>
        <x:v>560.9957440000001</x:v>
      </x:c>
    </x:row>
    <x:row r="2758" ht="24" customHeight="1">
      <x:c r="A2758" s="10" t="str">
        <x:v>S05-06</x:v>
      </x:c>
      <x:c r="B2758" s="10" t="str">
        <x:v>B</x:v>
      </x:c>
      <x:c r="C2758" s="18" t="n">
        <x:v>1.2609999</x:v>
      </x:c>
      <x:c r="D2758" s="10" t="n">
        <x:v>560</x:v>
      </x:c>
      <x:c r="E2758" s="10" t="n">
        <x:v>0.987552</x:v>
      </x:c>
      <x:c r="F2758" s="10" t="n">
        <x:v>0.008192</x:v>
      </x:c>
      <x:c r="G2758" s="10" t="n">
        <x:f>SUM(D2758:F2758)</x:f>
        <x:v>560.9957440000001</x:v>
      </x:c>
    </x:row>
    <x:row r="2759" ht="24" customHeight="1">
      <x:c r="A2759" s="10" t="str">
        <x:v>S05-06</x:v>
      </x:c>
      <x:c r="B2759" s="10" t="str">
        <x:v>B</x:v>
      </x:c>
      <x:c r="C2759" s="18" t="n">
        <x:v>1.261</x:v>
      </x:c>
      <x:c r="D2759" s="10" t="n">
        <x:v>560</x:v>
      </x:c>
      <x:c r="E2759" s="10" t="n">
        <x:v>0.997152</x:v>
      </x:c>
      <x:c r="F2759" s="10" t="n">
        <x:v>0.008192</x:v>
      </x:c>
      <x:c r="G2759" s="10" t="n">
        <x:f>SUM(D2759:F2759)</x:f>
        <x:v>561.005344</x:v>
      </x:c>
    </x:row>
    <x:row r="2760" ht="24" customHeight="1">
      <x:c r="A2760" s="10" t="str">
        <x:v>S05-06</x:v>
      </x:c>
      <x:c r="B2760" s="10" t="str">
        <x:v>B</x:v>
      </x:c>
      <x:c r="C2760" s="18" t="n">
        <x:v>1.2610001</x:v>
      </x:c>
      <x:c r="D2760" s="10" t="n">
        <x:v>560</x:v>
      </x:c>
      <x:c r="E2760" s="10" t="n">
        <x:v>0.997152019</x:v>
      </x:c>
      <x:c r="F2760" s="10" t="n">
        <x:v>0.008192</x:v>
      </x:c>
      <x:c r="G2760" s="10" t="n">
        <x:f>SUM(D2760:F2760)</x:f>
        <x:v>561.0053440190001</x:v>
      </x:c>
    </x:row>
    <x:row r="2761" ht="24" customHeight="1">
      <x:c r="A2761" s="10" t="str">
        <x:v>S05-06</x:v>
      </x:c>
      <x:c r="B2761" s="10" t="str">
        <x:v>B</x:v>
      </x:c>
      <x:c r="C2761" s="18" t="n">
        <x:v>1.3009999</x:v>
      </x:c>
      <x:c r="D2761" s="10" t="n">
        <x:v>560</x:v>
      </x:c>
      <x:c r="E2761" s="10" t="n">
        <x:v>1.004831981</x:v>
      </x:c>
      <x:c r="F2761" s="10" t="n">
        <x:v>0.008192</x:v>
      </x:c>
      <x:c r="G2761" s="10" t="n">
        <x:f>SUM(D2761:F2761)</x:f>
        <x:v>561.0130239810001</x:v>
      </x:c>
    </x:row>
    <x:row r="2762" ht="24" customHeight="1">
      <x:c r="A2762" s="10" t="str">
        <x:v>S05-06</x:v>
      </x:c>
      <x:c r="B2762" s="10" t="str">
        <x:v>B</x:v>
      </x:c>
      <x:c r="C2762" s="18" t="n">
        <x:v>1.301</x:v>
      </x:c>
      <x:c r="D2762" s="10" t="n">
        <x:v>560</x:v>
      </x:c>
      <x:c r="E2762" s="10" t="n">
        <x:v>1.004832</x:v>
      </x:c>
      <x:c r="F2762" s="10" t="n">
        <x:v>0.008192</x:v>
      </x:c>
      <x:c r="G2762" s="10" t="n">
        <x:f>SUM(D2762:F2762)</x:f>
        <x:v>561.013024</x:v>
      </x:c>
    </x:row>
    <x:row r="2763" ht="24" customHeight="1">
      <x:c r="A2763" s="10" t="str">
        <x:v>S05-06</x:v>
      </x:c>
      <x:c r="B2763" s="10" t="str">
        <x:v>B</x:v>
      </x:c>
      <x:c r="C2763" s="18" t="n">
        <x:v>1.3010001</x:v>
      </x:c>
      <x:c r="D2763" s="10" t="n">
        <x:v>560</x:v>
      </x:c>
      <x:c r="E2763" s="10" t="n">
        <x:v>1.004832014</x:v>
      </x:c>
      <x:c r="F2763" s="10" t="n">
        <x:v>0.008192</x:v>
      </x:c>
      <x:c r="G2763" s="10" t="n">
        <x:f>SUM(D2763:F2763)</x:f>
        <x:v>561.013024014</x:v>
      </x:c>
    </x:row>
    <x:row r="2764" ht="24" customHeight="1">
      <x:c r="A2764" s="10" t="str">
        <x:v>S05-06</x:v>
      </x:c>
      <x:c r="B2764" s="10" t="str">
        <x:v>B</x:v>
      </x:c>
      <x:c r="C2764" s="18" t="n">
        <x:v>1.9124999</x:v>
      </x:c>
      <x:c r="D2764" s="10" t="n">
        <x:v>560</x:v>
      </x:c>
      <x:c r="E2764" s="10" t="n">
        <x:v>1.092887986</x:v>
      </x:c>
      <x:c r="F2764" s="10" t="n">
        <x:v>0.008192</x:v>
      </x:c>
      <x:c r="G2764" s="10" t="n">
        <x:f>SUM(D2764:F2764)</x:f>
        <x:v>561.1010799860001</x:v>
      </x:c>
    </x:row>
    <x:row r="2765" ht="24" customHeight="1">
      <x:c r="A2765" s="10" t="str">
        <x:v>S05-06</x:v>
      </x:c>
      <x:c r="B2765" s="10" t="str">
        <x:v>B</x:v>
      </x:c>
      <x:c r="C2765" s="18" t="n">
        <x:v>1.9125</x:v>
      </x:c>
      <x:c r="D2765" s="10" t="n">
        <x:v>560</x:v>
      </x:c>
      <x:c r="E2765" s="10" t="n">
        <x:v>1.092888</x:v>
      </x:c>
      <x:c r="F2765" s="10" t="n">
        <x:v>0.008192</x:v>
      </x:c>
      <x:c r="G2765" s="10" t="n">
        <x:f>SUM(D2765:F2765)</x:f>
        <x:v>561.10108</x:v>
      </x:c>
    </x:row>
    <x:row r="2766" ht="24" customHeight="1">
      <x:c r="A2766" s="10" t="str">
        <x:v>S05-06</x:v>
      </x:c>
      <x:c r="B2766" s="10" t="str">
        <x:v>B</x:v>
      </x:c>
      <x:c r="C2766" s="18" t="n">
        <x:v>1.9125001</x:v>
      </x:c>
      <x:c r="D2766" s="10" t="n">
        <x:v>560</x:v>
      </x:c>
      <x:c r="E2766" s="10" t="n">
        <x:v>1.092887995</x:v>
      </x:c>
      <x:c r="F2766" s="10" t="n">
        <x:v>0.008192</x:v>
      </x:c>
      <x:c r="G2766" s="10" t="n">
        <x:f>SUM(D2766:F2766)</x:f>
        <x:v>561.101079995</x:v>
      </x:c>
    </x:row>
    <x:row r="2767" ht="24" customHeight="1">
      <x:c r="A2767" s="10" t="str">
        <x:v>S05-06</x:v>
      </x:c>
      <x:c r="B2767" s="10" t="str">
        <x:v>B</x:v>
      </x:c>
      <x:c r="C2767" s="18" t="n">
        <x:v>4.1069999</x:v>
      </x:c>
      <x:c r="D2767" s="10" t="n">
        <x:v>560</x:v>
      </x:c>
      <x:c r="E2767" s="10" t="n">
        <x:v>0.987552005</x:v>
      </x:c>
      <x:c r="F2767" s="10" t="n">
        <x:v>0.008192</x:v>
      </x:c>
      <x:c r="G2767" s="10" t="n">
        <x:f>SUM(D2767:F2767)</x:f>
        <x:v>560.995744005</x:v>
      </x:c>
    </x:row>
    <x:row r="2768" ht="24" customHeight="1">
      <x:c r="A2768" s="10" t="str">
        <x:v>S05-06</x:v>
      </x:c>
      <x:c r="B2768" s="10" t="str">
        <x:v>B</x:v>
      </x:c>
      <x:c r="C2768" s="18" t="n">
        <x:v>4.107</x:v>
      </x:c>
      <x:c r="D2768" s="10" t="n">
        <x:v>560</x:v>
      </x:c>
      <x:c r="E2768" s="10" t="n">
        <x:v>0.987552</x:v>
      </x:c>
      <x:c r="F2768" s="10" t="n">
        <x:v>0.012288</x:v>
      </x:c>
      <x:c r="G2768" s="10" t="n">
        <x:f>SUM(D2768:F2768)</x:f>
        <x:v>560.9998400000001</x:v>
      </x:c>
    </x:row>
    <x:row r="2769" ht="24" customHeight="1">
      <x:c r="A2769" s="10" t="str">
        <x:v>S05-06</x:v>
      </x:c>
      <x:c r="B2769" s="10" t="str">
        <x:v>B</x:v>
      </x:c>
      <x:c r="C2769" s="18" t="n">
        <x:v>4.1070001</x:v>
      </x:c>
      <x:c r="D2769" s="10" t="n">
        <x:v>560</x:v>
      </x:c>
      <x:c r="E2769" s="10" t="n">
        <x:v>0.987552</x:v>
      </x:c>
      <x:c r="F2769" s="10" t="n">
        <x:v>0.008192</x:v>
      </x:c>
      <x:c r="G2769" s="10" t="n">
        <x:f>SUM(D2769:F2769)</x:f>
        <x:v>560.9957440000001</x:v>
      </x:c>
    </x:row>
    <x:row r="2770" ht="24" customHeight="1">
      <x:c r="A2770" s="10" t="str">
        <x:v>S05-06</x:v>
      </x:c>
      <x:c r="B2770" s="10" t="str">
        <x:v>B</x:v>
      </x:c>
      <x:c r="C2770" s="18" t="n">
        <x:v>4.1469999</x:v>
      </x:c>
      <x:c r="D2770" s="10" t="n">
        <x:v>560</x:v>
      </x:c>
      <x:c r="E2770" s="10" t="n">
        <x:v>0.987552</x:v>
      </x:c>
      <x:c r="F2770" s="10" t="n">
        <x:v>0.008192</x:v>
      </x:c>
      <x:c r="G2770" s="10" t="n">
        <x:f>SUM(D2770:F2770)</x:f>
        <x:v>560.9957440000001</x:v>
      </x:c>
    </x:row>
    <x:row r="2771" ht="24" customHeight="1">
      <x:c r="A2771" s="10" t="str">
        <x:v>S05-06</x:v>
      </x:c>
      <x:c r="B2771" s="10" t="str">
        <x:v>B</x:v>
      </x:c>
      <x:c r="C2771" s="18" t="n">
        <x:v>4.147</x:v>
      </x:c>
      <x:c r="D2771" s="10" t="n">
        <x:v>560</x:v>
      </x:c>
      <x:c r="E2771" s="10" t="n">
        <x:v>0.987552</x:v>
      </x:c>
      <x:c r="F2771" s="10" t="n">
        <x:v>0.008192</x:v>
      </x:c>
      <x:c r="G2771" s="10" t="n">
        <x:f>SUM(D2771:F2771)</x:f>
        <x:v>560.9957440000001</x:v>
      </x:c>
    </x:row>
    <x:row r="2772" ht="24" customHeight="1">
      <x:c r="A2772" s="10" t="str">
        <x:v>S05-06</x:v>
      </x:c>
      <x:c r="B2772" s="10" t="str">
        <x:v>B</x:v>
      </x:c>
      <x:c r="C2772" s="18" t="n">
        <x:v>4.1470001</x:v>
      </x:c>
      <x:c r="D2772" s="10" t="n">
        <x:v>560</x:v>
      </x:c>
      <x:c r="E2772" s="10" t="n">
        <x:v>0.987551995</x:v>
      </x:c>
      <x:c r="F2772" s="10" t="n">
        <x:v>0.008192</x:v>
      </x:c>
      <x:c r="G2772" s="10" t="n">
        <x:f>SUM(D2772:F2772)</x:f>
        <x:v>560.995743995</x:v>
      </x:c>
    </x:row>
    <x:row r="2773" ht="24" customHeight="1">
      <x:c r="A2773" s="10" t="str">
        <x:v>S05-06</x:v>
      </x:c>
      <x:c r="B2773" s="10" t="str">
        <x:v>B</x:v>
      </x:c>
      <x:c r="C2773" s="18" t="n">
        <x:v>4.622333233</x:v>
      </x:c>
      <x:c r="D2773" s="10" t="n">
        <x:v>560</x:v>
      </x:c>
      <x:c r="E2773" s="10" t="n">
        <x:v>0.964736005</x:v>
      </x:c>
      <x:c r="F2773" s="10" t="n">
        <x:v>0.008192</x:v>
      </x:c>
      <x:c r="G2773" s="10" t="n">
        <x:f>SUM(D2773:F2773)</x:f>
        <x:v>560.972928005</x:v>
      </x:c>
    </x:row>
    <x:row r="2774" ht="24" customHeight="1">
      <x:c r="A2774" s="10" t="str">
        <x:v>S05-06</x:v>
      </x:c>
      <x:c r="B2774" s="10" t="str">
        <x:v>B</x:v>
      </x:c>
      <x:c r="C2774" s="18" t="n">
        <x:v>4.622333333</x:v>
      </x:c>
      <x:c r="D2774" s="10" t="n">
        <x:v>560</x:v>
      </x:c>
      <x:c r="E2774" s="10" t="n">
        <x:v>0.974336</x:v>
      </x:c>
      <x:c r="F2774" s="10" t="n">
        <x:v>0.008192</x:v>
      </x:c>
      <x:c r="G2774" s="10" t="n">
        <x:f>SUM(D2774:F2774)</x:f>
        <x:v>560.982528</x:v>
      </x:c>
    </x:row>
    <x:row r="2775" ht="24" customHeight="1">
      <x:c r="A2775" s="10" t="str">
        <x:v>S05-06</x:v>
      </x:c>
      <x:c r="B2775" s="10" t="str">
        <x:v>B</x:v>
      </x:c>
      <x:c r="C2775" s="18" t="n">
        <x:v>4.622333433</x:v>
      </x:c>
      <x:c r="D2775" s="10" t="n">
        <x:v>560</x:v>
      </x:c>
      <x:c r="E2775" s="10" t="n">
        <x:v>0.974336014</x:v>
      </x:c>
      <x:c r="F2775" s="10" t="n">
        <x:v>0.008192</x:v>
      </x:c>
      <x:c r="G2775" s="10" t="n">
        <x:f>SUM(D2775:F2775)</x:f>
        <x:v>560.982528014</x:v>
      </x:c>
    </x:row>
    <x:row r="2776" ht="24" customHeight="1">
      <x:c r="A2776" s="10" t="str">
        <x:v>S05-06</x:v>
      </x:c>
      <x:c r="B2776" s="10" t="str">
        <x:v>B</x:v>
      </x:c>
      <x:c r="C2776" s="18" t="n">
        <x:v>8.239166566</x:v>
      </x:c>
      <x:c r="D2776" s="10" t="n">
        <x:v>560</x:v>
      </x:c>
      <x:c r="E2776" s="10" t="n">
        <x:v>1.495159986</x:v>
      </x:c>
      <x:c r="F2776" s="10" t="n">
        <x:v>0.008192</x:v>
      </x:c>
      <x:c r="G2776" s="10" t="n">
        <x:f>SUM(D2776:F2776)</x:f>
        <x:v>561.503351986</x:v>
      </x:c>
    </x:row>
    <x:row r="2777" ht="24" customHeight="1">
      <x:c r="A2777" s="10" t="str">
        <x:v>S05-06</x:v>
      </x:c>
      <x:c r="B2777" s="10" t="str">
        <x:v>B</x:v>
      </x:c>
      <x:c r="C2777" s="18" t="n">
        <x:v>8.239166666</x:v>
      </x:c>
      <x:c r="D2777" s="10" t="n">
        <x:v>560</x:v>
      </x:c>
      <x:c r="E2777" s="10" t="n">
        <x:v>1.49516</x:v>
      </x:c>
      <x:c r="F2777" s="10" t="n">
        <x:v>0.008192</x:v>
      </x:c>
      <x:c r="G2777" s="10" t="n">
        <x:f>SUM(D2777:F2777)</x:f>
        <x:v>561.5033520000001</x:v>
      </x:c>
    </x:row>
    <x:row r="2778" ht="24" customHeight="1">
      <x:c r="A2778" s="10" t="str">
        <x:v>S05-06</x:v>
      </x:c>
      <x:c r="B2778" s="10" t="str">
        <x:v>B</x:v>
      </x:c>
      <x:c r="C2778" s="18" t="n">
        <x:v>8.239166766</x:v>
      </x:c>
      <x:c r="D2778" s="10" t="n">
        <x:v>560</x:v>
      </x:c>
      <x:c r="E2778" s="10" t="n">
        <x:v>1.495159995</x:v>
      </x:c>
      <x:c r="F2778" s="10" t="n">
        <x:v>0.008192</x:v>
      </x:c>
      <x:c r="G2778" s="10" t="n">
        <x:f>SUM(D2778:F2778)</x:f>
        <x:v>561.503351995</x:v>
      </x:c>
    </x:row>
    <x:row r="2779" ht="24" customHeight="1">
      <x:c r="A2779" s="10" t="str">
        <x:v>S05-06</x:v>
      </x:c>
      <x:c r="B2779" s="10" t="str">
        <x:v>B</x:v>
      </x:c>
      <x:c r="C2779" s="18" t="n">
        <x:v>24.720999901</x:v>
      </x:c>
      <x:c r="D2779" s="10" t="n">
        <x:v>560</x:v>
      </x:c>
      <x:c r="E2779" s="10" t="n">
        <x:v>0.704032005</x:v>
      </x:c>
      <x:c r="F2779" s="10" t="n">
        <x:v>0.008192</x:v>
      </x:c>
      <x:c r="G2779" s="10" t="n">
        <x:f>SUM(D2779:F2779)</x:f>
        <x:v>560.712224005</x:v>
      </x:c>
    </x:row>
    <x:row r="2780" ht="24" customHeight="1">
      <x:c r="A2780" s="10" t="str">
        <x:v>S05-06</x:v>
      </x:c>
      <x:c r="B2780" s="10" t="str">
        <x:v>B</x:v>
      </x:c>
      <x:c r="C2780" s="18" t="n">
        <x:v>24.721000001</x:v>
      </x:c>
      <x:c r="D2780" s="10" t="n">
        <x:v>560</x:v>
      </x:c>
      <x:c r="E2780" s="10" t="n">
        <x:v>0.704032</x:v>
      </x:c>
      <x:c r="F2780" s="10" t="n">
        <x:v>0.008192</x:v>
      </x:c>
      <x:c r="G2780" s="10" t="n">
        <x:f>SUM(D2780:F2780)</x:f>
        <x:v>560.712224</x:v>
      </x:c>
    </x:row>
    <x:row r="2781" ht="24" customHeight="1">
      <x:c r="A2781" s="10" t="str">
        <x:v>S05-06</x:v>
      </x:c>
      <x:c r="B2781" s="10" t="str">
        <x:v>B</x:v>
      </x:c>
      <x:c r="C2781" s="18" t="n">
        <x:v>24.721000101</x:v>
      </x:c>
      <x:c r="D2781" s="10" t="n">
        <x:v>560</x:v>
      </x:c>
      <x:c r="E2781" s="10" t="n">
        <x:v>0.704032</x:v>
      </x:c>
      <x:c r="F2781" s="10" t="n">
        <x:v>0.004096</x:v>
      </x:c>
      <x:c r="G2781" s="10" t="n">
        <x:f>SUM(D2781:F2781)</x:f>
        <x:v>560.708128</x:v>
      </x:c>
    </x:row>
    <x:row r="2782" ht="24" customHeight="1">
      <x:c r="A2782" s="10" t="str">
        <x:v>S05-06</x:v>
      </x:c>
      <x:c r="B2782" s="10" t="str">
        <x:v>B</x:v>
      </x:c>
      <x:c r="C2782" s="18" t="n">
        <x:v>24.760999901</x:v>
      </x:c>
      <x:c r="D2782" s="10" t="n">
        <x:v>560</x:v>
      </x:c>
      <x:c r="E2782" s="10" t="n">
        <x:v>0.704032</x:v>
      </x:c>
      <x:c r="F2782" s="10" t="n">
        <x:v>0.004096</x:v>
      </x:c>
      <x:c r="G2782" s="10" t="n">
        <x:f>SUM(D2782:F2782)</x:f>
        <x:v>560.708128</x:v>
      </x:c>
    </x:row>
    <x:row r="2783" ht="24" customHeight="1">
      <x:c r="A2783" s="10" t="str">
        <x:v>S05-06</x:v>
      </x:c>
      <x:c r="B2783" s="10" t="str">
        <x:v>B</x:v>
      </x:c>
      <x:c r="C2783" s="18" t="n">
        <x:v>24.761000001</x:v>
      </x:c>
      <x:c r="D2783" s="10" t="n">
        <x:v>560</x:v>
      </x:c>
      <x:c r="E2783" s="10" t="n">
        <x:v>0.704032</x:v>
      </x:c>
      <x:c r="F2783" s="10" t="n">
        <x:v>0.004096</x:v>
      </x:c>
      <x:c r="G2783" s="10" t="n">
        <x:f>SUM(D2783:F2783)</x:f>
        <x:v>560.708128</x:v>
      </x:c>
    </x:row>
    <x:row r="2784" ht="24" customHeight="1">
      <x:c r="A2784" s="10" t="str">
        <x:v>S05-06</x:v>
      </x:c>
      <x:c r="B2784" s="10" t="str">
        <x:v>B</x:v>
      </x:c>
      <x:c r="C2784" s="18" t="n">
        <x:v>24.761000101</x:v>
      </x:c>
      <x:c r="D2784" s="10" t="n">
        <x:v>560</x:v>
      </x:c>
      <x:c r="E2784" s="10" t="n">
        <x:v>0.704031995</x:v>
      </x:c>
      <x:c r="F2784" s="10" t="n">
        <x:v>0.004096</x:v>
      </x:c>
      <x:c r="G2784" s="10" t="n">
        <x:f>SUM(D2784:F2784)</x:f>
        <x:v>560.708127995</x:v>
      </x:c>
    </x:row>
    <x:row r="2785" ht="24" customHeight="1">
      <x:c r="A2785" s="10" t="str">
        <x:v>S05-06</x:v>
      </x:c>
      <x:c r="B2785" s="10" t="str">
        <x:v>B</x:v>
      </x:c>
      <x:c r="C2785" s="18" t="n">
        <x:v>39.428333233</x:v>
      </x:c>
      <x:c r="D2785" s="10" t="n">
        <x:v>560</x:v>
      </x:c>
      <x:c r="E2785" s="10" t="n">
        <x:v>5e-9</x:v>
      </x:c>
      <x:c r="F2785" s="10" t="n">
        <x:v>0.004096</x:v>
      </x:c>
      <x:c r="G2785" s="10" t="n">
        <x:f>SUM(D2785:F2785)</x:f>
        <x:v>560.004096005</x:v>
      </x:c>
    </x:row>
    <x:row r="2786" ht="24" customHeight="1">
      <x:c r="A2786" s="10" t="str">
        <x:v>S05-06</x:v>
      </x:c>
      <x:c r="B2786" s="10" t="str">
        <x:v>B</x:v>
      </x:c>
      <x:c r="C2786" s="18" t="n">
        <x:v>39.428333333</x:v>
      </x:c>
      <x:c r="D2786" s="10" t="n">
        <x:v>560</x:v>
      </x:c>
      <x:c r="E2786" s="10" t="n">
        <x:v>0</x:v>
      </x:c>
      <x:c r="F2786" s="10" t="n">
        <x:v>0.004096</x:v>
      </x:c>
      <x:c r="G2786" s="10" t="n">
        <x:f>SUM(D2786:F2786)</x:f>
        <x:v>560.004096</x:v>
      </x:c>
    </x:row>
    <x:row r="2787" ht="24" customHeight="1">
      <x:c r="A2787" s="10" t="str">
        <x:v>S05-06</x:v>
      </x:c>
      <x:c r="B2787" s="10" t="str">
        <x:v>B</x:v>
      </x:c>
      <x:c r="C2787" s="18" t="n">
        <x:v>39.428333433</x:v>
      </x:c>
      <x:c r="D2787" s="10" t="n">
        <x:v>560</x:v>
      </x:c>
      <x:c r="E2787" s="10" t="n">
        <x:v>0</x:v>
      </x:c>
      <x:c r="F2787" s="10" t="n">
        <x:v>0</x:v>
      </x:c>
      <x:c r="G2787" s="10" t="n">
        <x:f>SUM(D2787:F2787)</x:f>
        <x:v>560</x:v>
      </x:c>
    </x:row>
    <x:row r="2788" ht="24" customHeight="1">
      <x:c r="A2788" s="10" t="str">
        <x:v>S05-07</x:v>
      </x:c>
      <x:c r="B2788" s="10" t="str">
        <x:v>A</x:v>
      </x:c>
      <x:c r="C2788" s="18" t="n">
        <x:v>-6.0000001</x:v>
      </x:c>
      <x:c r="D2788" s="10" t="n">
        <x:v>560</x:v>
      </x:c>
      <x:c r="E2788" s="10" t="n">
        <x:v>0</x:v>
      </x:c>
      <x:c r="F2788" s="10" t="n">
        <x:v>0</x:v>
      </x:c>
      <x:c r="G2788" s="10" t="n">
        <x:f>SUM(D2788:F2788)</x:f>
        <x:v>560</x:v>
      </x:c>
    </x:row>
    <x:row r="2789" ht="24" customHeight="1">
      <x:c r="A2789" s="10" t="str">
        <x:v>S05-07</x:v>
      </x:c>
      <x:c r="B2789" s="10" t="str">
        <x:v>A</x:v>
      </x:c>
      <x:c r="C2789" s="18" t="n">
        <x:v>-6</x:v>
      </x:c>
      <x:c r="D2789" s="10" t="n">
        <x:v>560</x:v>
      </x:c>
      <x:c r="E2789" s="10" t="n">
        <x:v>0</x:v>
      </x:c>
      <x:c r="F2789" s="10" t="n">
        <x:v>0</x:v>
      </x:c>
      <x:c r="G2789" s="10" t="n">
        <x:f>SUM(D2789:F2789)</x:f>
        <x:v>560</x:v>
      </x:c>
    </x:row>
    <x:row r="2790" ht="24" customHeight="1">
      <x:c r="A2790" s="10" t="str">
        <x:v>S05-07</x:v>
      </x:c>
      <x:c r="B2790" s="10" t="str">
        <x:v>A</x:v>
      </x:c>
      <x:c r="C2790" s="18" t="n">
        <x:v>-5.9999999</x:v>
      </x:c>
      <x:c r="D2790" s="10" t="n">
        <x:v>560</x:v>
      </x:c>
      <x:c r="E2790" s="10" t="n">
        <x:v>0</x:v>
      </x:c>
      <x:c r="F2790" s="10" t="n">
        <x:v>0</x:v>
      </x:c>
      <x:c r="G2790" s="10" t="n">
        <x:f>SUM(D2790:F2790)</x:f>
        <x:v>560</x:v>
      </x:c>
    </x:row>
    <x:row r="2791" ht="24" customHeight="1">
      <x:c r="A2791" s="10" t="str">
        <x:v>S05-07</x:v>
      </x:c>
      <x:c r="B2791" s="10" t="str">
        <x:v>A</x:v>
      </x:c>
      <x:c r="C2791" s="18" t="n">
        <x:v>-4.8000001</x:v>
      </x:c>
      <x:c r="D2791" s="10" t="n">
        <x:v>560</x:v>
      </x:c>
      <x:c r="E2791" s="10" t="n">
        <x:v>0</x:v>
      </x:c>
      <x:c r="F2791" s="10" t="n">
        <x:v>0</x:v>
      </x:c>
      <x:c r="G2791" s="10" t="n">
        <x:f>SUM(D2791:F2791)</x:f>
        <x:v>560</x:v>
      </x:c>
    </x:row>
    <x:row r="2792" ht="24" customHeight="1">
      <x:c r="A2792" s="10" t="str">
        <x:v>S05-07</x:v>
      </x:c>
      <x:c r="B2792" s="10" t="str">
        <x:v>A</x:v>
      </x:c>
      <x:c r="C2792" s="18" t="n">
        <x:v>-4.8</x:v>
      </x:c>
      <x:c r="D2792" s="10" t="n">
        <x:v>560</x:v>
      </x:c>
      <x:c r="E2792" s="10" t="n">
        <x:v>0</x:v>
      </x:c>
      <x:c r="F2792" s="10" t="n">
        <x:v>0.004096</x:v>
      </x:c>
      <x:c r="G2792" s="10" t="n">
        <x:f>SUM(D2792:F2792)</x:f>
        <x:v>560.004096</x:v>
      </x:c>
    </x:row>
    <x:row r="2793" ht="24" customHeight="1">
      <x:c r="A2793" s="10" t="str">
        <x:v>S05-07</x:v>
      </x:c>
      <x:c r="B2793" s="10" t="str">
        <x:v>A</x:v>
      </x:c>
      <x:c r="C2793" s="18" t="n">
        <x:v>-4.7999999</x:v>
      </x:c>
      <x:c r="D2793" s="10" t="n">
        <x:v>560</x:v>
      </x:c>
      <x:c r="E2793" s="10" t="n">
        <x:v>0</x:v>
      </x:c>
      <x:c r="F2793" s="10" t="n">
        <x:v>0.004096</x:v>
      </x:c>
      <x:c r="G2793" s="10" t="n">
        <x:f>SUM(D2793:F2793)</x:f>
        <x:v>560.004096</x:v>
      </x:c>
    </x:row>
    <x:row r="2794" ht="24" customHeight="1">
      <x:c r="A2794" s="10" t="str">
        <x:v>S05-07</x:v>
      </x:c>
      <x:c r="B2794" s="10" t="str">
        <x:v>A</x:v>
      </x:c>
      <x:c r="C2794" s="18" t="n">
        <x:v>-4.324666767</x:v>
      </x:c>
      <x:c r="D2794" s="10" t="n">
        <x:v>560</x:v>
      </x:c>
      <x:c r="E2794" s="10" t="n">
        <x:v>0</x:v>
      </x:c>
      <x:c r="F2794" s="10" t="n">
        <x:v>0.004096</x:v>
      </x:c>
      <x:c r="G2794" s="10" t="n">
        <x:f>SUM(D2794:F2794)</x:f>
        <x:v>560.004096</x:v>
      </x:c>
    </x:row>
    <x:row r="2795" ht="24" customHeight="1">
      <x:c r="A2795" s="10" t="str">
        <x:v>S05-07</x:v>
      </x:c>
      <x:c r="B2795" s="10" t="str">
        <x:v>A</x:v>
      </x:c>
      <x:c r="C2795" s="18" t="n">
        <x:v>-4.324666667</x:v>
      </x:c>
      <x:c r="D2795" s="10" t="n">
        <x:v>560</x:v>
      </x:c>
      <x:c r="E2795" s="10" t="n">
        <x:v>0.0096</x:v>
      </x:c>
      <x:c r="F2795" s="10" t="n">
        <x:v>0.004096</x:v>
      </x:c>
      <x:c r="G2795" s="10" t="n">
        <x:f>SUM(D2795:F2795)</x:f>
        <x:v>560.013696</x:v>
      </x:c>
    </x:row>
    <x:row r="2796" ht="24" customHeight="1">
      <x:c r="A2796" s="10" t="str">
        <x:v>S05-07</x:v>
      </x:c>
      <x:c r="B2796" s="10" t="str">
        <x:v>A</x:v>
      </x:c>
      <x:c r="C2796" s="18" t="n">
        <x:v>-4.324666567</x:v>
      </x:c>
      <x:c r="D2796" s="10" t="n">
        <x:v>560</x:v>
      </x:c>
      <x:c r="E2796" s="10" t="n">
        <x:v>0.009600019</x:v>
      </x:c>
      <x:c r="F2796" s="10" t="n">
        <x:v>0.004096</x:v>
      </x:c>
      <x:c r="G2796" s="10" t="n">
        <x:f>SUM(D2796:F2796)</x:f>
        <x:v>560.013696019</x:v>
      </x:c>
    </x:row>
    <x:row r="2797" ht="24" customHeight="1">
      <x:c r="A2797" s="10" t="str">
        <x:v>S05-07</x:v>
      </x:c>
      <x:c r="B2797" s="10" t="str">
        <x:v>A</x:v>
      </x:c>
      <x:c r="C2797" s="18" t="n">
        <x:v>-4.284666767</x:v>
      </x:c>
      <x:c r="D2797" s="10" t="n">
        <x:v>560</x:v>
      </x:c>
      <x:c r="E2797" s="10" t="n">
        <x:v>0.017279981</x:v>
      </x:c>
      <x:c r="F2797" s="10" t="n">
        <x:v>0.004096</x:v>
      </x:c>
      <x:c r="G2797" s="10" t="n">
        <x:f>SUM(D2797:F2797)</x:f>
        <x:v>560.021375981</x:v>
      </x:c>
    </x:row>
    <x:row r="2798" ht="24" customHeight="1">
      <x:c r="A2798" s="10" t="str">
        <x:v>S05-07</x:v>
      </x:c>
      <x:c r="B2798" s="10" t="str">
        <x:v>A</x:v>
      </x:c>
      <x:c r="C2798" s="18" t="n">
        <x:v>-4.284666667</x:v>
      </x:c>
      <x:c r="D2798" s="10" t="n">
        <x:v>560</x:v>
      </x:c>
      <x:c r="E2798" s="10" t="n">
        <x:v>0.01728</x:v>
      </x:c>
      <x:c r="F2798" s="10" t="n">
        <x:v>0.004096</x:v>
      </x:c>
      <x:c r="G2798" s="10" t="n">
        <x:f>SUM(D2798:F2798)</x:f>
        <x:v>560.021376</x:v>
      </x:c>
    </x:row>
    <x:row r="2799" ht="24" customHeight="1">
      <x:c r="A2799" s="10" t="str">
        <x:v>S05-07</x:v>
      </x:c>
      <x:c r="B2799" s="10" t="str">
        <x:v>A</x:v>
      </x:c>
      <x:c r="C2799" s="18" t="n">
        <x:v>-4.284666567</x:v>
      </x:c>
      <x:c r="D2799" s="10" t="n">
        <x:v>560</x:v>
      </x:c>
      <x:c r="E2799" s="10" t="n">
        <x:v>0.017280014</x:v>
      </x:c>
      <x:c r="F2799" s="10" t="n">
        <x:v>0.004096</x:v>
      </x:c>
      <x:c r="G2799" s="10" t="n">
        <x:f>SUM(D2799:F2799)</x:f>
        <x:v>560.021376014</x:v>
      </x:c>
    </x:row>
    <x:row r="2800" ht="24" customHeight="1">
      <x:c r="A2800" s="10" t="str">
        <x:v>S05-07</x:v>
      </x:c>
      <x:c r="B2800" s="10" t="str">
        <x:v>A</x:v>
      </x:c>
      <x:c r="C2800" s="18" t="n">
        <x:v>-3.5200001</x:v>
      </x:c>
      <x:c r="D2800" s="10" t="n">
        <x:v>560</x:v>
      </x:c>
      <x:c r="E2800" s="10" t="n">
        <x:v>0.127391986</x:v>
      </x:c>
      <x:c r="F2800" s="10" t="n">
        <x:v>0.004096</x:v>
      </x:c>
      <x:c r="G2800" s="10" t="n">
        <x:f>SUM(D2800:F2800)</x:f>
        <x:v>560.131487986</x:v>
      </x:c>
    </x:row>
    <x:row r="2801" ht="24" customHeight="1">
      <x:c r="A2801" s="10" t="str">
        <x:v>S05-07</x:v>
      </x:c>
      <x:c r="B2801" s="10" t="str">
        <x:v>A</x:v>
      </x:c>
      <x:c r="C2801" s="18" t="n">
        <x:v>-3.52</x:v>
      </x:c>
      <x:c r="D2801" s="10" t="n">
        <x:v>560</x:v>
      </x:c>
      <x:c r="E2801" s="10" t="n">
        <x:v>0.127392</x:v>
      </x:c>
      <x:c r="F2801" s="10" t="n">
        <x:v>0.004096</x:v>
      </x:c>
      <x:c r="G2801" s="10" t="n">
        <x:f>SUM(D2801:F2801)</x:f>
        <x:v>560.131488</x:v>
      </x:c>
    </x:row>
    <x:row r="2802" ht="24" customHeight="1">
      <x:c r="A2802" s="10" t="str">
        <x:v>S05-07</x:v>
      </x:c>
      <x:c r="B2802" s="10" t="str">
        <x:v>A</x:v>
      </x:c>
      <x:c r="C2802" s="18" t="n">
        <x:v>-3.5199999</x:v>
      </x:c>
      <x:c r="D2802" s="10" t="n">
        <x:v>560</x:v>
      </x:c>
      <x:c r="E2802" s="10" t="n">
        <x:v>0.127392019</x:v>
      </x:c>
      <x:c r="F2802" s="10" t="n">
        <x:v>0.004096</x:v>
      </x:c>
      <x:c r="G2802" s="10" t="n">
        <x:f>SUM(D2802:F2802)</x:f>
        <x:v>560.131488019</x:v>
      </x:c>
    </x:row>
    <x:row r="2803" ht="24" customHeight="1">
      <x:c r="A2803" s="10" t="str">
        <x:v>S05-07</x:v>
      </x:c>
      <x:c r="B2803" s="10" t="str">
        <x:v>A</x:v>
      </x:c>
      <x:c r="C2803" s="18" t="n">
        <x:v>-0.9000001</x:v>
      </x:c>
      <x:c r="D2803" s="10" t="n">
        <x:v>560</x:v>
      </x:c>
      <x:c r="E2803" s="10" t="n">
        <x:v>0.630431981</x:v>
      </x:c>
      <x:c r="F2803" s="10" t="n">
        <x:v>0.004096</x:v>
      </x:c>
      <x:c r="G2803" s="10" t="n">
        <x:f>SUM(D2803:F2803)</x:f>
        <x:v>560.634527981</x:v>
      </x:c>
    </x:row>
    <x:row r="2804" ht="24" customHeight="1">
      <x:c r="A2804" s="10" t="str">
        <x:v>S05-07</x:v>
      </x:c>
      <x:c r="B2804" s="10" t="str">
        <x:v>A</x:v>
      </x:c>
      <x:c r="C2804" s="18" t="n">
        <x:v>-0.9</x:v>
      </x:c>
      <x:c r="D2804" s="10" t="n">
        <x:v>560</x:v>
      </x:c>
      <x:c r="E2804" s="10" t="n">
        <x:v>0.630432</x:v>
      </x:c>
      <x:c r="F2804" s="10" t="n">
        <x:v>0.008192</x:v>
      </x:c>
      <x:c r="G2804" s="10" t="n">
        <x:f>SUM(D2804:F2804)</x:f>
        <x:v>560.638624</x:v>
      </x:c>
    </x:row>
    <x:row r="2805" ht="24" customHeight="1">
      <x:c r="A2805" s="10" t="str">
        <x:v>S05-07</x:v>
      </x:c>
      <x:c r="B2805" s="10" t="str">
        <x:v>A</x:v>
      </x:c>
      <x:c r="C2805" s="18" t="n">
        <x:v>-0.8999999</x:v>
      </x:c>
      <x:c r="D2805" s="10" t="n">
        <x:v>560</x:v>
      </x:c>
      <x:c r="E2805" s="10" t="n">
        <x:v>0.630432019</x:v>
      </x:c>
      <x:c r="F2805" s="10" t="n">
        <x:v>0.008192</x:v>
      </x:c>
      <x:c r="G2805" s="10" t="n">
        <x:f>SUM(D2805:F2805)</x:f>
        <x:v>560.638624019</x:v>
      </x:c>
    </x:row>
    <x:row r="2806" ht="24" customHeight="1">
      <x:c r="A2806" s="10" t="str">
        <x:v>S05-07</x:v>
      </x:c>
      <x:c r="B2806" s="10" t="str">
        <x:v>A</x:v>
      </x:c>
      <x:c r="C2806" s="18" t="n">
        <x:v>-0.4990001</x:v>
      </x:c>
      <x:c r="D2806" s="10" t="n">
        <x:v>560</x:v>
      </x:c>
      <x:c r="E2806" s="10" t="n">
        <x:v>0.707423981</x:v>
      </x:c>
      <x:c r="F2806" s="10" t="n">
        <x:v>0.008192</x:v>
      </x:c>
      <x:c r="G2806" s="10" t="n">
        <x:f>SUM(D2806:F2806)</x:f>
        <x:v>560.715615981</x:v>
      </x:c>
    </x:row>
    <x:row r="2807" ht="24" customHeight="1">
      <x:c r="A2807" s="10" t="str">
        <x:v>S05-07</x:v>
      </x:c>
      <x:c r="B2807" s="10" t="str">
        <x:v>A</x:v>
      </x:c>
      <x:c r="C2807" s="18" t="n">
        <x:v>-0.499</x:v>
      </x:c>
      <x:c r="D2807" s="10" t="n">
        <x:v>560</x:v>
      </x:c>
      <x:c r="E2807" s="10" t="n">
        <x:v>0.717024</x:v>
      </x:c>
      <x:c r="F2807" s="10" t="n">
        <x:v>0.008192</x:v>
      </x:c>
      <x:c r="G2807" s="10" t="n">
        <x:f>SUM(D2807:F2807)</x:f>
        <x:v>560.725216</x:v>
      </x:c>
    </x:row>
    <x:row r="2808" ht="24" customHeight="1">
      <x:c r="A2808" s="10" t="str">
        <x:v>S05-07</x:v>
      </x:c>
      <x:c r="B2808" s="10" t="str">
        <x:v>A</x:v>
      </x:c>
      <x:c r="C2808" s="18" t="n">
        <x:v>-0.4989999</x:v>
      </x:c>
      <x:c r="D2808" s="10" t="n">
        <x:v>560</x:v>
      </x:c>
      <x:c r="E2808" s="10" t="n">
        <x:v>0.717024038</x:v>
      </x:c>
      <x:c r="F2808" s="10" t="n">
        <x:v>0.008192</x:v>
      </x:c>
      <x:c r="G2808" s="10" t="n">
        <x:f>SUM(D2808:F2808)</x:f>
        <x:v>560.725216038</x:v>
      </x:c>
    </x:row>
    <x:row r="2809" ht="24" customHeight="1">
      <x:c r="A2809" s="10" t="str">
        <x:v>S05-07</x:v>
      </x:c>
      <x:c r="B2809" s="10" t="str">
        <x:v>A</x:v>
      </x:c>
      <x:c r="C2809" s="18" t="n">
        <x:v>-1e-7</x:v>
      </x:c>
      <x:c r="D2809" s="10" t="n">
        <x:v>560</x:v>
      </x:c>
      <x:c r="E2809" s="10" t="n">
        <x:v>0.908639962</x:v>
      </x:c>
      <x:c r="F2809" s="10" t="n">
        <x:v>0.008192</x:v>
      </x:c>
      <x:c r="G2809" s="10" t="n">
        <x:f>SUM(D2809:F2809)</x:f>
        <x:v>560.9168319620001</x:v>
      </x:c>
    </x:row>
    <x:row r="2810" ht="24" customHeight="1">
      <x:c r="A2810" s="10" t="str">
        <x:v>S05-07</x:v>
      </x:c>
      <x:c r="B2810" s="10" t="str">
        <x:v>A</x:v>
      </x:c>
      <x:c r="C2810" s="18" t="n">
        <x:v>0</x:v>
      </x:c>
      <x:c r="D2810" s="10" t="n">
        <x:v>560</x:v>
      </x:c>
      <x:c r="E2810" s="10" t="n">
        <x:v>0.90864</x:v>
      </x:c>
      <x:c r="F2810" s="10" t="n">
        <x:v>0.008192</x:v>
      </x:c>
      <x:c r="G2810" s="10" t="n">
        <x:f>SUM(D2810:F2810)</x:f>
        <x:v>560.916832</x:v>
      </x:c>
    </x:row>
    <x:row r="2811" ht="24" customHeight="1">
      <x:c r="A2811" s="10" t="str">
        <x:v>S05-07</x:v>
      </x:c>
      <x:c r="B2811" s="10" t="str">
        <x:v>A</x:v>
      </x:c>
      <x:c r="C2811" s="18" t="n">
        <x:v>1e-7</x:v>
      </x:c>
      <x:c r="D2811" s="10" t="n">
        <x:v>560</x:v>
      </x:c>
      <x:c r="E2811" s="10" t="n">
        <x:v>0.908640038</x:v>
      </x:c>
      <x:c r="F2811" s="10" t="n">
        <x:v>0.008192</x:v>
      </x:c>
      <x:c r="G2811" s="10" t="n">
        <x:f>SUM(D2811:F2811)</x:f>
        <x:v>560.916832038</x:v>
      </x:c>
    </x:row>
    <x:row r="2812" ht="24" customHeight="1">
      <x:c r="A2812" s="10" t="str">
        <x:v>S05-07</x:v>
      </x:c>
      <x:c r="B2812" s="10" t="str">
        <x:v>A</x:v>
      </x:c>
      <x:c r="C2812" s="18" t="n">
        <x:v>0.1554999</x:v>
      </x:c>
      <x:c r="D2812" s="10" t="n">
        <x:v>560</x:v>
      </x:c>
      <x:c r="E2812" s="10" t="n">
        <x:v>0.968351962</x:v>
      </x:c>
      <x:c r="F2812" s="10" t="n">
        <x:v>0.008192</x:v>
      </x:c>
      <x:c r="G2812" s="10" t="n">
        <x:f>SUM(D2812:F2812)</x:f>
        <x:v>560.976543962</x:v>
      </x:c>
    </x:row>
    <x:row r="2813" ht="24" customHeight="1">
      <x:c r="A2813" s="10" t="str">
        <x:v>S05-07</x:v>
      </x:c>
      <x:c r="B2813" s="10" t="str">
        <x:v>A</x:v>
      </x:c>
      <x:c r="C2813" s="18" t="n">
        <x:v>0.1555</x:v>
      </x:c>
      <x:c r="D2813" s="10" t="n">
        <x:v>560</x:v>
      </x:c>
      <x:c r="E2813" s="10" t="n">
        <x:v>0.968352</x:v>
      </x:c>
      <x:c r="F2813" s="10" t="n">
        <x:v>0.008192</x:v>
      </x:c>
      <x:c r="G2813" s="10" t="n">
        <x:f>SUM(D2813:F2813)</x:f>
        <x:v>560.976544</x:v>
      </x:c>
    </x:row>
    <x:row r="2814" ht="24" customHeight="1">
      <x:c r="A2814" s="10" t="str">
        <x:v>S05-07</x:v>
      </x:c>
      <x:c r="B2814" s="10" t="str">
        <x:v>A</x:v>
      </x:c>
      <x:c r="C2814" s="18" t="n">
        <x:v>0.1555001</x:v>
      </x:c>
      <x:c r="D2814" s="10" t="n">
        <x:v>560</x:v>
      </x:c>
      <x:c r="E2814" s="10" t="n">
        <x:v>0.968352019</x:v>
      </x:c>
      <x:c r="F2814" s="10" t="n">
        <x:v>0.008192</x:v>
      </x:c>
      <x:c r="G2814" s="10" t="n">
        <x:f>SUM(D2814:F2814)</x:f>
        <x:v>560.976544019</x:v>
      </x:c>
    </x:row>
    <x:row r="2815" ht="24" customHeight="1">
      <x:c r="A2815" s="10" t="str">
        <x:v>S05-07</x:v>
      </x:c>
      <x:c r="B2815" s="10" t="str">
        <x:v>A</x:v>
      </x:c>
      <x:c r="C2815" s="18" t="n">
        <x:v>0.888333233</x:v>
      </x:c>
      <x:c r="D2815" s="10" t="n">
        <x:v>560</x:v>
      </x:c>
      <x:c r="E2815" s="10" t="n">
        <x:v>1.109055981</x:v>
      </x:c>
      <x:c r="F2815" s="10" t="n">
        <x:v>0.008192</x:v>
      </x:c>
      <x:c r="G2815" s="10" t="n">
        <x:f>SUM(D2815:F2815)</x:f>
        <x:v>561.117247981</x:v>
      </x:c>
    </x:row>
    <x:row r="2816" ht="24" customHeight="1">
      <x:c r="A2816" s="10" t="str">
        <x:v>S05-07</x:v>
      </x:c>
      <x:c r="B2816" s="10" t="str">
        <x:v>A</x:v>
      </x:c>
      <x:c r="C2816" s="18" t="n">
        <x:v>0.888333333</x:v>
      </x:c>
      <x:c r="D2816" s="10" t="n">
        <x:v>560</x:v>
      </x:c>
      <x:c r="E2816" s="10" t="n">
        <x:v>1.109056</x:v>
      </x:c>
      <x:c r="F2816" s="10" t="n">
        <x:v>0.008192</x:v>
      </x:c>
      <x:c r="G2816" s="10" t="n">
        <x:f>SUM(D2816:F2816)</x:f>
        <x:v>561.117248</x:v>
      </x:c>
    </x:row>
    <x:row r="2817" ht="24" customHeight="1">
      <x:c r="A2817" s="10" t="str">
        <x:v>S05-07</x:v>
      </x:c>
      <x:c r="B2817" s="10" t="str">
        <x:v>A</x:v>
      </x:c>
      <x:c r="C2817" s="18" t="n">
        <x:v>0.888333433</x:v>
      </x:c>
      <x:c r="D2817" s="10" t="n">
        <x:v>560</x:v>
      </x:c>
      <x:c r="E2817" s="10" t="n">
        <x:v>1.109056019</x:v>
      </x:c>
      <x:c r="F2817" s="10" t="n">
        <x:v>0.008192</x:v>
      </x:c>
      <x:c r="G2817" s="10" t="n">
        <x:f>SUM(D2817:F2817)</x:f>
        <x:v>561.117248019</x:v>
      </x:c>
    </x:row>
    <x:row r="2818" ht="24" customHeight="1">
      <x:c r="A2818" s="10" t="str">
        <x:v>S05-07</x:v>
      </x:c>
      <x:c r="B2818" s="10" t="str">
        <x:v>A</x:v>
      </x:c>
      <x:c r="C2818" s="18" t="n">
        <x:v>0.928333233</x:v>
      </x:c>
      <x:c r="D2818" s="10" t="n">
        <x:v>560</x:v>
      </x:c>
      <x:c r="E2818" s="10" t="n">
        <x:v>1.116735981</x:v>
      </x:c>
      <x:c r="F2818" s="10" t="n">
        <x:v>0.008192</x:v>
      </x:c>
      <x:c r="G2818" s="10" t="n">
        <x:f>SUM(D2818:F2818)</x:f>
        <x:v>561.124927981</x:v>
      </x:c>
    </x:row>
    <x:row r="2819" ht="24" customHeight="1">
      <x:c r="A2819" s="10" t="str">
        <x:v>S05-07</x:v>
      </x:c>
      <x:c r="B2819" s="10" t="str">
        <x:v>A</x:v>
      </x:c>
      <x:c r="C2819" s="18" t="n">
        <x:v>0.928333333</x:v>
      </x:c>
      <x:c r="D2819" s="10" t="n">
        <x:v>560</x:v>
      </x:c>
      <x:c r="E2819" s="10" t="n">
        <x:v>1.116736</x:v>
      </x:c>
      <x:c r="F2819" s="10" t="n">
        <x:v>0.008192</x:v>
      </x:c>
      <x:c r="G2819" s="10" t="n">
        <x:f>SUM(D2819:F2819)</x:f>
        <x:v>561.124928</x:v>
      </x:c>
    </x:row>
    <x:row r="2820" ht="24" customHeight="1">
      <x:c r="A2820" s="10" t="str">
        <x:v>S05-07</x:v>
      </x:c>
      <x:c r="B2820" s="10" t="str">
        <x:v>A</x:v>
      </x:c>
      <x:c r="C2820" s="18" t="n">
        <x:v>0.928333433</x:v>
      </x:c>
      <x:c r="D2820" s="10" t="n">
        <x:v>560</x:v>
      </x:c>
      <x:c r="E2820" s="10" t="n">
        <x:v>1.116736014</x:v>
      </x:c>
      <x:c r="F2820" s="10" t="n">
        <x:v>0.008192</x:v>
      </x:c>
      <x:c r="G2820" s="10" t="n">
        <x:f>SUM(D2820:F2820)</x:f>
        <x:v>561.124928014</x:v>
      </x:c>
    </x:row>
    <x:row r="2821" ht="24" customHeight="1">
      <x:c r="A2821" s="10" t="str">
        <x:v>S05-07</x:v>
      </x:c>
      <x:c r="B2821" s="10" t="str">
        <x:v>A</x:v>
      </x:c>
      <x:c r="C2821" s="18" t="n">
        <x:v>3.746333233</x:v>
      </x:c>
      <x:c r="D2821" s="10" t="n">
        <x:v>560</x:v>
      </x:c>
      <x:c r="E2821" s="10" t="n">
        <x:v>1.522527986</x:v>
      </x:c>
      <x:c r="F2821" s="10" t="n">
        <x:v>0.008192</x:v>
      </x:c>
      <x:c r="G2821" s="10" t="n">
        <x:f>SUM(D2821:F2821)</x:f>
        <x:v>561.530719986</x:v>
      </x:c>
    </x:row>
    <x:row r="2822" ht="24" customHeight="1">
      <x:c r="A2822" s="10" t="str">
        <x:v>S05-07</x:v>
      </x:c>
      <x:c r="B2822" s="10" t="str">
        <x:v>A</x:v>
      </x:c>
      <x:c r="C2822" s="18" t="n">
        <x:v>3.746333333</x:v>
      </x:c>
      <x:c r="D2822" s="10" t="n">
        <x:v>560</x:v>
      </x:c>
      <x:c r="E2822" s="10" t="n">
        <x:v>1.522528</x:v>
      </x:c>
      <x:c r="F2822" s="10" t="n">
        <x:v>0.008192</x:v>
      </x:c>
      <x:c r="G2822" s="10" t="n">
        <x:f>SUM(D2822:F2822)</x:f>
        <x:v>561.53072</x:v>
      </x:c>
    </x:row>
    <x:row r="2823" ht="24" customHeight="1">
      <x:c r="A2823" s="10" t="str">
        <x:v>S05-07</x:v>
      </x:c>
      <x:c r="B2823" s="10" t="str">
        <x:v>A</x:v>
      </x:c>
      <x:c r="C2823" s="18" t="n">
        <x:v>3.746333433</x:v>
      </x:c>
      <x:c r="D2823" s="10" t="n">
        <x:v>560</x:v>
      </x:c>
      <x:c r="E2823" s="10" t="n">
        <x:v>1.522528019</x:v>
      </x:c>
      <x:c r="F2823" s="10" t="n">
        <x:v>0.004096</x:v>
      </x:c>
      <x:c r="G2823" s="10" t="n">
        <x:f>SUM(D2823:F2823)</x:f>
        <x:v>561.526624019</x:v>
      </x:c>
    </x:row>
    <x:row r="2824" ht="24" customHeight="1">
      <x:c r="A2824" s="10" t="str">
        <x:v>S05-07</x:v>
      </x:c>
      <x:c r="B2824" s="10" t="str">
        <x:v>A</x:v>
      </x:c>
      <x:c r="C2824" s="18" t="n">
        <x:v>3.786333233</x:v>
      </x:c>
      <x:c r="D2824" s="10" t="n">
        <x:v>560</x:v>
      </x:c>
      <x:c r="E2824" s="10" t="n">
        <x:v>1.530207981</x:v>
      </x:c>
      <x:c r="F2824" s="10" t="n">
        <x:v>0.004096</x:v>
      </x:c>
      <x:c r="G2824" s="10" t="n">
        <x:f>SUM(D2824:F2824)</x:f>
        <x:v>561.534303981</x:v>
      </x:c>
    </x:row>
    <x:row r="2825" ht="24" customHeight="1">
      <x:c r="A2825" s="10" t="str">
        <x:v>S05-07</x:v>
      </x:c>
      <x:c r="B2825" s="10" t="str">
        <x:v>A</x:v>
      </x:c>
      <x:c r="C2825" s="18" t="n">
        <x:v>3.786333333</x:v>
      </x:c>
      <x:c r="D2825" s="10" t="n">
        <x:v>560</x:v>
      </x:c>
      <x:c r="E2825" s="10" t="n">
        <x:v>1.530208</x:v>
      </x:c>
      <x:c r="F2825" s="10" t="n">
        <x:v>0.004096</x:v>
      </x:c>
      <x:c r="G2825" s="10" t="n">
        <x:f>SUM(D2825:F2825)</x:f>
        <x:v>561.534304</x:v>
      </x:c>
    </x:row>
    <x:row r="2826" ht="24" customHeight="1">
      <x:c r="A2826" s="10" t="str">
        <x:v>S05-07</x:v>
      </x:c>
      <x:c r="B2826" s="10" t="str">
        <x:v>A</x:v>
      </x:c>
      <x:c r="C2826" s="18" t="n">
        <x:v>3.786333433</x:v>
      </x:c>
      <x:c r="D2826" s="10" t="n">
        <x:v>560</x:v>
      </x:c>
      <x:c r="E2826" s="10" t="n">
        <x:v>1.530208014</x:v>
      </x:c>
      <x:c r="F2826" s="10" t="n">
        <x:v>0.004096</x:v>
      </x:c>
      <x:c r="G2826" s="10" t="n">
        <x:f>SUM(D2826:F2826)</x:f>
        <x:v>561.534304014</x:v>
      </x:c>
    </x:row>
    <x:row r="2827" ht="24" customHeight="1">
      <x:c r="A2827" s="10" t="str">
        <x:v>S05-07</x:v>
      </x:c>
      <x:c r="B2827" s="10" t="str">
        <x:v>A</x:v>
      </x:c>
      <x:c r="C2827" s="18" t="n">
        <x:v>4.629833233</x:v>
      </x:c>
      <x:c r="D2827" s="10" t="n">
        <x:v>560</x:v>
      </x:c>
      <x:c r="E2827" s="10" t="n">
        <x:v>1.651671986</x:v>
      </x:c>
      <x:c r="F2827" s="10" t="n">
        <x:v>0.004096</x:v>
      </x:c>
      <x:c r="G2827" s="10" t="n">
        <x:f>SUM(D2827:F2827)</x:f>
        <x:v>561.655767986</x:v>
      </x:c>
    </x:row>
    <x:row r="2828" ht="24" customHeight="1">
      <x:c r="A2828" s="10" t="str">
        <x:v>S05-07</x:v>
      </x:c>
      <x:c r="B2828" s="10" t="str">
        <x:v>A</x:v>
      </x:c>
      <x:c r="C2828" s="18" t="n">
        <x:v>4.629833333</x:v>
      </x:c>
      <x:c r="D2828" s="10" t="n">
        <x:v>560</x:v>
      </x:c>
      <x:c r="E2828" s="10" t="n">
        <x:v>1.651672</x:v>
      </x:c>
      <x:c r="F2828" s="10" t="n">
        <x:v>0.004096</x:v>
      </x:c>
      <x:c r="G2828" s="10" t="n">
        <x:f>SUM(D2828:F2828)</x:f>
        <x:v>561.655768</x:v>
      </x:c>
    </x:row>
    <x:row r="2829" ht="24" customHeight="1">
      <x:c r="A2829" s="10" t="str">
        <x:v>S05-07</x:v>
      </x:c>
      <x:c r="B2829" s="10" t="str">
        <x:v>A</x:v>
      </x:c>
      <x:c r="C2829" s="18" t="n">
        <x:v>4.629833433</x:v>
      </x:c>
      <x:c r="D2829" s="10" t="n">
        <x:v>560</x:v>
      </x:c>
      <x:c r="E2829" s="10" t="n">
        <x:v>1.651671995</x:v>
      </x:c>
      <x:c r="F2829" s="10" t="n">
        <x:v>0.004096</x:v>
      </x:c>
      <x:c r="G2829" s="10" t="n">
        <x:f>SUM(D2829:F2829)</x:f>
        <x:v>561.655767995</x:v>
      </x:c>
    </x:row>
    <x:row r="2830" ht="24" customHeight="1">
      <x:c r="A2830" s="10" t="str">
        <x:v>S05-07</x:v>
      </x:c>
      <x:c r="B2830" s="10" t="str">
        <x:v>A</x:v>
      </x:c>
      <x:c r="C2830" s="18" t="n">
        <x:v>39.039666566</x:v>
      </x:c>
      <x:c r="D2830" s="10" t="n">
        <x:v>560</x:v>
      </x:c>
      <x:c r="E2830" s="10" t="n">
        <x:v>5e-9</x:v>
      </x:c>
      <x:c r="F2830" s="10" t="n">
        <x:v>0.004096</x:v>
      </x:c>
      <x:c r="G2830" s="10" t="n">
        <x:f>SUM(D2830:F2830)</x:f>
        <x:v>560.004096005</x:v>
      </x:c>
    </x:row>
    <x:row r="2831" ht="24" customHeight="1">
      <x:c r="A2831" s="10" t="str">
        <x:v>S05-07</x:v>
      </x:c>
      <x:c r="B2831" s="10" t="str">
        <x:v>A</x:v>
      </x:c>
      <x:c r="C2831" s="18" t="n">
        <x:v>39.039666666</x:v>
      </x:c>
      <x:c r="D2831" s="10" t="n">
        <x:v>560</x:v>
      </x:c>
      <x:c r="E2831" s="10" t="n">
        <x:v>0</x:v>
      </x:c>
      <x:c r="F2831" s="10" t="n">
        <x:v>0.004096</x:v>
      </x:c>
      <x:c r="G2831" s="10" t="n">
        <x:f>SUM(D2831:F2831)</x:f>
        <x:v>560.004096</x:v>
      </x:c>
    </x:row>
    <x:row r="2832" ht="24" customHeight="1">
      <x:c r="A2832" s="10" t="str">
        <x:v>S05-07</x:v>
      </x:c>
      <x:c r="B2832" s="10" t="str">
        <x:v>A</x:v>
      </x:c>
      <x:c r="C2832" s="18" t="n">
        <x:v>39.039666766</x:v>
      </x:c>
      <x:c r="D2832" s="10" t="n">
        <x:v>560</x:v>
      </x:c>
      <x:c r="E2832" s="10" t="n">
        <x:v>0</x:v>
      </x:c>
      <x:c r="F2832" s="10" t="n">
        <x:v>0</x:v>
      </x:c>
      <x:c r="G2832" s="10" t="n">
        <x:f>SUM(D2832:F2832)</x:f>
        <x:v>560</x:v>
      </x:c>
    </x:row>
    <x:row r="2833" ht="24" customHeight="1">
      <x:c r="A2833" s="10" t="str">
        <x:v>S05-07</x:v>
      </x:c>
      <x:c r="B2833" s="10" t="str">
        <x:v>B</x:v>
      </x:c>
      <x:c r="C2833" s="18" t="n">
        <x:v>-6.0000001</x:v>
      </x:c>
      <x:c r="D2833" s="10" t="n">
        <x:v>560</x:v>
      </x:c>
      <x:c r="E2833" s="10" t="n">
        <x:v>0</x:v>
      </x:c>
      <x:c r="F2833" s="10" t="n">
        <x:v>0</x:v>
      </x:c>
      <x:c r="G2833" s="10" t="n">
        <x:f>SUM(D2833:F2833)</x:f>
        <x:v>560</x:v>
      </x:c>
    </x:row>
    <x:row r="2834" ht="24" customHeight="1">
      <x:c r="A2834" s="10" t="str">
        <x:v>S05-07</x:v>
      </x:c>
      <x:c r="B2834" s="10" t="str">
        <x:v>B</x:v>
      </x:c>
      <x:c r="C2834" s="18" t="n">
        <x:v>-6</x:v>
      </x:c>
      <x:c r="D2834" s="10" t="n">
        <x:v>560</x:v>
      </x:c>
      <x:c r="E2834" s="10" t="n">
        <x:v>0</x:v>
      </x:c>
      <x:c r="F2834" s="10" t="n">
        <x:v>0</x:v>
      </x:c>
      <x:c r="G2834" s="10" t="n">
        <x:f>SUM(D2834:F2834)</x:f>
        <x:v>560</x:v>
      </x:c>
    </x:row>
    <x:row r="2835" ht="24" customHeight="1">
      <x:c r="A2835" s="10" t="str">
        <x:v>S05-07</x:v>
      </x:c>
      <x:c r="B2835" s="10" t="str">
        <x:v>B</x:v>
      </x:c>
      <x:c r="C2835" s="18" t="n">
        <x:v>-5.9999999</x:v>
      </x:c>
      <x:c r="D2835" s="10" t="n">
        <x:v>560</x:v>
      </x:c>
      <x:c r="E2835" s="10" t="n">
        <x:v>0</x:v>
      </x:c>
      <x:c r="F2835" s="10" t="n">
        <x:v>0</x:v>
      </x:c>
      <x:c r="G2835" s="10" t="n">
        <x:f>SUM(D2835:F2835)</x:f>
        <x:v>560</x:v>
      </x:c>
    </x:row>
    <x:row r="2836" ht="24" customHeight="1">
      <x:c r="A2836" s="10" t="str">
        <x:v>S05-07</x:v>
      </x:c>
      <x:c r="B2836" s="10" t="str">
        <x:v>B</x:v>
      </x:c>
      <x:c r="C2836" s="18" t="n">
        <x:v>-4.8000001</x:v>
      </x:c>
      <x:c r="D2836" s="10" t="n">
        <x:v>560</x:v>
      </x:c>
      <x:c r="E2836" s="10" t="n">
        <x:v>0</x:v>
      </x:c>
      <x:c r="F2836" s="10" t="n">
        <x:v>0</x:v>
      </x:c>
      <x:c r="G2836" s="10" t="n">
        <x:f>SUM(D2836:F2836)</x:f>
        <x:v>560</x:v>
      </x:c>
    </x:row>
    <x:row r="2837" ht="24" customHeight="1">
      <x:c r="A2837" s="10" t="str">
        <x:v>S05-07</x:v>
      </x:c>
      <x:c r="B2837" s="10" t="str">
        <x:v>B</x:v>
      </x:c>
      <x:c r="C2837" s="18" t="n">
        <x:v>-4.8</x:v>
      </x:c>
      <x:c r="D2837" s="10" t="n">
        <x:v>560</x:v>
      </x:c>
      <x:c r="E2837" s="10" t="n">
        <x:v>0</x:v>
      </x:c>
      <x:c r="F2837" s="10" t="n">
        <x:v>0.004096</x:v>
      </x:c>
      <x:c r="G2837" s="10" t="n">
        <x:f>SUM(D2837:F2837)</x:f>
        <x:v>560.004096</x:v>
      </x:c>
    </x:row>
    <x:row r="2838" ht="24" customHeight="1">
      <x:c r="A2838" s="10" t="str">
        <x:v>S05-07</x:v>
      </x:c>
      <x:c r="B2838" s="10" t="str">
        <x:v>B</x:v>
      </x:c>
      <x:c r="C2838" s="18" t="n">
        <x:v>-4.7999999</x:v>
      </x:c>
      <x:c r="D2838" s="10" t="n">
        <x:v>560</x:v>
      </x:c>
      <x:c r="E2838" s="10" t="n">
        <x:v>0</x:v>
      </x:c>
      <x:c r="F2838" s="10" t="n">
        <x:v>0.004096</x:v>
      </x:c>
      <x:c r="G2838" s="10" t="n">
        <x:f>SUM(D2838:F2838)</x:f>
        <x:v>560.004096</x:v>
      </x:c>
    </x:row>
    <x:row r="2839" ht="24" customHeight="1">
      <x:c r="A2839" s="10" t="str">
        <x:v>S05-07</x:v>
      </x:c>
      <x:c r="B2839" s="10" t="str">
        <x:v>B</x:v>
      </x:c>
      <x:c r="C2839" s="18" t="n">
        <x:v>-4.324666767</x:v>
      </x:c>
      <x:c r="D2839" s="10" t="n">
        <x:v>560</x:v>
      </x:c>
      <x:c r="E2839" s="10" t="n">
        <x:v>0</x:v>
      </x:c>
      <x:c r="F2839" s="10" t="n">
        <x:v>0.004096</x:v>
      </x:c>
      <x:c r="G2839" s="10" t="n">
        <x:f>SUM(D2839:F2839)</x:f>
        <x:v>560.004096</x:v>
      </x:c>
    </x:row>
    <x:row r="2840" ht="24" customHeight="1">
      <x:c r="A2840" s="10" t="str">
        <x:v>S05-07</x:v>
      </x:c>
      <x:c r="B2840" s="10" t="str">
        <x:v>B</x:v>
      </x:c>
      <x:c r="C2840" s="18" t="n">
        <x:v>-4.324666667</x:v>
      </x:c>
      <x:c r="D2840" s="10" t="n">
        <x:v>560</x:v>
      </x:c>
      <x:c r="E2840" s="10" t="n">
        <x:v>0.0096</x:v>
      </x:c>
      <x:c r="F2840" s="10" t="n">
        <x:v>0.004096</x:v>
      </x:c>
      <x:c r="G2840" s="10" t="n">
        <x:f>SUM(D2840:F2840)</x:f>
        <x:v>560.013696</x:v>
      </x:c>
    </x:row>
    <x:row r="2841" ht="24" customHeight="1">
      <x:c r="A2841" s="10" t="str">
        <x:v>S05-07</x:v>
      </x:c>
      <x:c r="B2841" s="10" t="str">
        <x:v>B</x:v>
      </x:c>
      <x:c r="C2841" s="18" t="n">
        <x:v>-4.324666567</x:v>
      </x:c>
      <x:c r="D2841" s="10" t="n">
        <x:v>560</x:v>
      </x:c>
      <x:c r="E2841" s="10" t="n">
        <x:v>0.009600019</x:v>
      </x:c>
      <x:c r="F2841" s="10" t="n">
        <x:v>0.004096</x:v>
      </x:c>
      <x:c r="G2841" s="10" t="n">
        <x:f>SUM(D2841:F2841)</x:f>
        <x:v>560.013696019</x:v>
      </x:c>
    </x:row>
    <x:row r="2842" ht="24" customHeight="1">
      <x:c r="A2842" s="10" t="str">
        <x:v>S05-07</x:v>
      </x:c>
      <x:c r="B2842" s="10" t="str">
        <x:v>B</x:v>
      </x:c>
      <x:c r="C2842" s="18" t="n">
        <x:v>-4.284666767</x:v>
      </x:c>
      <x:c r="D2842" s="10" t="n">
        <x:v>560</x:v>
      </x:c>
      <x:c r="E2842" s="10" t="n">
        <x:v>0.017279981</x:v>
      </x:c>
      <x:c r="F2842" s="10" t="n">
        <x:v>0.004096</x:v>
      </x:c>
      <x:c r="G2842" s="10" t="n">
        <x:f>SUM(D2842:F2842)</x:f>
        <x:v>560.021375981</x:v>
      </x:c>
    </x:row>
    <x:row r="2843" ht="24" customHeight="1">
      <x:c r="A2843" s="10" t="str">
        <x:v>S05-07</x:v>
      </x:c>
      <x:c r="B2843" s="10" t="str">
        <x:v>B</x:v>
      </x:c>
      <x:c r="C2843" s="18" t="n">
        <x:v>-4.284666667</x:v>
      </x:c>
      <x:c r="D2843" s="10" t="n">
        <x:v>560</x:v>
      </x:c>
      <x:c r="E2843" s="10" t="n">
        <x:v>0.01728</x:v>
      </x:c>
      <x:c r="F2843" s="10" t="n">
        <x:v>0.004096</x:v>
      </x:c>
      <x:c r="G2843" s="10" t="n">
        <x:f>SUM(D2843:F2843)</x:f>
        <x:v>560.021376</x:v>
      </x:c>
    </x:row>
    <x:row r="2844" ht="24" customHeight="1">
      <x:c r="A2844" s="10" t="str">
        <x:v>S05-07</x:v>
      </x:c>
      <x:c r="B2844" s="10" t="str">
        <x:v>B</x:v>
      </x:c>
      <x:c r="C2844" s="18" t="n">
        <x:v>-4.284666567</x:v>
      </x:c>
      <x:c r="D2844" s="10" t="n">
        <x:v>560</x:v>
      </x:c>
      <x:c r="E2844" s="10" t="n">
        <x:v>0.017280014</x:v>
      </x:c>
      <x:c r="F2844" s="10" t="n">
        <x:v>0.004096</x:v>
      </x:c>
      <x:c r="G2844" s="10" t="n">
        <x:f>SUM(D2844:F2844)</x:f>
        <x:v>560.021376014</x:v>
      </x:c>
    </x:row>
    <x:row r="2845" ht="24" customHeight="1">
      <x:c r="A2845" s="10" t="str">
        <x:v>S05-07</x:v>
      </x:c>
      <x:c r="B2845" s="10" t="str">
        <x:v>B</x:v>
      </x:c>
      <x:c r="C2845" s="18" t="n">
        <x:v>-3.5200001</x:v>
      </x:c>
      <x:c r="D2845" s="10" t="n">
        <x:v>560</x:v>
      </x:c>
      <x:c r="E2845" s="10" t="n">
        <x:v>0.127391986</x:v>
      </x:c>
      <x:c r="F2845" s="10" t="n">
        <x:v>0.004096</x:v>
      </x:c>
      <x:c r="G2845" s="10" t="n">
        <x:f>SUM(D2845:F2845)</x:f>
        <x:v>560.131487986</x:v>
      </x:c>
    </x:row>
    <x:row r="2846" ht="24" customHeight="1">
      <x:c r="A2846" s="10" t="str">
        <x:v>S05-07</x:v>
      </x:c>
      <x:c r="B2846" s="10" t="str">
        <x:v>B</x:v>
      </x:c>
      <x:c r="C2846" s="18" t="n">
        <x:v>-3.52</x:v>
      </x:c>
      <x:c r="D2846" s="10" t="n">
        <x:v>560</x:v>
      </x:c>
      <x:c r="E2846" s="10" t="n">
        <x:v>0.127392</x:v>
      </x:c>
      <x:c r="F2846" s="10" t="n">
        <x:v>0.004096</x:v>
      </x:c>
      <x:c r="G2846" s="10" t="n">
        <x:f>SUM(D2846:F2846)</x:f>
        <x:v>560.131488</x:v>
      </x:c>
    </x:row>
    <x:row r="2847" ht="24" customHeight="1">
      <x:c r="A2847" s="10" t="str">
        <x:v>S05-07</x:v>
      </x:c>
      <x:c r="B2847" s="10" t="str">
        <x:v>B</x:v>
      </x:c>
      <x:c r="C2847" s="18" t="n">
        <x:v>-3.5199999</x:v>
      </x:c>
      <x:c r="D2847" s="10" t="n">
        <x:v>560</x:v>
      </x:c>
      <x:c r="E2847" s="10" t="n">
        <x:v>0.127392019</x:v>
      </x:c>
      <x:c r="F2847" s="10" t="n">
        <x:v>0.004096</x:v>
      </x:c>
      <x:c r="G2847" s="10" t="n">
        <x:f>SUM(D2847:F2847)</x:f>
        <x:v>560.131488019</x:v>
      </x:c>
    </x:row>
    <x:row r="2848" ht="24" customHeight="1">
      <x:c r="A2848" s="10" t="str">
        <x:v>S05-07</x:v>
      </x:c>
      <x:c r="B2848" s="10" t="str">
        <x:v>B</x:v>
      </x:c>
      <x:c r="C2848" s="18" t="n">
        <x:v>-1e-7</x:v>
      </x:c>
      <x:c r="D2848" s="10" t="n">
        <x:v>560</x:v>
      </x:c>
      <x:c r="E2848" s="10" t="n">
        <x:v>0.803231981</x:v>
      </x:c>
      <x:c r="F2848" s="10" t="n">
        <x:v>0.004096</x:v>
      </x:c>
      <x:c r="G2848" s="10" t="n">
        <x:f>SUM(D2848:F2848)</x:f>
        <x:v>560.807327981</x:v>
      </x:c>
    </x:row>
    <x:row r="2849" ht="24" customHeight="1">
      <x:c r="A2849" s="10" t="str">
        <x:v>S05-07</x:v>
      </x:c>
      <x:c r="B2849" s="10" t="str">
        <x:v>B</x:v>
      </x:c>
      <x:c r="C2849" s="18" t="n">
        <x:v>0</x:v>
      </x:c>
      <x:c r="D2849" s="10" t="n">
        <x:v>560</x:v>
      </x:c>
      <x:c r="E2849" s="10" t="n">
        <x:v>0.803232</x:v>
      </x:c>
      <x:c r="F2849" s="10" t="n">
        <x:v>0.004096</x:v>
      </x:c>
      <x:c r="G2849" s="10" t="n">
        <x:f>SUM(D2849:F2849)</x:f>
        <x:v>560.807328</x:v>
      </x:c>
    </x:row>
    <x:row r="2850" ht="24" customHeight="1">
      <x:c r="A2850" s="10" t="str">
        <x:v>S05-07</x:v>
      </x:c>
      <x:c r="B2850" s="10" t="str">
        <x:v>B</x:v>
      </x:c>
      <x:c r="C2850" s="18" t="n">
        <x:v>1e-7</x:v>
      </x:c>
      <x:c r="D2850" s="10" t="n">
        <x:v>560</x:v>
      </x:c>
      <x:c r="E2850" s="10" t="n">
        <x:v>0.803232019</x:v>
      </x:c>
      <x:c r="F2850" s="10" t="n">
        <x:v>0.004096</x:v>
      </x:c>
      <x:c r="G2850" s="10" t="n">
        <x:f>SUM(D2850:F2850)</x:f>
        <x:v>560.807328019</x:v>
      </x:c>
    </x:row>
    <x:row r="2851" ht="24" customHeight="1">
      <x:c r="A2851" s="10" t="str">
        <x:v>S05-07</x:v>
      </x:c>
      <x:c r="B2851" s="10" t="str">
        <x:v>B</x:v>
      </x:c>
      <x:c r="C2851" s="18" t="n">
        <x:v>0.888333233</x:v>
      </x:c>
      <x:c r="D2851" s="10" t="n">
        <x:v>560</x:v>
      </x:c>
      <x:c r="E2851" s="10" t="n">
        <x:v>0.973791981</x:v>
      </x:c>
      <x:c r="F2851" s="10" t="n">
        <x:v>0.004096</x:v>
      </x:c>
      <x:c r="G2851" s="10" t="n">
        <x:f>SUM(D2851:F2851)</x:f>
        <x:v>560.977887981</x:v>
      </x:c>
    </x:row>
    <x:row r="2852" ht="24" customHeight="1">
      <x:c r="A2852" s="10" t="str">
        <x:v>S05-07</x:v>
      </x:c>
      <x:c r="B2852" s="10" t="str">
        <x:v>B</x:v>
      </x:c>
      <x:c r="C2852" s="18" t="n">
        <x:v>0.888333333</x:v>
      </x:c>
      <x:c r="D2852" s="10" t="n">
        <x:v>560</x:v>
      </x:c>
      <x:c r="E2852" s="10" t="n">
        <x:v>0.973792</x:v>
      </x:c>
      <x:c r="F2852" s="10" t="n">
        <x:v>0.008192</x:v>
      </x:c>
      <x:c r="G2852" s="10" t="n">
        <x:f>SUM(D2852:F2852)</x:f>
        <x:v>560.981984</x:v>
      </x:c>
    </x:row>
    <x:row r="2853" ht="24" customHeight="1">
      <x:c r="A2853" s="10" t="str">
        <x:v>S05-07</x:v>
      </x:c>
      <x:c r="B2853" s="10" t="str">
        <x:v>B</x:v>
      </x:c>
      <x:c r="C2853" s="18" t="n">
        <x:v>0.888333433</x:v>
      </x:c>
      <x:c r="D2853" s="10" t="n">
        <x:v>560</x:v>
      </x:c>
      <x:c r="E2853" s="10" t="n">
        <x:v>0.973792019</x:v>
      </x:c>
      <x:c r="F2853" s="10" t="n">
        <x:v>0.008192</x:v>
      </x:c>
      <x:c r="G2853" s="10" t="n">
        <x:f>SUM(D2853:F2853)</x:f>
        <x:v>560.981984019</x:v>
      </x:c>
    </x:row>
    <x:row r="2854" ht="24" customHeight="1">
      <x:c r="A2854" s="10" t="str">
        <x:v>S05-07</x:v>
      </x:c>
      <x:c r="B2854" s="10" t="str">
        <x:v>B</x:v>
      </x:c>
      <x:c r="C2854" s="18" t="n">
        <x:v>0.988333233</x:v>
      </x:c>
      <x:c r="D2854" s="10" t="n">
        <x:v>560</x:v>
      </x:c>
      <x:c r="E2854" s="10" t="n">
        <x:v>0.992991981</x:v>
      </x:c>
      <x:c r="F2854" s="10" t="n">
        <x:v>0.008192</x:v>
      </x:c>
      <x:c r="G2854" s="10" t="n">
        <x:f>SUM(D2854:F2854)</x:f>
        <x:v>561.001183981</x:v>
      </x:c>
    </x:row>
    <x:row r="2855" ht="24" customHeight="1">
      <x:c r="A2855" s="10" t="str">
        <x:v>S05-07</x:v>
      </x:c>
      <x:c r="B2855" s="10" t="str">
        <x:v>B</x:v>
      </x:c>
      <x:c r="C2855" s="18" t="n">
        <x:v>0.988333333</x:v>
      </x:c>
      <x:c r="D2855" s="10" t="n">
        <x:v>560</x:v>
      </x:c>
      <x:c r="E2855" s="10" t="n">
        <x:v>0.992992</x:v>
      </x:c>
      <x:c r="F2855" s="10" t="n">
        <x:v>0.008192</x:v>
      </x:c>
      <x:c r="G2855" s="10" t="n">
        <x:f>SUM(D2855:F2855)</x:f>
        <x:v>561.001184</x:v>
      </x:c>
    </x:row>
    <x:row r="2856" ht="24" customHeight="1">
      <x:c r="A2856" s="10" t="str">
        <x:v>S05-07</x:v>
      </x:c>
      <x:c r="B2856" s="10" t="str">
        <x:v>B</x:v>
      </x:c>
      <x:c r="C2856" s="18" t="n">
        <x:v>0.988333433</x:v>
      </x:c>
      <x:c r="D2856" s="10" t="n">
        <x:v>560</x:v>
      </x:c>
      <x:c r="E2856" s="10" t="n">
        <x:v>0.992992</x:v>
      </x:c>
      <x:c r="F2856" s="10" t="n">
        <x:v>0.008192</x:v>
      </x:c>
      <x:c r="G2856" s="10" t="n">
        <x:f>SUM(D2856:F2856)</x:f>
        <x:v>561.001184</x:v>
      </x:c>
    </x:row>
    <x:row r="2857" ht="24" customHeight="1">
      <x:c r="A2857" s="10" t="str">
        <x:v>S05-07</x:v>
      </x:c>
      <x:c r="B2857" s="10" t="str">
        <x:v>B</x:v>
      </x:c>
      <x:c r="C2857" s="18" t="n">
        <x:v>1.289333233</x:v>
      </x:c>
      <x:c r="D2857" s="10" t="n">
        <x:v>560</x:v>
      </x:c>
      <x:c r="E2857" s="10" t="n">
        <x:v>0.992992</x:v>
      </x:c>
      <x:c r="F2857" s="10" t="n">
        <x:v>0.008192</x:v>
      </x:c>
      <x:c r="G2857" s="10" t="n">
        <x:f>SUM(D2857:F2857)</x:f>
        <x:v>561.001184</x:v>
      </x:c>
    </x:row>
    <x:row r="2858" ht="24" customHeight="1">
      <x:c r="A2858" s="10" t="str">
        <x:v>S05-07</x:v>
      </x:c>
      <x:c r="B2858" s="10" t="str">
        <x:v>B</x:v>
      </x:c>
      <x:c r="C2858" s="18" t="n">
        <x:v>1.289333333</x:v>
      </x:c>
      <x:c r="D2858" s="10" t="n">
        <x:v>560</x:v>
      </x:c>
      <x:c r="E2858" s="10" t="n">
        <x:v>1.002592</x:v>
      </x:c>
      <x:c r="F2858" s="10" t="n">
        <x:v>0.008192</x:v>
      </x:c>
      <x:c r="G2858" s="10" t="n">
        <x:f>SUM(D2858:F2858)</x:f>
        <x:v>561.0107840000001</x:v>
      </x:c>
    </x:row>
    <x:row r="2859" ht="24" customHeight="1">
      <x:c r="A2859" s="10" t="str">
        <x:v>S05-07</x:v>
      </x:c>
      <x:c r="B2859" s="10" t="str">
        <x:v>B</x:v>
      </x:c>
      <x:c r="C2859" s="18" t="n">
        <x:v>1.289333433</x:v>
      </x:c>
      <x:c r="D2859" s="10" t="n">
        <x:v>560</x:v>
      </x:c>
      <x:c r="E2859" s="10" t="n">
        <x:v>1.002592019</x:v>
      </x:c>
      <x:c r="F2859" s="10" t="n">
        <x:v>0.008192</x:v>
      </x:c>
      <x:c r="G2859" s="10" t="n">
        <x:f>SUM(D2859:F2859)</x:f>
        <x:v>561.010784019</x:v>
      </x:c>
    </x:row>
    <x:row r="2860" ht="24" customHeight="1">
      <x:c r="A2860" s="10" t="str">
        <x:v>S05-07</x:v>
      </x:c>
      <x:c r="B2860" s="10" t="str">
        <x:v>B</x:v>
      </x:c>
      <x:c r="C2860" s="18" t="n">
        <x:v>1.329333233</x:v>
      </x:c>
      <x:c r="D2860" s="10" t="n">
        <x:v>560</x:v>
      </x:c>
      <x:c r="E2860" s="10" t="n">
        <x:v>1.010271981</x:v>
      </x:c>
      <x:c r="F2860" s="10" t="n">
        <x:v>0.008192</x:v>
      </x:c>
      <x:c r="G2860" s="10" t="n">
        <x:f>SUM(D2860:F2860)</x:f>
        <x:v>561.018463981</x:v>
      </x:c>
    </x:row>
    <x:row r="2861" ht="24" customHeight="1">
      <x:c r="A2861" s="10" t="str">
        <x:v>S05-07</x:v>
      </x:c>
      <x:c r="B2861" s="10" t="str">
        <x:v>B</x:v>
      </x:c>
      <x:c r="C2861" s="18" t="n">
        <x:v>1.329333333</x:v>
      </x:c>
      <x:c r="D2861" s="10" t="n">
        <x:v>560</x:v>
      </x:c>
      <x:c r="E2861" s="10" t="n">
        <x:v>1.010272</x:v>
      </x:c>
      <x:c r="F2861" s="10" t="n">
        <x:v>0.008192</x:v>
      </x:c>
      <x:c r="G2861" s="10" t="n">
        <x:f>SUM(D2861:F2861)</x:f>
        <x:v>561.018464</x:v>
      </x:c>
    </x:row>
    <x:row r="2862" ht="24" customHeight="1">
      <x:c r="A2862" s="10" t="str">
        <x:v>S05-07</x:v>
      </x:c>
      <x:c r="B2862" s="10" t="str">
        <x:v>B</x:v>
      </x:c>
      <x:c r="C2862" s="18" t="n">
        <x:v>1.329333433</x:v>
      </x:c>
      <x:c r="D2862" s="10" t="n">
        <x:v>560</x:v>
      </x:c>
      <x:c r="E2862" s="10" t="n">
        <x:v>1.010272014</x:v>
      </x:c>
      <x:c r="F2862" s="10" t="n">
        <x:v>0.008192</x:v>
      </x:c>
      <x:c r="G2862" s="10" t="n">
        <x:f>SUM(D2862:F2862)</x:f>
        <x:v>561.018464014</x:v>
      </x:c>
    </x:row>
    <x:row r="2863" ht="24" customHeight="1">
      <x:c r="A2863" s="10" t="str">
        <x:v>S05-07</x:v>
      </x:c>
      <x:c r="B2863" s="10" t="str">
        <x:v>B</x:v>
      </x:c>
      <x:c r="C2863" s="18" t="n">
        <x:v>1.943833233</x:v>
      </x:c>
      <x:c r="D2863" s="10" t="n">
        <x:v>560</x:v>
      </x:c>
      <x:c r="E2863" s="10" t="n">
        <x:v>1.098759986</x:v>
      </x:c>
      <x:c r="F2863" s="10" t="n">
        <x:v>0.008192</x:v>
      </x:c>
      <x:c r="G2863" s="10" t="n">
        <x:f>SUM(D2863:F2863)</x:f>
        <x:v>561.106951986</x:v>
      </x:c>
    </x:row>
    <x:row r="2864" ht="24" customHeight="1">
      <x:c r="A2864" s="10" t="str">
        <x:v>S05-07</x:v>
      </x:c>
      <x:c r="B2864" s="10" t="str">
        <x:v>B</x:v>
      </x:c>
      <x:c r="C2864" s="18" t="n">
        <x:v>1.943833333</x:v>
      </x:c>
      <x:c r="D2864" s="10" t="n">
        <x:v>560</x:v>
      </x:c>
      <x:c r="E2864" s="10" t="n">
        <x:v>1.09876</x:v>
      </x:c>
      <x:c r="F2864" s="10" t="n">
        <x:v>0.008192</x:v>
      </x:c>
      <x:c r="G2864" s="10" t="n">
        <x:f>SUM(D2864:F2864)</x:f>
        <x:v>561.106952</x:v>
      </x:c>
    </x:row>
    <x:row r="2865" ht="24" customHeight="1">
      <x:c r="A2865" s="10" t="str">
        <x:v>S05-07</x:v>
      </x:c>
      <x:c r="B2865" s="10" t="str">
        <x:v>B</x:v>
      </x:c>
      <x:c r="C2865" s="18" t="n">
        <x:v>1.943833433</x:v>
      </x:c>
      <x:c r="D2865" s="10" t="n">
        <x:v>560</x:v>
      </x:c>
      <x:c r="E2865" s="10" t="n">
        <x:v>1.098759995</x:v>
      </x:c>
      <x:c r="F2865" s="10" t="n">
        <x:v>0.008192</x:v>
      </x:c>
      <x:c r="G2865" s="10" t="n">
        <x:f>SUM(D2865:F2865)</x:f>
        <x:v>561.106951995</x:v>
      </x:c>
    </x:row>
    <x:row r="2866" ht="24" customHeight="1">
      <x:c r="A2866" s="10" t="str">
        <x:v>S05-07</x:v>
      </x:c>
      <x:c r="B2866" s="10" t="str">
        <x:v>B</x:v>
      </x:c>
      <x:c r="C2866" s="18" t="n">
        <x:v>4.147333233</x:v>
      </x:c>
      <x:c r="D2866" s="10" t="n">
        <x:v>560</x:v>
      </x:c>
      <x:c r="E2866" s="10" t="n">
        <x:v>0.992992005</x:v>
      </x:c>
      <x:c r="F2866" s="10" t="n">
        <x:v>0.008192</x:v>
      </x:c>
      <x:c r="G2866" s="10" t="n">
        <x:f>SUM(D2866:F2866)</x:f>
        <x:v>561.001184005</x:v>
      </x:c>
    </x:row>
    <x:row r="2867" ht="24" customHeight="1">
      <x:c r="A2867" s="10" t="str">
        <x:v>S05-07</x:v>
      </x:c>
      <x:c r="B2867" s="10" t="str">
        <x:v>B</x:v>
      </x:c>
      <x:c r="C2867" s="18" t="n">
        <x:v>4.147333333</x:v>
      </x:c>
      <x:c r="D2867" s="10" t="n">
        <x:v>560</x:v>
      </x:c>
      <x:c r="E2867" s="10" t="n">
        <x:v>0.992992</x:v>
      </x:c>
      <x:c r="F2867" s="10" t="n">
        <x:v>0.012288</x:v>
      </x:c>
      <x:c r="G2867" s="10" t="n">
        <x:f>SUM(D2867:F2867)</x:f>
        <x:v>561.00528</x:v>
      </x:c>
    </x:row>
    <x:row r="2868" ht="24" customHeight="1">
      <x:c r="A2868" s="10" t="str">
        <x:v>S05-07</x:v>
      </x:c>
      <x:c r="B2868" s="10" t="str">
        <x:v>B</x:v>
      </x:c>
      <x:c r="C2868" s="18" t="n">
        <x:v>4.147333433</x:v>
      </x:c>
      <x:c r="D2868" s="10" t="n">
        <x:v>560</x:v>
      </x:c>
      <x:c r="E2868" s="10" t="n">
        <x:v>0.992992</x:v>
      </x:c>
      <x:c r="F2868" s="10" t="n">
        <x:v>0.008192</x:v>
      </x:c>
      <x:c r="G2868" s="10" t="n">
        <x:f>SUM(D2868:F2868)</x:f>
        <x:v>561.001184</x:v>
      </x:c>
    </x:row>
    <x:row r="2869" ht="24" customHeight="1">
      <x:c r="A2869" s="10" t="str">
        <x:v>S05-07</x:v>
      </x:c>
      <x:c r="B2869" s="10" t="str">
        <x:v>B</x:v>
      </x:c>
      <x:c r="C2869" s="18" t="n">
        <x:v>4.187333233</x:v>
      </x:c>
      <x:c r="D2869" s="10" t="n">
        <x:v>560</x:v>
      </x:c>
      <x:c r="E2869" s="10" t="n">
        <x:v>0.992992</x:v>
      </x:c>
      <x:c r="F2869" s="10" t="n">
        <x:v>0.008192</x:v>
      </x:c>
      <x:c r="G2869" s="10" t="n">
        <x:f>SUM(D2869:F2869)</x:f>
        <x:v>561.001184</x:v>
      </x:c>
    </x:row>
    <x:row r="2870" ht="24" customHeight="1">
      <x:c r="A2870" s="10" t="str">
        <x:v>S05-07</x:v>
      </x:c>
      <x:c r="B2870" s="10" t="str">
        <x:v>B</x:v>
      </x:c>
      <x:c r="C2870" s="18" t="n">
        <x:v>4.187333333</x:v>
      </x:c>
      <x:c r="D2870" s="10" t="n">
        <x:v>560</x:v>
      </x:c>
      <x:c r="E2870" s="10" t="n">
        <x:v>0.992992</x:v>
      </x:c>
      <x:c r="F2870" s="10" t="n">
        <x:v>0.008192</x:v>
      </x:c>
      <x:c r="G2870" s="10" t="n">
        <x:f>SUM(D2870:F2870)</x:f>
        <x:v>561.001184</x:v>
      </x:c>
    </x:row>
    <x:row r="2871" ht="24" customHeight="1">
      <x:c r="A2871" s="10" t="str">
        <x:v>S05-07</x:v>
      </x:c>
      <x:c r="B2871" s="10" t="str">
        <x:v>B</x:v>
      </x:c>
      <x:c r="C2871" s="18" t="n">
        <x:v>4.187333433</x:v>
      </x:c>
      <x:c r="D2871" s="10" t="n">
        <x:v>560</x:v>
      </x:c>
      <x:c r="E2871" s="10" t="n">
        <x:v>0.992991995</x:v>
      </x:c>
      <x:c r="F2871" s="10" t="n">
        <x:v>0.008192</x:v>
      </x:c>
      <x:c r="G2871" s="10" t="n">
        <x:f>SUM(D2871:F2871)</x:f>
        <x:v>561.001183995</x:v>
      </x:c>
    </x:row>
    <x:row r="2872" ht="24" customHeight="1">
      <x:c r="A2872" s="10" t="str">
        <x:v>S05-07</x:v>
      </x:c>
      <x:c r="B2872" s="10" t="str">
        <x:v>B</x:v>
      </x:c>
      <x:c r="C2872" s="18" t="n">
        <x:v>4.662666566</x:v>
      </x:c>
      <x:c r="D2872" s="10" t="n">
        <x:v>560</x:v>
      </x:c>
      <x:c r="E2872" s="10" t="n">
        <x:v>0.970176005</x:v>
      </x:c>
      <x:c r="F2872" s="10" t="n">
        <x:v>0.008192</x:v>
      </x:c>
      <x:c r="G2872" s="10" t="n">
        <x:f>SUM(D2872:F2872)</x:f>
        <x:v>560.978368005</x:v>
      </x:c>
    </x:row>
    <x:row r="2873" ht="24" customHeight="1">
      <x:c r="A2873" s="10" t="str">
        <x:v>S05-07</x:v>
      </x:c>
      <x:c r="B2873" s="10" t="str">
        <x:v>B</x:v>
      </x:c>
      <x:c r="C2873" s="18" t="n">
        <x:v>4.662666666</x:v>
      </x:c>
      <x:c r="D2873" s="10" t="n">
        <x:v>560</x:v>
      </x:c>
      <x:c r="E2873" s="10" t="n">
        <x:v>0.979776</x:v>
      </x:c>
      <x:c r="F2873" s="10" t="n">
        <x:v>0.008192</x:v>
      </x:c>
      <x:c r="G2873" s="10" t="n">
        <x:f>SUM(D2873:F2873)</x:f>
        <x:v>560.987968</x:v>
      </x:c>
    </x:row>
    <x:row r="2874" ht="24" customHeight="1">
      <x:c r="A2874" s="10" t="str">
        <x:v>S05-07</x:v>
      </x:c>
      <x:c r="B2874" s="10" t="str">
        <x:v>B</x:v>
      </x:c>
      <x:c r="C2874" s="18" t="n">
        <x:v>4.662666766</x:v>
      </x:c>
      <x:c r="D2874" s="10" t="n">
        <x:v>560</x:v>
      </x:c>
      <x:c r="E2874" s="10" t="n">
        <x:v>0.979776014</x:v>
      </x:c>
      <x:c r="F2874" s="10" t="n">
        <x:v>0.008192</x:v>
      </x:c>
      <x:c r="G2874" s="10" t="n">
        <x:f>SUM(D2874:F2874)</x:f>
        <x:v>560.987968014</x:v>
      </x:c>
    </x:row>
    <x:row r="2875" ht="24" customHeight="1">
      <x:c r="A2875" s="10" t="str">
        <x:v>S05-07</x:v>
      </x:c>
      <x:c r="B2875" s="10" t="str">
        <x:v>B</x:v>
      </x:c>
      <x:c r="C2875" s="18" t="n">
        <x:v>8.254166566</x:v>
      </x:c>
      <x:c r="D2875" s="10" t="n">
        <x:v>560</x:v>
      </x:c>
      <x:c r="E2875" s="10" t="n">
        <x:v>1.496951986</x:v>
      </x:c>
      <x:c r="F2875" s="10" t="n">
        <x:v>0.008192</x:v>
      </x:c>
      <x:c r="G2875" s="10" t="n">
        <x:f>SUM(D2875:F2875)</x:f>
        <x:v>561.505143986</x:v>
      </x:c>
    </x:row>
    <x:row r="2876" ht="24" customHeight="1">
      <x:c r="A2876" s="10" t="str">
        <x:v>S05-07</x:v>
      </x:c>
      <x:c r="B2876" s="10" t="str">
        <x:v>B</x:v>
      </x:c>
      <x:c r="C2876" s="18" t="n">
        <x:v>8.254166666</x:v>
      </x:c>
      <x:c r="D2876" s="10" t="n">
        <x:v>560</x:v>
      </x:c>
      <x:c r="E2876" s="10" t="n">
        <x:v>1.496952</x:v>
      </x:c>
      <x:c r="F2876" s="10" t="n">
        <x:v>0.008192</x:v>
      </x:c>
      <x:c r="G2876" s="10" t="n">
        <x:f>SUM(D2876:F2876)</x:f>
        <x:v>561.505144</x:v>
      </x:c>
    </x:row>
    <x:row r="2877" ht="24" customHeight="1">
      <x:c r="A2877" s="10" t="str">
        <x:v>S05-07</x:v>
      </x:c>
      <x:c r="B2877" s="10" t="str">
        <x:v>B</x:v>
      </x:c>
      <x:c r="C2877" s="18" t="n">
        <x:v>8.254166766</x:v>
      </x:c>
      <x:c r="D2877" s="10" t="n">
        <x:v>560</x:v>
      </x:c>
      <x:c r="E2877" s="10" t="n">
        <x:v>1.496951995</x:v>
      </x:c>
      <x:c r="F2877" s="10" t="n">
        <x:v>0.008192</x:v>
      </x:c>
      <x:c r="G2877" s="10" t="n">
        <x:f>SUM(D2877:F2877)</x:f>
        <x:v>561.505143995</x:v>
      </x:c>
    </x:row>
    <x:row r="2878" ht="24" customHeight="1">
      <x:c r="A2878" s="10" t="str">
        <x:v>S05-07</x:v>
      </x:c>
      <x:c r="B2878" s="10" t="str">
        <x:v>B</x:v>
      </x:c>
      <x:c r="C2878" s="18" t="n">
        <x:v>24.874666566</x:v>
      </x:c>
      <x:c r="D2878" s="10" t="n">
        <x:v>560</x:v>
      </x:c>
      <x:c r="E2878" s="10" t="n">
        <x:v>0.699168005</x:v>
      </x:c>
      <x:c r="F2878" s="10" t="n">
        <x:v>0.008192</x:v>
      </x:c>
      <x:c r="G2878" s="10" t="n">
        <x:f>SUM(D2878:F2878)</x:f>
        <x:v>560.707360005</x:v>
      </x:c>
    </x:row>
    <x:row r="2879" ht="24" customHeight="1">
      <x:c r="A2879" s="10" t="str">
        <x:v>S05-07</x:v>
      </x:c>
      <x:c r="B2879" s="10" t="str">
        <x:v>B</x:v>
      </x:c>
      <x:c r="C2879" s="18" t="n">
        <x:v>24.874666666</x:v>
      </x:c>
      <x:c r="D2879" s="10" t="n">
        <x:v>560</x:v>
      </x:c>
      <x:c r="E2879" s="10" t="n">
        <x:v>0.699168</x:v>
      </x:c>
      <x:c r="F2879" s="10" t="n">
        <x:v>0.008192</x:v>
      </x:c>
      <x:c r="G2879" s="10" t="n">
        <x:f>SUM(D2879:F2879)</x:f>
        <x:v>560.70736</x:v>
      </x:c>
    </x:row>
    <x:row r="2880" ht="24" customHeight="1">
      <x:c r="A2880" s="10" t="str">
        <x:v>S05-07</x:v>
      </x:c>
      <x:c r="B2880" s="10" t="str">
        <x:v>B</x:v>
      </x:c>
      <x:c r="C2880" s="18" t="n">
        <x:v>24.874666766</x:v>
      </x:c>
      <x:c r="D2880" s="10" t="n">
        <x:v>560</x:v>
      </x:c>
      <x:c r="E2880" s="10" t="n">
        <x:v>0.699168</x:v>
      </x:c>
      <x:c r="F2880" s="10" t="n">
        <x:v>0.004096</x:v>
      </x:c>
      <x:c r="G2880" s="10" t="n">
        <x:f>SUM(D2880:F2880)</x:f>
        <x:v>560.703264</x:v>
      </x:c>
    </x:row>
    <x:row r="2881" ht="24" customHeight="1">
      <x:c r="A2881" s="10" t="str">
        <x:v>S05-07</x:v>
      </x:c>
      <x:c r="B2881" s="10" t="str">
        <x:v>B</x:v>
      </x:c>
      <x:c r="C2881" s="18" t="n">
        <x:v>24.914666566</x:v>
      </x:c>
      <x:c r="D2881" s="10" t="n">
        <x:v>560</x:v>
      </x:c>
      <x:c r="E2881" s="10" t="n">
        <x:v>0.699168</x:v>
      </x:c>
      <x:c r="F2881" s="10" t="n">
        <x:v>0.004096</x:v>
      </x:c>
      <x:c r="G2881" s="10" t="n">
        <x:f>SUM(D2881:F2881)</x:f>
        <x:v>560.703264</x:v>
      </x:c>
    </x:row>
    <x:row r="2882" ht="24" customHeight="1">
      <x:c r="A2882" s="10" t="str">
        <x:v>S05-07</x:v>
      </x:c>
      <x:c r="B2882" s="10" t="str">
        <x:v>B</x:v>
      </x:c>
      <x:c r="C2882" s="18" t="n">
        <x:v>24.914666666</x:v>
      </x:c>
      <x:c r="D2882" s="10" t="n">
        <x:v>560</x:v>
      </x:c>
      <x:c r="E2882" s="10" t="n">
        <x:v>0.699168</x:v>
      </x:c>
      <x:c r="F2882" s="10" t="n">
        <x:v>0.004096</x:v>
      </x:c>
      <x:c r="G2882" s="10" t="n">
        <x:f>SUM(D2882:F2882)</x:f>
        <x:v>560.703264</x:v>
      </x:c>
    </x:row>
    <x:row r="2883" ht="24" customHeight="1">
      <x:c r="A2883" s="10" t="str">
        <x:v>S05-07</x:v>
      </x:c>
      <x:c r="B2883" s="10" t="str">
        <x:v>B</x:v>
      </x:c>
      <x:c r="C2883" s="18" t="n">
        <x:v>24.914666766</x:v>
      </x:c>
      <x:c r="D2883" s="10" t="n">
        <x:v>560</x:v>
      </x:c>
      <x:c r="E2883" s="10" t="n">
        <x:v>0.699167995</x:v>
      </x:c>
      <x:c r="F2883" s="10" t="n">
        <x:v>0.004096</x:v>
      </x:c>
      <x:c r="G2883" s="10" t="n">
        <x:f>SUM(D2883:F2883)</x:f>
        <x:v>560.703263995</x:v>
      </x:c>
    </x:row>
    <x:row r="2884" ht="24" customHeight="1">
      <x:c r="A2884" s="10" t="str">
        <x:v>S05-07</x:v>
      </x:c>
      <x:c r="B2884" s="10" t="str">
        <x:v>B</x:v>
      </x:c>
      <x:c r="C2884" s="18" t="n">
        <x:v>39.480666566</x:v>
      </x:c>
      <x:c r="D2884" s="10" t="n">
        <x:v>560</x:v>
      </x:c>
      <x:c r="E2884" s="10" t="n">
        <x:v>5e-9</x:v>
      </x:c>
      <x:c r="F2884" s="10" t="n">
        <x:v>0.004096</x:v>
      </x:c>
      <x:c r="G2884" s="10" t="n">
        <x:f>SUM(D2884:F2884)</x:f>
        <x:v>560.004096005</x:v>
      </x:c>
    </x:row>
    <x:row r="2885" ht="24" customHeight="1">
      <x:c r="A2885" s="10" t="str">
        <x:v>S05-07</x:v>
      </x:c>
      <x:c r="B2885" s="10" t="str">
        <x:v>B</x:v>
      </x:c>
      <x:c r="C2885" s="18" t="n">
        <x:v>39.480666666</x:v>
      </x:c>
      <x:c r="D2885" s="10" t="n">
        <x:v>560</x:v>
      </x:c>
      <x:c r="E2885" s="10" t="n">
        <x:v>0</x:v>
      </x:c>
      <x:c r="F2885" s="10" t="n">
        <x:v>0.004096</x:v>
      </x:c>
      <x:c r="G2885" s="10" t="n">
        <x:f>SUM(D2885:F2885)</x:f>
        <x:v>560.004096</x:v>
      </x:c>
    </x:row>
    <x:row r="2886" ht="24" customHeight="1">
      <x:c r="A2886" s="10" t="str">
        <x:v>S05-07</x:v>
      </x:c>
      <x:c r="B2886" s="10" t="str">
        <x:v>B</x:v>
      </x:c>
      <x:c r="C2886" s="18" t="n">
        <x:v>39.480666766</x:v>
      </x:c>
      <x:c r="D2886" s="10" t="n">
        <x:v>560</x:v>
      </x:c>
      <x:c r="E2886" s="10" t="n">
        <x:v>0</x:v>
      </x:c>
      <x:c r="F2886" s="10" t="n">
        <x:v>0</x:v>
      </x:c>
      <x:c r="G2886" s="10" t="n">
        <x:f>SUM(D2886:F2886)</x:f>
        <x:v>560</x:v>
      </x:c>
    </x:row>
    <x:row r="2887" ht="24" customHeight="1">
      <x:c r="A2887" s="10" t="str">
        <x:v>S05-08</x:v>
      </x:c>
      <x:c r="B2887" s="10" t="str">
        <x:v>A</x:v>
      </x:c>
      <x:c r="C2887" s="18" t="n">
        <x:v>-6.0000001</x:v>
      </x:c>
      <x:c r="D2887" s="10" t="n">
        <x:v>560</x:v>
      </x:c>
      <x:c r="E2887" s="10" t="n">
        <x:v>0</x:v>
      </x:c>
      <x:c r="F2887" s="10" t="n">
        <x:v>0</x:v>
      </x:c>
      <x:c r="G2887" s="10" t="n">
        <x:f>SUM(D2887:F2887)</x:f>
        <x:v>560</x:v>
      </x:c>
    </x:row>
    <x:row r="2888" ht="24" customHeight="1">
      <x:c r="A2888" s="10" t="str">
        <x:v>S05-08</x:v>
      </x:c>
      <x:c r="B2888" s="10" t="str">
        <x:v>A</x:v>
      </x:c>
      <x:c r="C2888" s="18" t="n">
        <x:v>-6</x:v>
      </x:c>
      <x:c r="D2888" s="10" t="n">
        <x:v>560</x:v>
      </x:c>
      <x:c r="E2888" s="10" t="n">
        <x:v>0</x:v>
      </x:c>
      <x:c r="F2888" s="10" t="n">
        <x:v>0</x:v>
      </x:c>
      <x:c r="G2888" s="10" t="n">
        <x:f>SUM(D2888:F2888)</x:f>
        <x:v>560</x:v>
      </x:c>
    </x:row>
    <x:row r="2889" ht="24" customHeight="1">
      <x:c r="A2889" s="10" t="str">
        <x:v>S05-08</x:v>
      </x:c>
      <x:c r="B2889" s="10" t="str">
        <x:v>A</x:v>
      </x:c>
      <x:c r="C2889" s="18" t="n">
        <x:v>-5.9999999</x:v>
      </x:c>
      <x:c r="D2889" s="10" t="n">
        <x:v>560</x:v>
      </x:c>
      <x:c r="E2889" s="10" t="n">
        <x:v>0</x:v>
      </x:c>
      <x:c r="F2889" s="10" t="n">
        <x:v>0</x:v>
      </x:c>
      <x:c r="G2889" s="10" t="n">
        <x:f>SUM(D2889:F2889)</x:f>
        <x:v>560</x:v>
      </x:c>
    </x:row>
    <x:row r="2890" ht="24" customHeight="1">
      <x:c r="A2890" s="10" t="str">
        <x:v>S05-08</x:v>
      </x:c>
      <x:c r="B2890" s="10" t="str">
        <x:v>A</x:v>
      </x:c>
      <x:c r="C2890" s="18" t="n">
        <x:v>-4.8000001</x:v>
      </x:c>
      <x:c r="D2890" s="10" t="n">
        <x:v>560</x:v>
      </x:c>
      <x:c r="E2890" s="10" t="n">
        <x:v>0</x:v>
      </x:c>
      <x:c r="F2890" s="10" t="n">
        <x:v>0</x:v>
      </x:c>
      <x:c r="G2890" s="10" t="n">
        <x:f>SUM(D2890:F2890)</x:f>
        <x:v>560</x:v>
      </x:c>
    </x:row>
    <x:row r="2891" ht="24" customHeight="1">
      <x:c r="A2891" s="10" t="str">
        <x:v>S05-08</x:v>
      </x:c>
      <x:c r="B2891" s="10" t="str">
        <x:v>A</x:v>
      </x:c>
      <x:c r="C2891" s="18" t="n">
        <x:v>-4.8</x:v>
      </x:c>
      <x:c r="D2891" s="10" t="n">
        <x:v>560</x:v>
      </x:c>
      <x:c r="E2891" s="10" t="n">
        <x:v>0</x:v>
      </x:c>
      <x:c r="F2891" s="10" t="n">
        <x:v>0.004096</x:v>
      </x:c>
      <x:c r="G2891" s="10" t="n">
        <x:f>SUM(D2891:F2891)</x:f>
        <x:v>560.004096</x:v>
      </x:c>
    </x:row>
    <x:row r="2892" ht="24" customHeight="1">
      <x:c r="A2892" s="10" t="str">
        <x:v>S05-08</x:v>
      </x:c>
      <x:c r="B2892" s="10" t="str">
        <x:v>A</x:v>
      </x:c>
      <x:c r="C2892" s="18" t="n">
        <x:v>-4.7999999</x:v>
      </x:c>
      <x:c r="D2892" s="10" t="n">
        <x:v>560</x:v>
      </x:c>
      <x:c r="E2892" s="10" t="n">
        <x:v>0</x:v>
      </x:c>
      <x:c r="F2892" s="10" t="n">
        <x:v>0.004096</x:v>
      </x:c>
      <x:c r="G2892" s="10" t="n">
        <x:f>SUM(D2892:F2892)</x:f>
        <x:v>560.004096</x:v>
      </x:c>
    </x:row>
    <x:row r="2893" ht="24" customHeight="1">
      <x:c r="A2893" s="10" t="str">
        <x:v>S05-08</x:v>
      </x:c>
      <x:c r="B2893" s="10" t="str">
        <x:v>A</x:v>
      </x:c>
      <x:c r="C2893" s="18" t="n">
        <x:v>-4.324666767</x:v>
      </x:c>
      <x:c r="D2893" s="10" t="n">
        <x:v>560</x:v>
      </x:c>
      <x:c r="E2893" s="10" t="n">
        <x:v>0</x:v>
      </x:c>
      <x:c r="F2893" s="10" t="n">
        <x:v>0.004096</x:v>
      </x:c>
      <x:c r="G2893" s="10" t="n">
        <x:f>SUM(D2893:F2893)</x:f>
        <x:v>560.004096</x:v>
      </x:c>
    </x:row>
    <x:row r="2894" ht="24" customHeight="1">
      <x:c r="A2894" s="10" t="str">
        <x:v>S05-08</x:v>
      </x:c>
      <x:c r="B2894" s="10" t="str">
        <x:v>A</x:v>
      </x:c>
      <x:c r="C2894" s="18" t="n">
        <x:v>-4.324666667</x:v>
      </x:c>
      <x:c r="D2894" s="10" t="n">
        <x:v>560</x:v>
      </x:c>
      <x:c r="E2894" s="10" t="n">
        <x:v>0.0096</x:v>
      </x:c>
      <x:c r="F2894" s="10" t="n">
        <x:v>0.004096</x:v>
      </x:c>
      <x:c r="G2894" s="10" t="n">
        <x:f>SUM(D2894:F2894)</x:f>
        <x:v>560.013696</x:v>
      </x:c>
    </x:row>
    <x:row r="2895" ht="24" customHeight="1">
      <x:c r="A2895" s="10" t="str">
        <x:v>S05-08</x:v>
      </x:c>
      <x:c r="B2895" s="10" t="str">
        <x:v>A</x:v>
      </x:c>
      <x:c r="C2895" s="18" t="n">
        <x:v>-4.324666567</x:v>
      </x:c>
      <x:c r="D2895" s="10" t="n">
        <x:v>560</x:v>
      </x:c>
      <x:c r="E2895" s="10" t="n">
        <x:v>0.009600019</x:v>
      </x:c>
      <x:c r="F2895" s="10" t="n">
        <x:v>0.004096</x:v>
      </x:c>
      <x:c r="G2895" s="10" t="n">
        <x:f>SUM(D2895:F2895)</x:f>
        <x:v>560.013696019</x:v>
      </x:c>
    </x:row>
    <x:row r="2896" ht="24" customHeight="1">
      <x:c r="A2896" s="10" t="str">
        <x:v>S05-08</x:v>
      </x:c>
      <x:c r="B2896" s="10" t="str">
        <x:v>A</x:v>
      </x:c>
      <x:c r="C2896" s="18" t="n">
        <x:v>-4.284666767</x:v>
      </x:c>
      <x:c r="D2896" s="10" t="n">
        <x:v>560</x:v>
      </x:c>
      <x:c r="E2896" s="10" t="n">
        <x:v>0.017279981</x:v>
      </x:c>
      <x:c r="F2896" s="10" t="n">
        <x:v>0.004096</x:v>
      </x:c>
      <x:c r="G2896" s="10" t="n">
        <x:f>SUM(D2896:F2896)</x:f>
        <x:v>560.021375981</x:v>
      </x:c>
    </x:row>
    <x:row r="2897" ht="24" customHeight="1">
      <x:c r="A2897" s="10" t="str">
        <x:v>S05-08</x:v>
      </x:c>
      <x:c r="B2897" s="10" t="str">
        <x:v>A</x:v>
      </x:c>
      <x:c r="C2897" s="18" t="n">
        <x:v>-4.284666667</x:v>
      </x:c>
      <x:c r="D2897" s="10" t="n">
        <x:v>560</x:v>
      </x:c>
      <x:c r="E2897" s="10" t="n">
        <x:v>0.01728</x:v>
      </x:c>
      <x:c r="F2897" s="10" t="n">
        <x:v>0.004096</x:v>
      </x:c>
      <x:c r="G2897" s="10" t="n">
        <x:f>SUM(D2897:F2897)</x:f>
        <x:v>560.021376</x:v>
      </x:c>
    </x:row>
    <x:row r="2898" ht="24" customHeight="1">
      <x:c r="A2898" s="10" t="str">
        <x:v>S05-08</x:v>
      </x:c>
      <x:c r="B2898" s="10" t="str">
        <x:v>A</x:v>
      </x:c>
      <x:c r="C2898" s="18" t="n">
        <x:v>-4.284666567</x:v>
      </x:c>
      <x:c r="D2898" s="10" t="n">
        <x:v>560</x:v>
      </x:c>
      <x:c r="E2898" s="10" t="n">
        <x:v>0.017280014</x:v>
      </x:c>
      <x:c r="F2898" s="10" t="n">
        <x:v>0.004096</x:v>
      </x:c>
      <x:c r="G2898" s="10" t="n">
        <x:f>SUM(D2898:F2898)</x:f>
        <x:v>560.021376014</x:v>
      </x:c>
    </x:row>
    <x:row r="2899" ht="24" customHeight="1">
      <x:c r="A2899" s="10" t="str">
        <x:v>S05-08</x:v>
      </x:c>
      <x:c r="B2899" s="10" t="str">
        <x:v>A</x:v>
      </x:c>
      <x:c r="C2899" s="18" t="n">
        <x:v>-3.5200001</x:v>
      </x:c>
      <x:c r="D2899" s="10" t="n">
        <x:v>560</x:v>
      </x:c>
      <x:c r="E2899" s="10" t="n">
        <x:v>0.127391986</x:v>
      </x:c>
      <x:c r="F2899" s="10" t="n">
        <x:v>0.004096</x:v>
      </x:c>
      <x:c r="G2899" s="10" t="n">
        <x:f>SUM(D2899:F2899)</x:f>
        <x:v>560.131487986</x:v>
      </x:c>
    </x:row>
    <x:row r="2900" ht="24" customHeight="1">
      <x:c r="A2900" s="10" t="str">
        <x:v>S05-08</x:v>
      </x:c>
      <x:c r="B2900" s="10" t="str">
        <x:v>A</x:v>
      </x:c>
      <x:c r="C2900" s="18" t="n">
        <x:v>-3.52</x:v>
      </x:c>
      <x:c r="D2900" s="10" t="n">
        <x:v>560</x:v>
      </x:c>
      <x:c r="E2900" s="10" t="n">
        <x:v>0.127392</x:v>
      </x:c>
      <x:c r="F2900" s="10" t="n">
        <x:v>0.004096</x:v>
      </x:c>
      <x:c r="G2900" s="10" t="n">
        <x:f>SUM(D2900:F2900)</x:f>
        <x:v>560.131488</x:v>
      </x:c>
    </x:row>
    <x:row r="2901" ht="24" customHeight="1">
      <x:c r="A2901" s="10" t="str">
        <x:v>S05-08</x:v>
      </x:c>
      <x:c r="B2901" s="10" t="str">
        <x:v>A</x:v>
      </x:c>
      <x:c r="C2901" s="18" t="n">
        <x:v>-3.5199999</x:v>
      </x:c>
      <x:c r="D2901" s="10" t="n">
        <x:v>560</x:v>
      </x:c>
      <x:c r="E2901" s="10" t="n">
        <x:v>0.127392019</x:v>
      </x:c>
      <x:c r="F2901" s="10" t="n">
        <x:v>0.004096</x:v>
      </x:c>
      <x:c r="G2901" s="10" t="n">
        <x:f>SUM(D2901:F2901)</x:f>
        <x:v>560.131488019</x:v>
      </x:c>
    </x:row>
    <x:row r="2902" ht="24" customHeight="1">
      <x:c r="A2902" s="10" t="str">
        <x:v>S05-08</x:v>
      </x:c>
      <x:c r="B2902" s="10" t="str">
        <x:v>A</x:v>
      </x:c>
      <x:c r="C2902" s="18" t="n">
        <x:v>-0.9000001</x:v>
      </x:c>
      <x:c r="D2902" s="10" t="n">
        <x:v>560</x:v>
      </x:c>
      <x:c r="E2902" s="10" t="n">
        <x:v>0.630431981</x:v>
      </x:c>
      <x:c r="F2902" s="10" t="n">
        <x:v>0.004096</x:v>
      </x:c>
      <x:c r="G2902" s="10" t="n">
        <x:f>SUM(D2902:F2902)</x:f>
        <x:v>560.634527981</x:v>
      </x:c>
    </x:row>
    <x:row r="2903" ht="24" customHeight="1">
      <x:c r="A2903" s="10" t="str">
        <x:v>S05-08</x:v>
      </x:c>
      <x:c r="B2903" s="10" t="str">
        <x:v>A</x:v>
      </x:c>
      <x:c r="C2903" s="18" t="n">
        <x:v>-0.9</x:v>
      </x:c>
      <x:c r="D2903" s="10" t="n">
        <x:v>560</x:v>
      </x:c>
      <x:c r="E2903" s="10" t="n">
        <x:v>0.630432</x:v>
      </x:c>
      <x:c r="F2903" s="10" t="n">
        <x:v>0.008192</x:v>
      </x:c>
      <x:c r="G2903" s="10" t="n">
        <x:f>SUM(D2903:F2903)</x:f>
        <x:v>560.638624</x:v>
      </x:c>
    </x:row>
    <x:row r="2904" ht="24" customHeight="1">
      <x:c r="A2904" s="10" t="str">
        <x:v>S05-08</x:v>
      </x:c>
      <x:c r="B2904" s="10" t="str">
        <x:v>A</x:v>
      </x:c>
      <x:c r="C2904" s="18" t="n">
        <x:v>-0.8999999</x:v>
      </x:c>
      <x:c r="D2904" s="10" t="n">
        <x:v>560</x:v>
      </x:c>
      <x:c r="E2904" s="10" t="n">
        <x:v>0.630432019</x:v>
      </x:c>
      <x:c r="F2904" s="10" t="n">
        <x:v>0.008192</x:v>
      </x:c>
      <x:c r="G2904" s="10" t="n">
        <x:f>SUM(D2904:F2904)</x:f>
        <x:v>560.638624019</x:v>
      </x:c>
    </x:row>
    <x:row r="2905" ht="24" customHeight="1">
      <x:c r="A2905" s="10" t="str">
        <x:v>S05-08</x:v>
      </x:c>
      <x:c r="B2905" s="10" t="str">
        <x:v>A</x:v>
      </x:c>
      <x:c r="C2905" s="18" t="n">
        <x:v>-0.4990001</x:v>
      </x:c>
      <x:c r="D2905" s="10" t="n">
        <x:v>560</x:v>
      </x:c>
      <x:c r="E2905" s="10" t="n">
        <x:v>0.707423981</x:v>
      </x:c>
      <x:c r="F2905" s="10" t="n">
        <x:v>0.008192</x:v>
      </x:c>
      <x:c r="G2905" s="10" t="n">
        <x:f>SUM(D2905:F2905)</x:f>
        <x:v>560.715615981</x:v>
      </x:c>
    </x:row>
    <x:row r="2906" ht="24" customHeight="1">
      <x:c r="A2906" s="10" t="str">
        <x:v>S05-08</x:v>
      </x:c>
      <x:c r="B2906" s="10" t="str">
        <x:v>A</x:v>
      </x:c>
      <x:c r="C2906" s="18" t="n">
        <x:v>-0.499</x:v>
      </x:c>
      <x:c r="D2906" s="10" t="n">
        <x:v>560</x:v>
      </x:c>
      <x:c r="E2906" s="10" t="n">
        <x:v>0.717024</x:v>
      </x:c>
      <x:c r="F2906" s="10" t="n">
        <x:v>0.008192</x:v>
      </x:c>
      <x:c r="G2906" s="10" t="n">
        <x:f>SUM(D2906:F2906)</x:f>
        <x:v>560.725216</x:v>
      </x:c>
    </x:row>
    <x:row r="2907" ht="24" customHeight="1">
      <x:c r="A2907" s="10" t="str">
        <x:v>S05-08</x:v>
      </x:c>
      <x:c r="B2907" s="10" t="str">
        <x:v>A</x:v>
      </x:c>
      <x:c r="C2907" s="18" t="n">
        <x:v>-0.4989999</x:v>
      </x:c>
      <x:c r="D2907" s="10" t="n">
        <x:v>560</x:v>
      </x:c>
      <x:c r="E2907" s="10" t="n">
        <x:v>0.717024038</x:v>
      </x:c>
      <x:c r="F2907" s="10" t="n">
        <x:v>0.008192</x:v>
      </x:c>
      <x:c r="G2907" s="10" t="n">
        <x:f>SUM(D2907:F2907)</x:f>
        <x:v>560.725216038</x:v>
      </x:c>
    </x:row>
    <x:row r="2908" ht="24" customHeight="1">
      <x:c r="A2908" s="10" t="str">
        <x:v>S05-08</x:v>
      </x:c>
      <x:c r="B2908" s="10" t="str">
        <x:v>A</x:v>
      </x:c>
      <x:c r="C2908" s="18" t="n">
        <x:v>-1e-7</x:v>
      </x:c>
      <x:c r="D2908" s="10" t="n">
        <x:v>560</x:v>
      </x:c>
      <x:c r="E2908" s="10" t="n">
        <x:v>0.908639962</x:v>
      </x:c>
      <x:c r="F2908" s="10" t="n">
        <x:v>0.008192</x:v>
      </x:c>
      <x:c r="G2908" s="10" t="n">
        <x:f>SUM(D2908:F2908)</x:f>
        <x:v>560.9168319620001</x:v>
      </x:c>
    </x:row>
    <x:row r="2909" ht="24" customHeight="1">
      <x:c r="A2909" s="10" t="str">
        <x:v>S05-08</x:v>
      </x:c>
      <x:c r="B2909" s="10" t="str">
        <x:v>A</x:v>
      </x:c>
      <x:c r="C2909" s="18" t="n">
        <x:v>0</x:v>
      </x:c>
      <x:c r="D2909" s="10" t="n">
        <x:v>560</x:v>
      </x:c>
      <x:c r="E2909" s="10" t="n">
        <x:v>0.90864</x:v>
      </x:c>
      <x:c r="F2909" s="10" t="n">
        <x:v>0.008192</x:v>
      </x:c>
      <x:c r="G2909" s="10" t="n">
        <x:f>SUM(D2909:F2909)</x:f>
        <x:v>560.916832</x:v>
      </x:c>
    </x:row>
    <x:row r="2910" ht="24" customHeight="1">
      <x:c r="A2910" s="10" t="str">
        <x:v>S05-08</x:v>
      </x:c>
      <x:c r="B2910" s="10" t="str">
        <x:v>A</x:v>
      </x:c>
      <x:c r="C2910" s="18" t="n">
        <x:v>1e-7</x:v>
      </x:c>
      <x:c r="D2910" s="10" t="n">
        <x:v>560</x:v>
      </x:c>
      <x:c r="E2910" s="10" t="n">
        <x:v>0.908640038</x:v>
      </x:c>
      <x:c r="F2910" s="10" t="n">
        <x:v>0.008192</x:v>
      </x:c>
      <x:c r="G2910" s="10" t="n">
        <x:f>SUM(D2910:F2910)</x:f>
        <x:v>560.916832038</x:v>
      </x:c>
    </x:row>
    <x:row r="2911" ht="24" customHeight="1">
      <x:c r="A2911" s="10" t="str">
        <x:v>S05-08</x:v>
      </x:c>
      <x:c r="B2911" s="10" t="str">
        <x:v>A</x:v>
      </x:c>
      <x:c r="C2911" s="18" t="n">
        <x:v>0.1584999</x:v>
      </x:c>
      <x:c r="D2911" s="10" t="n">
        <x:v>560</x:v>
      </x:c>
      <x:c r="E2911" s="10" t="n">
        <x:v>0.969503962</x:v>
      </x:c>
      <x:c r="F2911" s="10" t="n">
        <x:v>0.008192</x:v>
      </x:c>
      <x:c r="G2911" s="10" t="n">
        <x:f>SUM(D2911:F2911)</x:f>
        <x:v>560.977695962</x:v>
      </x:c>
    </x:row>
    <x:row r="2912" ht="24" customHeight="1">
      <x:c r="A2912" s="10" t="str">
        <x:v>S05-08</x:v>
      </x:c>
      <x:c r="B2912" s="10" t="str">
        <x:v>A</x:v>
      </x:c>
      <x:c r="C2912" s="18" t="n">
        <x:v>0.1585</x:v>
      </x:c>
      <x:c r="D2912" s="10" t="n">
        <x:v>560</x:v>
      </x:c>
      <x:c r="E2912" s="10" t="n">
        <x:v>0.969504</x:v>
      </x:c>
      <x:c r="F2912" s="10" t="n">
        <x:v>0.008192</x:v>
      </x:c>
      <x:c r="G2912" s="10" t="n">
        <x:f>SUM(D2912:F2912)</x:f>
        <x:v>560.977696</x:v>
      </x:c>
    </x:row>
    <x:row r="2913" ht="24" customHeight="1">
      <x:c r="A2913" s="10" t="str">
        <x:v>S05-08</x:v>
      </x:c>
      <x:c r="B2913" s="10" t="str">
        <x:v>A</x:v>
      </x:c>
      <x:c r="C2913" s="18" t="n">
        <x:v>0.1585001</x:v>
      </x:c>
      <x:c r="D2913" s="10" t="n">
        <x:v>560</x:v>
      </x:c>
      <x:c r="E2913" s="10" t="n">
        <x:v>0.969504019</x:v>
      </x:c>
      <x:c r="F2913" s="10" t="n">
        <x:v>0.008192</x:v>
      </x:c>
      <x:c r="G2913" s="10" t="n">
        <x:f>SUM(D2913:F2913)</x:f>
        <x:v>560.9776960190001</x:v>
      </x:c>
    </x:row>
    <x:row r="2914" ht="24" customHeight="1">
      <x:c r="A2914" s="10" t="str">
        <x:v>S05-08</x:v>
      </x:c>
      <x:c r="B2914" s="10" t="str">
        <x:v>A</x:v>
      </x:c>
      <x:c r="C2914" s="18" t="n">
        <x:v>0.916666567</x:v>
      </x:c>
      <x:c r="D2914" s="10" t="n">
        <x:v>560</x:v>
      </x:c>
      <x:c r="E2914" s="10" t="n">
        <x:v>1.115071981</x:v>
      </x:c>
      <x:c r="F2914" s="10" t="n">
        <x:v>0.008192</x:v>
      </x:c>
      <x:c r="G2914" s="10" t="n">
        <x:f>SUM(D2914:F2914)</x:f>
        <x:v>561.123263981</x:v>
      </x:c>
    </x:row>
    <x:row r="2915" ht="24" customHeight="1">
      <x:c r="A2915" s="10" t="str">
        <x:v>S05-08</x:v>
      </x:c>
      <x:c r="B2915" s="10" t="str">
        <x:v>A</x:v>
      </x:c>
      <x:c r="C2915" s="18" t="n">
        <x:v>0.916666667</x:v>
      </x:c>
      <x:c r="D2915" s="10" t="n">
        <x:v>560</x:v>
      </x:c>
      <x:c r="E2915" s="10" t="n">
        <x:v>1.115072</x:v>
      </x:c>
      <x:c r="F2915" s="10" t="n">
        <x:v>0.008192</x:v>
      </x:c>
      <x:c r="G2915" s="10" t="n">
        <x:f>SUM(D2915:F2915)</x:f>
        <x:v>561.1232640000001</x:v>
      </x:c>
    </x:row>
    <x:row r="2916" ht="24" customHeight="1">
      <x:c r="A2916" s="10" t="str">
        <x:v>S05-08</x:v>
      </x:c>
      <x:c r="B2916" s="10" t="str">
        <x:v>A</x:v>
      </x:c>
      <x:c r="C2916" s="18" t="n">
        <x:v>0.916666767</x:v>
      </x:c>
      <x:c r="D2916" s="10" t="n">
        <x:v>560</x:v>
      </x:c>
      <x:c r="E2916" s="10" t="n">
        <x:v>1.115072019</x:v>
      </x:c>
      <x:c r="F2916" s="10" t="n">
        <x:v>0.008192</x:v>
      </x:c>
      <x:c r="G2916" s="10" t="n">
        <x:f>SUM(D2916:F2916)</x:f>
        <x:v>561.123264019</x:v>
      </x:c>
    </x:row>
    <x:row r="2917" ht="24" customHeight="1">
      <x:c r="A2917" s="10" t="str">
        <x:v>S05-08</x:v>
      </x:c>
      <x:c r="B2917" s="10" t="str">
        <x:v>A</x:v>
      </x:c>
      <x:c r="C2917" s="18" t="n">
        <x:v>0.956666567</x:v>
      </x:c>
      <x:c r="D2917" s="10" t="n">
        <x:v>560</x:v>
      </x:c>
      <x:c r="E2917" s="10" t="n">
        <x:v>1.122751981</x:v>
      </x:c>
      <x:c r="F2917" s="10" t="n">
        <x:v>0.008192</x:v>
      </x:c>
      <x:c r="G2917" s="10" t="n">
        <x:f>SUM(D2917:F2917)</x:f>
        <x:v>561.130943981</x:v>
      </x:c>
    </x:row>
    <x:row r="2918" ht="24" customHeight="1">
      <x:c r="A2918" s="10" t="str">
        <x:v>S05-08</x:v>
      </x:c>
      <x:c r="B2918" s="10" t="str">
        <x:v>A</x:v>
      </x:c>
      <x:c r="C2918" s="18" t="n">
        <x:v>0.956666667</x:v>
      </x:c>
      <x:c r="D2918" s="10" t="n">
        <x:v>560</x:v>
      </x:c>
      <x:c r="E2918" s="10" t="n">
        <x:v>1.122752</x:v>
      </x:c>
      <x:c r="F2918" s="10" t="n">
        <x:v>0.008192</x:v>
      </x:c>
      <x:c r="G2918" s="10" t="n">
        <x:f>SUM(D2918:F2918)</x:f>
        <x:v>561.130944</x:v>
      </x:c>
    </x:row>
    <x:row r="2919" ht="24" customHeight="1">
      <x:c r="A2919" s="10" t="str">
        <x:v>S05-08</x:v>
      </x:c>
      <x:c r="B2919" s="10" t="str">
        <x:v>A</x:v>
      </x:c>
      <x:c r="C2919" s="18" t="n">
        <x:v>0.956666767</x:v>
      </x:c>
      <x:c r="D2919" s="10" t="n">
        <x:v>560</x:v>
      </x:c>
      <x:c r="E2919" s="10" t="n">
        <x:v>1.122752015</x:v>
      </x:c>
      <x:c r="F2919" s="10" t="n">
        <x:v>0.008192</x:v>
      </x:c>
      <x:c r="G2919" s="10" t="n">
        <x:f>SUM(D2919:F2919)</x:f>
        <x:v>561.130944015</x:v>
      </x:c>
    </x:row>
    <x:row r="2920" ht="24" customHeight="1">
      <x:c r="A2920" s="10" t="str">
        <x:v>S05-08</x:v>
      </x:c>
      <x:c r="B2920" s="10" t="str">
        <x:v>A</x:v>
      </x:c>
      <x:c r="C2920" s="18" t="n">
        <x:v>3.786666567</x:v>
      </x:c>
      <x:c r="D2920" s="10" t="n">
        <x:v>560</x:v>
      </x:c>
      <x:c r="E2920" s="10" t="n">
        <x:v>1.530271986</x:v>
      </x:c>
      <x:c r="F2920" s="10" t="n">
        <x:v>0.008192</x:v>
      </x:c>
      <x:c r="G2920" s="10" t="n">
        <x:f>SUM(D2920:F2920)</x:f>
        <x:v>561.538463986</x:v>
      </x:c>
    </x:row>
    <x:row r="2921" ht="24" customHeight="1">
      <x:c r="A2921" s="10" t="str">
        <x:v>S05-08</x:v>
      </x:c>
      <x:c r="B2921" s="10" t="str">
        <x:v>A</x:v>
      </x:c>
      <x:c r="C2921" s="18" t="n">
        <x:v>3.786666667</x:v>
      </x:c>
      <x:c r="D2921" s="10" t="n">
        <x:v>560</x:v>
      </x:c>
      <x:c r="E2921" s="10" t="n">
        <x:v>1.530272</x:v>
      </x:c>
      <x:c r="F2921" s="10" t="n">
        <x:v>0.008192</x:v>
      </x:c>
      <x:c r="G2921" s="10" t="n">
        <x:f>SUM(D2921:F2921)</x:f>
        <x:v>561.538464</x:v>
      </x:c>
    </x:row>
    <x:row r="2922" ht="24" customHeight="1">
      <x:c r="A2922" s="10" t="str">
        <x:v>S05-08</x:v>
      </x:c>
      <x:c r="B2922" s="10" t="str">
        <x:v>A</x:v>
      </x:c>
      <x:c r="C2922" s="18" t="n">
        <x:v>3.786666767</x:v>
      </x:c>
      <x:c r="D2922" s="10" t="n">
        <x:v>560</x:v>
      </x:c>
      <x:c r="E2922" s="10" t="n">
        <x:v>1.530272019</x:v>
      </x:c>
      <x:c r="F2922" s="10" t="n">
        <x:v>0.004096</x:v>
      </x:c>
      <x:c r="G2922" s="10" t="n">
        <x:f>SUM(D2922:F2922)</x:f>
        <x:v>561.534368019</x:v>
      </x:c>
    </x:row>
    <x:row r="2923" ht="24" customHeight="1">
      <x:c r="A2923" s="10" t="str">
        <x:v>S05-08</x:v>
      </x:c>
      <x:c r="B2923" s="10" t="str">
        <x:v>A</x:v>
      </x:c>
      <x:c r="C2923" s="18" t="n">
        <x:v>3.826666567</x:v>
      </x:c>
      <x:c r="D2923" s="10" t="n">
        <x:v>560</x:v>
      </x:c>
      <x:c r="E2923" s="10" t="n">
        <x:v>1.537951981</x:v>
      </x:c>
      <x:c r="F2923" s="10" t="n">
        <x:v>0.004096</x:v>
      </x:c>
      <x:c r="G2923" s="10" t="n">
        <x:f>SUM(D2923:F2923)</x:f>
        <x:v>561.542047981</x:v>
      </x:c>
    </x:row>
    <x:row r="2924" ht="24" customHeight="1">
      <x:c r="A2924" s="10" t="str">
        <x:v>S05-08</x:v>
      </x:c>
      <x:c r="B2924" s="10" t="str">
        <x:v>A</x:v>
      </x:c>
      <x:c r="C2924" s="18" t="n">
        <x:v>3.826666667</x:v>
      </x:c>
      <x:c r="D2924" s="10" t="n">
        <x:v>560</x:v>
      </x:c>
      <x:c r="E2924" s="10" t="n">
        <x:v>1.537952</x:v>
      </x:c>
      <x:c r="F2924" s="10" t="n">
        <x:v>0.004096</x:v>
      </x:c>
      <x:c r="G2924" s="10" t="n">
        <x:f>SUM(D2924:F2924)</x:f>
        <x:v>561.542048</x:v>
      </x:c>
    </x:row>
    <x:row r="2925" ht="24" customHeight="1">
      <x:c r="A2925" s="10" t="str">
        <x:v>S05-08</x:v>
      </x:c>
      <x:c r="B2925" s="10" t="str">
        <x:v>A</x:v>
      </x:c>
      <x:c r="C2925" s="18" t="n">
        <x:v>3.826666767</x:v>
      </x:c>
      <x:c r="D2925" s="10" t="n">
        <x:v>560</x:v>
      </x:c>
      <x:c r="E2925" s="10" t="n">
        <x:v>1.537952015</x:v>
      </x:c>
      <x:c r="F2925" s="10" t="n">
        <x:v>0.004096</x:v>
      </x:c>
      <x:c r="G2925" s="10" t="n">
        <x:f>SUM(D2925:F2925)</x:f>
        <x:v>561.542048015</x:v>
      </x:c>
    </x:row>
    <x:row r="2926" ht="24" customHeight="1">
      <x:c r="A2926" s="10" t="str">
        <x:v>S05-08</x:v>
      </x:c>
      <x:c r="B2926" s="10" t="str">
        <x:v>A</x:v>
      </x:c>
      <x:c r="C2926" s="18" t="n">
        <x:v>4.632833233</x:v>
      </x:c>
      <x:c r="D2926" s="10" t="n">
        <x:v>560</x:v>
      </x:c>
      <x:c r="E2926" s="10" t="n">
        <x:v>1.654039986</x:v>
      </x:c>
      <x:c r="F2926" s="10" t="n">
        <x:v>0.004096</x:v>
      </x:c>
      <x:c r="G2926" s="10" t="n">
        <x:f>SUM(D2926:F2926)</x:f>
        <x:v>561.658135986</x:v>
      </x:c>
    </x:row>
    <x:row r="2927" ht="24" customHeight="1">
      <x:c r="A2927" s="10" t="str">
        <x:v>S05-08</x:v>
      </x:c>
      <x:c r="B2927" s="10" t="str">
        <x:v>A</x:v>
      </x:c>
      <x:c r="C2927" s="18" t="n">
        <x:v>4.632833333</x:v>
      </x:c>
      <x:c r="D2927" s="10" t="n">
        <x:v>560</x:v>
      </x:c>
      <x:c r="E2927" s="10" t="n">
        <x:v>1.65404</x:v>
      </x:c>
      <x:c r="F2927" s="10" t="n">
        <x:v>0.004096</x:v>
      </x:c>
      <x:c r="G2927" s="10" t="n">
        <x:f>SUM(D2927:F2927)</x:f>
        <x:v>561.658136</x:v>
      </x:c>
    </x:row>
    <x:row r="2928" ht="24" customHeight="1">
      <x:c r="A2928" s="10" t="str">
        <x:v>S05-08</x:v>
      </x:c>
      <x:c r="B2928" s="10" t="str">
        <x:v>A</x:v>
      </x:c>
      <x:c r="C2928" s="18" t="n">
        <x:v>4.632833433</x:v>
      </x:c>
      <x:c r="D2928" s="10" t="n">
        <x:v>560</x:v>
      </x:c>
      <x:c r="E2928" s="10" t="n">
        <x:v>1.654039995</x:v>
      </x:c>
      <x:c r="F2928" s="10" t="n">
        <x:v>0.004096</x:v>
      </x:c>
      <x:c r="G2928" s="10" t="n">
        <x:f>SUM(D2928:F2928)</x:f>
        <x:v>561.658135995</x:v>
      </x:c>
    </x:row>
    <x:row r="2929" ht="24" customHeight="1">
      <x:c r="A2929" s="10" t="str">
        <x:v>S05-08</x:v>
      </x:c>
      <x:c r="B2929" s="10" t="str">
        <x:v>A</x:v>
      </x:c>
      <x:c r="C2929" s="18" t="n">
        <x:v>39.0919999</x:v>
      </x:c>
      <x:c r="D2929" s="10" t="n">
        <x:v>560</x:v>
      </x:c>
      <x:c r="E2929" s="10" t="n">
        <x:v>5e-9</x:v>
      </x:c>
      <x:c r="F2929" s="10" t="n">
        <x:v>0.004096</x:v>
      </x:c>
      <x:c r="G2929" s="10" t="n">
        <x:f>SUM(D2929:F2929)</x:f>
        <x:v>560.004096005</x:v>
      </x:c>
    </x:row>
    <x:row r="2930" ht="24" customHeight="1">
      <x:c r="A2930" s="10" t="str">
        <x:v>S05-08</x:v>
      </x:c>
      <x:c r="B2930" s="10" t="str">
        <x:v>A</x:v>
      </x:c>
      <x:c r="C2930" s="18" t="n">
        <x:v>39.092</x:v>
      </x:c>
      <x:c r="D2930" s="10" t="n">
        <x:v>560</x:v>
      </x:c>
      <x:c r="E2930" s="10" t="n">
        <x:v>0</x:v>
      </x:c>
      <x:c r="F2930" s="10" t="n">
        <x:v>0.004096</x:v>
      </x:c>
      <x:c r="G2930" s="10" t="n">
        <x:f>SUM(D2930:F2930)</x:f>
        <x:v>560.004096</x:v>
      </x:c>
    </x:row>
    <x:row r="2931" ht="24" customHeight="1">
      <x:c r="A2931" s="10" t="str">
        <x:v>S05-08</x:v>
      </x:c>
      <x:c r="B2931" s="10" t="str">
        <x:v>A</x:v>
      </x:c>
      <x:c r="C2931" s="18" t="n">
        <x:v>39.0920001</x:v>
      </x:c>
      <x:c r="D2931" s="10" t="n">
        <x:v>560</x:v>
      </x:c>
      <x:c r="E2931" s="10" t="n">
        <x:v>0</x:v>
      </x:c>
      <x:c r="F2931" s="10" t="n">
        <x:v>0</x:v>
      </x:c>
      <x:c r="G2931" s="10" t="n">
        <x:f>SUM(D2931:F2931)</x:f>
        <x:v>560</x:v>
      </x:c>
    </x:row>
    <x:row r="2932" ht="24" customHeight="1">
      <x:c r="A2932" s="10" t="str">
        <x:v>S05-08</x:v>
      </x:c>
      <x:c r="B2932" s="10" t="str">
        <x:v>B</x:v>
      </x:c>
      <x:c r="C2932" s="18" t="n">
        <x:v>-6.0000001</x:v>
      </x:c>
      <x:c r="D2932" s="10" t="n">
        <x:v>560</x:v>
      </x:c>
      <x:c r="E2932" s="10" t="n">
        <x:v>0</x:v>
      </x:c>
      <x:c r="F2932" s="10" t="n">
        <x:v>0</x:v>
      </x:c>
      <x:c r="G2932" s="10" t="n">
        <x:f>SUM(D2932:F2932)</x:f>
        <x:v>560</x:v>
      </x:c>
    </x:row>
    <x:row r="2933" ht="24" customHeight="1">
      <x:c r="A2933" s="10" t="str">
        <x:v>S05-08</x:v>
      </x:c>
      <x:c r="B2933" s="10" t="str">
        <x:v>B</x:v>
      </x:c>
      <x:c r="C2933" s="18" t="n">
        <x:v>-6</x:v>
      </x:c>
      <x:c r="D2933" s="10" t="n">
        <x:v>560</x:v>
      </x:c>
      <x:c r="E2933" s="10" t="n">
        <x:v>0</x:v>
      </x:c>
      <x:c r="F2933" s="10" t="n">
        <x:v>0</x:v>
      </x:c>
      <x:c r="G2933" s="10" t="n">
        <x:f>SUM(D2933:F2933)</x:f>
        <x:v>560</x:v>
      </x:c>
    </x:row>
    <x:row r="2934" ht="24" customHeight="1">
      <x:c r="A2934" s="10" t="str">
        <x:v>S05-08</x:v>
      </x:c>
      <x:c r="B2934" s="10" t="str">
        <x:v>B</x:v>
      </x:c>
      <x:c r="C2934" s="18" t="n">
        <x:v>-5.9999999</x:v>
      </x:c>
      <x:c r="D2934" s="10" t="n">
        <x:v>560</x:v>
      </x:c>
      <x:c r="E2934" s="10" t="n">
        <x:v>0</x:v>
      </x:c>
      <x:c r="F2934" s="10" t="n">
        <x:v>0</x:v>
      </x:c>
      <x:c r="G2934" s="10" t="n">
        <x:f>SUM(D2934:F2934)</x:f>
        <x:v>560</x:v>
      </x:c>
    </x:row>
    <x:row r="2935" ht="24" customHeight="1">
      <x:c r="A2935" s="10" t="str">
        <x:v>S05-08</x:v>
      </x:c>
      <x:c r="B2935" s="10" t="str">
        <x:v>B</x:v>
      </x:c>
      <x:c r="C2935" s="18" t="n">
        <x:v>-4.8000001</x:v>
      </x:c>
      <x:c r="D2935" s="10" t="n">
        <x:v>560</x:v>
      </x:c>
      <x:c r="E2935" s="10" t="n">
        <x:v>0</x:v>
      </x:c>
      <x:c r="F2935" s="10" t="n">
        <x:v>0</x:v>
      </x:c>
      <x:c r="G2935" s="10" t="n">
        <x:f>SUM(D2935:F2935)</x:f>
        <x:v>560</x:v>
      </x:c>
    </x:row>
    <x:row r="2936" ht="24" customHeight="1">
      <x:c r="A2936" s="10" t="str">
        <x:v>S05-08</x:v>
      </x:c>
      <x:c r="B2936" s="10" t="str">
        <x:v>B</x:v>
      </x:c>
      <x:c r="C2936" s="18" t="n">
        <x:v>-4.8</x:v>
      </x:c>
      <x:c r="D2936" s="10" t="n">
        <x:v>560</x:v>
      </x:c>
      <x:c r="E2936" s="10" t="n">
        <x:v>0</x:v>
      </x:c>
      <x:c r="F2936" s="10" t="n">
        <x:v>0.004096</x:v>
      </x:c>
      <x:c r="G2936" s="10" t="n">
        <x:f>SUM(D2936:F2936)</x:f>
        <x:v>560.004096</x:v>
      </x:c>
    </x:row>
    <x:row r="2937" ht="24" customHeight="1">
      <x:c r="A2937" s="10" t="str">
        <x:v>S05-08</x:v>
      </x:c>
      <x:c r="B2937" s="10" t="str">
        <x:v>B</x:v>
      </x:c>
      <x:c r="C2937" s="18" t="n">
        <x:v>-4.7999999</x:v>
      </x:c>
      <x:c r="D2937" s="10" t="n">
        <x:v>560</x:v>
      </x:c>
      <x:c r="E2937" s="10" t="n">
        <x:v>0</x:v>
      </x:c>
      <x:c r="F2937" s="10" t="n">
        <x:v>0.004096</x:v>
      </x:c>
      <x:c r="G2937" s="10" t="n">
        <x:f>SUM(D2937:F2937)</x:f>
        <x:v>560.004096</x:v>
      </x:c>
    </x:row>
    <x:row r="2938" ht="24" customHeight="1">
      <x:c r="A2938" s="10" t="str">
        <x:v>S05-08</x:v>
      </x:c>
      <x:c r="B2938" s="10" t="str">
        <x:v>B</x:v>
      </x:c>
      <x:c r="C2938" s="18" t="n">
        <x:v>-4.324666767</x:v>
      </x:c>
      <x:c r="D2938" s="10" t="n">
        <x:v>560</x:v>
      </x:c>
      <x:c r="E2938" s="10" t="n">
        <x:v>0</x:v>
      </x:c>
      <x:c r="F2938" s="10" t="n">
        <x:v>0.004096</x:v>
      </x:c>
      <x:c r="G2938" s="10" t="n">
        <x:f>SUM(D2938:F2938)</x:f>
        <x:v>560.004096</x:v>
      </x:c>
    </x:row>
    <x:row r="2939" ht="24" customHeight="1">
      <x:c r="A2939" s="10" t="str">
        <x:v>S05-08</x:v>
      </x:c>
      <x:c r="B2939" s="10" t="str">
        <x:v>B</x:v>
      </x:c>
      <x:c r="C2939" s="18" t="n">
        <x:v>-4.324666667</x:v>
      </x:c>
      <x:c r="D2939" s="10" t="n">
        <x:v>560</x:v>
      </x:c>
      <x:c r="E2939" s="10" t="n">
        <x:v>0.0096</x:v>
      </x:c>
      <x:c r="F2939" s="10" t="n">
        <x:v>0.004096</x:v>
      </x:c>
      <x:c r="G2939" s="10" t="n">
        <x:f>SUM(D2939:F2939)</x:f>
        <x:v>560.013696</x:v>
      </x:c>
    </x:row>
    <x:row r="2940" ht="24" customHeight="1">
      <x:c r="A2940" s="10" t="str">
        <x:v>S05-08</x:v>
      </x:c>
      <x:c r="B2940" s="10" t="str">
        <x:v>B</x:v>
      </x:c>
      <x:c r="C2940" s="18" t="n">
        <x:v>-4.324666567</x:v>
      </x:c>
      <x:c r="D2940" s="10" t="n">
        <x:v>560</x:v>
      </x:c>
      <x:c r="E2940" s="10" t="n">
        <x:v>0.009600019</x:v>
      </x:c>
      <x:c r="F2940" s="10" t="n">
        <x:v>0.004096</x:v>
      </x:c>
      <x:c r="G2940" s="10" t="n">
        <x:f>SUM(D2940:F2940)</x:f>
        <x:v>560.013696019</x:v>
      </x:c>
    </x:row>
    <x:row r="2941" ht="24" customHeight="1">
      <x:c r="A2941" s="10" t="str">
        <x:v>S05-08</x:v>
      </x:c>
      <x:c r="B2941" s="10" t="str">
        <x:v>B</x:v>
      </x:c>
      <x:c r="C2941" s="18" t="n">
        <x:v>-4.284666767</x:v>
      </x:c>
      <x:c r="D2941" s="10" t="n">
        <x:v>560</x:v>
      </x:c>
      <x:c r="E2941" s="10" t="n">
        <x:v>0.017279981</x:v>
      </x:c>
      <x:c r="F2941" s="10" t="n">
        <x:v>0.004096</x:v>
      </x:c>
      <x:c r="G2941" s="10" t="n">
        <x:f>SUM(D2941:F2941)</x:f>
        <x:v>560.021375981</x:v>
      </x:c>
    </x:row>
    <x:row r="2942" ht="24" customHeight="1">
      <x:c r="A2942" s="10" t="str">
        <x:v>S05-08</x:v>
      </x:c>
      <x:c r="B2942" s="10" t="str">
        <x:v>B</x:v>
      </x:c>
      <x:c r="C2942" s="18" t="n">
        <x:v>-4.284666667</x:v>
      </x:c>
      <x:c r="D2942" s="10" t="n">
        <x:v>560</x:v>
      </x:c>
      <x:c r="E2942" s="10" t="n">
        <x:v>0.01728</x:v>
      </x:c>
      <x:c r="F2942" s="10" t="n">
        <x:v>0.004096</x:v>
      </x:c>
      <x:c r="G2942" s="10" t="n">
        <x:f>SUM(D2942:F2942)</x:f>
        <x:v>560.021376</x:v>
      </x:c>
    </x:row>
    <x:row r="2943" ht="24" customHeight="1">
      <x:c r="A2943" s="10" t="str">
        <x:v>S05-08</x:v>
      </x:c>
      <x:c r="B2943" s="10" t="str">
        <x:v>B</x:v>
      </x:c>
      <x:c r="C2943" s="18" t="n">
        <x:v>-4.284666567</x:v>
      </x:c>
      <x:c r="D2943" s="10" t="n">
        <x:v>560</x:v>
      </x:c>
      <x:c r="E2943" s="10" t="n">
        <x:v>0.017280014</x:v>
      </x:c>
      <x:c r="F2943" s="10" t="n">
        <x:v>0.004096</x:v>
      </x:c>
      <x:c r="G2943" s="10" t="n">
        <x:f>SUM(D2943:F2943)</x:f>
        <x:v>560.021376014</x:v>
      </x:c>
    </x:row>
    <x:row r="2944" ht="24" customHeight="1">
      <x:c r="A2944" s="10" t="str">
        <x:v>S05-08</x:v>
      </x:c>
      <x:c r="B2944" s="10" t="str">
        <x:v>B</x:v>
      </x:c>
      <x:c r="C2944" s="18" t="n">
        <x:v>-3.5200001</x:v>
      </x:c>
      <x:c r="D2944" s="10" t="n">
        <x:v>560</x:v>
      </x:c>
      <x:c r="E2944" s="10" t="n">
        <x:v>0.127391986</x:v>
      </x:c>
      <x:c r="F2944" s="10" t="n">
        <x:v>0.004096</x:v>
      </x:c>
      <x:c r="G2944" s="10" t="n">
        <x:f>SUM(D2944:F2944)</x:f>
        <x:v>560.131487986</x:v>
      </x:c>
    </x:row>
    <x:row r="2945" ht="24" customHeight="1">
      <x:c r="A2945" s="10" t="str">
        <x:v>S05-08</x:v>
      </x:c>
      <x:c r="B2945" s="10" t="str">
        <x:v>B</x:v>
      </x:c>
      <x:c r="C2945" s="18" t="n">
        <x:v>-3.52</x:v>
      </x:c>
      <x:c r="D2945" s="10" t="n">
        <x:v>560</x:v>
      </x:c>
      <x:c r="E2945" s="10" t="n">
        <x:v>0.127392</x:v>
      </x:c>
      <x:c r="F2945" s="10" t="n">
        <x:v>0.004096</x:v>
      </x:c>
      <x:c r="G2945" s="10" t="n">
        <x:f>SUM(D2945:F2945)</x:f>
        <x:v>560.131488</x:v>
      </x:c>
    </x:row>
    <x:row r="2946" ht="24" customHeight="1">
      <x:c r="A2946" s="10" t="str">
        <x:v>S05-08</x:v>
      </x:c>
      <x:c r="B2946" s="10" t="str">
        <x:v>B</x:v>
      </x:c>
      <x:c r="C2946" s="18" t="n">
        <x:v>-3.5199999</x:v>
      </x:c>
      <x:c r="D2946" s="10" t="n">
        <x:v>560</x:v>
      </x:c>
      <x:c r="E2946" s="10" t="n">
        <x:v>0.127392019</x:v>
      </x:c>
      <x:c r="F2946" s="10" t="n">
        <x:v>0.004096</x:v>
      </x:c>
      <x:c r="G2946" s="10" t="n">
        <x:f>SUM(D2946:F2946)</x:f>
        <x:v>560.131488019</x:v>
      </x:c>
    </x:row>
    <x:row r="2947" ht="24" customHeight="1">
      <x:c r="A2947" s="10" t="str">
        <x:v>S05-08</x:v>
      </x:c>
      <x:c r="B2947" s="10" t="str">
        <x:v>B</x:v>
      </x:c>
      <x:c r="C2947" s="18" t="n">
        <x:v>-1e-7</x:v>
      </x:c>
      <x:c r="D2947" s="10" t="n">
        <x:v>560</x:v>
      </x:c>
      <x:c r="E2947" s="10" t="n">
        <x:v>0.803231981</x:v>
      </x:c>
      <x:c r="F2947" s="10" t="n">
        <x:v>0.004096</x:v>
      </x:c>
      <x:c r="G2947" s="10" t="n">
        <x:f>SUM(D2947:F2947)</x:f>
        <x:v>560.807327981</x:v>
      </x:c>
    </x:row>
    <x:row r="2948" ht="24" customHeight="1">
      <x:c r="A2948" s="10" t="str">
        <x:v>S05-08</x:v>
      </x:c>
      <x:c r="B2948" s="10" t="str">
        <x:v>B</x:v>
      </x:c>
      <x:c r="C2948" s="18" t="n">
        <x:v>0</x:v>
      </x:c>
      <x:c r="D2948" s="10" t="n">
        <x:v>560</x:v>
      </x:c>
      <x:c r="E2948" s="10" t="n">
        <x:v>0.803232</x:v>
      </x:c>
      <x:c r="F2948" s="10" t="n">
        <x:v>0.004096</x:v>
      </x:c>
      <x:c r="G2948" s="10" t="n">
        <x:f>SUM(D2948:F2948)</x:f>
        <x:v>560.807328</x:v>
      </x:c>
    </x:row>
    <x:row r="2949" ht="24" customHeight="1">
      <x:c r="A2949" s="10" t="str">
        <x:v>S05-08</x:v>
      </x:c>
      <x:c r="B2949" s="10" t="str">
        <x:v>B</x:v>
      </x:c>
      <x:c r="C2949" s="18" t="n">
        <x:v>1e-7</x:v>
      </x:c>
      <x:c r="D2949" s="10" t="n">
        <x:v>560</x:v>
      </x:c>
      <x:c r="E2949" s="10" t="n">
        <x:v>0.803232019</x:v>
      </x:c>
      <x:c r="F2949" s="10" t="n">
        <x:v>0.004096</x:v>
      </x:c>
      <x:c r="G2949" s="10" t="n">
        <x:f>SUM(D2949:F2949)</x:f>
        <x:v>560.807328019</x:v>
      </x:c>
    </x:row>
    <x:row r="2950" ht="24" customHeight="1">
      <x:c r="A2950" s="10" t="str">
        <x:v>S05-08</x:v>
      </x:c>
      <x:c r="B2950" s="10" t="str">
        <x:v>B</x:v>
      </x:c>
      <x:c r="C2950" s="18" t="n">
        <x:v>0.916666567</x:v>
      </x:c>
      <x:c r="D2950" s="10" t="n">
        <x:v>560</x:v>
      </x:c>
      <x:c r="E2950" s="10" t="n">
        <x:v>0.979231981</x:v>
      </x:c>
      <x:c r="F2950" s="10" t="n">
        <x:v>0.004096</x:v>
      </x:c>
      <x:c r="G2950" s="10" t="n">
        <x:f>SUM(D2950:F2950)</x:f>
        <x:v>560.983327981</x:v>
      </x:c>
    </x:row>
    <x:row r="2951" ht="24" customHeight="1">
      <x:c r="A2951" s="10" t="str">
        <x:v>S05-08</x:v>
      </x:c>
      <x:c r="B2951" s="10" t="str">
        <x:v>B</x:v>
      </x:c>
      <x:c r="C2951" s="18" t="n">
        <x:v>0.916666667</x:v>
      </x:c>
      <x:c r="D2951" s="10" t="n">
        <x:v>560</x:v>
      </x:c>
      <x:c r="E2951" s="10" t="n">
        <x:v>0.979232</x:v>
      </x:c>
      <x:c r="F2951" s="10" t="n">
        <x:v>0.008192</x:v>
      </x:c>
      <x:c r="G2951" s="10" t="n">
        <x:f>SUM(D2951:F2951)</x:f>
        <x:v>560.987424</x:v>
      </x:c>
    </x:row>
    <x:row r="2952" ht="24" customHeight="1">
      <x:c r="A2952" s="10" t="str">
        <x:v>S05-08</x:v>
      </x:c>
      <x:c r="B2952" s="10" t="str">
        <x:v>B</x:v>
      </x:c>
      <x:c r="C2952" s="18" t="n">
        <x:v>0.916666767</x:v>
      </x:c>
      <x:c r="D2952" s="10" t="n">
        <x:v>560</x:v>
      </x:c>
      <x:c r="E2952" s="10" t="n">
        <x:v>0.979232019</x:v>
      </x:c>
      <x:c r="F2952" s="10" t="n">
        <x:v>0.008192</x:v>
      </x:c>
      <x:c r="G2952" s="10" t="n">
        <x:f>SUM(D2952:F2952)</x:f>
        <x:v>560.9874240190001</x:v>
      </x:c>
    </x:row>
    <x:row r="2953" ht="24" customHeight="1">
      <x:c r="A2953" s="10" t="str">
        <x:v>S05-08</x:v>
      </x:c>
      <x:c r="B2953" s="10" t="str">
        <x:v>B</x:v>
      </x:c>
      <x:c r="C2953" s="18" t="n">
        <x:v>1.016666567</x:v>
      </x:c>
      <x:c r="D2953" s="10" t="n">
        <x:v>560</x:v>
      </x:c>
      <x:c r="E2953" s="10" t="n">
        <x:v>0.998431981</x:v>
      </x:c>
      <x:c r="F2953" s="10" t="n">
        <x:v>0.008192</x:v>
      </x:c>
      <x:c r="G2953" s="10" t="n">
        <x:f>SUM(D2953:F2953)</x:f>
        <x:v>561.006623981</x:v>
      </x:c>
    </x:row>
    <x:row r="2954" ht="24" customHeight="1">
      <x:c r="A2954" s="10" t="str">
        <x:v>S05-08</x:v>
      </x:c>
      <x:c r="B2954" s="10" t="str">
        <x:v>B</x:v>
      </x:c>
      <x:c r="C2954" s="18" t="n">
        <x:v>1.016666667</x:v>
      </x:c>
      <x:c r="D2954" s="10" t="n">
        <x:v>560</x:v>
      </x:c>
      <x:c r="E2954" s="10" t="n">
        <x:v>0.998432</x:v>
      </x:c>
      <x:c r="F2954" s="10" t="n">
        <x:v>0.008192</x:v>
      </x:c>
      <x:c r="G2954" s="10" t="n">
        <x:f>SUM(D2954:F2954)</x:f>
        <x:v>561.006624</x:v>
      </x:c>
    </x:row>
    <x:row r="2955" ht="24" customHeight="1">
      <x:c r="A2955" s="10" t="str">
        <x:v>S05-08</x:v>
      </x:c>
      <x:c r="B2955" s="10" t="str">
        <x:v>B</x:v>
      </x:c>
      <x:c r="C2955" s="18" t="n">
        <x:v>1.016666767</x:v>
      </x:c>
      <x:c r="D2955" s="10" t="n">
        <x:v>560</x:v>
      </x:c>
      <x:c r="E2955" s="10" t="n">
        <x:v>0.998432</x:v>
      </x:c>
      <x:c r="F2955" s="10" t="n">
        <x:v>0.008192</x:v>
      </x:c>
      <x:c r="G2955" s="10" t="n">
        <x:f>SUM(D2955:F2955)</x:f>
        <x:v>561.006624</x:v>
      </x:c>
    </x:row>
    <x:row r="2956" ht="24" customHeight="1">
      <x:c r="A2956" s="10" t="str">
        <x:v>S05-08</x:v>
      </x:c>
      <x:c r="B2956" s="10" t="str">
        <x:v>B</x:v>
      </x:c>
      <x:c r="C2956" s="18" t="n">
        <x:v>1.317666567</x:v>
      </x:c>
      <x:c r="D2956" s="10" t="n">
        <x:v>560</x:v>
      </x:c>
      <x:c r="E2956" s="10" t="n">
        <x:v>0.998432</x:v>
      </x:c>
      <x:c r="F2956" s="10" t="n">
        <x:v>0.008192</x:v>
      </x:c>
      <x:c r="G2956" s="10" t="n">
        <x:f>SUM(D2956:F2956)</x:f>
        <x:v>561.006624</x:v>
      </x:c>
    </x:row>
    <x:row r="2957" ht="24" customHeight="1">
      <x:c r="A2957" s="10" t="str">
        <x:v>S05-08</x:v>
      </x:c>
      <x:c r="B2957" s="10" t="str">
        <x:v>B</x:v>
      </x:c>
      <x:c r="C2957" s="18" t="n">
        <x:v>1.317666667</x:v>
      </x:c>
      <x:c r="D2957" s="10" t="n">
        <x:v>560</x:v>
      </x:c>
      <x:c r="E2957" s="10" t="n">
        <x:v>1.008032</x:v>
      </x:c>
      <x:c r="F2957" s="10" t="n">
        <x:v>0.008192</x:v>
      </x:c>
      <x:c r="G2957" s="10" t="n">
        <x:f>SUM(D2957:F2957)</x:f>
        <x:v>561.016224</x:v>
      </x:c>
    </x:row>
    <x:row r="2958" ht="24" customHeight="1">
      <x:c r="A2958" s="10" t="str">
        <x:v>S05-08</x:v>
      </x:c>
      <x:c r="B2958" s="10" t="str">
        <x:v>B</x:v>
      </x:c>
      <x:c r="C2958" s="18" t="n">
        <x:v>1.317666767</x:v>
      </x:c>
      <x:c r="D2958" s="10" t="n">
        <x:v>560</x:v>
      </x:c>
      <x:c r="E2958" s="10" t="n">
        <x:v>1.008032019</x:v>
      </x:c>
      <x:c r="F2958" s="10" t="n">
        <x:v>0.008192</x:v>
      </x:c>
      <x:c r="G2958" s="10" t="n">
        <x:f>SUM(D2958:F2958)</x:f>
        <x:v>561.016224019</x:v>
      </x:c>
    </x:row>
    <x:row r="2959" ht="24" customHeight="1">
      <x:c r="A2959" s="10" t="str">
        <x:v>S05-08</x:v>
      </x:c>
      <x:c r="B2959" s="10" t="str">
        <x:v>B</x:v>
      </x:c>
      <x:c r="C2959" s="18" t="n">
        <x:v>1.357666567</x:v>
      </x:c>
      <x:c r="D2959" s="10" t="n">
        <x:v>560</x:v>
      </x:c>
      <x:c r="E2959" s="10" t="n">
        <x:v>1.015711981</x:v>
      </x:c>
      <x:c r="F2959" s="10" t="n">
        <x:v>0.008192</x:v>
      </x:c>
      <x:c r="G2959" s="10" t="n">
        <x:f>SUM(D2959:F2959)</x:f>
        <x:v>561.023903981</x:v>
      </x:c>
    </x:row>
    <x:row r="2960" ht="24" customHeight="1">
      <x:c r="A2960" s="10" t="str">
        <x:v>S05-08</x:v>
      </x:c>
      <x:c r="B2960" s="10" t="str">
        <x:v>B</x:v>
      </x:c>
      <x:c r="C2960" s="18" t="n">
        <x:v>1.357666667</x:v>
      </x:c>
      <x:c r="D2960" s="10" t="n">
        <x:v>560</x:v>
      </x:c>
      <x:c r="E2960" s="10" t="n">
        <x:v>1.015712</x:v>
      </x:c>
      <x:c r="F2960" s="10" t="n">
        <x:v>0.008192</x:v>
      </x:c>
      <x:c r="G2960" s="10" t="n">
        <x:f>SUM(D2960:F2960)</x:f>
        <x:v>561.023904</x:v>
      </x:c>
    </x:row>
    <x:row r="2961" ht="24" customHeight="1">
      <x:c r="A2961" s="10" t="str">
        <x:v>S05-08</x:v>
      </x:c>
      <x:c r="B2961" s="10" t="str">
        <x:v>B</x:v>
      </x:c>
      <x:c r="C2961" s="18" t="n">
        <x:v>1.357666767</x:v>
      </x:c>
      <x:c r="D2961" s="10" t="n">
        <x:v>560</x:v>
      </x:c>
      <x:c r="E2961" s="10" t="n">
        <x:v>1.015712015</x:v>
      </x:c>
      <x:c r="F2961" s="10" t="n">
        <x:v>0.008192</x:v>
      </x:c>
      <x:c r="G2961" s="10" t="n">
        <x:f>SUM(D2961:F2961)</x:f>
        <x:v>561.023904015</x:v>
      </x:c>
    </x:row>
    <x:row r="2962" ht="24" customHeight="1">
      <x:c r="A2962" s="10" t="str">
        <x:v>S05-08</x:v>
      </x:c>
      <x:c r="B2962" s="10" t="str">
        <x:v>B</x:v>
      </x:c>
      <x:c r="C2962" s="18" t="n">
        <x:v>1.975166567</x:v>
      </x:c>
      <x:c r="D2962" s="10" t="n">
        <x:v>560</x:v>
      </x:c>
      <x:c r="E2962" s="10" t="n">
        <x:v>1.104631986</x:v>
      </x:c>
      <x:c r="F2962" s="10" t="n">
        <x:v>0.008192</x:v>
      </x:c>
      <x:c r="G2962" s="10" t="n">
        <x:f>SUM(D2962:F2962)</x:f>
        <x:v>561.112823986</x:v>
      </x:c>
    </x:row>
    <x:row r="2963" ht="24" customHeight="1">
      <x:c r="A2963" s="10" t="str">
        <x:v>S05-08</x:v>
      </x:c>
      <x:c r="B2963" s="10" t="str">
        <x:v>B</x:v>
      </x:c>
      <x:c r="C2963" s="18" t="n">
        <x:v>1.975166667</x:v>
      </x:c>
      <x:c r="D2963" s="10" t="n">
        <x:v>560</x:v>
      </x:c>
      <x:c r="E2963" s="10" t="n">
        <x:v>1.104632</x:v>
      </x:c>
      <x:c r="F2963" s="10" t="n">
        <x:v>0.008192</x:v>
      </x:c>
      <x:c r="G2963" s="10" t="n">
        <x:f>SUM(D2963:F2963)</x:f>
        <x:v>561.112824</x:v>
      </x:c>
    </x:row>
    <x:row r="2964" ht="24" customHeight="1">
      <x:c r="A2964" s="10" t="str">
        <x:v>S05-08</x:v>
      </x:c>
      <x:c r="B2964" s="10" t="str">
        <x:v>B</x:v>
      </x:c>
      <x:c r="C2964" s="18" t="n">
        <x:v>1.975166767</x:v>
      </x:c>
      <x:c r="D2964" s="10" t="n">
        <x:v>560</x:v>
      </x:c>
      <x:c r="E2964" s="10" t="n">
        <x:v>1.104631995</x:v>
      </x:c>
      <x:c r="F2964" s="10" t="n">
        <x:v>0.008192</x:v>
      </x:c>
      <x:c r="G2964" s="10" t="n">
        <x:f>SUM(D2964:F2964)</x:f>
        <x:v>561.112823995</x:v>
      </x:c>
    </x:row>
    <x:row r="2965" ht="24" customHeight="1">
      <x:c r="A2965" s="10" t="str">
        <x:v>S05-08</x:v>
      </x:c>
      <x:c r="B2965" s="10" t="str">
        <x:v>B</x:v>
      </x:c>
      <x:c r="C2965" s="18" t="n">
        <x:v>4.187666567</x:v>
      </x:c>
      <x:c r="D2965" s="10" t="n">
        <x:v>560</x:v>
      </x:c>
      <x:c r="E2965" s="10" t="n">
        <x:v>0.998432005</x:v>
      </x:c>
      <x:c r="F2965" s="10" t="n">
        <x:v>0.008192</x:v>
      </x:c>
      <x:c r="G2965" s="10" t="n">
        <x:f>SUM(D2965:F2965)</x:f>
        <x:v>561.006624005</x:v>
      </x:c>
    </x:row>
    <x:row r="2966" ht="24" customHeight="1">
      <x:c r="A2966" s="10" t="str">
        <x:v>S05-08</x:v>
      </x:c>
      <x:c r="B2966" s="10" t="str">
        <x:v>B</x:v>
      </x:c>
      <x:c r="C2966" s="18" t="n">
        <x:v>4.187666667</x:v>
      </x:c>
      <x:c r="D2966" s="10" t="n">
        <x:v>560</x:v>
      </x:c>
      <x:c r="E2966" s="10" t="n">
        <x:v>0.998432</x:v>
      </x:c>
      <x:c r="F2966" s="10" t="n">
        <x:v>0.012288</x:v>
      </x:c>
      <x:c r="G2966" s="10" t="n">
        <x:f>SUM(D2966:F2966)</x:f>
        <x:v>561.01072</x:v>
      </x:c>
    </x:row>
    <x:row r="2967" ht="24" customHeight="1">
      <x:c r="A2967" s="10" t="str">
        <x:v>S05-08</x:v>
      </x:c>
      <x:c r="B2967" s="10" t="str">
        <x:v>B</x:v>
      </x:c>
      <x:c r="C2967" s="18" t="n">
        <x:v>4.187666767</x:v>
      </x:c>
      <x:c r="D2967" s="10" t="n">
        <x:v>560</x:v>
      </x:c>
      <x:c r="E2967" s="10" t="n">
        <x:v>0.998432</x:v>
      </x:c>
      <x:c r="F2967" s="10" t="n">
        <x:v>0.008192</x:v>
      </x:c>
      <x:c r="G2967" s="10" t="n">
        <x:f>SUM(D2967:F2967)</x:f>
        <x:v>561.006624</x:v>
      </x:c>
    </x:row>
    <x:row r="2968" ht="24" customHeight="1">
      <x:c r="A2968" s="10" t="str">
        <x:v>S05-08</x:v>
      </x:c>
      <x:c r="B2968" s="10" t="str">
        <x:v>B</x:v>
      </x:c>
      <x:c r="C2968" s="18" t="n">
        <x:v>4.227666567</x:v>
      </x:c>
      <x:c r="D2968" s="10" t="n">
        <x:v>560</x:v>
      </x:c>
      <x:c r="E2968" s="10" t="n">
        <x:v>0.998432</x:v>
      </x:c>
      <x:c r="F2968" s="10" t="n">
        <x:v>0.008192</x:v>
      </x:c>
      <x:c r="G2968" s="10" t="n">
        <x:f>SUM(D2968:F2968)</x:f>
        <x:v>561.006624</x:v>
      </x:c>
    </x:row>
    <x:row r="2969" ht="24" customHeight="1">
      <x:c r="A2969" s="10" t="str">
        <x:v>S05-08</x:v>
      </x:c>
      <x:c r="B2969" s="10" t="str">
        <x:v>B</x:v>
      </x:c>
      <x:c r="C2969" s="18" t="n">
        <x:v>4.227666667</x:v>
      </x:c>
      <x:c r="D2969" s="10" t="n">
        <x:v>560</x:v>
      </x:c>
      <x:c r="E2969" s="10" t="n">
        <x:v>0.998432</x:v>
      </x:c>
      <x:c r="F2969" s="10" t="n">
        <x:v>0.008192</x:v>
      </x:c>
      <x:c r="G2969" s="10" t="n">
        <x:f>SUM(D2969:F2969)</x:f>
        <x:v>561.006624</x:v>
      </x:c>
    </x:row>
    <x:row r="2970" ht="24" customHeight="1">
      <x:c r="A2970" s="10" t="str">
        <x:v>S05-08</x:v>
      </x:c>
      <x:c r="B2970" s="10" t="str">
        <x:v>B</x:v>
      </x:c>
      <x:c r="C2970" s="18" t="n">
        <x:v>4.227666767</x:v>
      </x:c>
      <x:c r="D2970" s="10" t="n">
        <x:v>560</x:v>
      </x:c>
      <x:c r="E2970" s="10" t="n">
        <x:v>0.998431995</x:v>
      </x:c>
      <x:c r="F2970" s="10" t="n">
        <x:v>0.008192</x:v>
      </x:c>
      <x:c r="G2970" s="10" t="n">
        <x:f>SUM(D2970:F2970)</x:f>
        <x:v>561.006623995</x:v>
      </x:c>
    </x:row>
    <x:row r="2971" ht="24" customHeight="1">
      <x:c r="A2971" s="10" t="str">
        <x:v>S05-08</x:v>
      </x:c>
      <x:c r="B2971" s="10" t="str">
        <x:v>B</x:v>
      </x:c>
      <x:c r="C2971" s="18" t="n">
        <x:v>4.7029999</x:v>
      </x:c>
      <x:c r="D2971" s="10" t="n">
        <x:v>560</x:v>
      </x:c>
      <x:c r="E2971" s="10" t="n">
        <x:v>0.975616005</x:v>
      </x:c>
      <x:c r="F2971" s="10" t="n">
        <x:v>0.008192</x:v>
      </x:c>
      <x:c r="G2971" s="10" t="n">
        <x:f>SUM(D2971:F2971)</x:f>
        <x:v>560.983808005</x:v>
      </x:c>
    </x:row>
    <x:row r="2972" ht="24" customHeight="1">
      <x:c r="A2972" s="10" t="str">
        <x:v>S05-08</x:v>
      </x:c>
      <x:c r="B2972" s="10" t="str">
        <x:v>B</x:v>
      </x:c>
      <x:c r="C2972" s="18" t="n">
        <x:v>4.703</x:v>
      </x:c>
      <x:c r="D2972" s="10" t="n">
        <x:v>560</x:v>
      </x:c>
      <x:c r="E2972" s="10" t="n">
        <x:v>0.985216</x:v>
      </x:c>
      <x:c r="F2972" s="10" t="n">
        <x:v>0.008192</x:v>
      </x:c>
      <x:c r="G2972" s="10" t="n">
        <x:f>SUM(D2972:F2972)</x:f>
        <x:v>560.993408</x:v>
      </x:c>
    </x:row>
    <x:row r="2973" ht="24" customHeight="1">
      <x:c r="A2973" s="10" t="str">
        <x:v>S05-08</x:v>
      </x:c>
      <x:c r="B2973" s="10" t="str">
        <x:v>B</x:v>
      </x:c>
      <x:c r="C2973" s="18" t="n">
        <x:v>4.7030001</x:v>
      </x:c>
      <x:c r="D2973" s="10" t="n">
        <x:v>560</x:v>
      </x:c>
      <x:c r="E2973" s="10" t="n">
        <x:v>0.985216015</x:v>
      </x:c>
      <x:c r="F2973" s="10" t="n">
        <x:v>0.008192</x:v>
      </x:c>
      <x:c r="G2973" s="10" t="n">
        <x:f>SUM(D2973:F2973)</x:f>
        <x:v>560.993408015</x:v>
      </x:c>
    </x:row>
    <x:row r="2974" ht="24" customHeight="1">
      <x:c r="A2974" s="10" t="str">
        <x:v>S05-08</x:v>
      </x:c>
      <x:c r="B2974" s="10" t="str">
        <x:v>B</x:v>
      </x:c>
      <x:c r="C2974" s="18" t="n">
        <x:v>8.269166566</x:v>
      </x:c>
      <x:c r="D2974" s="10" t="n">
        <x:v>560</x:v>
      </x:c>
      <x:c r="E2974" s="10" t="n">
        <x:v>1.498743986</x:v>
      </x:c>
      <x:c r="F2974" s="10" t="n">
        <x:v>0.008192</x:v>
      </x:c>
      <x:c r="G2974" s="10" t="n">
        <x:f>SUM(D2974:F2974)</x:f>
        <x:v>561.506935986</x:v>
      </x:c>
    </x:row>
    <x:row r="2975" ht="24" customHeight="1">
      <x:c r="A2975" s="10" t="str">
        <x:v>S05-08</x:v>
      </x:c>
      <x:c r="B2975" s="10" t="str">
        <x:v>B</x:v>
      </x:c>
      <x:c r="C2975" s="18" t="n">
        <x:v>8.269166666</x:v>
      </x:c>
      <x:c r="D2975" s="10" t="n">
        <x:v>560</x:v>
      </x:c>
      <x:c r="E2975" s="10" t="n">
        <x:v>1.498744</x:v>
      </x:c>
      <x:c r="F2975" s="10" t="n">
        <x:v>0.008192</x:v>
      </x:c>
      <x:c r="G2975" s="10" t="n">
        <x:f>SUM(D2975:F2975)</x:f>
        <x:v>561.506936</x:v>
      </x:c>
    </x:row>
    <x:row r="2976" ht="24" customHeight="1">
      <x:c r="A2976" s="10" t="str">
        <x:v>S05-08</x:v>
      </x:c>
      <x:c r="B2976" s="10" t="str">
        <x:v>B</x:v>
      </x:c>
      <x:c r="C2976" s="18" t="n">
        <x:v>8.269166766</x:v>
      </x:c>
      <x:c r="D2976" s="10" t="n">
        <x:v>560</x:v>
      </x:c>
      <x:c r="E2976" s="10" t="n">
        <x:v>1.498743995</x:v>
      </x:c>
      <x:c r="F2976" s="10" t="n">
        <x:v>0.008192</x:v>
      </x:c>
      <x:c r="G2976" s="10" t="n">
        <x:f>SUM(D2976:F2976)</x:f>
        <x:v>561.506935995</x:v>
      </x:c>
    </x:row>
    <x:row r="2977" ht="24" customHeight="1">
      <x:c r="A2977" s="10" t="str">
        <x:v>S05-08</x:v>
      </x:c>
      <x:c r="B2977" s="10" t="str">
        <x:v>B</x:v>
      </x:c>
      <x:c r="C2977" s="18" t="n">
        <x:v>25.028333236</x:v>
      </x:c>
      <x:c r="D2977" s="10" t="n">
        <x:v>560</x:v>
      </x:c>
      <x:c r="E2977" s="10" t="n">
        <x:v>0.694304005</x:v>
      </x:c>
      <x:c r="F2977" s="10" t="n">
        <x:v>0.008192</x:v>
      </x:c>
      <x:c r="G2977" s="10" t="n">
        <x:f>SUM(D2977:F2977)</x:f>
        <x:v>560.7024960050001</x:v>
      </x:c>
    </x:row>
    <x:row r="2978" ht="24" customHeight="1">
      <x:c r="A2978" s="10" t="str">
        <x:v>S05-08</x:v>
      </x:c>
      <x:c r="B2978" s="10" t="str">
        <x:v>B</x:v>
      </x:c>
      <x:c r="C2978" s="18" t="n">
        <x:v>25.028333336</x:v>
      </x:c>
      <x:c r="D2978" s="10" t="n">
        <x:v>560</x:v>
      </x:c>
      <x:c r="E2978" s="10" t="n">
        <x:v>0.694304</x:v>
      </x:c>
      <x:c r="F2978" s="10" t="n">
        <x:v>0.008192</x:v>
      </x:c>
      <x:c r="G2978" s="10" t="n">
        <x:f>SUM(D2978:F2978)</x:f>
        <x:v>560.702496</x:v>
      </x:c>
    </x:row>
    <x:row r="2979" ht="24" customHeight="1">
      <x:c r="A2979" s="10" t="str">
        <x:v>S05-08</x:v>
      </x:c>
      <x:c r="B2979" s="10" t="str">
        <x:v>B</x:v>
      </x:c>
      <x:c r="C2979" s="18" t="n">
        <x:v>25.028333436</x:v>
      </x:c>
      <x:c r="D2979" s="10" t="n">
        <x:v>560</x:v>
      </x:c>
      <x:c r="E2979" s="10" t="n">
        <x:v>0.694304</x:v>
      </x:c>
      <x:c r="F2979" s="10" t="n">
        <x:v>0.004096</x:v>
      </x:c>
      <x:c r="G2979" s="10" t="n">
        <x:f>SUM(D2979:F2979)</x:f>
        <x:v>560.6984</x:v>
      </x:c>
    </x:row>
    <x:row r="2980" ht="24" customHeight="1">
      <x:c r="A2980" s="10" t="str">
        <x:v>S05-08</x:v>
      </x:c>
      <x:c r="B2980" s="10" t="str">
        <x:v>B</x:v>
      </x:c>
      <x:c r="C2980" s="18" t="n">
        <x:v>25.068333236</x:v>
      </x:c>
      <x:c r="D2980" s="10" t="n">
        <x:v>560</x:v>
      </x:c>
      <x:c r="E2980" s="10" t="n">
        <x:v>0.694304</x:v>
      </x:c>
      <x:c r="F2980" s="10" t="n">
        <x:v>0.004096</x:v>
      </x:c>
      <x:c r="G2980" s="10" t="n">
        <x:f>SUM(D2980:F2980)</x:f>
        <x:v>560.6984</x:v>
      </x:c>
    </x:row>
    <x:row r="2981" ht="24" customHeight="1">
      <x:c r="A2981" s="10" t="str">
        <x:v>S05-08</x:v>
      </x:c>
      <x:c r="B2981" s="10" t="str">
        <x:v>B</x:v>
      </x:c>
      <x:c r="C2981" s="18" t="n">
        <x:v>25.068333336</x:v>
      </x:c>
      <x:c r="D2981" s="10" t="n">
        <x:v>560</x:v>
      </x:c>
      <x:c r="E2981" s="10" t="n">
        <x:v>0.694304</x:v>
      </x:c>
      <x:c r="F2981" s="10" t="n">
        <x:v>0.004096</x:v>
      </x:c>
      <x:c r="G2981" s="10" t="n">
        <x:f>SUM(D2981:F2981)</x:f>
        <x:v>560.6984</x:v>
      </x:c>
    </x:row>
    <x:row r="2982" ht="24" customHeight="1">
      <x:c r="A2982" s="10" t="str">
        <x:v>S05-08</x:v>
      </x:c>
      <x:c r="B2982" s="10" t="str">
        <x:v>B</x:v>
      </x:c>
      <x:c r="C2982" s="18" t="n">
        <x:v>25.068333436</x:v>
      </x:c>
      <x:c r="D2982" s="10" t="n">
        <x:v>560</x:v>
      </x:c>
      <x:c r="E2982" s="10" t="n">
        <x:v>0.694303995</x:v>
      </x:c>
      <x:c r="F2982" s="10" t="n">
        <x:v>0.004096</x:v>
      </x:c>
      <x:c r="G2982" s="10" t="n">
        <x:f>SUM(D2982:F2982)</x:f>
        <x:v>560.698399995</x:v>
      </x:c>
    </x:row>
    <x:row r="2983" ht="24" customHeight="1">
      <x:c r="A2983" s="10" t="str">
        <x:v>S05-08</x:v>
      </x:c>
      <x:c r="B2983" s="10" t="str">
        <x:v>B</x:v>
      </x:c>
      <x:c r="C2983" s="18" t="n">
        <x:v>39.5329999</x:v>
      </x:c>
      <x:c r="D2983" s="10" t="n">
        <x:v>560</x:v>
      </x:c>
      <x:c r="E2983" s="10" t="n">
        <x:v>5e-9</x:v>
      </x:c>
      <x:c r="F2983" s="10" t="n">
        <x:v>0.004096</x:v>
      </x:c>
      <x:c r="G2983" s="10" t="n">
        <x:f>SUM(D2983:F2983)</x:f>
        <x:v>560.004096005</x:v>
      </x:c>
    </x:row>
    <x:row r="2984" ht="24" customHeight="1">
      <x:c r="A2984" s="10" t="str">
        <x:v>S05-08</x:v>
      </x:c>
      <x:c r="B2984" s="10" t="str">
        <x:v>B</x:v>
      </x:c>
      <x:c r="C2984" s="18" t="n">
        <x:v>39.533</x:v>
      </x:c>
      <x:c r="D2984" s="10" t="n">
        <x:v>560</x:v>
      </x:c>
      <x:c r="E2984" s="10" t="n">
        <x:v>0</x:v>
      </x:c>
      <x:c r="F2984" s="10" t="n">
        <x:v>0.004096</x:v>
      </x:c>
      <x:c r="G2984" s="10" t="n">
        <x:f>SUM(D2984:F2984)</x:f>
        <x:v>560.004096</x:v>
      </x:c>
    </x:row>
    <x:row r="2985" ht="24" customHeight="1">
      <x:c r="A2985" s="10" t="str">
        <x:v>S05-08</x:v>
      </x:c>
      <x:c r="B2985" s="10" t="str">
        <x:v>B</x:v>
      </x:c>
      <x:c r="C2985" s="18" t="n">
        <x:v>39.5330001</x:v>
      </x:c>
      <x:c r="D2985" s="10" t="n">
        <x:v>560</x:v>
      </x:c>
      <x:c r="E2985" s="10" t="n">
        <x:v>0</x:v>
      </x:c>
      <x:c r="F2985" s="10" t="n">
        <x:v>0</x:v>
      </x:c>
      <x:c r="G2985" s="10" t="n">
        <x:f>SUM(D2985:F2985)</x:f>
        <x:v>560</x:v>
      </x:c>
    </x:row>
    <x:row r="2986" ht="24" customHeight="1">
      <x:c r="A2986" s="10" t="str">
        <x:v>S05-09</x:v>
      </x:c>
      <x:c r="B2986" s="10" t="str">
        <x:v>A</x:v>
      </x:c>
      <x:c r="C2986" s="18" t="n">
        <x:v>-6.0000001</x:v>
      </x:c>
      <x:c r="D2986" s="10" t="n">
        <x:v>560</x:v>
      </x:c>
      <x:c r="E2986" s="10" t="n">
        <x:v>0</x:v>
      </x:c>
      <x:c r="F2986" s="10" t="n">
        <x:v>0</x:v>
      </x:c>
      <x:c r="G2986" s="10" t="n">
        <x:f>SUM(D2986:F2986)</x:f>
        <x:v>560</x:v>
      </x:c>
    </x:row>
    <x:row r="2987" ht="24" customHeight="1">
      <x:c r="A2987" s="10" t="str">
        <x:v>S05-09</x:v>
      </x:c>
      <x:c r="B2987" s="10" t="str">
        <x:v>A</x:v>
      </x:c>
      <x:c r="C2987" s="18" t="n">
        <x:v>-6</x:v>
      </x:c>
      <x:c r="D2987" s="10" t="n">
        <x:v>560</x:v>
      </x:c>
      <x:c r="E2987" s="10" t="n">
        <x:v>0</x:v>
      </x:c>
      <x:c r="F2987" s="10" t="n">
        <x:v>0</x:v>
      </x:c>
      <x:c r="G2987" s="10" t="n">
        <x:f>SUM(D2987:F2987)</x:f>
        <x:v>560</x:v>
      </x:c>
    </x:row>
    <x:row r="2988" ht="24" customHeight="1">
      <x:c r="A2988" s="10" t="str">
        <x:v>S05-09</x:v>
      </x:c>
      <x:c r="B2988" s="10" t="str">
        <x:v>A</x:v>
      </x:c>
      <x:c r="C2988" s="18" t="n">
        <x:v>-5.9999999</x:v>
      </x:c>
      <x:c r="D2988" s="10" t="n">
        <x:v>560</x:v>
      </x:c>
      <x:c r="E2988" s="10" t="n">
        <x:v>0</x:v>
      </x:c>
      <x:c r="F2988" s="10" t="n">
        <x:v>0</x:v>
      </x:c>
      <x:c r="G2988" s="10" t="n">
        <x:f>SUM(D2988:F2988)</x:f>
        <x:v>560</x:v>
      </x:c>
    </x:row>
    <x:row r="2989" ht="24" customHeight="1">
      <x:c r="A2989" s="10" t="str">
        <x:v>S05-09</x:v>
      </x:c>
      <x:c r="B2989" s="10" t="str">
        <x:v>A</x:v>
      </x:c>
      <x:c r="C2989" s="18" t="n">
        <x:v>-4.8000001</x:v>
      </x:c>
      <x:c r="D2989" s="10" t="n">
        <x:v>560</x:v>
      </x:c>
      <x:c r="E2989" s="10" t="n">
        <x:v>0</x:v>
      </x:c>
      <x:c r="F2989" s="10" t="n">
        <x:v>0</x:v>
      </x:c>
      <x:c r="G2989" s="10" t="n">
        <x:f>SUM(D2989:F2989)</x:f>
        <x:v>560</x:v>
      </x:c>
    </x:row>
    <x:row r="2990" ht="24" customHeight="1">
      <x:c r="A2990" s="10" t="str">
        <x:v>S05-09</x:v>
      </x:c>
      <x:c r="B2990" s="10" t="str">
        <x:v>A</x:v>
      </x:c>
      <x:c r="C2990" s="18" t="n">
        <x:v>-4.8</x:v>
      </x:c>
      <x:c r="D2990" s="10" t="n">
        <x:v>560</x:v>
      </x:c>
      <x:c r="E2990" s="10" t="n">
        <x:v>0</x:v>
      </x:c>
      <x:c r="F2990" s="10" t="n">
        <x:v>0.004096</x:v>
      </x:c>
      <x:c r="G2990" s="10" t="n">
        <x:f>SUM(D2990:F2990)</x:f>
        <x:v>560.004096</x:v>
      </x:c>
    </x:row>
    <x:row r="2991" ht="24" customHeight="1">
      <x:c r="A2991" s="10" t="str">
        <x:v>S05-09</x:v>
      </x:c>
      <x:c r="B2991" s="10" t="str">
        <x:v>A</x:v>
      </x:c>
      <x:c r="C2991" s="18" t="n">
        <x:v>-4.7999999</x:v>
      </x:c>
      <x:c r="D2991" s="10" t="n">
        <x:v>560</x:v>
      </x:c>
      <x:c r="E2991" s="10" t="n">
        <x:v>0</x:v>
      </x:c>
      <x:c r="F2991" s="10" t="n">
        <x:v>0.004096</x:v>
      </x:c>
      <x:c r="G2991" s="10" t="n">
        <x:f>SUM(D2991:F2991)</x:f>
        <x:v>560.004096</x:v>
      </x:c>
    </x:row>
    <x:row r="2992" ht="24" customHeight="1">
      <x:c r="A2992" s="10" t="str">
        <x:v>S05-09</x:v>
      </x:c>
      <x:c r="B2992" s="10" t="str">
        <x:v>A</x:v>
      </x:c>
      <x:c r="C2992" s="18" t="n">
        <x:v>-4.324666767</x:v>
      </x:c>
      <x:c r="D2992" s="10" t="n">
        <x:v>560</x:v>
      </x:c>
      <x:c r="E2992" s="10" t="n">
        <x:v>0</x:v>
      </x:c>
      <x:c r="F2992" s="10" t="n">
        <x:v>0.004096</x:v>
      </x:c>
      <x:c r="G2992" s="10" t="n">
        <x:f>SUM(D2992:F2992)</x:f>
        <x:v>560.004096</x:v>
      </x:c>
    </x:row>
    <x:row r="2993" ht="24" customHeight="1">
      <x:c r="A2993" s="10" t="str">
        <x:v>S05-09</x:v>
      </x:c>
      <x:c r="B2993" s="10" t="str">
        <x:v>A</x:v>
      </x:c>
      <x:c r="C2993" s="18" t="n">
        <x:v>-4.324666667</x:v>
      </x:c>
      <x:c r="D2993" s="10" t="n">
        <x:v>560</x:v>
      </x:c>
      <x:c r="E2993" s="10" t="n">
        <x:v>0.0096</x:v>
      </x:c>
      <x:c r="F2993" s="10" t="n">
        <x:v>0.004096</x:v>
      </x:c>
      <x:c r="G2993" s="10" t="n">
        <x:f>SUM(D2993:F2993)</x:f>
        <x:v>560.013696</x:v>
      </x:c>
    </x:row>
    <x:row r="2994" ht="24" customHeight="1">
      <x:c r="A2994" s="10" t="str">
        <x:v>S05-09</x:v>
      </x:c>
      <x:c r="B2994" s="10" t="str">
        <x:v>A</x:v>
      </x:c>
      <x:c r="C2994" s="18" t="n">
        <x:v>-4.324666567</x:v>
      </x:c>
      <x:c r="D2994" s="10" t="n">
        <x:v>560</x:v>
      </x:c>
      <x:c r="E2994" s="10" t="n">
        <x:v>0.009600019</x:v>
      </x:c>
      <x:c r="F2994" s="10" t="n">
        <x:v>0.004096</x:v>
      </x:c>
      <x:c r="G2994" s="10" t="n">
        <x:f>SUM(D2994:F2994)</x:f>
        <x:v>560.013696019</x:v>
      </x:c>
    </x:row>
    <x:row r="2995" ht="24" customHeight="1">
      <x:c r="A2995" s="10" t="str">
        <x:v>S05-09</x:v>
      </x:c>
      <x:c r="B2995" s="10" t="str">
        <x:v>A</x:v>
      </x:c>
      <x:c r="C2995" s="18" t="n">
        <x:v>-4.284666767</x:v>
      </x:c>
      <x:c r="D2995" s="10" t="n">
        <x:v>560</x:v>
      </x:c>
      <x:c r="E2995" s="10" t="n">
        <x:v>0.017279981</x:v>
      </x:c>
      <x:c r="F2995" s="10" t="n">
        <x:v>0.004096</x:v>
      </x:c>
      <x:c r="G2995" s="10" t="n">
        <x:f>SUM(D2995:F2995)</x:f>
        <x:v>560.021375981</x:v>
      </x:c>
    </x:row>
    <x:row r="2996" ht="24" customHeight="1">
      <x:c r="A2996" s="10" t="str">
        <x:v>S05-09</x:v>
      </x:c>
      <x:c r="B2996" s="10" t="str">
        <x:v>A</x:v>
      </x:c>
      <x:c r="C2996" s="18" t="n">
        <x:v>-4.284666667</x:v>
      </x:c>
      <x:c r="D2996" s="10" t="n">
        <x:v>560</x:v>
      </x:c>
      <x:c r="E2996" s="10" t="n">
        <x:v>0.01728</x:v>
      </x:c>
      <x:c r="F2996" s="10" t="n">
        <x:v>0.004096</x:v>
      </x:c>
      <x:c r="G2996" s="10" t="n">
        <x:f>SUM(D2996:F2996)</x:f>
        <x:v>560.021376</x:v>
      </x:c>
    </x:row>
    <x:row r="2997" ht="24" customHeight="1">
      <x:c r="A2997" s="10" t="str">
        <x:v>S05-09</x:v>
      </x:c>
      <x:c r="B2997" s="10" t="str">
        <x:v>A</x:v>
      </x:c>
      <x:c r="C2997" s="18" t="n">
        <x:v>-4.284666567</x:v>
      </x:c>
      <x:c r="D2997" s="10" t="n">
        <x:v>560</x:v>
      </x:c>
      <x:c r="E2997" s="10" t="n">
        <x:v>0.017280014</x:v>
      </x:c>
      <x:c r="F2997" s="10" t="n">
        <x:v>0.004096</x:v>
      </x:c>
      <x:c r="G2997" s="10" t="n">
        <x:f>SUM(D2997:F2997)</x:f>
        <x:v>560.021376014</x:v>
      </x:c>
    </x:row>
    <x:row r="2998" ht="24" customHeight="1">
      <x:c r="A2998" s="10" t="str">
        <x:v>S05-09</x:v>
      </x:c>
      <x:c r="B2998" s="10" t="str">
        <x:v>A</x:v>
      </x:c>
      <x:c r="C2998" s="18" t="n">
        <x:v>-3.5200001</x:v>
      </x:c>
      <x:c r="D2998" s="10" t="n">
        <x:v>560</x:v>
      </x:c>
      <x:c r="E2998" s="10" t="n">
        <x:v>0.127391986</x:v>
      </x:c>
      <x:c r="F2998" s="10" t="n">
        <x:v>0.004096</x:v>
      </x:c>
      <x:c r="G2998" s="10" t="n">
        <x:f>SUM(D2998:F2998)</x:f>
        <x:v>560.131487986</x:v>
      </x:c>
    </x:row>
    <x:row r="2999" ht="24" customHeight="1">
      <x:c r="A2999" s="10" t="str">
        <x:v>S05-09</x:v>
      </x:c>
      <x:c r="B2999" s="10" t="str">
        <x:v>A</x:v>
      </x:c>
      <x:c r="C2999" s="18" t="n">
        <x:v>-3.52</x:v>
      </x:c>
      <x:c r="D2999" s="10" t="n">
        <x:v>560</x:v>
      </x:c>
      <x:c r="E2999" s="10" t="n">
        <x:v>0.127392</x:v>
      </x:c>
      <x:c r="F2999" s="10" t="n">
        <x:v>0.004096</x:v>
      </x:c>
      <x:c r="G2999" s="10" t="n">
        <x:f>SUM(D2999:F2999)</x:f>
        <x:v>560.131488</x:v>
      </x:c>
    </x:row>
    <x:row r="3000" ht="24" customHeight="1">
      <x:c r="A3000" s="10" t="str">
        <x:v>S05-09</x:v>
      </x:c>
      <x:c r="B3000" s="10" t="str">
        <x:v>A</x:v>
      </x:c>
      <x:c r="C3000" s="18" t="n">
        <x:v>-3.5199999</x:v>
      </x:c>
      <x:c r="D3000" s="10" t="n">
        <x:v>560</x:v>
      </x:c>
      <x:c r="E3000" s="10" t="n">
        <x:v>0.127392019</x:v>
      </x:c>
      <x:c r="F3000" s="10" t="n">
        <x:v>0.004096</x:v>
      </x:c>
      <x:c r="G3000" s="10" t="n">
        <x:f>SUM(D3000:F3000)</x:f>
        <x:v>560.131488019</x:v>
      </x:c>
    </x:row>
    <x:row r="3001" ht="24" customHeight="1">
      <x:c r="A3001" s="10" t="str">
        <x:v>S05-09</x:v>
      </x:c>
      <x:c r="B3001" s="10" t="str">
        <x:v>A</x:v>
      </x:c>
      <x:c r="C3001" s="18" t="n">
        <x:v>-0.9000001</x:v>
      </x:c>
      <x:c r="D3001" s="10" t="n">
        <x:v>560</x:v>
      </x:c>
      <x:c r="E3001" s="10" t="n">
        <x:v>0.630431981</x:v>
      </x:c>
      <x:c r="F3001" s="10" t="n">
        <x:v>0.004096</x:v>
      </x:c>
      <x:c r="G3001" s="10" t="n">
        <x:f>SUM(D3001:F3001)</x:f>
        <x:v>560.634527981</x:v>
      </x:c>
    </x:row>
    <x:row r="3002" ht="24" customHeight="1">
      <x:c r="A3002" s="10" t="str">
        <x:v>S05-09</x:v>
      </x:c>
      <x:c r="B3002" s="10" t="str">
        <x:v>A</x:v>
      </x:c>
      <x:c r="C3002" s="18" t="n">
        <x:v>-0.9</x:v>
      </x:c>
      <x:c r="D3002" s="10" t="n">
        <x:v>560</x:v>
      </x:c>
      <x:c r="E3002" s="10" t="n">
        <x:v>0.630432</x:v>
      </x:c>
      <x:c r="F3002" s="10" t="n">
        <x:v>0.008192</x:v>
      </x:c>
      <x:c r="G3002" s="10" t="n">
        <x:f>SUM(D3002:F3002)</x:f>
        <x:v>560.638624</x:v>
      </x:c>
    </x:row>
    <x:row r="3003" ht="24" customHeight="1">
      <x:c r="A3003" s="10" t="str">
        <x:v>S05-09</x:v>
      </x:c>
      <x:c r="B3003" s="10" t="str">
        <x:v>A</x:v>
      </x:c>
      <x:c r="C3003" s="18" t="n">
        <x:v>-0.8999999</x:v>
      </x:c>
      <x:c r="D3003" s="10" t="n">
        <x:v>560</x:v>
      </x:c>
      <x:c r="E3003" s="10" t="n">
        <x:v>0.630432019</x:v>
      </x:c>
      <x:c r="F3003" s="10" t="n">
        <x:v>0.008192</x:v>
      </x:c>
      <x:c r="G3003" s="10" t="n">
        <x:f>SUM(D3003:F3003)</x:f>
        <x:v>560.638624019</x:v>
      </x:c>
    </x:row>
    <x:row r="3004" ht="24" customHeight="1">
      <x:c r="A3004" s="10" t="str">
        <x:v>S05-09</x:v>
      </x:c>
      <x:c r="B3004" s="10" t="str">
        <x:v>A</x:v>
      </x:c>
      <x:c r="C3004" s="18" t="n">
        <x:v>-0.4990001</x:v>
      </x:c>
      <x:c r="D3004" s="10" t="n">
        <x:v>560</x:v>
      </x:c>
      <x:c r="E3004" s="10" t="n">
        <x:v>0.707423981</x:v>
      </x:c>
      <x:c r="F3004" s="10" t="n">
        <x:v>0.008192</x:v>
      </x:c>
      <x:c r="G3004" s="10" t="n">
        <x:f>SUM(D3004:F3004)</x:f>
        <x:v>560.715615981</x:v>
      </x:c>
    </x:row>
    <x:row r="3005" ht="24" customHeight="1">
      <x:c r="A3005" s="10" t="str">
        <x:v>S05-09</x:v>
      </x:c>
      <x:c r="B3005" s="10" t="str">
        <x:v>A</x:v>
      </x:c>
      <x:c r="C3005" s="18" t="n">
        <x:v>-0.499</x:v>
      </x:c>
      <x:c r="D3005" s="10" t="n">
        <x:v>560</x:v>
      </x:c>
      <x:c r="E3005" s="10" t="n">
        <x:v>0.717024</x:v>
      </x:c>
      <x:c r="F3005" s="10" t="n">
        <x:v>0.008192</x:v>
      </x:c>
      <x:c r="G3005" s="10" t="n">
        <x:f>SUM(D3005:F3005)</x:f>
        <x:v>560.725216</x:v>
      </x:c>
    </x:row>
    <x:row r="3006" ht="24" customHeight="1">
      <x:c r="A3006" s="10" t="str">
        <x:v>S05-09</x:v>
      </x:c>
      <x:c r="B3006" s="10" t="str">
        <x:v>A</x:v>
      </x:c>
      <x:c r="C3006" s="18" t="n">
        <x:v>-0.4989999</x:v>
      </x:c>
      <x:c r="D3006" s="10" t="n">
        <x:v>560</x:v>
      </x:c>
      <x:c r="E3006" s="10" t="n">
        <x:v>0.717024038</x:v>
      </x:c>
      <x:c r="F3006" s="10" t="n">
        <x:v>0.008192</x:v>
      </x:c>
      <x:c r="G3006" s="10" t="n">
        <x:f>SUM(D3006:F3006)</x:f>
        <x:v>560.725216038</x:v>
      </x:c>
    </x:row>
    <x:row r="3007" ht="24" customHeight="1">
      <x:c r="A3007" s="10" t="str">
        <x:v>S05-09</x:v>
      </x:c>
      <x:c r="B3007" s="10" t="str">
        <x:v>A</x:v>
      </x:c>
      <x:c r="C3007" s="18" t="n">
        <x:v>-1e-7</x:v>
      </x:c>
      <x:c r="D3007" s="10" t="n">
        <x:v>560</x:v>
      </x:c>
      <x:c r="E3007" s="10" t="n">
        <x:v>0.908639962</x:v>
      </x:c>
      <x:c r="F3007" s="10" t="n">
        <x:v>0.008192</x:v>
      </x:c>
      <x:c r="G3007" s="10" t="n">
        <x:f>SUM(D3007:F3007)</x:f>
        <x:v>560.9168319620001</x:v>
      </x:c>
    </x:row>
    <x:row r="3008" ht="24" customHeight="1">
      <x:c r="A3008" s="10" t="str">
        <x:v>S05-09</x:v>
      </x:c>
      <x:c r="B3008" s="10" t="str">
        <x:v>A</x:v>
      </x:c>
      <x:c r="C3008" s="18" t="n">
        <x:v>0</x:v>
      </x:c>
      <x:c r="D3008" s="10" t="n">
        <x:v>560</x:v>
      </x:c>
      <x:c r="E3008" s="10" t="n">
        <x:v>0.90864</x:v>
      </x:c>
      <x:c r="F3008" s="10" t="n">
        <x:v>0.008192</x:v>
      </x:c>
      <x:c r="G3008" s="10" t="n">
        <x:f>SUM(D3008:F3008)</x:f>
        <x:v>560.916832</x:v>
      </x:c>
    </x:row>
    <x:row r="3009" ht="24" customHeight="1">
      <x:c r="A3009" s="10" t="str">
        <x:v>S05-09</x:v>
      </x:c>
      <x:c r="B3009" s="10" t="str">
        <x:v>A</x:v>
      </x:c>
      <x:c r="C3009" s="18" t="n">
        <x:v>1e-7</x:v>
      </x:c>
      <x:c r="D3009" s="10" t="n">
        <x:v>560</x:v>
      </x:c>
      <x:c r="E3009" s="10" t="n">
        <x:v>0.908640038</x:v>
      </x:c>
      <x:c r="F3009" s="10" t="n">
        <x:v>0.008192</x:v>
      </x:c>
      <x:c r="G3009" s="10" t="n">
        <x:f>SUM(D3009:F3009)</x:f>
        <x:v>560.916832038</x:v>
      </x:c>
    </x:row>
    <x:row r="3010" ht="24" customHeight="1">
      <x:c r="A3010" s="10" t="str">
        <x:v>S05-09</x:v>
      </x:c>
      <x:c r="B3010" s="10" t="str">
        <x:v>A</x:v>
      </x:c>
      <x:c r="C3010" s="18" t="n">
        <x:v>0.1614999</x:v>
      </x:c>
      <x:c r="D3010" s="10" t="n">
        <x:v>560</x:v>
      </x:c>
      <x:c r="E3010" s="10" t="n">
        <x:v>0.970655962</x:v>
      </x:c>
      <x:c r="F3010" s="10" t="n">
        <x:v>0.008192</x:v>
      </x:c>
      <x:c r="G3010" s="10" t="n">
        <x:f>SUM(D3010:F3010)</x:f>
        <x:v>560.978847962</x:v>
      </x:c>
    </x:row>
    <x:row r="3011" ht="24" customHeight="1">
      <x:c r="A3011" s="10" t="str">
        <x:v>S05-09</x:v>
      </x:c>
      <x:c r="B3011" s="10" t="str">
        <x:v>A</x:v>
      </x:c>
      <x:c r="C3011" s="18" t="n">
        <x:v>0.1615</x:v>
      </x:c>
      <x:c r="D3011" s="10" t="n">
        <x:v>560</x:v>
      </x:c>
      <x:c r="E3011" s="10" t="n">
        <x:v>0.970656</x:v>
      </x:c>
      <x:c r="F3011" s="10" t="n">
        <x:v>0.008192</x:v>
      </x:c>
      <x:c r="G3011" s="10" t="n">
        <x:f>SUM(D3011:F3011)</x:f>
        <x:v>560.978848</x:v>
      </x:c>
    </x:row>
    <x:row r="3012" ht="24" customHeight="1">
      <x:c r="A3012" s="10" t="str">
        <x:v>S05-09</x:v>
      </x:c>
      <x:c r="B3012" s="10" t="str">
        <x:v>A</x:v>
      </x:c>
      <x:c r="C3012" s="18" t="n">
        <x:v>0.1615001</x:v>
      </x:c>
      <x:c r="D3012" s="10" t="n">
        <x:v>560</x:v>
      </x:c>
      <x:c r="E3012" s="10" t="n">
        <x:v>0.970656019</x:v>
      </x:c>
      <x:c r="F3012" s="10" t="n">
        <x:v>0.008192</x:v>
      </x:c>
      <x:c r="G3012" s="10" t="n">
        <x:f>SUM(D3012:F3012)</x:f>
        <x:v>560.978848019</x:v>
      </x:c>
    </x:row>
    <x:row r="3013" ht="24" customHeight="1">
      <x:c r="A3013" s="10" t="str">
        <x:v>S05-09</x:v>
      </x:c>
      <x:c r="B3013" s="10" t="str">
        <x:v>A</x:v>
      </x:c>
      <x:c r="C3013" s="18" t="n">
        <x:v>0.8699999</x:v>
      </x:c>
      <x:c r="D3013" s="10" t="n">
        <x:v>560</x:v>
      </x:c>
      <x:c r="E3013" s="10" t="n">
        <x:v>1.106687981</x:v>
      </x:c>
      <x:c r="F3013" s="10" t="n">
        <x:v>0.008192</x:v>
      </x:c>
      <x:c r="G3013" s="10" t="n">
        <x:f>SUM(D3013:F3013)</x:f>
        <x:v>561.1148799810001</x:v>
      </x:c>
    </x:row>
    <x:row r="3014" ht="24" customHeight="1">
      <x:c r="A3014" s="10" t="str">
        <x:v>S05-09</x:v>
      </x:c>
      <x:c r="B3014" s="10" t="str">
        <x:v>A</x:v>
      </x:c>
      <x:c r="C3014" s="18" t="n">
        <x:v>0.87</x:v>
      </x:c>
      <x:c r="D3014" s="10" t="n">
        <x:v>560</x:v>
      </x:c>
      <x:c r="E3014" s="10" t="n">
        <x:v>1.106688</x:v>
      </x:c>
      <x:c r="F3014" s="10" t="n">
        <x:v>0.008192</x:v>
      </x:c>
      <x:c r="G3014" s="10" t="n">
        <x:f>SUM(D3014:F3014)</x:f>
        <x:v>561.11488</x:v>
      </x:c>
    </x:row>
    <x:row r="3015" ht="24" customHeight="1">
      <x:c r="A3015" s="10" t="str">
        <x:v>S05-09</x:v>
      </x:c>
      <x:c r="B3015" s="10" t="str">
        <x:v>A</x:v>
      </x:c>
      <x:c r="C3015" s="18" t="n">
        <x:v>0.8700001</x:v>
      </x:c>
      <x:c r="D3015" s="10" t="n">
        <x:v>560</x:v>
      </x:c>
      <x:c r="E3015" s="10" t="n">
        <x:v>1.106688019</x:v>
      </x:c>
      <x:c r="F3015" s="10" t="n">
        <x:v>0.008192</x:v>
      </x:c>
      <x:c r="G3015" s="10" t="n">
        <x:f>SUM(D3015:F3015)</x:f>
        <x:v>561.114880019</x:v>
      </x:c>
    </x:row>
    <x:row r="3016" ht="24" customHeight="1">
      <x:c r="A3016" s="10" t="str">
        <x:v>S05-09</x:v>
      </x:c>
      <x:c r="B3016" s="10" t="str">
        <x:v>A</x:v>
      </x:c>
      <x:c r="C3016" s="18" t="n">
        <x:v>0.9099999</x:v>
      </x:c>
      <x:c r="D3016" s="10" t="n">
        <x:v>560</x:v>
      </x:c>
      <x:c r="E3016" s="10" t="n">
        <x:v>1.114367981</x:v>
      </x:c>
      <x:c r="F3016" s="10" t="n">
        <x:v>0.008192</x:v>
      </x:c>
      <x:c r="G3016" s="10" t="n">
        <x:f>SUM(D3016:F3016)</x:f>
        <x:v>561.122559981</x:v>
      </x:c>
    </x:row>
    <x:row r="3017" ht="24" customHeight="1">
      <x:c r="A3017" s="10" t="str">
        <x:v>S05-09</x:v>
      </x:c>
      <x:c r="B3017" s="10" t="str">
        <x:v>A</x:v>
      </x:c>
      <x:c r="C3017" s="18" t="n">
        <x:v>0.91</x:v>
      </x:c>
      <x:c r="D3017" s="10" t="n">
        <x:v>560</x:v>
      </x:c>
      <x:c r="E3017" s="10" t="n">
        <x:v>1.114368</x:v>
      </x:c>
      <x:c r="F3017" s="10" t="n">
        <x:v>0.008192</x:v>
      </x:c>
      <x:c r="G3017" s="10" t="n">
        <x:f>SUM(D3017:F3017)</x:f>
        <x:v>561.12256</x:v>
      </x:c>
    </x:row>
    <x:row r="3018" ht="24" customHeight="1">
      <x:c r="A3018" s="10" t="str">
        <x:v>S05-09</x:v>
      </x:c>
      <x:c r="B3018" s="10" t="str">
        <x:v>A</x:v>
      </x:c>
      <x:c r="C3018" s="18" t="n">
        <x:v>0.9100001</x:v>
      </x:c>
      <x:c r="D3018" s="10" t="n">
        <x:v>560</x:v>
      </x:c>
      <x:c r="E3018" s="10" t="n">
        <x:v>1.114368014</x:v>
      </x:c>
      <x:c r="F3018" s="10" t="n">
        <x:v>0.008192</x:v>
      </x:c>
      <x:c r="G3018" s="10" t="n">
        <x:f>SUM(D3018:F3018)</x:f>
        <x:v>561.122560014</x:v>
      </x:c>
    </x:row>
    <x:row r="3019" ht="24" customHeight="1">
      <x:c r="A3019" s="10" t="str">
        <x:v>S05-09</x:v>
      </x:c>
      <x:c r="B3019" s="10" t="str">
        <x:v>A</x:v>
      </x:c>
      <x:c r="C3019" s="18" t="n">
        <x:v>3.7519999</x:v>
      </x:c>
      <x:c r="D3019" s="10" t="n">
        <x:v>560</x:v>
      </x:c>
      <x:c r="E3019" s="10" t="n">
        <x:v>1.523615986</x:v>
      </x:c>
      <x:c r="F3019" s="10" t="n">
        <x:v>0.008192</x:v>
      </x:c>
      <x:c r="G3019" s="10" t="n">
        <x:f>SUM(D3019:F3019)</x:f>
        <x:v>561.531807986</x:v>
      </x:c>
    </x:row>
    <x:row r="3020" ht="24" customHeight="1">
      <x:c r="A3020" s="10" t="str">
        <x:v>S05-09</x:v>
      </x:c>
      <x:c r="B3020" s="10" t="str">
        <x:v>A</x:v>
      </x:c>
      <x:c r="C3020" s="18" t="n">
        <x:v>3.752</x:v>
      </x:c>
      <x:c r="D3020" s="10" t="n">
        <x:v>560</x:v>
      </x:c>
      <x:c r="E3020" s="10" t="n">
        <x:v>1.523616</x:v>
      </x:c>
      <x:c r="F3020" s="10" t="n">
        <x:v>0.008192</x:v>
      </x:c>
      <x:c r="G3020" s="10" t="n">
        <x:f>SUM(D3020:F3020)</x:f>
        <x:v>561.531808</x:v>
      </x:c>
    </x:row>
    <x:row r="3021" ht="24" customHeight="1">
      <x:c r="A3021" s="10" t="str">
        <x:v>S05-09</x:v>
      </x:c>
      <x:c r="B3021" s="10" t="str">
        <x:v>A</x:v>
      </x:c>
      <x:c r="C3021" s="18" t="n">
        <x:v>3.7520001</x:v>
      </x:c>
      <x:c r="D3021" s="10" t="n">
        <x:v>560</x:v>
      </x:c>
      <x:c r="E3021" s="10" t="n">
        <x:v>1.523616019</x:v>
      </x:c>
      <x:c r="F3021" s="10" t="n">
        <x:v>0.004096</x:v>
      </x:c>
      <x:c r="G3021" s="10" t="n">
        <x:f>SUM(D3021:F3021)</x:f>
        <x:v>561.527712019</x:v>
      </x:c>
    </x:row>
    <x:row r="3022" ht="24" customHeight="1">
      <x:c r="A3022" s="10" t="str">
        <x:v>S05-09</x:v>
      </x:c>
      <x:c r="B3022" s="10" t="str">
        <x:v>A</x:v>
      </x:c>
      <x:c r="C3022" s="18" t="n">
        <x:v>3.7919999</x:v>
      </x:c>
      <x:c r="D3022" s="10" t="n">
        <x:v>560</x:v>
      </x:c>
      <x:c r="E3022" s="10" t="n">
        <x:v>1.531295981</x:v>
      </x:c>
      <x:c r="F3022" s="10" t="n">
        <x:v>0.004096</x:v>
      </x:c>
      <x:c r="G3022" s="10" t="n">
        <x:f>SUM(D3022:F3022)</x:f>
        <x:v>561.535391981</x:v>
      </x:c>
    </x:row>
    <x:row r="3023" ht="24" customHeight="1">
      <x:c r="A3023" s="10" t="str">
        <x:v>S05-09</x:v>
      </x:c>
      <x:c r="B3023" s="10" t="str">
        <x:v>A</x:v>
      </x:c>
      <x:c r="C3023" s="18" t="n">
        <x:v>3.792</x:v>
      </x:c>
      <x:c r="D3023" s="10" t="n">
        <x:v>560</x:v>
      </x:c>
      <x:c r="E3023" s="10" t="n">
        <x:v>1.531296</x:v>
      </x:c>
      <x:c r="F3023" s="10" t="n">
        <x:v>0.004096</x:v>
      </x:c>
      <x:c r="G3023" s="10" t="n">
        <x:f>SUM(D3023:F3023)</x:f>
        <x:v>561.535392</x:v>
      </x:c>
    </x:row>
    <x:row r="3024" ht="24" customHeight="1">
      <x:c r="A3024" s="10" t="str">
        <x:v>S05-09</x:v>
      </x:c>
      <x:c r="B3024" s="10" t="str">
        <x:v>A</x:v>
      </x:c>
      <x:c r="C3024" s="18" t="n">
        <x:v>3.7920001</x:v>
      </x:c>
      <x:c r="D3024" s="10" t="n">
        <x:v>560</x:v>
      </x:c>
      <x:c r="E3024" s="10" t="n">
        <x:v>1.531296014</x:v>
      </x:c>
      <x:c r="F3024" s="10" t="n">
        <x:v>0.004096</x:v>
      </x:c>
      <x:c r="G3024" s="10" t="n">
        <x:f>SUM(D3024:F3024)</x:f>
        <x:v>561.535392014</x:v>
      </x:c>
    </x:row>
    <x:row r="3025" ht="24" customHeight="1">
      <x:c r="A3025" s="10" t="str">
        <x:v>S05-09</x:v>
      </x:c>
      <x:c r="B3025" s="10" t="str">
        <x:v>A</x:v>
      </x:c>
      <x:c r="C3025" s="18" t="n">
        <x:v>4.635833233</x:v>
      </x:c>
      <x:c r="D3025" s="10" t="n">
        <x:v>560</x:v>
      </x:c>
      <x:c r="E3025" s="10" t="n">
        <x:v>1.652807986</x:v>
      </x:c>
      <x:c r="F3025" s="10" t="n">
        <x:v>0.004096</x:v>
      </x:c>
      <x:c r="G3025" s="10" t="n">
        <x:f>SUM(D3025:F3025)</x:f>
        <x:v>561.656903986</x:v>
      </x:c>
    </x:row>
    <x:row r="3026" ht="24" customHeight="1">
      <x:c r="A3026" s="10" t="str">
        <x:v>S05-09</x:v>
      </x:c>
      <x:c r="B3026" s="10" t="str">
        <x:v>A</x:v>
      </x:c>
      <x:c r="C3026" s="18" t="n">
        <x:v>4.635833333</x:v>
      </x:c>
      <x:c r="D3026" s="10" t="n">
        <x:v>560</x:v>
      </x:c>
      <x:c r="E3026" s="10" t="n">
        <x:v>1.652808</x:v>
      </x:c>
      <x:c r="F3026" s="10" t="n">
        <x:v>0.004096</x:v>
      </x:c>
      <x:c r="G3026" s="10" t="n">
        <x:f>SUM(D3026:F3026)</x:f>
        <x:v>561.656904</x:v>
      </x:c>
    </x:row>
    <x:row r="3027" ht="24" customHeight="1">
      <x:c r="A3027" s="10" t="str">
        <x:v>S05-09</x:v>
      </x:c>
      <x:c r="B3027" s="10" t="str">
        <x:v>A</x:v>
      </x:c>
      <x:c r="C3027" s="18" t="n">
        <x:v>4.635833433</x:v>
      </x:c>
      <x:c r="D3027" s="10" t="n">
        <x:v>560</x:v>
      </x:c>
      <x:c r="E3027" s="10" t="n">
        <x:v>1.652807995</x:v>
      </x:c>
      <x:c r="F3027" s="10" t="n">
        <x:v>0.004096</x:v>
      </x:c>
      <x:c r="G3027" s="10" t="n">
        <x:f>SUM(D3027:F3027)</x:f>
        <x:v>561.656903995</x:v>
      </x:c>
    </x:row>
    <x:row r="3028" ht="24" customHeight="1">
      <x:c r="A3028" s="10" t="str">
        <x:v>S05-09</x:v>
      </x:c>
      <x:c r="B3028" s="10" t="str">
        <x:v>A</x:v>
      </x:c>
      <x:c r="C3028" s="18" t="n">
        <x:v>39.069333233</x:v>
      </x:c>
      <x:c r="D3028" s="10" t="n">
        <x:v>560</x:v>
      </x:c>
      <x:c r="E3028" s="10" t="n">
        <x:v>5e-9</x:v>
      </x:c>
      <x:c r="F3028" s="10" t="n">
        <x:v>0.004096</x:v>
      </x:c>
      <x:c r="G3028" s="10" t="n">
        <x:f>SUM(D3028:F3028)</x:f>
        <x:v>560.004096005</x:v>
      </x:c>
    </x:row>
    <x:row r="3029" ht="24" customHeight="1">
      <x:c r="A3029" s="10" t="str">
        <x:v>S05-09</x:v>
      </x:c>
      <x:c r="B3029" s="10" t="str">
        <x:v>A</x:v>
      </x:c>
      <x:c r="C3029" s="18" t="n">
        <x:v>39.069333333</x:v>
      </x:c>
      <x:c r="D3029" s="10" t="n">
        <x:v>560</x:v>
      </x:c>
      <x:c r="E3029" s="10" t="n">
        <x:v>0</x:v>
      </x:c>
      <x:c r="F3029" s="10" t="n">
        <x:v>0.004096</x:v>
      </x:c>
      <x:c r="G3029" s="10" t="n">
        <x:f>SUM(D3029:F3029)</x:f>
        <x:v>560.004096</x:v>
      </x:c>
    </x:row>
    <x:row r="3030" ht="24" customHeight="1">
      <x:c r="A3030" s="10" t="str">
        <x:v>S05-09</x:v>
      </x:c>
      <x:c r="B3030" s="10" t="str">
        <x:v>A</x:v>
      </x:c>
      <x:c r="C3030" s="18" t="n">
        <x:v>39.069333433</x:v>
      </x:c>
      <x:c r="D3030" s="10" t="n">
        <x:v>560</x:v>
      </x:c>
      <x:c r="E3030" s="10" t="n">
        <x:v>0</x:v>
      </x:c>
      <x:c r="F3030" s="10" t="n">
        <x:v>0</x:v>
      </x:c>
      <x:c r="G3030" s="10" t="n">
        <x:f>SUM(D3030:F3030)</x:f>
        <x:v>560</x:v>
      </x:c>
    </x:row>
    <x:row r="3031" ht="24" customHeight="1">
      <x:c r="A3031" s="10" t="str">
        <x:v>S05-09</x:v>
      </x:c>
      <x:c r="B3031" s="10" t="str">
        <x:v>B</x:v>
      </x:c>
      <x:c r="C3031" s="18" t="n">
        <x:v>-6.0000001</x:v>
      </x:c>
      <x:c r="D3031" s="10" t="n">
        <x:v>560</x:v>
      </x:c>
      <x:c r="E3031" s="10" t="n">
        <x:v>0</x:v>
      </x:c>
      <x:c r="F3031" s="10" t="n">
        <x:v>0</x:v>
      </x:c>
      <x:c r="G3031" s="10" t="n">
        <x:f>SUM(D3031:F3031)</x:f>
        <x:v>560</x:v>
      </x:c>
    </x:row>
    <x:row r="3032" ht="24" customHeight="1">
      <x:c r="A3032" s="10" t="str">
        <x:v>S05-09</x:v>
      </x:c>
      <x:c r="B3032" s="10" t="str">
        <x:v>B</x:v>
      </x:c>
      <x:c r="C3032" s="18" t="n">
        <x:v>-6</x:v>
      </x:c>
      <x:c r="D3032" s="10" t="n">
        <x:v>560</x:v>
      </x:c>
      <x:c r="E3032" s="10" t="n">
        <x:v>0</x:v>
      </x:c>
      <x:c r="F3032" s="10" t="n">
        <x:v>0</x:v>
      </x:c>
      <x:c r="G3032" s="10" t="n">
        <x:f>SUM(D3032:F3032)</x:f>
        <x:v>560</x:v>
      </x:c>
    </x:row>
    <x:row r="3033" ht="24" customHeight="1">
      <x:c r="A3033" s="10" t="str">
        <x:v>S05-09</x:v>
      </x:c>
      <x:c r="B3033" s="10" t="str">
        <x:v>B</x:v>
      </x:c>
      <x:c r="C3033" s="18" t="n">
        <x:v>-5.9999999</x:v>
      </x:c>
      <x:c r="D3033" s="10" t="n">
        <x:v>560</x:v>
      </x:c>
      <x:c r="E3033" s="10" t="n">
        <x:v>0</x:v>
      </x:c>
      <x:c r="F3033" s="10" t="n">
        <x:v>0</x:v>
      </x:c>
      <x:c r="G3033" s="10" t="n">
        <x:f>SUM(D3033:F3033)</x:f>
        <x:v>560</x:v>
      </x:c>
    </x:row>
    <x:row r="3034" ht="24" customHeight="1">
      <x:c r="A3034" s="10" t="str">
        <x:v>S05-09</x:v>
      </x:c>
      <x:c r="B3034" s="10" t="str">
        <x:v>B</x:v>
      </x:c>
      <x:c r="C3034" s="18" t="n">
        <x:v>-4.8000001</x:v>
      </x:c>
      <x:c r="D3034" s="10" t="n">
        <x:v>560</x:v>
      </x:c>
      <x:c r="E3034" s="10" t="n">
        <x:v>0</x:v>
      </x:c>
      <x:c r="F3034" s="10" t="n">
        <x:v>0</x:v>
      </x:c>
      <x:c r="G3034" s="10" t="n">
        <x:f>SUM(D3034:F3034)</x:f>
        <x:v>560</x:v>
      </x:c>
    </x:row>
    <x:row r="3035" ht="24" customHeight="1">
      <x:c r="A3035" s="10" t="str">
        <x:v>S05-09</x:v>
      </x:c>
      <x:c r="B3035" s="10" t="str">
        <x:v>B</x:v>
      </x:c>
      <x:c r="C3035" s="18" t="n">
        <x:v>-4.8</x:v>
      </x:c>
      <x:c r="D3035" s="10" t="n">
        <x:v>560</x:v>
      </x:c>
      <x:c r="E3035" s="10" t="n">
        <x:v>0</x:v>
      </x:c>
      <x:c r="F3035" s="10" t="n">
        <x:v>0.004096</x:v>
      </x:c>
      <x:c r="G3035" s="10" t="n">
        <x:f>SUM(D3035:F3035)</x:f>
        <x:v>560.004096</x:v>
      </x:c>
    </x:row>
    <x:row r="3036" ht="24" customHeight="1">
      <x:c r="A3036" s="10" t="str">
        <x:v>S05-09</x:v>
      </x:c>
      <x:c r="B3036" s="10" t="str">
        <x:v>B</x:v>
      </x:c>
      <x:c r="C3036" s="18" t="n">
        <x:v>-4.7999999</x:v>
      </x:c>
      <x:c r="D3036" s="10" t="n">
        <x:v>560</x:v>
      </x:c>
      <x:c r="E3036" s="10" t="n">
        <x:v>0</x:v>
      </x:c>
      <x:c r="F3036" s="10" t="n">
        <x:v>0.004096</x:v>
      </x:c>
      <x:c r="G3036" s="10" t="n">
        <x:f>SUM(D3036:F3036)</x:f>
        <x:v>560.004096</x:v>
      </x:c>
    </x:row>
    <x:row r="3037" ht="24" customHeight="1">
      <x:c r="A3037" s="10" t="str">
        <x:v>S05-09</x:v>
      </x:c>
      <x:c r="B3037" s="10" t="str">
        <x:v>B</x:v>
      </x:c>
      <x:c r="C3037" s="18" t="n">
        <x:v>-4.324666767</x:v>
      </x:c>
      <x:c r="D3037" s="10" t="n">
        <x:v>560</x:v>
      </x:c>
      <x:c r="E3037" s="10" t="n">
        <x:v>0</x:v>
      </x:c>
      <x:c r="F3037" s="10" t="n">
        <x:v>0.004096</x:v>
      </x:c>
      <x:c r="G3037" s="10" t="n">
        <x:f>SUM(D3037:F3037)</x:f>
        <x:v>560.004096</x:v>
      </x:c>
    </x:row>
    <x:row r="3038" ht="24" customHeight="1">
      <x:c r="A3038" s="10" t="str">
        <x:v>S05-09</x:v>
      </x:c>
      <x:c r="B3038" s="10" t="str">
        <x:v>B</x:v>
      </x:c>
      <x:c r="C3038" s="18" t="n">
        <x:v>-4.324666667</x:v>
      </x:c>
      <x:c r="D3038" s="10" t="n">
        <x:v>560</x:v>
      </x:c>
      <x:c r="E3038" s="10" t="n">
        <x:v>0.0096</x:v>
      </x:c>
      <x:c r="F3038" s="10" t="n">
        <x:v>0.004096</x:v>
      </x:c>
      <x:c r="G3038" s="10" t="n">
        <x:f>SUM(D3038:F3038)</x:f>
        <x:v>560.013696</x:v>
      </x:c>
    </x:row>
    <x:row r="3039" ht="24" customHeight="1">
      <x:c r="A3039" s="10" t="str">
        <x:v>S05-09</x:v>
      </x:c>
      <x:c r="B3039" s="10" t="str">
        <x:v>B</x:v>
      </x:c>
      <x:c r="C3039" s="18" t="n">
        <x:v>-4.324666567</x:v>
      </x:c>
      <x:c r="D3039" s="10" t="n">
        <x:v>560</x:v>
      </x:c>
      <x:c r="E3039" s="10" t="n">
        <x:v>0.009600019</x:v>
      </x:c>
      <x:c r="F3039" s="10" t="n">
        <x:v>0.004096</x:v>
      </x:c>
      <x:c r="G3039" s="10" t="n">
        <x:f>SUM(D3039:F3039)</x:f>
        <x:v>560.013696019</x:v>
      </x:c>
    </x:row>
    <x:row r="3040" ht="24" customHeight="1">
      <x:c r="A3040" s="10" t="str">
        <x:v>S05-09</x:v>
      </x:c>
      <x:c r="B3040" s="10" t="str">
        <x:v>B</x:v>
      </x:c>
      <x:c r="C3040" s="18" t="n">
        <x:v>-4.284666767</x:v>
      </x:c>
      <x:c r="D3040" s="10" t="n">
        <x:v>560</x:v>
      </x:c>
      <x:c r="E3040" s="10" t="n">
        <x:v>0.017279981</x:v>
      </x:c>
      <x:c r="F3040" s="10" t="n">
        <x:v>0.004096</x:v>
      </x:c>
      <x:c r="G3040" s="10" t="n">
        <x:f>SUM(D3040:F3040)</x:f>
        <x:v>560.021375981</x:v>
      </x:c>
    </x:row>
    <x:row r="3041" ht="24" customHeight="1">
      <x:c r="A3041" s="10" t="str">
        <x:v>S05-09</x:v>
      </x:c>
      <x:c r="B3041" s="10" t="str">
        <x:v>B</x:v>
      </x:c>
      <x:c r="C3041" s="18" t="n">
        <x:v>-4.284666667</x:v>
      </x:c>
      <x:c r="D3041" s="10" t="n">
        <x:v>560</x:v>
      </x:c>
      <x:c r="E3041" s="10" t="n">
        <x:v>0.01728</x:v>
      </x:c>
      <x:c r="F3041" s="10" t="n">
        <x:v>0.004096</x:v>
      </x:c>
      <x:c r="G3041" s="10" t="n">
        <x:f>SUM(D3041:F3041)</x:f>
        <x:v>560.021376</x:v>
      </x:c>
    </x:row>
    <x:row r="3042" ht="24" customHeight="1">
      <x:c r="A3042" s="10" t="str">
        <x:v>S05-09</x:v>
      </x:c>
      <x:c r="B3042" s="10" t="str">
        <x:v>B</x:v>
      </x:c>
      <x:c r="C3042" s="18" t="n">
        <x:v>-4.284666567</x:v>
      </x:c>
      <x:c r="D3042" s="10" t="n">
        <x:v>560</x:v>
      </x:c>
      <x:c r="E3042" s="10" t="n">
        <x:v>0.017280014</x:v>
      </x:c>
      <x:c r="F3042" s="10" t="n">
        <x:v>0.004096</x:v>
      </x:c>
      <x:c r="G3042" s="10" t="n">
        <x:f>SUM(D3042:F3042)</x:f>
        <x:v>560.021376014</x:v>
      </x:c>
    </x:row>
    <x:row r="3043" ht="24" customHeight="1">
      <x:c r="A3043" s="10" t="str">
        <x:v>S05-09</x:v>
      </x:c>
      <x:c r="B3043" s="10" t="str">
        <x:v>B</x:v>
      </x:c>
      <x:c r="C3043" s="18" t="n">
        <x:v>-3.5200001</x:v>
      </x:c>
      <x:c r="D3043" s="10" t="n">
        <x:v>560</x:v>
      </x:c>
      <x:c r="E3043" s="10" t="n">
        <x:v>0.127391986</x:v>
      </x:c>
      <x:c r="F3043" s="10" t="n">
        <x:v>0.004096</x:v>
      </x:c>
      <x:c r="G3043" s="10" t="n">
        <x:f>SUM(D3043:F3043)</x:f>
        <x:v>560.131487986</x:v>
      </x:c>
    </x:row>
    <x:row r="3044" ht="24" customHeight="1">
      <x:c r="A3044" s="10" t="str">
        <x:v>S05-09</x:v>
      </x:c>
      <x:c r="B3044" s="10" t="str">
        <x:v>B</x:v>
      </x:c>
      <x:c r="C3044" s="18" t="n">
        <x:v>-3.52</x:v>
      </x:c>
      <x:c r="D3044" s="10" t="n">
        <x:v>560</x:v>
      </x:c>
      <x:c r="E3044" s="10" t="n">
        <x:v>0.127392</x:v>
      </x:c>
      <x:c r="F3044" s="10" t="n">
        <x:v>0.004096</x:v>
      </x:c>
      <x:c r="G3044" s="10" t="n">
        <x:f>SUM(D3044:F3044)</x:f>
        <x:v>560.131488</x:v>
      </x:c>
    </x:row>
    <x:row r="3045" ht="24" customHeight="1">
      <x:c r="A3045" s="10" t="str">
        <x:v>S05-09</x:v>
      </x:c>
      <x:c r="B3045" s="10" t="str">
        <x:v>B</x:v>
      </x:c>
      <x:c r="C3045" s="18" t="n">
        <x:v>-3.5199999</x:v>
      </x:c>
      <x:c r="D3045" s="10" t="n">
        <x:v>560</x:v>
      </x:c>
      <x:c r="E3045" s="10" t="n">
        <x:v>0.127392019</x:v>
      </x:c>
      <x:c r="F3045" s="10" t="n">
        <x:v>0.004096</x:v>
      </x:c>
      <x:c r="G3045" s="10" t="n">
        <x:f>SUM(D3045:F3045)</x:f>
        <x:v>560.131488019</x:v>
      </x:c>
    </x:row>
    <x:row r="3046" ht="24" customHeight="1">
      <x:c r="A3046" s="10" t="str">
        <x:v>S05-09</x:v>
      </x:c>
      <x:c r="B3046" s="10" t="str">
        <x:v>B</x:v>
      </x:c>
      <x:c r="C3046" s="18" t="n">
        <x:v>-1e-7</x:v>
      </x:c>
      <x:c r="D3046" s="10" t="n">
        <x:v>560</x:v>
      </x:c>
      <x:c r="E3046" s="10" t="n">
        <x:v>0.803231981</x:v>
      </x:c>
      <x:c r="F3046" s="10" t="n">
        <x:v>0.004096</x:v>
      </x:c>
      <x:c r="G3046" s="10" t="n">
        <x:f>SUM(D3046:F3046)</x:f>
        <x:v>560.807327981</x:v>
      </x:c>
    </x:row>
    <x:row r="3047" ht="24" customHeight="1">
      <x:c r="A3047" s="10" t="str">
        <x:v>S05-09</x:v>
      </x:c>
      <x:c r="B3047" s="10" t="str">
        <x:v>B</x:v>
      </x:c>
      <x:c r="C3047" s="18" t="n">
        <x:v>0</x:v>
      </x:c>
      <x:c r="D3047" s="10" t="n">
        <x:v>560</x:v>
      </x:c>
      <x:c r="E3047" s="10" t="n">
        <x:v>0.803232</x:v>
      </x:c>
      <x:c r="F3047" s="10" t="n">
        <x:v>0.004096</x:v>
      </x:c>
      <x:c r="G3047" s="10" t="n">
        <x:f>SUM(D3047:F3047)</x:f>
        <x:v>560.807328</x:v>
      </x:c>
    </x:row>
    <x:row r="3048" ht="24" customHeight="1">
      <x:c r="A3048" s="10" t="str">
        <x:v>S05-09</x:v>
      </x:c>
      <x:c r="B3048" s="10" t="str">
        <x:v>B</x:v>
      </x:c>
      <x:c r="C3048" s="18" t="n">
        <x:v>1e-7</x:v>
      </x:c>
      <x:c r="D3048" s="10" t="n">
        <x:v>560</x:v>
      </x:c>
      <x:c r="E3048" s="10" t="n">
        <x:v>0.803232019</x:v>
      </x:c>
      <x:c r="F3048" s="10" t="n">
        <x:v>0.004096</x:v>
      </x:c>
      <x:c r="G3048" s="10" t="n">
        <x:f>SUM(D3048:F3048)</x:f>
        <x:v>560.807328019</x:v>
      </x:c>
    </x:row>
    <x:row r="3049" ht="24" customHeight="1">
      <x:c r="A3049" s="10" t="str">
        <x:v>S05-09</x:v>
      </x:c>
      <x:c r="B3049" s="10" t="str">
        <x:v>B</x:v>
      </x:c>
      <x:c r="C3049" s="18" t="n">
        <x:v>0.8699999</x:v>
      </x:c>
      <x:c r="D3049" s="10" t="n">
        <x:v>560</x:v>
      </x:c>
      <x:c r="E3049" s="10" t="n">
        <x:v>0.970271981</x:v>
      </x:c>
      <x:c r="F3049" s="10" t="n">
        <x:v>0.004096</x:v>
      </x:c>
      <x:c r="G3049" s="10" t="n">
        <x:f>SUM(D3049:F3049)</x:f>
        <x:v>560.974367981</x:v>
      </x:c>
    </x:row>
    <x:row r="3050" ht="24" customHeight="1">
      <x:c r="A3050" s="10" t="str">
        <x:v>S05-09</x:v>
      </x:c>
      <x:c r="B3050" s="10" t="str">
        <x:v>B</x:v>
      </x:c>
      <x:c r="C3050" s="18" t="n">
        <x:v>0.87</x:v>
      </x:c>
      <x:c r="D3050" s="10" t="n">
        <x:v>560</x:v>
      </x:c>
      <x:c r="E3050" s="10" t="n">
        <x:v>0.970272</x:v>
      </x:c>
      <x:c r="F3050" s="10" t="n">
        <x:v>0.008192</x:v>
      </x:c>
      <x:c r="G3050" s="10" t="n">
        <x:f>SUM(D3050:F3050)</x:f>
        <x:v>560.978464</x:v>
      </x:c>
    </x:row>
    <x:row r="3051" ht="24" customHeight="1">
      <x:c r="A3051" s="10" t="str">
        <x:v>S05-09</x:v>
      </x:c>
      <x:c r="B3051" s="10" t="str">
        <x:v>B</x:v>
      </x:c>
      <x:c r="C3051" s="18" t="n">
        <x:v>0.8700001</x:v>
      </x:c>
      <x:c r="D3051" s="10" t="n">
        <x:v>560</x:v>
      </x:c>
      <x:c r="E3051" s="10" t="n">
        <x:v>0.970272019</x:v>
      </x:c>
      <x:c r="F3051" s="10" t="n">
        <x:v>0.008192</x:v>
      </x:c>
      <x:c r="G3051" s="10" t="n">
        <x:f>SUM(D3051:F3051)</x:f>
        <x:v>560.9784640190001</x:v>
      </x:c>
    </x:row>
    <x:row r="3052" ht="24" customHeight="1">
      <x:c r="A3052" s="10" t="str">
        <x:v>S05-09</x:v>
      </x:c>
      <x:c r="B3052" s="10" t="str">
        <x:v>B</x:v>
      </x:c>
      <x:c r="C3052" s="18" t="n">
        <x:v>0.9699999</x:v>
      </x:c>
      <x:c r="D3052" s="10" t="n">
        <x:v>560</x:v>
      </x:c>
      <x:c r="E3052" s="10" t="n">
        <x:v>0.989471981</x:v>
      </x:c>
      <x:c r="F3052" s="10" t="n">
        <x:v>0.008192</x:v>
      </x:c>
      <x:c r="G3052" s="10" t="n">
        <x:f>SUM(D3052:F3052)</x:f>
        <x:v>560.997663981</x:v>
      </x:c>
    </x:row>
    <x:row r="3053" ht="24" customHeight="1">
      <x:c r="A3053" s="10" t="str">
        <x:v>S05-09</x:v>
      </x:c>
      <x:c r="B3053" s="10" t="str">
        <x:v>B</x:v>
      </x:c>
      <x:c r="C3053" s="18" t="n">
        <x:v>0.97</x:v>
      </x:c>
      <x:c r="D3053" s="10" t="n">
        <x:v>560</x:v>
      </x:c>
      <x:c r="E3053" s="10" t="n">
        <x:v>0.989472</x:v>
      </x:c>
      <x:c r="F3053" s="10" t="n">
        <x:v>0.008192</x:v>
      </x:c>
      <x:c r="G3053" s="10" t="n">
        <x:f>SUM(D3053:F3053)</x:f>
        <x:v>560.997664</x:v>
      </x:c>
    </x:row>
    <x:row r="3054" ht="24" customHeight="1">
      <x:c r="A3054" s="10" t="str">
        <x:v>S05-09</x:v>
      </x:c>
      <x:c r="B3054" s="10" t="str">
        <x:v>B</x:v>
      </x:c>
      <x:c r="C3054" s="18" t="n">
        <x:v>0.9700001</x:v>
      </x:c>
      <x:c r="D3054" s="10" t="n">
        <x:v>560</x:v>
      </x:c>
      <x:c r="E3054" s="10" t="n">
        <x:v>0.989472</x:v>
      </x:c>
      <x:c r="F3054" s="10" t="n">
        <x:v>0.008192</x:v>
      </x:c>
      <x:c r="G3054" s="10" t="n">
        <x:f>SUM(D3054:F3054)</x:f>
        <x:v>560.997664</x:v>
      </x:c>
    </x:row>
    <x:row r="3055" ht="24" customHeight="1">
      <x:c r="A3055" s="10" t="str">
        <x:v>S05-09</x:v>
      </x:c>
      <x:c r="B3055" s="10" t="str">
        <x:v>B</x:v>
      </x:c>
      <x:c r="C3055" s="18" t="n">
        <x:v>1.2709999</x:v>
      </x:c>
      <x:c r="D3055" s="10" t="n">
        <x:v>560</x:v>
      </x:c>
      <x:c r="E3055" s="10" t="n">
        <x:v>0.989472</x:v>
      </x:c>
      <x:c r="F3055" s="10" t="n">
        <x:v>0.008192</x:v>
      </x:c>
      <x:c r="G3055" s="10" t="n">
        <x:f>SUM(D3055:F3055)</x:f>
        <x:v>560.997664</x:v>
      </x:c>
    </x:row>
    <x:row r="3056" ht="24" customHeight="1">
      <x:c r="A3056" s="10" t="str">
        <x:v>S05-09</x:v>
      </x:c>
      <x:c r="B3056" s="10" t="str">
        <x:v>B</x:v>
      </x:c>
      <x:c r="C3056" s="18" t="n">
        <x:v>1.271</x:v>
      </x:c>
      <x:c r="D3056" s="10" t="n">
        <x:v>560</x:v>
      </x:c>
      <x:c r="E3056" s="10" t="n">
        <x:v>0.999072</x:v>
      </x:c>
      <x:c r="F3056" s="10" t="n">
        <x:v>0.008192</x:v>
      </x:c>
      <x:c r="G3056" s="10" t="n">
        <x:f>SUM(D3056:F3056)</x:f>
        <x:v>561.007264</x:v>
      </x:c>
    </x:row>
    <x:row r="3057" ht="24" customHeight="1">
      <x:c r="A3057" s="10" t="str">
        <x:v>S05-09</x:v>
      </x:c>
      <x:c r="B3057" s="10" t="str">
        <x:v>B</x:v>
      </x:c>
      <x:c r="C3057" s="18" t="n">
        <x:v>1.2710001</x:v>
      </x:c>
      <x:c r="D3057" s="10" t="n">
        <x:v>560</x:v>
      </x:c>
      <x:c r="E3057" s="10" t="n">
        <x:v>0.999072019</x:v>
      </x:c>
      <x:c r="F3057" s="10" t="n">
        <x:v>0.008192</x:v>
      </x:c>
      <x:c r="G3057" s="10" t="n">
        <x:f>SUM(D3057:F3057)</x:f>
        <x:v>561.007264019</x:v>
      </x:c>
    </x:row>
    <x:row r="3058" ht="24" customHeight="1">
      <x:c r="A3058" s="10" t="str">
        <x:v>S05-09</x:v>
      </x:c>
      <x:c r="B3058" s="10" t="str">
        <x:v>B</x:v>
      </x:c>
      <x:c r="C3058" s="18" t="n">
        <x:v>1.3109999</x:v>
      </x:c>
      <x:c r="D3058" s="10" t="n">
        <x:v>560</x:v>
      </x:c>
      <x:c r="E3058" s="10" t="n">
        <x:v>1.006751981</x:v>
      </x:c>
      <x:c r="F3058" s="10" t="n">
        <x:v>0.008192</x:v>
      </x:c>
      <x:c r="G3058" s="10" t="n">
        <x:f>SUM(D3058:F3058)</x:f>
        <x:v>561.014943981</x:v>
      </x:c>
    </x:row>
    <x:row r="3059" ht="24" customHeight="1">
      <x:c r="A3059" s="10" t="str">
        <x:v>S05-09</x:v>
      </x:c>
      <x:c r="B3059" s="10" t="str">
        <x:v>B</x:v>
      </x:c>
      <x:c r="C3059" s="18" t="n">
        <x:v>1.311</x:v>
      </x:c>
      <x:c r="D3059" s="10" t="n">
        <x:v>560</x:v>
      </x:c>
      <x:c r="E3059" s="10" t="n">
        <x:v>1.006752</x:v>
      </x:c>
      <x:c r="F3059" s="10" t="n">
        <x:v>0.008192</x:v>
      </x:c>
      <x:c r="G3059" s="10" t="n">
        <x:f>SUM(D3059:F3059)</x:f>
        <x:v>561.014944</x:v>
      </x:c>
    </x:row>
    <x:row r="3060" ht="24" customHeight="1">
      <x:c r="A3060" s="10" t="str">
        <x:v>S05-09</x:v>
      </x:c>
      <x:c r="B3060" s="10" t="str">
        <x:v>B</x:v>
      </x:c>
      <x:c r="C3060" s="18" t="n">
        <x:v>1.3110001</x:v>
      </x:c>
      <x:c r="D3060" s="10" t="n">
        <x:v>560</x:v>
      </x:c>
      <x:c r="E3060" s="10" t="n">
        <x:v>1.006752014</x:v>
      </x:c>
      <x:c r="F3060" s="10" t="n">
        <x:v>0.008192</x:v>
      </x:c>
      <x:c r="G3060" s="10" t="n">
        <x:f>SUM(D3060:F3060)</x:f>
        <x:v>561.014944014</x:v>
      </x:c>
    </x:row>
    <x:row r="3061" ht="24" customHeight="1">
      <x:c r="A3061" s="10" t="str">
        <x:v>S05-09</x:v>
      </x:c>
      <x:c r="B3061" s="10" t="str">
        <x:v>B</x:v>
      </x:c>
      <x:c r="C3061" s="18" t="n">
        <x:v>1.9314999</x:v>
      </x:c>
      <x:c r="D3061" s="10" t="n">
        <x:v>560</x:v>
      </x:c>
      <x:c r="E3061" s="10" t="n">
        <x:v>1.096103986</x:v>
      </x:c>
      <x:c r="F3061" s="10" t="n">
        <x:v>0.008192</x:v>
      </x:c>
      <x:c r="G3061" s="10" t="n">
        <x:f>SUM(D3061:F3061)</x:f>
        <x:v>561.104295986</x:v>
      </x:c>
    </x:row>
    <x:row r="3062" ht="24" customHeight="1">
      <x:c r="A3062" s="10" t="str">
        <x:v>S05-09</x:v>
      </x:c>
      <x:c r="B3062" s="10" t="str">
        <x:v>B</x:v>
      </x:c>
      <x:c r="C3062" s="18" t="n">
        <x:v>1.9315</x:v>
      </x:c>
      <x:c r="D3062" s="10" t="n">
        <x:v>560</x:v>
      </x:c>
      <x:c r="E3062" s="10" t="n">
        <x:v>1.096104</x:v>
      </x:c>
      <x:c r="F3062" s="10" t="n">
        <x:v>0.008192</x:v>
      </x:c>
      <x:c r="G3062" s="10" t="n">
        <x:f>SUM(D3062:F3062)</x:f>
        <x:v>561.104296</x:v>
      </x:c>
    </x:row>
    <x:row r="3063" ht="24" customHeight="1">
      <x:c r="A3063" s="10" t="str">
        <x:v>S05-09</x:v>
      </x:c>
      <x:c r="B3063" s="10" t="str">
        <x:v>B</x:v>
      </x:c>
      <x:c r="C3063" s="18" t="n">
        <x:v>1.9315001</x:v>
      </x:c>
      <x:c r="D3063" s="10" t="n">
        <x:v>560</x:v>
      </x:c>
      <x:c r="E3063" s="10" t="n">
        <x:v>1.096103995</x:v>
      </x:c>
      <x:c r="F3063" s="10" t="n">
        <x:v>0.008192</x:v>
      </x:c>
      <x:c r="G3063" s="10" t="n">
        <x:f>SUM(D3063:F3063)</x:f>
        <x:v>561.104295995</x:v>
      </x:c>
    </x:row>
    <x:row r="3064" ht="24" customHeight="1">
      <x:c r="A3064" s="10" t="str">
        <x:v>S05-09</x:v>
      </x:c>
      <x:c r="B3064" s="10" t="str">
        <x:v>B</x:v>
      </x:c>
      <x:c r="C3064" s="18" t="n">
        <x:v>4.1529999</x:v>
      </x:c>
      <x:c r="D3064" s="10" t="n">
        <x:v>560</x:v>
      </x:c>
      <x:c r="E3064" s="10" t="n">
        <x:v>0.989472005</x:v>
      </x:c>
      <x:c r="F3064" s="10" t="n">
        <x:v>0.008192</x:v>
      </x:c>
      <x:c r="G3064" s="10" t="n">
        <x:f>SUM(D3064:F3064)</x:f>
        <x:v>560.997664005</x:v>
      </x:c>
    </x:row>
    <x:row r="3065" ht="24" customHeight="1">
      <x:c r="A3065" s="10" t="str">
        <x:v>S05-09</x:v>
      </x:c>
      <x:c r="B3065" s="10" t="str">
        <x:v>B</x:v>
      </x:c>
      <x:c r="C3065" s="18" t="n">
        <x:v>4.153</x:v>
      </x:c>
      <x:c r="D3065" s="10" t="n">
        <x:v>560</x:v>
      </x:c>
      <x:c r="E3065" s="10" t="n">
        <x:v>0.989472</x:v>
      </x:c>
      <x:c r="F3065" s="10" t="n">
        <x:v>0.012288</x:v>
      </x:c>
      <x:c r="G3065" s="10" t="n">
        <x:f>SUM(D3065:F3065)</x:f>
        <x:v>561.00176</x:v>
      </x:c>
    </x:row>
    <x:row r="3066" ht="24" customHeight="1">
      <x:c r="A3066" s="10" t="str">
        <x:v>S05-09</x:v>
      </x:c>
      <x:c r="B3066" s="10" t="str">
        <x:v>B</x:v>
      </x:c>
      <x:c r="C3066" s="18" t="n">
        <x:v>4.1530001</x:v>
      </x:c>
      <x:c r="D3066" s="10" t="n">
        <x:v>560</x:v>
      </x:c>
      <x:c r="E3066" s="10" t="n">
        <x:v>0.989472</x:v>
      </x:c>
      <x:c r="F3066" s="10" t="n">
        <x:v>0.008192</x:v>
      </x:c>
      <x:c r="G3066" s="10" t="n">
        <x:f>SUM(D3066:F3066)</x:f>
        <x:v>560.997664</x:v>
      </x:c>
    </x:row>
    <x:row r="3067" ht="24" customHeight="1">
      <x:c r="A3067" s="10" t="str">
        <x:v>S05-09</x:v>
      </x:c>
      <x:c r="B3067" s="10" t="str">
        <x:v>B</x:v>
      </x:c>
      <x:c r="C3067" s="18" t="n">
        <x:v>4.1929999</x:v>
      </x:c>
      <x:c r="D3067" s="10" t="n">
        <x:v>560</x:v>
      </x:c>
      <x:c r="E3067" s="10" t="n">
        <x:v>0.989472</x:v>
      </x:c>
      <x:c r="F3067" s="10" t="n">
        <x:v>0.008192</x:v>
      </x:c>
      <x:c r="G3067" s="10" t="n">
        <x:f>SUM(D3067:F3067)</x:f>
        <x:v>560.997664</x:v>
      </x:c>
    </x:row>
    <x:row r="3068" ht="24" customHeight="1">
      <x:c r="A3068" s="10" t="str">
        <x:v>S05-09</x:v>
      </x:c>
      <x:c r="B3068" s="10" t="str">
        <x:v>B</x:v>
      </x:c>
      <x:c r="C3068" s="18" t="n">
        <x:v>4.193</x:v>
      </x:c>
      <x:c r="D3068" s="10" t="n">
        <x:v>560</x:v>
      </x:c>
      <x:c r="E3068" s="10" t="n">
        <x:v>0.989472</x:v>
      </x:c>
      <x:c r="F3068" s="10" t="n">
        <x:v>0.008192</x:v>
      </x:c>
      <x:c r="G3068" s="10" t="n">
        <x:f>SUM(D3068:F3068)</x:f>
        <x:v>560.997664</x:v>
      </x:c>
    </x:row>
    <x:row r="3069" ht="24" customHeight="1">
      <x:c r="A3069" s="10" t="str">
        <x:v>S05-09</x:v>
      </x:c>
      <x:c r="B3069" s="10" t="str">
        <x:v>B</x:v>
      </x:c>
      <x:c r="C3069" s="18" t="n">
        <x:v>4.1930001</x:v>
      </x:c>
      <x:c r="D3069" s="10" t="n">
        <x:v>560</x:v>
      </x:c>
      <x:c r="E3069" s="10" t="n">
        <x:v>0.989471995</x:v>
      </x:c>
      <x:c r="F3069" s="10" t="n">
        <x:v>0.008192</x:v>
      </x:c>
      <x:c r="G3069" s="10" t="n">
        <x:f>SUM(D3069:F3069)</x:f>
        <x:v>560.997663995</x:v>
      </x:c>
    </x:row>
    <x:row r="3070" ht="24" customHeight="1">
      <x:c r="A3070" s="10" t="str">
        <x:v>S05-09</x:v>
      </x:c>
      <x:c r="B3070" s="10" t="str">
        <x:v>B</x:v>
      </x:c>
      <x:c r="C3070" s="18" t="n">
        <x:v>4.668333233</x:v>
      </x:c>
      <x:c r="D3070" s="10" t="n">
        <x:v>560</x:v>
      </x:c>
      <x:c r="E3070" s="10" t="n">
        <x:v>0.966656005</x:v>
      </x:c>
      <x:c r="F3070" s="10" t="n">
        <x:v>0.008192</x:v>
      </x:c>
      <x:c r="G3070" s="10" t="n">
        <x:f>SUM(D3070:F3070)</x:f>
        <x:v>560.974848005</x:v>
      </x:c>
    </x:row>
    <x:row r="3071" ht="24" customHeight="1">
      <x:c r="A3071" s="10" t="str">
        <x:v>S05-09</x:v>
      </x:c>
      <x:c r="B3071" s="10" t="str">
        <x:v>B</x:v>
      </x:c>
      <x:c r="C3071" s="18" t="n">
        <x:v>4.668333333</x:v>
      </x:c>
      <x:c r="D3071" s="10" t="n">
        <x:v>560</x:v>
      </x:c>
      <x:c r="E3071" s="10" t="n">
        <x:v>0.976256</x:v>
      </x:c>
      <x:c r="F3071" s="10" t="n">
        <x:v>0.008192</x:v>
      </x:c>
      <x:c r="G3071" s="10" t="n">
        <x:f>SUM(D3071:F3071)</x:f>
        <x:v>560.984448</x:v>
      </x:c>
    </x:row>
    <x:row r="3072" ht="24" customHeight="1">
      <x:c r="A3072" s="10" t="str">
        <x:v>S05-09</x:v>
      </x:c>
      <x:c r="B3072" s="10" t="str">
        <x:v>B</x:v>
      </x:c>
      <x:c r="C3072" s="18" t="n">
        <x:v>4.668333433</x:v>
      </x:c>
      <x:c r="D3072" s="10" t="n">
        <x:v>560</x:v>
      </x:c>
      <x:c r="E3072" s="10" t="n">
        <x:v>0.976256014</x:v>
      </x:c>
      <x:c r="F3072" s="10" t="n">
        <x:v>0.008192</x:v>
      </x:c>
      <x:c r="G3072" s="10" t="n">
        <x:f>SUM(D3072:F3072)</x:f>
        <x:v>560.984448014</x:v>
      </x:c>
    </x:row>
    <x:row r="3073" ht="24" customHeight="1">
      <x:c r="A3073" s="10" t="str">
        <x:v>S05-09</x:v>
      </x:c>
      <x:c r="B3073" s="10" t="str">
        <x:v>B</x:v>
      </x:c>
      <x:c r="C3073" s="18" t="n">
        <x:v>8.284166566</x:v>
      </x:c>
      <x:c r="D3073" s="10" t="n">
        <x:v>560</x:v>
      </x:c>
      <x:c r="E3073" s="10" t="n">
        <x:v>1.496935986</x:v>
      </x:c>
      <x:c r="F3073" s="10" t="n">
        <x:v>0.008192</x:v>
      </x:c>
      <x:c r="G3073" s="10" t="n">
        <x:f>SUM(D3073:F3073)</x:f>
        <x:v>561.505127986</x:v>
      </x:c>
    </x:row>
    <x:row r="3074" ht="24" customHeight="1">
      <x:c r="A3074" s="10" t="str">
        <x:v>S05-09</x:v>
      </x:c>
      <x:c r="B3074" s="10" t="str">
        <x:v>B</x:v>
      </x:c>
      <x:c r="C3074" s="18" t="n">
        <x:v>8.284166666</x:v>
      </x:c>
      <x:c r="D3074" s="10" t="n">
        <x:v>560</x:v>
      </x:c>
      <x:c r="E3074" s="10" t="n">
        <x:v>1.496936</x:v>
      </x:c>
      <x:c r="F3074" s="10" t="n">
        <x:v>0.008192</x:v>
      </x:c>
      <x:c r="G3074" s="10" t="n">
        <x:f>SUM(D3074:F3074)</x:f>
        <x:v>561.505128</x:v>
      </x:c>
    </x:row>
    <x:row r="3075" ht="24" customHeight="1">
      <x:c r="A3075" s="10" t="str">
        <x:v>S05-09</x:v>
      </x:c>
      <x:c r="B3075" s="10" t="str">
        <x:v>B</x:v>
      </x:c>
      <x:c r="C3075" s="18" t="n">
        <x:v>8.284166766</x:v>
      </x:c>
      <x:c r="D3075" s="10" t="n">
        <x:v>560</x:v>
      </x:c>
      <x:c r="E3075" s="10" t="n">
        <x:v>1.496935995</x:v>
      </x:c>
      <x:c r="F3075" s="10" t="n">
        <x:v>0.008192</x:v>
      </x:c>
      <x:c r="G3075" s="10" t="n">
        <x:f>SUM(D3075:F3075)</x:f>
        <x:v>561.505127995</x:v>
      </x:c>
    </x:row>
    <x:row r="3076" ht="24" customHeight="1">
      <x:c r="A3076" s="10" t="str">
        <x:v>S05-09</x:v>
      </x:c>
      <x:c r="B3076" s="10" t="str">
        <x:v>B</x:v>
      </x:c>
      <x:c r="C3076" s="18" t="n">
        <x:v>24.806999901</x:v>
      </x:c>
      <x:c r="D3076" s="10" t="n">
        <x:v>560</x:v>
      </x:c>
      <x:c r="E3076" s="10" t="n">
        <x:v>0.703840005</x:v>
      </x:c>
      <x:c r="F3076" s="10" t="n">
        <x:v>0.008192</x:v>
      </x:c>
      <x:c r="G3076" s="10" t="n">
        <x:f>SUM(D3076:F3076)</x:f>
        <x:v>560.712032005</x:v>
      </x:c>
    </x:row>
    <x:row r="3077" ht="24" customHeight="1">
      <x:c r="A3077" s="10" t="str">
        <x:v>S05-09</x:v>
      </x:c>
      <x:c r="B3077" s="10" t="str">
        <x:v>B</x:v>
      </x:c>
      <x:c r="C3077" s="18" t="n">
        <x:v>24.807000001</x:v>
      </x:c>
      <x:c r="D3077" s="10" t="n">
        <x:v>560</x:v>
      </x:c>
      <x:c r="E3077" s="10" t="n">
        <x:v>0.70384</x:v>
      </x:c>
      <x:c r="F3077" s="10" t="n">
        <x:v>0.008192</x:v>
      </x:c>
      <x:c r="G3077" s="10" t="n">
        <x:f>SUM(D3077:F3077)</x:f>
        <x:v>560.712032</x:v>
      </x:c>
    </x:row>
    <x:row r="3078" ht="24" customHeight="1">
      <x:c r="A3078" s="10" t="str">
        <x:v>S05-09</x:v>
      </x:c>
      <x:c r="B3078" s="10" t="str">
        <x:v>B</x:v>
      </x:c>
      <x:c r="C3078" s="18" t="n">
        <x:v>24.807000101</x:v>
      </x:c>
      <x:c r="D3078" s="10" t="n">
        <x:v>560</x:v>
      </x:c>
      <x:c r="E3078" s="10" t="n">
        <x:v>0.70384</x:v>
      </x:c>
      <x:c r="F3078" s="10" t="n">
        <x:v>0.004096</x:v>
      </x:c>
      <x:c r="G3078" s="10" t="n">
        <x:f>SUM(D3078:F3078)</x:f>
        <x:v>560.707936</x:v>
      </x:c>
    </x:row>
    <x:row r="3079" ht="24" customHeight="1">
      <x:c r="A3079" s="10" t="str">
        <x:v>S05-09</x:v>
      </x:c>
      <x:c r="B3079" s="10" t="str">
        <x:v>B</x:v>
      </x:c>
      <x:c r="C3079" s="18" t="n">
        <x:v>24.846999901</x:v>
      </x:c>
      <x:c r="D3079" s="10" t="n">
        <x:v>560</x:v>
      </x:c>
      <x:c r="E3079" s="10" t="n">
        <x:v>0.70384</x:v>
      </x:c>
      <x:c r="F3079" s="10" t="n">
        <x:v>0.004096</x:v>
      </x:c>
      <x:c r="G3079" s="10" t="n">
        <x:f>SUM(D3079:F3079)</x:f>
        <x:v>560.707936</x:v>
      </x:c>
    </x:row>
    <x:row r="3080" ht="24" customHeight="1">
      <x:c r="A3080" s="10" t="str">
        <x:v>S05-09</x:v>
      </x:c>
      <x:c r="B3080" s="10" t="str">
        <x:v>B</x:v>
      </x:c>
      <x:c r="C3080" s="18" t="n">
        <x:v>24.847000001</x:v>
      </x:c>
      <x:c r="D3080" s="10" t="n">
        <x:v>560</x:v>
      </x:c>
      <x:c r="E3080" s="10" t="n">
        <x:v>0.70384</x:v>
      </x:c>
      <x:c r="F3080" s="10" t="n">
        <x:v>0.004096</x:v>
      </x:c>
      <x:c r="G3080" s="10" t="n">
        <x:f>SUM(D3080:F3080)</x:f>
        <x:v>560.707936</x:v>
      </x:c>
    </x:row>
    <x:row r="3081" ht="24" customHeight="1">
      <x:c r="A3081" s="10" t="str">
        <x:v>S05-09</x:v>
      </x:c>
      <x:c r="B3081" s="10" t="str">
        <x:v>B</x:v>
      </x:c>
      <x:c r="C3081" s="18" t="n">
        <x:v>24.847000101</x:v>
      </x:c>
      <x:c r="D3081" s="10" t="n">
        <x:v>560</x:v>
      </x:c>
      <x:c r="E3081" s="10" t="n">
        <x:v>0.703839995</x:v>
      </x:c>
      <x:c r="F3081" s="10" t="n">
        <x:v>0.004096</x:v>
      </x:c>
      <x:c r="G3081" s="10" t="n">
        <x:f>SUM(D3081:F3081)</x:f>
        <x:v>560.707935995</x:v>
      </x:c>
    </x:row>
    <x:row r="3082" ht="24" customHeight="1">
      <x:c r="A3082" s="10" t="str">
        <x:v>S05-09</x:v>
      </x:c>
      <x:c r="B3082" s="10" t="str">
        <x:v>B</x:v>
      </x:c>
      <x:c r="C3082" s="18" t="n">
        <x:v>39.510333233</x:v>
      </x:c>
      <x:c r="D3082" s="10" t="n">
        <x:v>560</x:v>
      </x:c>
      <x:c r="E3082" s="10" t="n">
        <x:v>5e-9</x:v>
      </x:c>
      <x:c r="F3082" s="10" t="n">
        <x:v>0.004096</x:v>
      </x:c>
      <x:c r="G3082" s="10" t="n">
        <x:f>SUM(D3082:F3082)</x:f>
        <x:v>560.004096005</x:v>
      </x:c>
    </x:row>
    <x:row r="3083" ht="24" customHeight="1">
      <x:c r="A3083" s="10" t="str">
        <x:v>S05-09</x:v>
      </x:c>
      <x:c r="B3083" s="10" t="str">
        <x:v>B</x:v>
      </x:c>
      <x:c r="C3083" s="18" t="n">
        <x:v>39.510333333</x:v>
      </x:c>
      <x:c r="D3083" s="10" t="n">
        <x:v>560</x:v>
      </x:c>
      <x:c r="E3083" s="10" t="n">
        <x:v>0</x:v>
      </x:c>
      <x:c r="F3083" s="10" t="n">
        <x:v>0.004096</x:v>
      </x:c>
      <x:c r="G3083" s="10" t="n">
        <x:f>SUM(D3083:F3083)</x:f>
        <x:v>560.004096</x:v>
      </x:c>
    </x:row>
    <x:row r="3084" ht="24" customHeight="1">
      <x:c r="A3084" s="10" t="str">
        <x:v>S05-09</x:v>
      </x:c>
      <x:c r="B3084" s="10" t="str">
        <x:v>B</x:v>
      </x:c>
      <x:c r="C3084" s="18" t="n">
        <x:v>39.510333433</x:v>
      </x:c>
      <x:c r="D3084" s="10" t="n">
        <x:v>560</x:v>
      </x:c>
      <x:c r="E3084" s="10" t="n">
        <x:v>0</x:v>
      </x:c>
      <x:c r="F3084" s="10" t="n">
        <x:v>0</x:v>
      </x:c>
      <x:c r="G3084" s="10" t="n">
        <x:f>SUM(D3084:F3084)</x:f>
        <x:v>560</x:v>
      </x:c>
    </x:row>
    <x:row r="3085" ht="24" customHeight="1">
      <x:c r="A3085" s="10" t="str">
        <x:v>S05-10</x:v>
      </x:c>
      <x:c r="B3085" s="10" t="str">
        <x:v>A</x:v>
      </x:c>
      <x:c r="C3085" s="18" t="n">
        <x:v>-6.0000001</x:v>
      </x:c>
      <x:c r="D3085" s="10" t="n">
        <x:v>560</x:v>
      </x:c>
      <x:c r="E3085" s="10" t="n">
        <x:v>0</x:v>
      </x:c>
      <x:c r="F3085" s="10" t="n">
        <x:v>0</x:v>
      </x:c>
      <x:c r="G3085" s="10" t="n">
        <x:f>SUM(D3085:F3085)</x:f>
        <x:v>560</x:v>
      </x:c>
    </x:row>
    <x:row r="3086" ht="24" customHeight="1">
      <x:c r="A3086" s="10" t="str">
        <x:v>S05-10</x:v>
      </x:c>
      <x:c r="B3086" s="10" t="str">
        <x:v>A</x:v>
      </x:c>
      <x:c r="C3086" s="18" t="n">
        <x:v>-6</x:v>
      </x:c>
      <x:c r="D3086" s="10" t="n">
        <x:v>560</x:v>
      </x:c>
      <x:c r="E3086" s="10" t="n">
        <x:v>0</x:v>
      </x:c>
      <x:c r="F3086" s="10" t="n">
        <x:v>0</x:v>
      </x:c>
      <x:c r="G3086" s="10" t="n">
        <x:f>SUM(D3086:F3086)</x:f>
        <x:v>560</x:v>
      </x:c>
    </x:row>
    <x:row r="3087" ht="24" customHeight="1">
      <x:c r="A3087" s="10" t="str">
        <x:v>S05-10</x:v>
      </x:c>
      <x:c r="B3087" s="10" t="str">
        <x:v>A</x:v>
      </x:c>
      <x:c r="C3087" s="18" t="n">
        <x:v>-5.9999999</x:v>
      </x:c>
      <x:c r="D3087" s="10" t="n">
        <x:v>560</x:v>
      </x:c>
      <x:c r="E3087" s="10" t="n">
        <x:v>0</x:v>
      </x:c>
      <x:c r="F3087" s="10" t="n">
        <x:v>0</x:v>
      </x:c>
      <x:c r="G3087" s="10" t="n">
        <x:f>SUM(D3087:F3087)</x:f>
        <x:v>560</x:v>
      </x:c>
    </x:row>
    <x:row r="3088" ht="24" customHeight="1">
      <x:c r="A3088" s="10" t="str">
        <x:v>S05-10</x:v>
      </x:c>
      <x:c r="B3088" s="10" t="str">
        <x:v>A</x:v>
      </x:c>
      <x:c r="C3088" s="18" t="n">
        <x:v>-4.8000001</x:v>
      </x:c>
      <x:c r="D3088" s="10" t="n">
        <x:v>560</x:v>
      </x:c>
      <x:c r="E3088" s="10" t="n">
        <x:v>0</x:v>
      </x:c>
      <x:c r="F3088" s="10" t="n">
        <x:v>0</x:v>
      </x:c>
      <x:c r="G3088" s="10" t="n">
        <x:f>SUM(D3088:F3088)</x:f>
        <x:v>560</x:v>
      </x:c>
    </x:row>
    <x:row r="3089" ht="24" customHeight="1">
      <x:c r="A3089" s="10" t="str">
        <x:v>S05-10</x:v>
      </x:c>
      <x:c r="B3089" s="10" t="str">
        <x:v>A</x:v>
      </x:c>
      <x:c r="C3089" s="18" t="n">
        <x:v>-4.8</x:v>
      </x:c>
      <x:c r="D3089" s="10" t="n">
        <x:v>560</x:v>
      </x:c>
      <x:c r="E3089" s="10" t="n">
        <x:v>0</x:v>
      </x:c>
      <x:c r="F3089" s="10" t="n">
        <x:v>0.004096</x:v>
      </x:c>
      <x:c r="G3089" s="10" t="n">
        <x:f>SUM(D3089:F3089)</x:f>
        <x:v>560.004096</x:v>
      </x:c>
    </x:row>
    <x:row r="3090" ht="24" customHeight="1">
      <x:c r="A3090" s="10" t="str">
        <x:v>S05-10</x:v>
      </x:c>
      <x:c r="B3090" s="10" t="str">
        <x:v>A</x:v>
      </x:c>
      <x:c r="C3090" s="18" t="n">
        <x:v>-4.7999999</x:v>
      </x:c>
      <x:c r="D3090" s="10" t="n">
        <x:v>560</x:v>
      </x:c>
      <x:c r="E3090" s="10" t="n">
        <x:v>0</x:v>
      </x:c>
      <x:c r="F3090" s="10" t="n">
        <x:v>0.004096</x:v>
      </x:c>
      <x:c r="G3090" s="10" t="n">
        <x:f>SUM(D3090:F3090)</x:f>
        <x:v>560.004096</x:v>
      </x:c>
    </x:row>
    <x:row r="3091" ht="24" customHeight="1">
      <x:c r="A3091" s="10" t="str">
        <x:v>S05-10</x:v>
      </x:c>
      <x:c r="B3091" s="10" t="str">
        <x:v>A</x:v>
      </x:c>
      <x:c r="C3091" s="18" t="n">
        <x:v>-4.324666767</x:v>
      </x:c>
      <x:c r="D3091" s="10" t="n">
        <x:v>560</x:v>
      </x:c>
      <x:c r="E3091" s="10" t="n">
        <x:v>0</x:v>
      </x:c>
      <x:c r="F3091" s="10" t="n">
        <x:v>0.004096</x:v>
      </x:c>
      <x:c r="G3091" s="10" t="n">
        <x:f>SUM(D3091:F3091)</x:f>
        <x:v>560.004096</x:v>
      </x:c>
    </x:row>
    <x:row r="3092" ht="24" customHeight="1">
      <x:c r="A3092" s="10" t="str">
        <x:v>S05-10</x:v>
      </x:c>
      <x:c r="B3092" s="10" t="str">
        <x:v>A</x:v>
      </x:c>
      <x:c r="C3092" s="18" t="n">
        <x:v>-4.324666667</x:v>
      </x:c>
      <x:c r="D3092" s="10" t="n">
        <x:v>560</x:v>
      </x:c>
      <x:c r="E3092" s="10" t="n">
        <x:v>0.0096</x:v>
      </x:c>
      <x:c r="F3092" s="10" t="n">
        <x:v>0.004096</x:v>
      </x:c>
      <x:c r="G3092" s="10" t="n">
        <x:f>SUM(D3092:F3092)</x:f>
        <x:v>560.013696</x:v>
      </x:c>
    </x:row>
    <x:row r="3093" ht="24" customHeight="1">
      <x:c r="A3093" s="10" t="str">
        <x:v>S05-10</x:v>
      </x:c>
      <x:c r="B3093" s="10" t="str">
        <x:v>A</x:v>
      </x:c>
      <x:c r="C3093" s="18" t="n">
        <x:v>-4.324666567</x:v>
      </x:c>
      <x:c r="D3093" s="10" t="n">
        <x:v>560</x:v>
      </x:c>
      <x:c r="E3093" s="10" t="n">
        <x:v>0.009600019</x:v>
      </x:c>
      <x:c r="F3093" s="10" t="n">
        <x:v>0.004096</x:v>
      </x:c>
      <x:c r="G3093" s="10" t="n">
        <x:f>SUM(D3093:F3093)</x:f>
        <x:v>560.013696019</x:v>
      </x:c>
    </x:row>
    <x:row r="3094" ht="24" customHeight="1">
      <x:c r="A3094" s="10" t="str">
        <x:v>S05-10</x:v>
      </x:c>
      <x:c r="B3094" s="10" t="str">
        <x:v>A</x:v>
      </x:c>
      <x:c r="C3094" s="18" t="n">
        <x:v>-4.284666767</x:v>
      </x:c>
      <x:c r="D3094" s="10" t="n">
        <x:v>560</x:v>
      </x:c>
      <x:c r="E3094" s="10" t="n">
        <x:v>0.017279981</x:v>
      </x:c>
      <x:c r="F3094" s="10" t="n">
        <x:v>0.004096</x:v>
      </x:c>
      <x:c r="G3094" s="10" t="n">
        <x:f>SUM(D3094:F3094)</x:f>
        <x:v>560.021375981</x:v>
      </x:c>
    </x:row>
    <x:row r="3095" ht="24" customHeight="1">
      <x:c r="A3095" s="10" t="str">
        <x:v>S05-10</x:v>
      </x:c>
      <x:c r="B3095" s="10" t="str">
        <x:v>A</x:v>
      </x:c>
      <x:c r="C3095" s="18" t="n">
        <x:v>-4.284666667</x:v>
      </x:c>
      <x:c r="D3095" s="10" t="n">
        <x:v>560</x:v>
      </x:c>
      <x:c r="E3095" s="10" t="n">
        <x:v>0.01728</x:v>
      </x:c>
      <x:c r="F3095" s="10" t="n">
        <x:v>0.004096</x:v>
      </x:c>
      <x:c r="G3095" s="10" t="n">
        <x:f>SUM(D3095:F3095)</x:f>
        <x:v>560.021376</x:v>
      </x:c>
    </x:row>
    <x:row r="3096" ht="24" customHeight="1">
      <x:c r="A3096" s="10" t="str">
        <x:v>S05-10</x:v>
      </x:c>
      <x:c r="B3096" s="10" t="str">
        <x:v>A</x:v>
      </x:c>
      <x:c r="C3096" s="18" t="n">
        <x:v>-4.284666567</x:v>
      </x:c>
      <x:c r="D3096" s="10" t="n">
        <x:v>560</x:v>
      </x:c>
      <x:c r="E3096" s="10" t="n">
        <x:v>0.017280014</x:v>
      </x:c>
      <x:c r="F3096" s="10" t="n">
        <x:v>0.004096</x:v>
      </x:c>
      <x:c r="G3096" s="10" t="n">
        <x:f>SUM(D3096:F3096)</x:f>
        <x:v>560.021376014</x:v>
      </x:c>
    </x:row>
    <x:row r="3097" ht="24" customHeight="1">
      <x:c r="A3097" s="10" t="str">
        <x:v>S05-10</x:v>
      </x:c>
      <x:c r="B3097" s="10" t="str">
        <x:v>A</x:v>
      </x:c>
      <x:c r="C3097" s="18" t="n">
        <x:v>-3.5200001</x:v>
      </x:c>
      <x:c r="D3097" s="10" t="n">
        <x:v>560</x:v>
      </x:c>
      <x:c r="E3097" s="10" t="n">
        <x:v>0.127391986</x:v>
      </x:c>
      <x:c r="F3097" s="10" t="n">
        <x:v>0.004096</x:v>
      </x:c>
      <x:c r="G3097" s="10" t="n">
        <x:f>SUM(D3097:F3097)</x:f>
        <x:v>560.131487986</x:v>
      </x:c>
    </x:row>
    <x:row r="3098" ht="24" customHeight="1">
      <x:c r="A3098" s="10" t="str">
        <x:v>S05-10</x:v>
      </x:c>
      <x:c r="B3098" s="10" t="str">
        <x:v>A</x:v>
      </x:c>
      <x:c r="C3098" s="18" t="n">
        <x:v>-3.52</x:v>
      </x:c>
      <x:c r="D3098" s="10" t="n">
        <x:v>560</x:v>
      </x:c>
      <x:c r="E3098" s="10" t="n">
        <x:v>0.127392</x:v>
      </x:c>
      <x:c r="F3098" s="10" t="n">
        <x:v>0.004096</x:v>
      </x:c>
      <x:c r="G3098" s="10" t="n">
        <x:f>SUM(D3098:F3098)</x:f>
        <x:v>560.131488</x:v>
      </x:c>
    </x:row>
    <x:row r="3099" ht="24" customHeight="1">
      <x:c r="A3099" s="10" t="str">
        <x:v>S05-10</x:v>
      </x:c>
      <x:c r="B3099" s="10" t="str">
        <x:v>A</x:v>
      </x:c>
      <x:c r="C3099" s="18" t="n">
        <x:v>-3.5199999</x:v>
      </x:c>
      <x:c r="D3099" s="10" t="n">
        <x:v>560</x:v>
      </x:c>
      <x:c r="E3099" s="10" t="n">
        <x:v>0.127392019</x:v>
      </x:c>
      <x:c r="F3099" s="10" t="n">
        <x:v>0.004096</x:v>
      </x:c>
      <x:c r="G3099" s="10" t="n">
        <x:f>SUM(D3099:F3099)</x:f>
        <x:v>560.131488019</x:v>
      </x:c>
    </x:row>
    <x:row r="3100" ht="24" customHeight="1">
      <x:c r="A3100" s="10" t="str">
        <x:v>S05-10</x:v>
      </x:c>
      <x:c r="B3100" s="10" t="str">
        <x:v>A</x:v>
      </x:c>
      <x:c r="C3100" s="18" t="n">
        <x:v>-0.9000001</x:v>
      </x:c>
      <x:c r="D3100" s="10" t="n">
        <x:v>560</x:v>
      </x:c>
      <x:c r="E3100" s="10" t="n">
        <x:v>0.630431981</x:v>
      </x:c>
      <x:c r="F3100" s="10" t="n">
        <x:v>0.004096</x:v>
      </x:c>
      <x:c r="G3100" s="10" t="n">
        <x:f>SUM(D3100:F3100)</x:f>
        <x:v>560.634527981</x:v>
      </x:c>
    </x:row>
    <x:row r="3101" ht="24" customHeight="1">
      <x:c r="A3101" s="10" t="str">
        <x:v>S05-10</x:v>
      </x:c>
      <x:c r="B3101" s="10" t="str">
        <x:v>A</x:v>
      </x:c>
      <x:c r="C3101" s="18" t="n">
        <x:v>-0.9</x:v>
      </x:c>
      <x:c r="D3101" s="10" t="n">
        <x:v>560</x:v>
      </x:c>
      <x:c r="E3101" s="10" t="n">
        <x:v>0.630432</x:v>
      </x:c>
      <x:c r="F3101" s="10" t="n">
        <x:v>0.008192</x:v>
      </x:c>
      <x:c r="G3101" s="10" t="n">
        <x:f>SUM(D3101:F3101)</x:f>
        <x:v>560.638624</x:v>
      </x:c>
    </x:row>
    <x:row r="3102" ht="24" customHeight="1">
      <x:c r="A3102" s="10" t="str">
        <x:v>S05-10</x:v>
      </x:c>
      <x:c r="B3102" s="10" t="str">
        <x:v>A</x:v>
      </x:c>
      <x:c r="C3102" s="18" t="n">
        <x:v>-0.8999999</x:v>
      </x:c>
      <x:c r="D3102" s="10" t="n">
        <x:v>560</x:v>
      </x:c>
      <x:c r="E3102" s="10" t="n">
        <x:v>0.630432019</x:v>
      </x:c>
      <x:c r="F3102" s="10" t="n">
        <x:v>0.008192</x:v>
      </x:c>
      <x:c r="G3102" s="10" t="n">
        <x:f>SUM(D3102:F3102)</x:f>
        <x:v>560.638624019</x:v>
      </x:c>
    </x:row>
    <x:row r="3103" ht="24" customHeight="1">
      <x:c r="A3103" s="10" t="str">
        <x:v>S05-10</x:v>
      </x:c>
      <x:c r="B3103" s="10" t="str">
        <x:v>A</x:v>
      </x:c>
      <x:c r="C3103" s="18" t="n">
        <x:v>-0.4990001</x:v>
      </x:c>
      <x:c r="D3103" s="10" t="n">
        <x:v>560</x:v>
      </x:c>
      <x:c r="E3103" s="10" t="n">
        <x:v>0.707423981</x:v>
      </x:c>
      <x:c r="F3103" s="10" t="n">
        <x:v>0.008192</x:v>
      </x:c>
      <x:c r="G3103" s="10" t="n">
        <x:f>SUM(D3103:F3103)</x:f>
        <x:v>560.715615981</x:v>
      </x:c>
    </x:row>
    <x:row r="3104" ht="24" customHeight="1">
      <x:c r="A3104" s="10" t="str">
        <x:v>S05-10</x:v>
      </x:c>
      <x:c r="B3104" s="10" t="str">
        <x:v>A</x:v>
      </x:c>
      <x:c r="C3104" s="18" t="n">
        <x:v>-0.499</x:v>
      </x:c>
      <x:c r="D3104" s="10" t="n">
        <x:v>560</x:v>
      </x:c>
      <x:c r="E3104" s="10" t="n">
        <x:v>0.717024</x:v>
      </x:c>
      <x:c r="F3104" s="10" t="n">
        <x:v>0.008192</x:v>
      </x:c>
      <x:c r="G3104" s="10" t="n">
        <x:f>SUM(D3104:F3104)</x:f>
        <x:v>560.725216</x:v>
      </x:c>
    </x:row>
    <x:row r="3105" ht="24" customHeight="1">
      <x:c r="A3105" s="10" t="str">
        <x:v>S05-10</x:v>
      </x:c>
      <x:c r="B3105" s="10" t="str">
        <x:v>A</x:v>
      </x:c>
      <x:c r="C3105" s="18" t="n">
        <x:v>-0.4989999</x:v>
      </x:c>
      <x:c r="D3105" s="10" t="n">
        <x:v>560</x:v>
      </x:c>
      <x:c r="E3105" s="10" t="n">
        <x:v>0.717024038</x:v>
      </x:c>
      <x:c r="F3105" s="10" t="n">
        <x:v>0.008192</x:v>
      </x:c>
      <x:c r="G3105" s="10" t="n">
        <x:f>SUM(D3105:F3105)</x:f>
        <x:v>560.725216038</x:v>
      </x:c>
    </x:row>
    <x:row r="3106" ht="24" customHeight="1">
      <x:c r="A3106" s="10" t="str">
        <x:v>S05-10</x:v>
      </x:c>
      <x:c r="B3106" s="10" t="str">
        <x:v>A</x:v>
      </x:c>
      <x:c r="C3106" s="18" t="n">
        <x:v>-1e-7</x:v>
      </x:c>
      <x:c r="D3106" s="10" t="n">
        <x:v>560</x:v>
      </x:c>
      <x:c r="E3106" s="10" t="n">
        <x:v>0.908639962</x:v>
      </x:c>
      <x:c r="F3106" s="10" t="n">
        <x:v>0.008192</x:v>
      </x:c>
      <x:c r="G3106" s="10" t="n">
        <x:f>SUM(D3106:F3106)</x:f>
        <x:v>560.9168319620001</x:v>
      </x:c>
    </x:row>
    <x:row r="3107" ht="24" customHeight="1">
      <x:c r="A3107" s="10" t="str">
        <x:v>S05-10</x:v>
      </x:c>
      <x:c r="B3107" s="10" t="str">
        <x:v>A</x:v>
      </x:c>
      <x:c r="C3107" s="18" t="n">
        <x:v>0</x:v>
      </x:c>
      <x:c r="D3107" s="10" t="n">
        <x:v>560</x:v>
      </x:c>
      <x:c r="E3107" s="10" t="n">
        <x:v>0.90864</x:v>
      </x:c>
      <x:c r="F3107" s="10" t="n">
        <x:v>0.008192</x:v>
      </x:c>
      <x:c r="G3107" s="10" t="n">
        <x:f>SUM(D3107:F3107)</x:f>
        <x:v>560.916832</x:v>
      </x:c>
    </x:row>
    <x:row r="3108" ht="24" customHeight="1">
      <x:c r="A3108" s="10" t="str">
        <x:v>S05-10</x:v>
      </x:c>
      <x:c r="B3108" s="10" t="str">
        <x:v>A</x:v>
      </x:c>
      <x:c r="C3108" s="18" t="n">
        <x:v>1e-7</x:v>
      </x:c>
      <x:c r="D3108" s="10" t="n">
        <x:v>560</x:v>
      </x:c>
      <x:c r="E3108" s="10" t="n">
        <x:v>0.908640038</x:v>
      </x:c>
      <x:c r="F3108" s="10" t="n">
        <x:v>0.008192</x:v>
      </x:c>
      <x:c r="G3108" s="10" t="n">
        <x:f>SUM(D3108:F3108)</x:f>
        <x:v>560.916832038</x:v>
      </x:c>
    </x:row>
    <x:row r="3109" ht="24" customHeight="1">
      <x:c r="A3109" s="10" t="str">
        <x:v>S05-10</x:v>
      </x:c>
      <x:c r="B3109" s="10" t="str">
        <x:v>A</x:v>
      </x:c>
      <x:c r="C3109" s="18" t="n">
        <x:v>0.1644999</x:v>
      </x:c>
      <x:c r="D3109" s="10" t="n">
        <x:v>560</x:v>
      </x:c>
      <x:c r="E3109" s="10" t="n">
        <x:v>0.971807962</x:v>
      </x:c>
      <x:c r="F3109" s="10" t="n">
        <x:v>0.008192</x:v>
      </x:c>
      <x:c r="G3109" s="10" t="n">
        <x:f>SUM(D3109:F3109)</x:f>
        <x:v>560.979999962</x:v>
      </x:c>
    </x:row>
    <x:row r="3110" ht="24" customHeight="1">
      <x:c r="A3110" s="10" t="str">
        <x:v>S05-10</x:v>
      </x:c>
      <x:c r="B3110" s="10" t="str">
        <x:v>A</x:v>
      </x:c>
      <x:c r="C3110" s="18" t="n">
        <x:v>0.1645</x:v>
      </x:c>
      <x:c r="D3110" s="10" t="n">
        <x:v>560</x:v>
      </x:c>
      <x:c r="E3110" s="10" t="n">
        <x:v>0.971808</x:v>
      </x:c>
      <x:c r="F3110" s="10" t="n">
        <x:v>0.008192</x:v>
      </x:c>
      <x:c r="G3110" s="10" t="n">
        <x:f>SUM(D3110:F3110)</x:f>
        <x:v>560.98</x:v>
      </x:c>
    </x:row>
    <x:row r="3111" ht="24" customHeight="1">
      <x:c r="A3111" s="10" t="str">
        <x:v>S05-10</x:v>
      </x:c>
      <x:c r="B3111" s="10" t="str">
        <x:v>A</x:v>
      </x:c>
      <x:c r="C3111" s="18" t="n">
        <x:v>0.1645001</x:v>
      </x:c>
      <x:c r="D3111" s="10" t="n">
        <x:v>560</x:v>
      </x:c>
      <x:c r="E3111" s="10" t="n">
        <x:v>0.971808019</x:v>
      </x:c>
      <x:c r="F3111" s="10" t="n">
        <x:v>0.008192</x:v>
      </x:c>
      <x:c r="G3111" s="10" t="n">
        <x:f>SUM(D3111:F3111)</x:f>
        <x:v>560.980000019</x:v>
      </x:c>
    </x:row>
    <x:row r="3112" ht="24" customHeight="1">
      <x:c r="A3112" s="10" t="str">
        <x:v>S05-10</x:v>
      </x:c>
      <x:c r="B3112" s="10" t="str">
        <x:v>A</x:v>
      </x:c>
      <x:c r="C3112" s="18" t="n">
        <x:v>0.898333233</x:v>
      </x:c>
      <x:c r="D3112" s="10" t="n">
        <x:v>560</x:v>
      </x:c>
      <x:c r="E3112" s="10" t="n">
        <x:v>1.112703981</x:v>
      </x:c>
      <x:c r="F3112" s="10" t="n">
        <x:v>0.008192</x:v>
      </x:c>
      <x:c r="G3112" s="10" t="n">
        <x:f>SUM(D3112:F3112)</x:f>
        <x:v>561.120895981</x:v>
      </x:c>
    </x:row>
    <x:row r="3113" ht="24" customHeight="1">
      <x:c r="A3113" s="10" t="str">
        <x:v>S05-10</x:v>
      </x:c>
      <x:c r="B3113" s="10" t="str">
        <x:v>A</x:v>
      </x:c>
      <x:c r="C3113" s="18" t="n">
        <x:v>0.898333333</x:v>
      </x:c>
      <x:c r="D3113" s="10" t="n">
        <x:v>560</x:v>
      </x:c>
      <x:c r="E3113" s="10" t="n">
        <x:v>1.112704</x:v>
      </x:c>
      <x:c r="F3113" s="10" t="n">
        <x:v>0.008192</x:v>
      </x:c>
      <x:c r="G3113" s="10" t="n">
        <x:f>SUM(D3113:F3113)</x:f>
        <x:v>561.120896</x:v>
      </x:c>
    </x:row>
    <x:row r="3114" ht="24" customHeight="1">
      <x:c r="A3114" s="10" t="str">
        <x:v>S05-10</x:v>
      </x:c>
      <x:c r="B3114" s="10" t="str">
        <x:v>A</x:v>
      </x:c>
      <x:c r="C3114" s="18" t="n">
        <x:v>0.898333433</x:v>
      </x:c>
      <x:c r="D3114" s="10" t="n">
        <x:v>560</x:v>
      </x:c>
      <x:c r="E3114" s="10" t="n">
        <x:v>1.112704019</x:v>
      </x:c>
      <x:c r="F3114" s="10" t="n">
        <x:v>0.008192</x:v>
      </x:c>
      <x:c r="G3114" s="10" t="n">
        <x:f>SUM(D3114:F3114)</x:f>
        <x:v>561.120896019</x:v>
      </x:c>
    </x:row>
    <x:row r="3115" ht="24" customHeight="1">
      <x:c r="A3115" s="10" t="str">
        <x:v>S05-10</x:v>
      </x:c>
      <x:c r="B3115" s="10" t="str">
        <x:v>A</x:v>
      </x:c>
      <x:c r="C3115" s="18" t="n">
        <x:v>0.938333233</x:v>
      </x:c>
      <x:c r="D3115" s="10" t="n">
        <x:v>560</x:v>
      </x:c>
      <x:c r="E3115" s="10" t="n">
        <x:v>1.120383981</x:v>
      </x:c>
      <x:c r="F3115" s="10" t="n">
        <x:v>0.008192</x:v>
      </x:c>
      <x:c r="G3115" s="10" t="n">
        <x:f>SUM(D3115:F3115)</x:f>
        <x:v>561.128575981</x:v>
      </x:c>
    </x:row>
    <x:row r="3116" ht="24" customHeight="1">
      <x:c r="A3116" s="10" t="str">
        <x:v>S05-10</x:v>
      </x:c>
      <x:c r="B3116" s="10" t="str">
        <x:v>A</x:v>
      </x:c>
      <x:c r="C3116" s="18" t="n">
        <x:v>0.938333333</x:v>
      </x:c>
      <x:c r="D3116" s="10" t="n">
        <x:v>560</x:v>
      </x:c>
      <x:c r="E3116" s="10" t="n">
        <x:v>1.120384</x:v>
      </x:c>
      <x:c r="F3116" s="10" t="n">
        <x:v>0.008192</x:v>
      </x:c>
      <x:c r="G3116" s="10" t="n">
        <x:f>SUM(D3116:F3116)</x:f>
        <x:v>561.128576</x:v>
      </x:c>
    </x:row>
    <x:row r="3117" ht="24" customHeight="1">
      <x:c r="A3117" s="10" t="str">
        <x:v>S05-10</x:v>
      </x:c>
      <x:c r="B3117" s="10" t="str">
        <x:v>A</x:v>
      </x:c>
      <x:c r="C3117" s="18" t="n">
        <x:v>0.938333433</x:v>
      </x:c>
      <x:c r="D3117" s="10" t="n">
        <x:v>560</x:v>
      </x:c>
      <x:c r="E3117" s="10" t="n">
        <x:v>1.120384014</x:v>
      </x:c>
      <x:c r="F3117" s="10" t="n">
        <x:v>0.008192</x:v>
      </x:c>
      <x:c r="G3117" s="10" t="n">
        <x:f>SUM(D3117:F3117)</x:f>
        <x:v>561.128576014</x:v>
      </x:c>
    </x:row>
    <x:row r="3118" ht="24" customHeight="1">
      <x:c r="A3118" s="10" t="str">
        <x:v>S05-10</x:v>
      </x:c>
      <x:c r="B3118" s="10" t="str">
        <x:v>A</x:v>
      </x:c>
      <x:c r="C3118" s="18" t="n">
        <x:v>3.792333233</x:v>
      </x:c>
      <x:c r="D3118" s="10" t="n">
        <x:v>560</x:v>
      </x:c>
      <x:c r="E3118" s="10" t="n">
        <x:v>1.531359986</x:v>
      </x:c>
      <x:c r="F3118" s="10" t="n">
        <x:v>0.008192</x:v>
      </x:c>
      <x:c r="G3118" s="10" t="n">
        <x:f>SUM(D3118:F3118)</x:f>
        <x:v>561.539551986</x:v>
      </x:c>
    </x:row>
    <x:row r="3119" ht="24" customHeight="1">
      <x:c r="A3119" s="10" t="str">
        <x:v>S05-10</x:v>
      </x:c>
      <x:c r="B3119" s="10" t="str">
        <x:v>A</x:v>
      </x:c>
      <x:c r="C3119" s="18" t="n">
        <x:v>3.792333333</x:v>
      </x:c>
      <x:c r="D3119" s="10" t="n">
        <x:v>560</x:v>
      </x:c>
      <x:c r="E3119" s="10" t="n">
        <x:v>1.53136</x:v>
      </x:c>
      <x:c r="F3119" s="10" t="n">
        <x:v>0.008192</x:v>
      </x:c>
      <x:c r="G3119" s="10" t="n">
        <x:f>SUM(D3119:F3119)</x:f>
        <x:v>561.539552</x:v>
      </x:c>
    </x:row>
    <x:row r="3120" ht="24" customHeight="1">
      <x:c r="A3120" s="10" t="str">
        <x:v>S05-10</x:v>
      </x:c>
      <x:c r="B3120" s="10" t="str">
        <x:v>A</x:v>
      </x:c>
      <x:c r="C3120" s="18" t="n">
        <x:v>3.792333433</x:v>
      </x:c>
      <x:c r="D3120" s="10" t="n">
        <x:v>560</x:v>
      </x:c>
      <x:c r="E3120" s="10" t="n">
        <x:v>1.531360019</x:v>
      </x:c>
      <x:c r="F3120" s="10" t="n">
        <x:v>0.004096</x:v>
      </x:c>
      <x:c r="G3120" s="10" t="n">
        <x:f>SUM(D3120:F3120)</x:f>
        <x:v>561.535456019</x:v>
      </x:c>
    </x:row>
    <x:row r="3121" ht="24" customHeight="1">
      <x:c r="A3121" s="10" t="str">
        <x:v>S05-10</x:v>
      </x:c>
      <x:c r="B3121" s="10" t="str">
        <x:v>A</x:v>
      </x:c>
      <x:c r="C3121" s="18" t="n">
        <x:v>3.832333233</x:v>
      </x:c>
      <x:c r="D3121" s="10" t="n">
        <x:v>560</x:v>
      </x:c>
      <x:c r="E3121" s="10" t="n">
        <x:v>1.539039981</x:v>
      </x:c>
      <x:c r="F3121" s="10" t="n">
        <x:v>0.004096</x:v>
      </x:c>
      <x:c r="G3121" s="10" t="n">
        <x:f>SUM(D3121:F3121)</x:f>
        <x:v>561.543135981</x:v>
      </x:c>
    </x:row>
    <x:row r="3122" ht="24" customHeight="1">
      <x:c r="A3122" s="10" t="str">
        <x:v>S05-10</x:v>
      </x:c>
      <x:c r="B3122" s="10" t="str">
        <x:v>A</x:v>
      </x:c>
      <x:c r="C3122" s="18" t="n">
        <x:v>3.832333333</x:v>
      </x:c>
      <x:c r="D3122" s="10" t="n">
        <x:v>560</x:v>
      </x:c>
      <x:c r="E3122" s="10" t="n">
        <x:v>1.53904</x:v>
      </x:c>
      <x:c r="F3122" s="10" t="n">
        <x:v>0.004096</x:v>
      </x:c>
      <x:c r="G3122" s="10" t="n">
        <x:f>SUM(D3122:F3122)</x:f>
        <x:v>561.543136</x:v>
      </x:c>
    </x:row>
    <x:row r="3123" ht="24" customHeight="1">
      <x:c r="A3123" s="10" t="str">
        <x:v>S05-10</x:v>
      </x:c>
      <x:c r="B3123" s="10" t="str">
        <x:v>A</x:v>
      </x:c>
      <x:c r="C3123" s="18" t="n">
        <x:v>3.832333433</x:v>
      </x:c>
      <x:c r="D3123" s="10" t="n">
        <x:v>560</x:v>
      </x:c>
      <x:c r="E3123" s="10" t="n">
        <x:v>1.539040014</x:v>
      </x:c>
      <x:c r="F3123" s="10" t="n">
        <x:v>0.004096</x:v>
      </x:c>
      <x:c r="G3123" s="10" t="n">
        <x:f>SUM(D3123:F3123)</x:f>
        <x:v>561.543136014</x:v>
      </x:c>
    </x:row>
    <x:row r="3124" ht="24" customHeight="1">
      <x:c r="A3124" s="10" t="str">
        <x:v>S05-10</x:v>
      </x:c>
      <x:c r="B3124" s="10" t="str">
        <x:v>A</x:v>
      </x:c>
      <x:c r="C3124" s="18" t="n">
        <x:v>4.638833233</x:v>
      </x:c>
      <x:c r="D3124" s="10" t="n">
        <x:v>560</x:v>
      </x:c>
      <x:c r="E3124" s="10" t="n">
        <x:v>1.655175986</x:v>
      </x:c>
      <x:c r="F3124" s="10" t="n">
        <x:v>0.004096</x:v>
      </x:c>
      <x:c r="G3124" s="10" t="n">
        <x:f>SUM(D3124:F3124)</x:f>
        <x:v>561.659271986</x:v>
      </x:c>
    </x:row>
    <x:row r="3125" ht="24" customHeight="1">
      <x:c r="A3125" s="10" t="str">
        <x:v>S05-10</x:v>
      </x:c>
      <x:c r="B3125" s="10" t="str">
        <x:v>A</x:v>
      </x:c>
      <x:c r="C3125" s="18" t="n">
        <x:v>4.638833333</x:v>
      </x:c>
      <x:c r="D3125" s="10" t="n">
        <x:v>560</x:v>
      </x:c>
      <x:c r="E3125" s="10" t="n">
        <x:v>1.655176</x:v>
      </x:c>
      <x:c r="F3125" s="10" t="n">
        <x:v>0.004096</x:v>
      </x:c>
      <x:c r="G3125" s="10" t="n">
        <x:f>SUM(D3125:F3125)</x:f>
        <x:v>561.659272</x:v>
      </x:c>
    </x:row>
    <x:row r="3126" ht="24" customHeight="1">
      <x:c r="A3126" s="10" t="str">
        <x:v>S05-10</x:v>
      </x:c>
      <x:c r="B3126" s="10" t="str">
        <x:v>A</x:v>
      </x:c>
      <x:c r="C3126" s="18" t="n">
        <x:v>4.638833433</x:v>
      </x:c>
      <x:c r="D3126" s="10" t="n">
        <x:v>560</x:v>
      </x:c>
      <x:c r="E3126" s="10" t="n">
        <x:v>1.655175995</x:v>
      </x:c>
      <x:c r="F3126" s="10" t="n">
        <x:v>0.004096</x:v>
      </x:c>
      <x:c r="G3126" s="10" t="n">
        <x:f>SUM(D3126:F3126)</x:f>
        <x:v>561.659271995</x:v>
      </x:c>
    </x:row>
    <x:row r="3127" ht="24" customHeight="1">
      <x:c r="A3127" s="10" t="str">
        <x:v>S05-10</x:v>
      </x:c>
      <x:c r="B3127" s="10" t="str">
        <x:v>A</x:v>
      </x:c>
      <x:c r="C3127" s="18" t="n">
        <x:v>39.121666566</x:v>
      </x:c>
      <x:c r="D3127" s="10" t="n">
        <x:v>560</x:v>
      </x:c>
      <x:c r="E3127" s="10" t="n">
        <x:v>5e-9</x:v>
      </x:c>
      <x:c r="F3127" s="10" t="n">
        <x:v>0.004096</x:v>
      </x:c>
      <x:c r="G3127" s="10" t="n">
        <x:f>SUM(D3127:F3127)</x:f>
        <x:v>560.004096005</x:v>
      </x:c>
    </x:row>
    <x:row r="3128" ht="24" customHeight="1">
      <x:c r="A3128" s="10" t="str">
        <x:v>S05-10</x:v>
      </x:c>
      <x:c r="B3128" s="10" t="str">
        <x:v>A</x:v>
      </x:c>
      <x:c r="C3128" s="18" t="n">
        <x:v>39.121666666</x:v>
      </x:c>
      <x:c r="D3128" s="10" t="n">
        <x:v>560</x:v>
      </x:c>
      <x:c r="E3128" s="10" t="n">
        <x:v>0</x:v>
      </x:c>
      <x:c r="F3128" s="10" t="n">
        <x:v>0.004096</x:v>
      </x:c>
      <x:c r="G3128" s="10" t="n">
        <x:f>SUM(D3128:F3128)</x:f>
        <x:v>560.004096</x:v>
      </x:c>
    </x:row>
    <x:row r="3129" ht="24" customHeight="1">
      <x:c r="A3129" s="10" t="str">
        <x:v>S05-10</x:v>
      </x:c>
      <x:c r="B3129" s="10" t="str">
        <x:v>A</x:v>
      </x:c>
      <x:c r="C3129" s="18" t="n">
        <x:v>39.121666766</x:v>
      </x:c>
      <x:c r="D3129" s="10" t="n">
        <x:v>560</x:v>
      </x:c>
      <x:c r="E3129" s="10" t="n">
        <x:v>0</x:v>
      </x:c>
      <x:c r="F3129" s="10" t="n">
        <x:v>0</x:v>
      </x:c>
      <x:c r="G3129" s="10" t="n">
        <x:f>SUM(D3129:F3129)</x:f>
        <x:v>560</x:v>
      </x:c>
    </x:row>
    <x:row r="3130" ht="24" customHeight="1">
      <x:c r="A3130" s="10" t="str">
        <x:v>S05-10</x:v>
      </x:c>
      <x:c r="B3130" s="10" t="str">
        <x:v>B</x:v>
      </x:c>
      <x:c r="C3130" s="18" t="n">
        <x:v>-6.0000001</x:v>
      </x:c>
      <x:c r="D3130" s="10" t="n">
        <x:v>560</x:v>
      </x:c>
      <x:c r="E3130" s="10" t="n">
        <x:v>0</x:v>
      </x:c>
      <x:c r="F3130" s="10" t="n">
        <x:v>0</x:v>
      </x:c>
      <x:c r="G3130" s="10" t="n">
        <x:f>SUM(D3130:F3130)</x:f>
        <x:v>560</x:v>
      </x:c>
    </x:row>
    <x:row r="3131" ht="24" customHeight="1">
      <x:c r="A3131" s="10" t="str">
        <x:v>S05-10</x:v>
      </x:c>
      <x:c r="B3131" s="10" t="str">
        <x:v>B</x:v>
      </x:c>
      <x:c r="C3131" s="18" t="n">
        <x:v>-6</x:v>
      </x:c>
      <x:c r="D3131" s="10" t="n">
        <x:v>560</x:v>
      </x:c>
      <x:c r="E3131" s="10" t="n">
        <x:v>0</x:v>
      </x:c>
      <x:c r="F3131" s="10" t="n">
        <x:v>0</x:v>
      </x:c>
      <x:c r="G3131" s="10" t="n">
        <x:f>SUM(D3131:F3131)</x:f>
        <x:v>560</x:v>
      </x:c>
    </x:row>
    <x:row r="3132" ht="24" customHeight="1">
      <x:c r="A3132" s="10" t="str">
        <x:v>S05-10</x:v>
      </x:c>
      <x:c r="B3132" s="10" t="str">
        <x:v>B</x:v>
      </x:c>
      <x:c r="C3132" s="18" t="n">
        <x:v>-5.9999999</x:v>
      </x:c>
      <x:c r="D3132" s="10" t="n">
        <x:v>560</x:v>
      </x:c>
      <x:c r="E3132" s="10" t="n">
        <x:v>0</x:v>
      </x:c>
      <x:c r="F3132" s="10" t="n">
        <x:v>0</x:v>
      </x:c>
      <x:c r="G3132" s="10" t="n">
        <x:f>SUM(D3132:F3132)</x:f>
        <x:v>560</x:v>
      </x:c>
    </x:row>
    <x:row r="3133" ht="24" customHeight="1">
      <x:c r="A3133" s="10" t="str">
        <x:v>S05-10</x:v>
      </x:c>
      <x:c r="B3133" s="10" t="str">
        <x:v>B</x:v>
      </x:c>
      <x:c r="C3133" s="18" t="n">
        <x:v>-4.8000001</x:v>
      </x:c>
      <x:c r="D3133" s="10" t="n">
        <x:v>560</x:v>
      </x:c>
      <x:c r="E3133" s="10" t="n">
        <x:v>0</x:v>
      </x:c>
      <x:c r="F3133" s="10" t="n">
        <x:v>0</x:v>
      </x:c>
      <x:c r="G3133" s="10" t="n">
        <x:f>SUM(D3133:F3133)</x:f>
        <x:v>560</x:v>
      </x:c>
    </x:row>
    <x:row r="3134" ht="24" customHeight="1">
      <x:c r="A3134" s="10" t="str">
        <x:v>S05-10</x:v>
      </x:c>
      <x:c r="B3134" s="10" t="str">
        <x:v>B</x:v>
      </x:c>
      <x:c r="C3134" s="18" t="n">
        <x:v>-4.8</x:v>
      </x:c>
      <x:c r="D3134" s="10" t="n">
        <x:v>560</x:v>
      </x:c>
      <x:c r="E3134" s="10" t="n">
        <x:v>0</x:v>
      </x:c>
      <x:c r="F3134" s="10" t="n">
        <x:v>0.004096</x:v>
      </x:c>
      <x:c r="G3134" s="10" t="n">
        <x:f>SUM(D3134:F3134)</x:f>
        <x:v>560.004096</x:v>
      </x:c>
    </x:row>
    <x:row r="3135" ht="24" customHeight="1">
      <x:c r="A3135" s="10" t="str">
        <x:v>S05-10</x:v>
      </x:c>
      <x:c r="B3135" s="10" t="str">
        <x:v>B</x:v>
      </x:c>
      <x:c r="C3135" s="18" t="n">
        <x:v>-4.7999999</x:v>
      </x:c>
      <x:c r="D3135" s="10" t="n">
        <x:v>560</x:v>
      </x:c>
      <x:c r="E3135" s="10" t="n">
        <x:v>0</x:v>
      </x:c>
      <x:c r="F3135" s="10" t="n">
        <x:v>0.004096</x:v>
      </x:c>
      <x:c r="G3135" s="10" t="n">
        <x:f>SUM(D3135:F3135)</x:f>
        <x:v>560.004096</x:v>
      </x:c>
    </x:row>
    <x:row r="3136" ht="24" customHeight="1">
      <x:c r="A3136" s="10" t="str">
        <x:v>S05-10</x:v>
      </x:c>
      <x:c r="B3136" s="10" t="str">
        <x:v>B</x:v>
      </x:c>
      <x:c r="C3136" s="18" t="n">
        <x:v>-4.324666767</x:v>
      </x:c>
      <x:c r="D3136" s="10" t="n">
        <x:v>560</x:v>
      </x:c>
      <x:c r="E3136" s="10" t="n">
        <x:v>0</x:v>
      </x:c>
      <x:c r="F3136" s="10" t="n">
        <x:v>0.004096</x:v>
      </x:c>
      <x:c r="G3136" s="10" t="n">
        <x:f>SUM(D3136:F3136)</x:f>
        <x:v>560.004096</x:v>
      </x:c>
    </x:row>
    <x:row r="3137" ht="24" customHeight="1">
      <x:c r="A3137" s="10" t="str">
        <x:v>S05-10</x:v>
      </x:c>
      <x:c r="B3137" s="10" t="str">
        <x:v>B</x:v>
      </x:c>
      <x:c r="C3137" s="18" t="n">
        <x:v>-4.324666667</x:v>
      </x:c>
      <x:c r="D3137" s="10" t="n">
        <x:v>560</x:v>
      </x:c>
      <x:c r="E3137" s="10" t="n">
        <x:v>0.0096</x:v>
      </x:c>
      <x:c r="F3137" s="10" t="n">
        <x:v>0.004096</x:v>
      </x:c>
      <x:c r="G3137" s="10" t="n">
        <x:f>SUM(D3137:F3137)</x:f>
        <x:v>560.013696</x:v>
      </x:c>
    </x:row>
    <x:row r="3138" ht="24" customHeight="1">
      <x:c r="A3138" s="10" t="str">
        <x:v>S05-10</x:v>
      </x:c>
      <x:c r="B3138" s="10" t="str">
        <x:v>B</x:v>
      </x:c>
      <x:c r="C3138" s="18" t="n">
        <x:v>-4.324666567</x:v>
      </x:c>
      <x:c r="D3138" s="10" t="n">
        <x:v>560</x:v>
      </x:c>
      <x:c r="E3138" s="10" t="n">
        <x:v>0.009600019</x:v>
      </x:c>
      <x:c r="F3138" s="10" t="n">
        <x:v>0.004096</x:v>
      </x:c>
      <x:c r="G3138" s="10" t="n">
        <x:f>SUM(D3138:F3138)</x:f>
        <x:v>560.013696019</x:v>
      </x:c>
    </x:row>
    <x:row r="3139" ht="24" customHeight="1">
      <x:c r="A3139" s="10" t="str">
        <x:v>S05-10</x:v>
      </x:c>
      <x:c r="B3139" s="10" t="str">
        <x:v>B</x:v>
      </x:c>
      <x:c r="C3139" s="18" t="n">
        <x:v>-4.284666767</x:v>
      </x:c>
      <x:c r="D3139" s="10" t="n">
        <x:v>560</x:v>
      </x:c>
      <x:c r="E3139" s="10" t="n">
        <x:v>0.017279981</x:v>
      </x:c>
      <x:c r="F3139" s="10" t="n">
        <x:v>0.004096</x:v>
      </x:c>
      <x:c r="G3139" s="10" t="n">
        <x:f>SUM(D3139:F3139)</x:f>
        <x:v>560.021375981</x:v>
      </x:c>
    </x:row>
    <x:row r="3140" ht="24" customHeight="1">
      <x:c r="A3140" s="10" t="str">
        <x:v>S05-10</x:v>
      </x:c>
      <x:c r="B3140" s="10" t="str">
        <x:v>B</x:v>
      </x:c>
      <x:c r="C3140" s="18" t="n">
        <x:v>-4.284666667</x:v>
      </x:c>
      <x:c r="D3140" s="10" t="n">
        <x:v>560</x:v>
      </x:c>
      <x:c r="E3140" s="10" t="n">
        <x:v>0.01728</x:v>
      </x:c>
      <x:c r="F3140" s="10" t="n">
        <x:v>0.004096</x:v>
      </x:c>
      <x:c r="G3140" s="10" t="n">
        <x:f>SUM(D3140:F3140)</x:f>
        <x:v>560.021376</x:v>
      </x:c>
    </x:row>
    <x:row r="3141" ht="24" customHeight="1">
      <x:c r="A3141" s="10" t="str">
        <x:v>S05-10</x:v>
      </x:c>
      <x:c r="B3141" s="10" t="str">
        <x:v>B</x:v>
      </x:c>
      <x:c r="C3141" s="18" t="n">
        <x:v>-4.284666567</x:v>
      </x:c>
      <x:c r="D3141" s="10" t="n">
        <x:v>560</x:v>
      </x:c>
      <x:c r="E3141" s="10" t="n">
        <x:v>0.017280014</x:v>
      </x:c>
      <x:c r="F3141" s="10" t="n">
        <x:v>0.004096</x:v>
      </x:c>
      <x:c r="G3141" s="10" t="n">
        <x:f>SUM(D3141:F3141)</x:f>
        <x:v>560.021376014</x:v>
      </x:c>
    </x:row>
    <x:row r="3142" ht="24" customHeight="1">
      <x:c r="A3142" s="10" t="str">
        <x:v>S05-10</x:v>
      </x:c>
      <x:c r="B3142" s="10" t="str">
        <x:v>B</x:v>
      </x:c>
      <x:c r="C3142" s="18" t="n">
        <x:v>-3.5200001</x:v>
      </x:c>
      <x:c r="D3142" s="10" t="n">
        <x:v>560</x:v>
      </x:c>
      <x:c r="E3142" s="10" t="n">
        <x:v>0.127391986</x:v>
      </x:c>
      <x:c r="F3142" s="10" t="n">
        <x:v>0.004096</x:v>
      </x:c>
      <x:c r="G3142" s="10" t="n">
        <x:f>SUM(D3142:F3142)</x:f>
        <x:v>560.131487986</x:v>
      </x:c>
    </x:row>
    <x:row r="3143" ht="24" customHeight="1">
      <x:c r="A3143" s="10" t="str">
        <x:v>S05-10</x:v>
      </x:c>
      <x:c r="B3143" s="10" t="str">
        <x:v>B</x:v>
      </x:c>
      <x:c r="C3143" s="18" t="n">
        <x:v>-3.52</x:v>
      </x:c>
      <x:c r="D3143" s="10" t="n">
        <x:v>560</x:v>
      </x:c>
      <x:c r="E3143" s="10" t="n">
        <x:v>0.127392</x:v>
      </x:c>
      <x:c r="F3143" s="10" t="n">
        <x:v>0.004096</x:v>
      </x:c>
      <x:c r="G3143" s="10" t="n">
        <x:f>SUM(D3143:F3143)</x:f>
        <x:v>560.131488</x:v>
      </x:c>
    </x:row>
    <x:row r="3144" ht="24" customHeight="1">
      <x:c r="A3144" s="10" t="str">
        <x:v>S05-10</x:v>
      </x:c>
      <x:c r="B3144" s="10" t="str">
        <x:v>B</x:v>
      </x:c>
      <x:c r="C3144" s="18" t="n">
        <x:v>-3.5199999</x:v>
      </x:c>
      <x:c r="D3144" s="10" t="n">
        <x:v>560</x:v>
      </x:c>
      <x:c r="E3144" s="10" t="n">
        <x:v>0.127392019</x:v>
      </x:c>
      <x:c r="F3144" s="10" t="n">
        <x:v>0.004096</x:v>
      </x:c>
      <x:c r="G3144" s="10" t="n">
        <x:f>SUM(D3144:F3144)</x:f>
        <x:v>560.131488019</x:v>
      </x:c>
    </x:row>
    <x:row r="3145" ht="24" customHeight="1">
      <x:c r="A3145" s="10" t="str">
        <x:v>S05-10</x:v>
      </x:c>
      <x:c r="B3145" s="10" t="str">
        <x:v>B</x:v>
      </x:c>
      <x:c r="C3145" s="18" t="n">
        <x:v>-1e-7</x:v>
      </x:c>
      <x:c r="D3145" s="10" t="n">
        <x:v>560</x:v>
      </x:c>
      <x:c r="E3145" s="10" t="n">
        <x:v>0.803231981</x:v>
      </x:c>
      <x:c r="F3145" s="10" t="n">
        <x:v>0.004096</x:v>
      </x:c>
      <x:c r="G3145" s="10" t="n">
        <x:f>SUM(D3145:F3145)</x:f>
        <x:v>560.807327981</x:v>
      </x:c>
    </x:row>
    <x:row r="3146" ht="24" customHeight="1">
      <x:c r="A3146" s="10" t="str">
        <x:v>S05-10</x:v>
      </x:c>
      <x:c r="B3146" s="10" t="str">
        <x:v>B</x:v>
      </x:c>
      <x:c r="C3146" s="18" t="n">
        <x:v>0</x:v>
      </x:c>
      <x:c r="D3146" s="10" t="n">
        <x:v>560</x:v>
      </x:c>
      <x:c r="E3146" s="10" t="n">
        <x:v>0.803232</x:v>
      </x:c>
      <x:c r="F3146" s="10" t="n">
        <x:v>0.004096</x:v>
      </x:c>
      <x:c r="G3146" s="10" t="n">
        <x:f>SUM(D3146:F3146)</x:f>
        <x:v>560.807328</x:v>
      </x:c>
    </x:row>
    <x:row r="3147" ht="24" customHeight="1">
      <x:c r="A3147" s="10" t="str">
        <x:v>S05-10</x:v>
      </x:c>
      <x:c r="B3147" s="10" t="str">
        <x:v>B</x:v>
      </x:c>
      <x:c r="C3147" s="18" t="n">
        <x:v>1e-7</x:v>
      </x:c>
      <x:c r="D3147" s="10" t="n">
        <x:v>560</x:v>
      </x:c>
      <x:c r="E3147" s="10" t="n">
        <x:v>0.803232019</x:v>
      </x:c>
      <x:c r="F3147" s="10" t="n">
        <x:v>0.004096</x:v>
      </x:c>
      <x:c r="G3147" s="10" t="n">
        <x:f>SUM(D3147:F3147)</x:f>
        <x:v>560.807328019</x:v>
      </x:c>
    </x:row>
    <x:row r="3148" ht="24" customHeight="1">
      <x:c r="A3148" s="10" t="str">
        <x:v>S05-10</x:v>
      </x:c>
      <x:c r="B3148" s="10" t="str">
        <x:v>B</x:v>
      </x:c>
      <x:c r="C3148" s="18" t="n">
        <x:v>0.898333233</x:v>
      </x:c>
      <x:c r="D3148" s="10" t="n">
        <x:v>560</x:v>
      </x:c>
      <x:c r="E3148" s="10" t="n">
        <x:v>0.975711981</x:v>
      </x:c>
      <x:c r="F3148" s="10" t="n">
        <x:v>0.004096</x:v>
      </x:c>
      <x:c r="G3148" s="10" t="n">
        <x:f>SUM(D3148:F3148)</x:f>
        <x:v>560.979807981</x:v>
      </x:c>
    </x:row>
    <x:row r="3149" ht="24" customHeight="1">
      <x:c r="A3149" s="10" t="str">
        <x:v>S05-10</x:v>
      </x:c>
      <x:c r="B3149" s="10" t="str">
        <x:v>B</x:v>
      </x:c>
      <x:c r="C3149" s="18" t="n">
        <x:v>0.898333333</x:v>
      </x:c>
      <x:c r="D3149" s="10" t="n">
        <x:v>560</x:v>
      </x:c>
      <x:c r="E3149" s="10" t="n">
        <x:v>0.975712</x:v>
      </x:c>
      <x:c r="F3149" s="10" t="n">
        <x:v>0.008192</x:v>
      </x:c>
      <x:c r="G3149" s="10" t="n">
        <x:f>SUM(D3149:F3149)</x:f>
        <x:v>560.983904</x:v>
      </x:c>
    </x:row>
    <x:row r="3150" ht="24" customHeight="1">
      <x:c r="A3150" s="10" t="str">
        <x:v>S05-10</x:v>
      </x:c>
      <x:c r="B3150" s="10" t="str">
        <x:v>B</x:v>
      </x:c>
      <x:c r="C3150" s="18" t="n">
        <x:v>0.898333433</x:v>
      </x:c>
      <x:c r="D3150" s="10" t="n">
        <x:v>560</x:v>
      </x:c>
      <x:c r="E3150" s="10" t="n">
        <x:v>0.975712019</x:v>
      </x:c>
      <x:c r="F3150" s="10" t="n">
        <x:v>0.008192</x:v>
      </x:c>
      <x:c r="G3150" s="10" t="n">
        <x:f>SUM(D3150:F3150)</x:f>
        <x:v>560.983904019</x:v>
      </x:c>
    </x:row>
    <x:row r="3151" ht="24" customHeight="1">
      <x:c r="A3151" s="10" t="str">
        <x:v>S05-10</x:v>
      </x:c>
      <x:c r="B3151" s="10" t="str">
        <x:v>B</x:v>
      </x:c>
      <x:c r="C3151" s="18" t="n">
        <x:v>0.998333233</x:v>
      </x:c>
      <x:c r="D3151" s="10" t="n">
        <x:v>560</x:v>
      </x:c>
      <x:c r="E3151" s="10" t="n">
        <x:v>0.994911981</x:v>
      </x:c>
      <x:c r="F3151" s="10" t="n">
        <x:v>0.008192</x:v>
      </x:c>
      <x:c r="G3151" s="10" t="n">
        <x:f>SUM(D3151:F3151)</x:f>
        <x:v>561.003103981</x:v>
      </x:c>
    </x:row>
    <x:row r="3152" ht="24" customHeight="1">
      <x:c r="A3152" s="10" t="str">
        <x:v>S05-10</x:v>
      </x:c>
      <x:c r="B3152" s="10" t="str">
        <x:v>B</x:v>
      </x:c>
      <x:c r="C3152" s="18" t="n">
        <x:v>0.998333333</x:v>
      </x:c>
      <x:c r="D3152" s="10" t="n">
        <x:v>560</x:v>
      </x:c>
      <x:c r="E3152" s="10" t="n">
        <x:v>0.994912</x:v>
      </x:c>
      <x:c r="F3152" s="10" t="n">
        <x:v>0.008192</x:v>
      </x:c>
      <x:c r="G3152" s="10" t="n">
        <x:f>SUM(D3152:F3152)</x:f>
        <x:v>561.003104</x:v>
      </x:c>
    </x:row>
    <x:row r="3153" ht="24" customHeight="1">
      <x:c r="A3153" s="10" t="str">
        <x:v>S05-10</x:v>
      </x:c>
      <x:c r="B3153" s="10" t="str">
        <x:v>B</x:v>
      </x:c>
      <x:c r="C3153" s="18" t="n">
        <x:v>0.998333433</x:v>
      </x:c>
      <x:c r="D3153" s="10" t="n">
        <x:v>560</x:v>
      </x:c>
      <x:c r="E3153" s="10" t="n">
        <x:v>0.994912</x:v>
      </x:c>
      <x:c r="F3153" s="10" t="n">
        <x:v>0.008192</x:v>
      </x:c>
      <x:c r="G3153" s="10" t="n">
        <x:f>SUM(D3153:F3153)</x:f>
        <x:v>561.003104</x:v>
      </x:c>
    </x:row>
    <x:row r="3154" ht="24" customHeight="1">
      <x:c r="A3154" s="10" t="str">
        <x:v>S05-10</x:v>
      </x:c>
      <x:c r="B3154" s="10" t="str">
        <x:v>B</x:v>
      </x:c>
      <x:c r="C3154" s="18" t="n">
        <x:v>1.299333233</x:v>
      </x:c>
      <x:c r="D3154" s="10" t="n">
        <x:v>560</x:v>
      </x:c>
      <x:c r="E3154" s="10" t="n">
        <x:v>0.994912</x:v>
      </x:c>
      <x:c r="F3154" s="10" t="n">
        <x:v>0.008192</x:v>
      </x:c>
      <x:c r="G3154" s="10" t="n">
        <x:f>SUM(D3154:F3154)</x:f>
        <x:v>561.003104</x:v>
      </x:c>
    </x:row>
    <x:row r="3155" ht="24" customHeight="1">
      <x:c r="A3155" s="10" t="str">
        <x:v>S05-10</x:v>
      </x:c>
      <x:c r="B3155" s="10" t="str">
        <x:v>B</x:v>
      </x:c>
      <x:c r="C3155" s="18" t="n">
        <x:v>1.299333333</x:v>
      </x:c>
      <x:c r="D3155" s="10" t="n">
        <x:v>560</x:v>
      </x:c>
      <x:c r="E3155" s="10" t="n">
        <x:v>1.004512</x:v>
      </x:c>
      <x:c r="F3155" s="10" t="n">
        <x:v>0.008192</x:v>
      </x:c>
      <x:c r="G3155" s="10" t="n">
        <x:f>SUM(D3155:F3155)</x:f>
        <x:v>561.012704</x:v>
      </x:c>
    </x:row>
    <x:row r="3156" ht="24" customHeight="1">
      <x:c r="A3156" s="10" t="str">
        <x:v>S05-10</x:v>
      </x:c>
      <x:c r="B3156" s="10" t="str">
        <x:v>B</x:v>
      </x:c>
      <x:c r="C3156" s="18" t="n">
        <x:v>1.299333433</x:v>
      </x:c>
      <x:c r="D3156" s="10" t="n">
        <x:v>560</x:v>
      </x:c>
      <x:c r="E3156" s="10" t="n">
        <x:v>1.004512019</x:v>
      </x:c>
      <x:c r="F3156" s="10" t="n">
        <x:v>0.008192</x:v>
      </x:c>
      <x:c r="G3156" s="10" t="n">
        <x:f>SUM(D3156:F3156)</x:f>
        <x:v>561.012704019</x:v>
      </x:c>
    </x:row>
    <x:row r="3157" ht="24" customHeight="1">
      <x:c r="A3157" s="10" t="str">
        <x:v>S05-10</x:v>
      </x:c>
      <x:c r="B3157" s="10" t="str">
        <x:v>B</x:v>
      </x:c>
      <x:c r="C3157" s="18" t="n">
        <x:v>1.339333233</x:v>
      </x:c>
      <x:c r="D3157" s="10" t="n">
        <x:v>560</x:v>
      </x:c>
      <x:c r="E3157" s="10" t="n">
        <x:v>1.012191981</x:v>
      </x:c>
      <x:c r="F3157" s="10" t="n">
        <x:v>0.008192</x:v>
      </x:c>
      <x:c r="G3157" s="10" t="n">
        <x:f>SUM(D3157:F3157)</x:f>
        <x:v>561.020383981</x:v>
      </x:c>
    </x:row>
    <x:row r="3158" ht="24" customHeight="1">
      <x:c r="A3158" s="10" t="str">
        <x:v>S05-10</x:v>
      </x:c>
      <x:c r="B3158" s="10" t="str">
        <x:v>B</x:v>
      </x:c>
      <x:c r="C3158" s="18" t="n">
        <x:v>1.339333333</x:v>
      </x:c>
      <x:c r="D3158" s="10" t="n">
        <x:v>560</x:v>
      </x:c>
      <x:c r="E3158" s="10" t="n">
        <x:v>1.012192</x:v>
      </x:c>
      <x:c r="F3158" s="10" t="n">
        <x:v>0.008192</x:v>
      </x:c>
      <x:c r="G3158" s="10" t="n">
        <x:f>SUM(D3158:F3158)</x:f>
        <x:v>561.020384</x:v>
      </x:c>
    </x:row>
    <x:row r="3159" ht="24" customHeight="1">
      <x:c r="A3159" s="10" t="str">
        <x:v>S05-10</x:v>
      </x:c>
      <x:c r="B3159" s="10" t="str">
        <x:v>B</x:v>
      </x:c>
      <x:c r="C3159" s="18" t="n">
        <x:v>1.339333433</x:v>
      </x:c>
      <x:c r="D3159" s="10" t="n">
        <x:v>560</x:v>
      </x:c>
      <x:c r="E3159" s="10" t="n">
        <x:v>1.012192014</x:v>
      </x:c>
      <x:c r="F3159" s="10" t="n">
        <x:v>0.008192</x:v>
      </x:c>
      <x:c r="G3159" s="10" t="n">
        <x:f>SUM(D3159:F3159)</x:f>
        <x:v>561.020384014</x:v>
      </x:c>
    </x:row>
    <x:row r="3160" ht="24" customHeight="1">
      <x:c r="A3160" s="10" t="str">
        <x:v>S05-10</x:v>
      </x:c>
      <x:c r="B3160" s="10" t="str">
        <x:v>B</x:v>
      </x:c>
      <x:c r="C3160" s="18" t="n">
        <x:v>1.962833233</x:v>
      </x:c>
      <x:c r="D3160" s="10" t="n">
        <x:v>560</x:v>
      </x:c>
      <x:c r="E3160" s="10" t="n">
        <x:v>1.101975986</x:v>
      </x:c>
      <x:c r="F3160" s="10" t="n">
        <x:v>0.008192</x:v>
      </x:c>
      <x:c r="G3160" s="10" t="n">
        <x:f>SUM(D3160:F3160)</x:f>
        <x:v>561.110167986</x:v>
      </x:c>
    </x:row>
    <x:row r="3161" ht="24" customHeight="1">
      <x:c r="A3161" s="10" t="str">
        <x:v>S05-10</x:v>
      </x:c>
      <x:c r="B3161" s="10" t="str">
        <x:v>B</x:v>
      </x:c>
      <x:c r="C3161" s="18" t="n">
        <x:v>1.962833333</x:v>
      </x:c>
      <x:c r="D3161" s="10" t="n">
        <x:v>560</x:v>
      </x:c>
      <x:c r="E3161" s="10" t="n">
        <x:v>1.101976</x:v>
      </x:c>
      <x:c r="F3161" s="10" t="n">
        <x:v>0.008192</x:v>
      </x:c>
      <x:c r="G3161" s="10" t="n">
        <x:f>SUM(D3161:F3161)</x:f>
        <x:v>561.110168</x:v>
      </x:c>
    </x:row>
    <x:row r="3162" ht="24" customHeight="1">
      <x:c r="A3162" s="10" t="str">
        <x:v>S05-10</x:v>
      </x:c>
      <x:c r="B3162" s="10" t="str">
        <x:v>B</x:v>
      </x:c>
      <x:c r="C3162" s="18" t="n">
        <x:v>1.962833433</x:v>
      </x:c>
      <x:c r="D3162" s="10" t="n">
        <x:v>560</x:v>
      </x:c>
      <x:c r="E3162" s="10" t="n">
        <x:v>1.101975995</x:v>
      </x:c>
      <x:c r="F3162" s="10" t="n">
        <x:v>0.008192</x:v>
      </x:c>
      <x:c r="G3162" s="10" t="n">
        <x:f>SUM(D3162:F3162)</x:f>
        <x:v>561.110167995</x:v>
      </x:c>
    </x:row>
    <x:row r="3163" ht="24" customHeight="1">
      <x:c r="A3163" s="10" t="str">
        <x:v>S05-10</x:v>
      </x:c>
      <x:c r="B3163" s="10" t="str">
        <x:v>B</x:v>
      </x:c>
      <x:c r="C3163" s="18" t="n">
        <x:v>4.193333233</x:v>
      </x:c>
      <x:c r="D3163" s="10" t="n">
        <x:v>560</x:v>
      </x:c>
      <x:c r="E3163" s="10" t="n">
        <x:v>0.994912005</x:v>
      </x:c>
      <x:c r="F3163" s="10" t="n">
        <x:v>0.008192</x:v>
      </x:c>
      <x:c r="G3163" s="10" t="n">
        <x:f>SUM(D3163:F3163)</x:f>
        <x:v>561.003104005</x:v>
      </x:c>
    </x:row>
    <x:row r="3164" ht="24" customHeight="1">
      <x:c r="A3164" s="10" t="str">
        <x:v>S05-10</x:v>
      </x:c>
      <x:c r="B3164" s="10" t="str">
        <x:v>B</x:v>
      </x:c>
      <x:c r="C3164" s="18" t="n">
        <x:v>4.193333333</x:v>
      </x:c>
      <x:c r="D3164" s="10" t="n">
        <x:v>560</x:v>
      </x:c>
      <x:c r="E3164" s="10" t="n">
        <x:v>0.994912</x:v>
      </x:c>
      <x:c r="F3164" s="10" t="n">
        <x:v>0.012288</x:v>
      </x:c>
      <x:c r="G3164" s="10" t="n">
        <x:f>SUM(D3164:F3164)</x:f>
        <x:v>561.0072</x:v>
      </x:c>
    </x:row>
    <x:row r="3165" ht="24" customHeight="1">
      <x:c r="A3165" s="10" t="str">
        <x:v>S05-10</x:v>
      </x:c>
      <x:c r="B3165" s="10" t="str">
        <x:v>B</x:v>
      </x:c>
      <x:c r="C3165" s="18" t="n">
        <x:v>4.193333433</x:v>
      </x:c>
      <x:c r="D3165" s="10" t="n">
        <x:v>560</x:v>
      </x:c>
      <x:c r="E3165" s="10" t="n">
        <x:v>0.994912</x:v>
      </x:c>
      <x:c r="F3165" s="10" t="n">
        <x:v>0.008192</x:v>
      </x:c>
      <x:c r="G3165" s="10" t="n">
        <x:f>SUM(D3165:F3165)</x:f>
        <x:v>561.003104</x:v>
      </x:c>
    </x:row>
    <x:row r="3166" ht="24" customHeight="1">
      <x:c r="A3166" s="10" t="str">
        <x:v>S05-10</x:v>
      </x:c>
      <x:c r="B3166" s="10" t="str">
        <x:v>B</x:v>
      </x:c>
      <x:c r="C3166" s="18" t="n">
        <x:v>4.233333233</x:v>
      </x:c>
      <x:c r="D3166" s="10" t="n">
        <x:v>560</x:v>
      </x:c>
      <x:c r="E3166" s="10" t="n">
        <x:v>0.994912</x:v>
      </x:c>
      <x:c r="F3166" s="10" t="n">
        <x:v>0.008192</x:v>
      </x:c>
      <x:c r="G3166" s="10" t="n">
        <x:f>SUM(D3166:F3166)</x:f>
        <x:v>561.003104</x:v>
      </x:c>
    </x:row>
    <x:row r="3167" ht="24" customHeight="1">
      <x:c r="A3167" s="10" t="str">
        <x:v>S05-10</x:v>
      </x:c>
      <x:c r="B3167" s="10" t="str">
        <x:v>B</x:v>
      </x:c>
      <x:c r="C3167" s="18" t="n">
        <x:v>4.233333333</x:v>
      </x:c>
      <x:c r="D3167" s="10" t="n">
        <x:v>560</x:v>
      </x:c>
      <x:c r="E3167" s="10" t="n">
        <x:v>0.994912</x:v>
      </x:c>
      <x:c r="F3167" s="10" t="n">
        <x:v>0.008192</x:v>
      </x:c>
      <x:c r="G3167" s="10" t="n">
        <x:f>SUM(D3167:F3167)</x:f>
        <x:v>561.003104</x:v>
      </x:c>
    </x:row>
    <x:row r="3168" ht="24" customHeight="1">
      <x:c r="A3168" s="10" t="str">
        <x:v>S05-10</x:v>
      </x:c>
      <x:c r="B3168" s="10" t="str">
        <x:v>B</x:v>
      </x:c>
      <x:c r="C3168" s="18" t="n">
        <x:v>4.233333433</x:v>
      </x:c>
      <x:c r="D3168" s="10" t="n">
        <x:v>560</x:v>
      </x:c>
      <x:c r="E3168" s="10" t="n">
        <x:v>0.994911995</x:v>
      </x:c>
      <x:c r="F3168" s="10" t="n">
        <x:v>0.008192</x:v>
      </x:c>
      <x:c r="G3168" s="10" t="n">
        <x:f>SUM(D3168:F3168)</x:f>
        <x:v>561.0031039950001</x:v>
      </x:c>
    </x:row>
    <x:row r="3169" ht="24" customHeight="1">
      <x:c r="A3169" s="10" t="str">
        <x:v>S05-10</x:v>
      </x:c>
      <x:c r="B3169" s="10" t="str">
        <x:v>B</x:v>
      </x:c>
      <x:c r="C3169" s="18" t="n">
        <x:v>4.708666566</x:v>
      </x:c>
      <x:c r="D3169" s="10" t="n">
        <x:v>560</x:v>
      </x:c>
      <x:c r="E3169" s="10" t="n">
        <x:v>0.972096005</x:v>
      </x:c>
      <x:c r="F3169" s="10" t="n">
        <x:v>0.008192</x:v>
      </x:c>
      <x:c r="G3169" s="10" t="n">
        <x:f>SUM(D3169:F3169)</x:f>
        <x:v>560.980288005</x:v>
      </x:c>
    </x:row>
    <x:row r="3170" ht="24" customHeight="1">
      <x:c r="A3170" s="10" t="str">
        <x:v>S05-10</x:v>
      </x:c>
      <x:c r="B3170" s="10" t="str">
        <x:v>B</x:v>
      </x:c>
      <x:c r="C3170" s="18" t="n">
        <x:v>4.708666666</x:v>
      </x:c>
      <x:c r="D3170" s="10" t="n">
        <x:v>560</x:v>
      </x:c>
      <x:c r="E3170" s="10" t="n">
        <x:v>0.981696</x:v>
      </x:c>
      <x:c r="F3170" s="10" t="n">
        <x:v>0.008192</x:v>
      </x:c>
      <x:c r="G3170" s="10" t="n">
        <x:f>SUM(D3170:F3170)</x:f>
        <x:v>560.9898880000001</x:v>
      </x:c>
    </x:row>
    <x:row r="3171" ht="24" customHeight="1">
      <x:c r="A3171" s="10" t="str">
        <x:v>S05-10</x:v>
      </x:c>
      <x:c r="B3171" s="10" t="str">
        <x:v>B</x:v>
      </x:c>
      <x:c r="C3171" s="18" t="n">
        <x:v>4.708666766</x:v>
      </x:c>
      <x:c r="D3171" s="10" t="n">
        <x:v>560</x:v>
      </x:c>
      <x:c r="E3171" s="10" t="n">
        <x:v>0.981696014</x:v>
      </x:c>
      <x:c r="F3171" s="10" t="n">
        <x:v>0.008192</x:v>
      </x:c>
      <x:c r="G3171" s="10" t="n">
        <x:f>SUM(D3171:F3171)</x:f>
        <x:v>560.989888014</x:v>
      </x:c>
    </x:row>
    <x:row r="3172" ht="24" customHeight="1">
      <x:c r="A3172" s="10" t="str">
        <x:v>S05-10</x:v>
      </x:c>
      <x:c r="B3172" s="10" t="str">
        <x:v>B</x:v>
      </x:c>
      <x:c r="C3172" s="18" t="n">
        <x:v>8.299166566</x:v>
      </x:c>
      <x:c r="D3172" s="10" t="n">
        <x:v>560</x:v>
      </x:c>
      <x:c r="E3172" s="10" t="n">
        <x:v>1.498727986</x:v>
      </x:c>
      <x:c r="F3172" s="10" t="n">
        <x:v>0.008192</x:v>
      </x:c>
      <x:c r="G3172" s="10" t="n">
        <x:f>SUM(D3172:F3172)</x:f>
        <x:v>561.506919986</x:v>
      </x:c>
    </x:row>
    <x:row r="3173" ht="24" customHeight="1">
      <x:c r="A3173" s="10" t="str">
        <x:v>S05-10</x:v>
      </x:c>
      <x:c r="B3173" s="10" t="str">
        <x:v>B</x:v>
      </x:c>
      <x:c r="C3173" s="18" t="n">
        <x:v>8.299166666</x:v>
      </x:c>
      <x:c r="D3173" s="10" t="n">
        <x:v>560</x:v>
      </x:c>
      <x:c r="E3173" s="10" t="n">
        <x:v>1.498728</x:v>
      </x:c>
      <x:c r="F3173" s="10" t="n">
        <x:v>0.008192</x:v>
      </x:c>
      <x:c r="G3173" s="10" t="n">
        <x:f>SUM(D3173:F3173)</x:f>
        <x:v>561.50692</x:v>
      </x:c>
    </x:row>
    <x:row r="3174" ht="24" customHeight="1">
      <x:c r="A3174" s="10" t="str">
        <x:v>S05-10</x:v>
      </x:c>
      <x:c r="B3174" s="10" t="str">
        <x:v>B</x:v>
      </x:c>
      <x:c r="C3174" s="18" t="n">
        <x:v>8.299166766</x:v>
      </x:c>
      <x:c r="D3174" s="10" t="n">
        <x:v>560</x:v>
      </x:c>
      <x:c r="E3174" s="10" t="n">
        <x:v>1.498727995</x:v>
      </x:c>
      <x:c r="F3174" s="10" t="n">
        <x:v>0.008192</x:v>
      </x:c>
      <x:c r="G3174" s="10" t="n">
        <x:f>SUM(D3174:F3174)</x:f>
        <x:v>561.506919995</x:v>
      </x:c>
    </x:row>
    <x:row r="3175" ht="24" customHeight="1">
      <x:c r="A3175" s="10" t="str">
        <x:v>S05-10</x:v>
      </x:c>
      <x:c r="B3175" s="10" t="str">
        <x:v>B</x:v>
      </x:c>
      <x:c r="C3175" s="18" t="n">
        <x:v>24.960666566</x:v>
      </x:c>
      <x:c r="D3175" s="10" t="n">
        <x:v>560</x:v>
      </x:c>
      <x:c r="E3175" s="10" t="n">
        <x:v>0.698976005</x:v>
      </x:c>
      <x:c r="F3175" s="10" t="n">
        <x:v>0.008192</x:v>
      </x:c>
      <x:c r="G3175" s="10" t="n">
        <x:f>SUM(D3175:F3175)</x:f>
        <x:v>560.707168005</x:v>
      </x:c>
    </x:row>
    <x:row r="3176" ht="24" customHeight="1">
      <x:c r="A3176" s="10" t="str">
        <x:v>S05-10</x:v>
      </x:c>
      <x:c r="B3176" s="10" t="str">
        <x:v>B</x:v>
      </x:c>
      <x:c r="C3176" s="18" t="n">
        <x:v>24.960666666</x:v>
      </x:c>
      <x:c r="D3176" s="10" t="n">
        <x:v>560</x:v>
      </x:c>
      <x:c r="E3176" s="10" t="n">
        <x:v>0.698976</x:v>
      </x:c>
      <x:c r="F3176" s="10" t="n">
        <x:v>0.008192</x:v>
      </x:c>
      <x:c r="G3176" s="10" t="n">
        <x:f>SUM(D3176:F3176)</x:f>
        <x:v>560.707168</x:v>
      </x:c>
    </x:row>
    <x:row r="3177" ht="24" customHeight="1">
      <x:c r="A3177" s="10" t="str">
        <x:v>S05-10</x:v>
      </x:c>
      <x:c r="B3177" s="10" t="str">
        <x:v>B</x:v>
      </x:c>
      <x:c r="C3177" s="18" t="n">
        <x:v>24.960666766</x:v>
      </x:c>
      <x:c r="D3177" s="10" t="n">
        <x:v>560</x:v>
      </x:c>
      <x:c r="E3177" s="10" t="n">
        <x:v>0.698976</x:v>
      </x:c>
      <x:c r="F3177" s="10" t="n">
        <x:v>0.004096</x:v>
      </x:c>
      <x:c r="G3177" s="10" t="n">
        <x:f>SUM(D3177:F3177)</x:f>
        <x:v>560.703072</x:v>
      </x:c>
    </x:row>
    <x:row r="3178" ht="24" customHeight="1">
      <x:c r="A3178" s="10" t="str">
        <x:v>S05-10</x:v>
      </x:c>
      <x:c r="B3178" s="10" t="str">
        <x:v>B</x:v>
      </x:c>
      <x:c r="C3178" s="18" t="n">
        <x:v>25.000666566</x:v>
      </x:c>
      <x:c r="D3178" s="10" t="n">
        <x:v>560</x:v>
      </x:c>
      <x:c r="E3178" s="10" t="n">
        <x:v>0.698976</x:v>
      </x:c>
      <x:c r="F3178" s="10" t="n">
        <x:v>0.004096</x:v>
      </x:c>
      <x:c r="G3178" s="10" t="n">
        <x:f>SUM(D3178:F3178)</x:f>
        <x:v>560.703072</x:v>
      </x:c>
    </x:row>
    <x:row r="3179" ht="24" customHeight="1">
      <x:c r="A3179" s="10" t="str">
        <x:v>S05-10</x:v>
      </x:c>
      <x:c r="B3179" s="10" t="str">
        <x:v>B</x:v>
      </x:c>
      <x:c r="C3179" s="18" t="n">
        <x:v>25.000666666</x:v>
      </x:c>
      <x:c r="D3179" s="10" t="n">
        <x:v>560</x:v>
      </x:c>
      <x:c r="E3179" s="10" t="n">
        <x:v>0.698976</x:v>
      </x:c>
      <x:c r="F3179" s="10" t="n">
        <x:v>0.004096</x:v>
      </x:c>
      <x:c r="G3179" s="10" t="n">
        <x:f>SUM(D3179:F3179)</x:f>
        <x:v>560.703072</x:v>
      </x:c>
    </x:row>
    <x:row r="3180" ht="24" customHeight="1">
      <x:c r="A3180" s="10" t="str">
        <x:v>S05-10</x:v>
      </x:c>
      <x:c r="B3180" s="10" t="str">
        <x:v>B</x:v>
      </x:c>
      <x:c r="C3180" s="18" t="n">
        <x:v>25.000666766</x:v>
      </x:c>
      <x:c r="D3180" s="10" t="n">
        <x:v>560</x:v>
      </x:c>
      <x:c r="E3180" s="10" t="n">
        <x:v>0.698975995</x:v>
      </x:c>
      <x:c r="F3180" s="10" t="n">
        <x:v>0.004096</x:v>
      </x:c>
      <x:c r="G3180" s="10" t="n">
        <x:f>SUM(D3180:F3180)</x:f>
        <x:v>560.703071995</x:v>
      </x:c>
    </x:row>
    <x:row r="3181" ht="24" customHeight="1">
      <x:c r="A3181" s="10" t="str">
        <x:v>S05-10</x:v>
      </x:c>
      <x:c r="B3181" s="10" t="str">
        <x:v>B</x:v>
      </x:c>
      <x:c r="C3181" s="18" t="n">
        <x:v>39.562666566</x:v>
      </x:c>
      <x:c r="D3181" s="10" t="n">
        <x:v>560</x:v>
      </x:c>
      <x:c r="E3181" s="10" t="n">
        <x:v>5e-9</x:v>
      </x:c>
      <x:c r="F3181" s="10" t="n">
        <x:v>0.004096</x:v>
      </x:c>
      <x:c r="G3181" s="10" t="n">
        <x:f>SUM(D3181:F3181)</x:f>
        <x:v>560.004096005</x:v>
      </x:c>
    </x:row>
    <x:row r="3182" ht="24" customHeight="1">
      <x:c r="A3182" s="10" t="str">
        <x:v>S05-10</x:v>
      </x:c>
      <x:c r="B3182" s="10" t="str">
        <x:v>B</x:v>
      </x:c>
      <x:c r="C3182" s="18" t="n">
        <x:v>39.562666666</x:v>
      </x:c>
      <x:c r="D3182" s="10" t="n">
        <x:v>560</x:v>
      </x:c>
      <x:c r="E3182" s="10" t="n">
        <x:v>0</x:v>
      </x:c>
      <x:c r="F3182" s="10" t="n">
        <x:v>0.004096</x:v>
      </x:c>
      <x:c r="G3182" s="10" t="n">
        <x:f>SUM(D3182:F3182)</x:f>
        <x:v>560.004096</x:v>
      </x:c>
    </x:row>
    <x:row r="3183" ht="24" customHeight="1">
      <x:c r="A3183" s="10" t="str">
        <x:v>S05-10</x:v>
      </x:c>
      <x:c r="B3183" s="10" t="str">
        <x:v>B</x:v>
      </x:c>
      <x:c r="C3183" s="18" t="n">
        <x:v>39.562666766</x:v>
      </x:c>
      <x:c r="D3183" s="10" t="n">
        <x:v>560</x:v>
      </x:c>
      <x:c r="E3183" s="10" t="n">
        <x:v>0</x:v>
      </x:c>
      <x:c r="F3183" s="10" t="n">
        <x:v>0</x:v>
      </x:c>
      <x:c r="G3183" s="10" t="n">
        <x:f>SUM(D3183:F3183)</x:f>
        <x:v>560</x:v>
      </x:c>
    </x:row>
    <x:row r="3184" ht="24" customHeight="1">
      <x:c r="A3184" s="10" t="str">
        <x:v>S06-01</x:v>
      </x:c>
      <x:c r="B3184" s="10" t="str">
        <x:v>A</x:v>
      </x:c>
      <x:c r="C3184" s="18" t="n">
        <x:v>-6.0000001</x:v>
      </x:c>
      <x:c r="D3184" s="10" t="n">
        <x:v>560</x:v>
      </x:c>
      <x:c r="E3184" s="10" t="n">
        <x:v>0</x:v>
      </x:c>
      <x:c r="F3184" s="10" t="n">
        <x:v>0</x:v>
      </x:c>
      <x:c r="G3184" s="10" t="n">
        <x:f>SUM(D3184:F3184)</x:f>
        <x:v>560</x:v>
      </x:c>
    </x:row>
    <x:row r="3185" ht="24" customHeight="1">
      <x:c r="A3185" s="10" t="str">
        <x:v>S06-01</x:v>
      </x:c>
      <x:c r="B3185" s="10" t="str">
        <x:v>A</x:v>
      </x:c>
      <x:c r="C3185" s="18" t="n">
        <x:v>-6</x:v>
      </x:c>
      <x:c r="D3185" s="10" t="n">
        <x:v>560</x:v>
      </x:c>
      <x:c r="E3185" s="10" t="n">
        <x:v>0</x:v>
      </x:c>
      <x:c r="F3185" s="10" t="n">
        <x:v>0</x:v>
      </x:c>
      <x:c r="G3185" s="10" t="n">
        <x:f>SUM(D3185:F3185)</x:f>
        <x:v>560</x:v>
      </x:c>
    </x:row>
    <x:row r="3186" ht="24" customHeight="1">
      <x:c r="A3186" s="10" t="str">
        <x:v>S06-01</x:v>
      </x:c>
      <x:c r="B3186" s="10" t="str">
        <x:v>A</x:v>
      </x:c>
      <x:c r="C3186" s="18" t="n">
        <x:v>-5.9999999</x:v>
      </x:c>
      <x:c r="D3186" s="10" t="n">
        <x:v>560</x:v>
      </x:c>
      <x:c r="E3186" s="10" t="n">
        <x:v>0</x:v>
      </x:c>
      <x:c r="F3186" s="10" t="n">
        <x:v>0</x:v>
      </x:c>
      <x:c r="G3186" s="10" t="n">
        <x:f>SUM(D3186:F3186)</x:f>
        <x:v>560</x:v>
      </x:c>
    </x:row>
    <x:row r="3187" ht="24" customHeight="1">
      <x:c r="A3187" s="10" t="str">
        <x:v>S06-01</x:v>
      </x:c>
      <x:c r="B3187" s="10" t="str">
        <x:v>A</x:v>
      </x:c>
      <x:c r="C3187" s="18" t="n">
        <x:v>-4.0000001</x:v>
      </x:c>
      <x:c r="D3187" s="10" t="n">
        <x:v>560</x:v>
      </x:c>
      <x:c r="E3187" s="10" t="n">
        <x:v>0</x:v>
      </x:c>
      <x:c r="F3187" s="10" t="n">
        <x:v>0</x:v>
      </x:c>
      <x:c r="G3187" s="10" t="n">
        <x:f>SUM(D3187:F3187)</x:f>
        <x:v>560</x:v>
      </x:c>
    </x:row>
    <x:row r="3188" ht="24" customHeight="1">
      <x:c r="A3188" s="10" t="str">
        <x:v>S06-01</x:v>
      </x:c>
      <x:c r="B3188" s="10" t="str">
        <x:v>A</x:v>
      </x:c>
      <x:c r="C3188" s="18" t="n">
        <x:v>-4</x:v>
      </x:c>
      <x:c r="D3188" s="10" t="n">
        <x:v>560</x:v>
      </x:c>
      <x:c r="E3188" s="10" t="n">
        <x:v>0</x:v>
      </x:c>
      <x:c r="F3188" s="10" t="n">
        <x:v>0.004096</x:v>
      </x:c>
      <x:c r="G3188" s="10" t="n">
        <x:f>SUM(D3188:F3188)</x:f>
        <x:v>560.004096</x:v>
      </x:c>
    </x:row>
    <x:row r="3189" ht="24" customHeight="1">
      <x:c r="A3189" s="10" t="str">
        <x:v>S06-01</x:v>
      </x:c>
      <x:c r="B3189" s="10" t="str">
        <x:v>A</x:v>
      </x:c>
      <x:c r="C3189" s="18" t="n">
        <x:v>-3.9999999</x:v>
      </x:c>
      <x:c r="D3189" s="10" t="n">
        <x:v>560</x:v>
      </x:c>
      <x:c r="E3189" s="10" t="n">
        <x:v>0</x:v>
      </x:c>
      <x:c r="F3189" s="10" t="n">
        <x:v>0.004096</x:v>
      </x:c>
      <x:c r="G3189" s="10" t="n">
        <x:f>SUM(D3189:F3189)</x:f>
        <x:v>560.004096</x:v>
      </x:c>
    </x:row>
    <x:row r="3190" ht="24" customHeight="1">
      <x:c r="A3190" s="10" t="str">
        <x:v>S06-01</x:v>
      </x:c>
      <x:c r="B3190" s="10" t="str">
        <x:v>A</x:v>
      </x:c>
      <x:c r="C3190" s="18" t="n">
        <x:v>-3.594333433</x:v>
      </x:c>
      <x:c r="D3190" s="10" t="n">
        <x:v>560</x:v>
      </x:c>
      <x:c r="E3190" s="10" t="n">
        <x:v>0</x:v>
      </x:c>
      <x:c r="F3190" s="10" t="n">
        <x:v>0.004096</x:v>
      </x:c>
      <x:c r="G3190" s="10" t="n">
        <x:f>SUM(D3190:F3190)</x:f>
        <x:v>560.004096</x:v>
      </x:c>
    </x:row>
    <x:row r="3191" ht="24" customHeight="1">
      <x:c r="A3191" s="10" t="str">
        <x:v>S06-01</x:v>
      </x:c>
      <x:c r="B3191" s="10" t="str">
        <x:v>A</x:v>
      </x:c>
      <x:c r="C3191" s="18" t="n">
        <x:v>-3.594333333</x:v>
      </x:c>
      <x:c r="D3191" s="10" t="n">
        <x:v>560</x:v>
      </x:c>
      <x:c r="E3191" s="10" t="n">
        <x:v>0.0096</x:v>
      </x:c>
      <x:c r="F3191" s="10" t="n">
        <x:v>0.004096</x:v>
      </x:c>
      <x:c r="G3191" s="10" t="n">
        <x:f>SUM(D3191:F3191)</x:f>
        <x:v>560.013696</x:v>
      </x:c>
    </x:row>
    <x:row r="3192" ht="24" customHeight="1">
      <x:c r="A3192" s="10" t="str">
        <x:v>S06-01</x:v>
      </x:c>
      <x:c r="B3192" s="10" t="str">
        <x:v>A</x:v>
      </x:c>
      <x:c r="C3192" s="18" t="n">
        <x:v>-3.594333233</x:v>
      </x:c>
      <x:c r="D3192" s="10" t="n">
        <x:v>560</x:v>
      </x:c>
      <x:c r="E3192" s="10" t="n">
        <x:v>0.009600019</x:v>
      </x:c>
      <x:c r="F3192" s="10" t="n">
        <x:v>0.004096</x:v>
      </x:c>
      <x:c r="G3192" s="10" t="n">
        <x:f>SUM(D3192:F3192)</x:f>
        <x:v>560.013696019</x:v>
      </x:c>
    </x:row>
    <x:row r="3193" ht="24" customHeight="1">
      <x:c r="A3193" s="10" t="str">
        <x:v>S06-01</x:v>
      </x:c>
      <x:c r="B3193" s="10" t="str">
        <x:v>A</x:v>
      </x:c>
      <x:c r="C3193" s="18" t="n">
        <x:v>-2.9200001</x:v>
      </x:c>
      <x:c r="D3193" s="10" t="n">
        <x:v>560</x:v>
      </x:c>
      <x:c r="E3193" s="10" t="n">
        <x:v>0.139071981</x:v>
      </x:c>
      <x:c r="F3193" s="10" t="n">
        <x:v>0.004096</x:v>
      </x:c>
      <x:c r="G3193" s="10" t="n">
        <x:f>SUM(D3193:F3193)</x:f>
        <x:v>560.143167981</x:v>
      </x:c>
    </x:row>
    <x:row r="3194" ht="24" customHeight="1">
      <x:c r="A3194" s="10" t="str">
        <x:v>S06-01</x:v>
      </x:c>
      <x:c r="B3194" s="10" t="str">
        <x:v>A</x:v>
      </x:c>
      <x:c r="C3194" s="18" t="n">
        <x:v>-2.92</x:v>
      </x:c>
      <x:c r="D3194" s="10" t="n">
        <x:v>560</x:v>
      </x:c>
      <x:c r="E3194" s="10" t="n">
        <x:v>0.139072</x:v>
      </x:c>
      <x:c r="F3194" s="10" t="n">
        <x:v>0.004096</x:v>
      </x:c>
      <x:c r="G3194" s="10" t="n">
        <x:f>SUM(D3194:F3194)</x:f>
        <x:v>560.1431680000001</x:v>
      </x:c>
    </x:row>
    <x:row r="3195" ht="24" customHeight="1">
      <x:c r="A3195" s="10" t="str">
        <x:v>S06-01</x:v>
      </x:c>
      <x:c r="B3195" s="10" t="str">
        <x:v>A</x:v>
      </x:c>
      <x:c r="C3195" s="18" t="n">
        <x:v>-2.9199999</x:v>
      </x:c>
      <x:c r="D3195" s="10" t="n">
        <x:v>560</x:v>
      </x:c>
      <x:c r="E3195" s="10" t="n">
        <x:v>0.139072014</x:v>
      </x:c>
      <x:c r="F3195" s="10" t="n">
        <x:v>0.004096</x:v>
      </x:c>
      <x:c r="G3195" s="10" t="n">
        <x:f>SUM(D3195:F3195)</x:f>
        <x:v>560.143168014</x:v>
      </x:c>
    </x:row>
    <x:row r="3196" ht="24" customHeight="1">
      <x:c r="A3196" s="10" t="str">
        <x:v>S06-01</x:v>
      </x:c>
      <x:c r="B3196" s="10" t="str">
        <x:v>A</x:v>
      </x:c>
      <x:c r="C3196" s="18" t="n">
        <x:v>-1.9200001</x:v>
      </x:c>
      <x:c r="D3196" s="10" t="n">
        <x:v>560</x:v>
      </x:c>
      <x:c r="E3196" s="10" t="n">
        <x:v>0.283071986</x:v>
      </x:c>
      <x:c r="F3196" s="10" t="n">
        <x:v>0.004096</x:v>
      </x:c>
      <x:c r="G3196" s="10" t="n">
        <x:f>SUM(D3196:F3196)</x:f>
        <x:v>560.287167986</x:v>
      </x:c>
    </x:row>
    <x:row r="3197" ht="24" customHeight="1">
      <x:c r="A3197" s="10" t="str">
        <x:v>S06-01</x:v>
      </x:c>
      <x:c r="B3197" s="10" t="str">
        <x:v>A</x:v>
      </x:c>
      <x:c r="C3197" s="18" t="n">
        <x:v>-1.92</x:v>
      </x:c>
      <x:c r="D3197" s="10" t="n">
        <x:v>560</x:v>
      </x:c>
      <x:c r="E3197" s="10" t="n">
        <x:v>0.283072</x:v>
      </x:c>
      <x:c r="F3197" s="10" t="n">
        <x:v>0.004096</x:v>
      </x:c>
      <x:c r="G3197" s="10" t="n">
        <x:f>SUM(D3197:F3197)</x:f>
        <x:v>560.287168</x:v>
      </x:c>
    </x:row>
    <x:row r="3198" ht="24" customHeight="1">
      <x:c r="A3198" s="10" t="str">
        <x:v>S06-01</x:v>
      </x:c>
      <x:c r="B3198" s="10" t="str">
        <x:v>A</x:v>
      </x:c>
      <x:c r="C3198" s="18" t="n">
        <x:v>-1.9199999</x:v>
      </x:c>
      <x:c r="D3198" s="10" t="n">
        <x:v>560</x:v>
      </x:c>
      <x:c r="E3198" s="10" t="n">
        <x:v>0.283072019</x:v>
      </x:c>
      <x:c r="F3198" s="10" t="n">
        <x:v>0.004096</x:v>
      </x:c>
      <x:c r="G3198" s="10" t="n">
        <x:f>SUM(D3198:F3198)</x:f>
        <x:v>560.287168019</x:v>
      </x:c>
    </x:row>
    <x:row r="3199" ht="24" customHeight="1">
      <x:c r="A3199" s="10" t="str">
        <x:v>S06-01</x:v>
      </x:c>
      <x:c r="B3199" s="10" t="str">
        <x:v>A</x:v>
      </x:c>
      <x:c r="C3199" s="18" t="n">
        <x:v>-1.657833433</x:v>
      </x:c>
      <x:c r="D3199" s="10" t="n">
        <x:v>560</x:v>
      </x:c>
      <x:c r="E3199" s="10" t="n">
        <x:v>0.333407981</x:v>
      </x:c>
      <x:c r="F3199" s="10" t="n">
        <x:v>0.004096</x:v>
      </x:c>
      <x:c r="G3199" s="10" t="n">
        <x:f>SUM(D3199:F3199)</x:f>
        <x:v>560.337503981</x:v>
      </x:c>
    </x:row>
    <x:row r="3200" ht="24" customHeight="1">
      <x:c r="A3200" s="10" t="str">
        <x:v>S06-01</x:v>
      </x:c>
      <x:c r="B3200" s="10" t="str">
        <x:v>A</x:v>
      </x:c>
      <x:c r="C3200" s="18" t="n">
        <x:v>-1.657833333</x:v>
      </x:c>
      <x:c r="D3200" s="10" t="n">
        <x:v>560</x:v>
      </x:c>
      <x:c r="E3200" s="10" t="n">
        <x:v>0.333408</x:v>
      </x:c>
      <x:c r="F3200" s="10" t="n">
        <x:v>0.004096</x:v>
      </x:c>
      <x:c r="G3200" s="10" t="n">
        <x:f>SUM(D3200:F3200)</x:f>
        <x:v>560.337504</x:v>
      </x:c>
    </x:row>
    <x:row r="3201" ht="24" customHeight="1">
      <x:c r="A3201" s="10" t="str">
        <x:v>S06-01</x:v>
      </x:c>
      <x:c r="B3201" s="10" t="str">
        <x:v>A</x:v>
      </x:c>
      <x:c r="C3201" s="18" t="n">
        <x:v>-1.657833233</x:v>
      </x:c>
      <x:c r="D3201" s="10" t="n">
        <x:v>560</x:v>
      </x:c>
      <x:c r="E3201" s="10" t="n">
        <x:v>0.333408</x:v>
      </x:c>
      <x:c r="F3201" s="10" t="n">
        <x:v>0.004096</x:v>
      </x:c>
      <x:c r="G3201" s="10" t="n">
        <x:f>SUM(D3201:F3201)</x:f>
        <x:v>560.337504</x:v>
      </x:c>
    </x:row>
    <x:row r="3202" ht="24" customHeight="1">
      <x:c r="A3202" s="10" t="str">
        <x:v>S06-01</x:v>
      </x:c>
      <x:c r="B3202" s="10" t="str">
        <x:v>A</x:v>
      </x:c>
      <x:c r="C3202" s="18" t="n">
        <x:v>-1e-7</x:v>
      </x:c>
      <x:c r="D3202" s="10" t="n">
        <x:v>560</x:v>
      </x:c>
      <x:c r="E3202" s="10" t="n">
        <x:v>0.333408</x:v>
      </x:c>
      <x:c r="F3202" s="10" t="n">
        <x:v>0.004096</x:v>
      </x:c>
      <x:c r="G3202" s="10" t="n">
        <x:f>SUM(D3202:F3202)</x:f>
        <x:v>560.337504</x:v>
      </x:c>
    </x:row>
    <x:row r="3203" ht="24" customHeight="1">
      <x:c r="A3203" s="10" t="str">
        <x:v>S06-01</x:v>
      </x:c>
      <x:c r="B3203" s="10" t="str">
        <x:v>A</x:v>
      </x:c>
      <x:c r="C3203" s="18" t="n">
        <x:v>0</x:v>
      </x:c>
      <x:c r="D3203" s="10" t="n">
        <x:v>560</x:v>
      </x:c>
      <x:c r="E3203" s="10" t="n">
        <x:v>0.333408</x:v>
      </x:c>
      <x:c r="F3203" s="10" t="n">
        <x:v>0.004096</x:v>
      </x:c>
      <x:c r="G3203" s="10" t="n">
        <x:f>SUM(D3203:F3203)</x:f>
        <x:v>560.337504</x:v>
      </x:c>
    </x:row>
    <x:row r="3204" ht="24" customHeight="1">
      <x:c r="A3204" s="10" t="str">
        <x:v>S06-01</x:v>
      </x:c>
      <x:c r="B3204" s="10" t="str">
        <x:v>A</x:v>
      </x:c>
      <x:c r="C3204" s="18" t="n">
        <x:v>1e-7</x:v>
      </x:c>
      <x:c r="D3204" s="10" t="n">
        <x:v>560</x:v>
      </x:c>
      <x:c r="E3204" s="10" t="n">
        <x:v>0.333408</x:v>
      </x:c>
      <x:c r="F3204" s="10" t="n">
        <x:v>0.004096</x:v>
      </x:c>
      <x:c r="G3204" s="10" t="n">
        <x:f>SUM(D3204:F3204)</x:f>
        <x:v>560.337504</x:v>
      </x:c>
    </x:row>
    <x:row r="3205" ht="24" customHeight="1">
      <x:c r="A3205" s="10" t="str">
        <x:v>S06-01</x:v>
      </x:c>
      <x:c r="B3205" s="10" t="str">
        <x:v>A</x:v>
      </x:c>
      <x:c r="C3205" s="18" t="n">
        <x:v>0.868333233</x:v>
      </x:c>
      <x:c r="D3205" s="10" t="n">
        <x:v>560</x:v>
      </x:c>
      <x:c r="E3205" s="10" t="n">
        <x:v>0.333408</x:v>
      </x:c>
      <x:c r="F3205" s="10" t="n">
        <x:v>0.004096</x:v>
      </x:c>
      <x:c r="G3205" s="10" t="n">
        <x:f>SUM(D3205:F3205)</x:f>
        <x:v>560.337504</x:v>
      </x:c>
    </x:row>
    <x:row r="3206" ht="24" customHeight="1">
      <x:c r="A3206" s="10" t="str">
        <x:v>S06-01</x:v>
      </x:c>
      <x:c r="B3206" s="10" t="str">
        <x:v>A</x:v>
      </x:c>
      <x:c r="C3206" s="18" t="n">
        <x:v>0.868333333</x:v>
      </x:c>
      <x:c r="D3206" s="10" t="n">
        <x:v>560</x:v>
      </x:c>
      <x:c r="E3206" s="10" t="n">
        <x:v>0.333408</x:v>
      </x:c>
      <x:c r="F3206" s="10" t="n">
        <x:v>0.004096</x:v>
      </x:c>
      <x:c r="G3206" s="10" t="n">
        <x:f>SUM(D3206:F3206)</x:f>
        <x:v>560.337504</x:v>
      </x:c>
    </x:row>
    <x:row r="3207" ht="24" customHeight="1">
      <x:c r="A3207" s="10" t="str">
        <x:v>S06-01</x:v>
      </x:c>
      <x:c r="B3207" s="10" t="str">
        <x:v>A</x:v>
      </x:c>
      <x:c r="C3207" s="18" t="n">
        <x:v>0.868333433</x:v>
      </x:c>
      <x:c r="D3207" s="10" t="n">
        <x:v>560</x:v>
      </x:c>
      <x:c r="E3207" s="10" t="n">
        <x:v>0.333408</x:v>
      </x:c>
      <x:c r="F3207" s="10" t="n">
        <x:v>0.004096</x:v>
      </x:c>
      <x:c r="G3207" s="10" t="n">
        <x:f>SUM(D3207:F3207)</x:f>
        <x:v>560.337504</x:v>
      </x:c>
    </x:row>
    <x:row r="3208" ht="24" customHeight="1">
      <x:c r="A3208" s="10" t="str">
        <x:v>S06-01</x:v>
      </x:c>
      <x:c r="B3208" s="10" t="str">
        <x:v>A</x:v>
      </x:c>
      <x:c r="C3208" s="18" t="n">
        <x:v>0.908333233</x:v>
      </x:c>
      <x:c r="D3208" s="10" t="n">
        <x:v>560</x:v>
      </x:c>
      <x:c r="E3208" s="10" t="n">
        <x:v>0.333408</x:v>
      </x:c>
      <x:c r="F3208" s="10" t="n">
        <x:v>0.004096</x:v>
      </x:c>
      <x:c r="G3208" s="10" t="n">
        <x:f>SUM(D3208:F3208)</x:f>
        <x:v>560.337504</x:v>
      </x:c>
    </x:row>
    <x:row r="3209" ht="24" customHeight="1">
      <x:c r="A3209" s="10" t="str">
        <x:v>S06-01</x:v>
      </x:c>
      <x:c r="B3209" s="10" t="str">
        <x:v>A</x:v>
      </x:c>
      <x:c r="C3209" s="18" t="n">
        <x:v>0.908333333</x:v>
      </x:c>
      <x:c r="D3209" s="10" t="n">
        <x:v>560</x:v>
      </x:c>
      <x:c r="E3209" s="10" t="n">
        <x:v>0.333408</x:v>
      </x:c>
      <x:c r="F3209" s="10" t="n">
        <x:v>0.004096</x:v>
      </x:c>
      <x:c r="G3209" s="10" t="n">
        <x:f>SUM(D3209:F3209)</x:f>
        <x:v>560.337504</x:v>
      </x:c>
    </x:row>
    <x:row r="3210" ht="24" customHeight="1">
      <x:c r="A3210" s="10" t="str">
        <x:v>S06-01</x:v>
      </x:c>
      <x:c r="B3210" s="10" t="str">
        <x:v>A</x:v>
      </x:c>
      <x:c r="C3210" s="18" t="n">
        <x:v>0.908333433</x:v>
      </x:c>
      <x:c r="D3210" s="10" t="n">
        <x:v>560</x:v>
      </x:c>
      <x:c r="E3210" s="10" t="n">
        <x:v>0.333407995</x:v>
      </x:c>
      <x:c r="F3210" s="10" t="n">
        <x:v>0.004096</x:v>
      </x:c>
      <x:c r="G3210" s="10" t="n">
        <x:f>SUM(D3210:F3210)</x:f>
        <x:v>560.337503995</x:v>
      </x:c>
    </x:row>
    <x:row r="3211" ht="24" customHeight="1">
      <x:c r="A3211" s="10" t="str">
        <x:v>S06-01</x:v>
      </x:c>
      <x:c r="B3211" s="10" t="str">
        <x:v>A</x:v>
      </x:c>
      <x:c r="C3211" s="18" t="n">
        <x:v>1.508333233</x:v>
      </x:c>
      <x:c r="D3211" s="10" t="n">
        <x:v>560</x:v>
      </x:c>
      <x:c r="E3211" s="10" t="n">
        <x:v>0.304608005</x:v>
      </x:c>
      <x:c r="F3211" s="10" t="n">
        <x:v>0.004096</x:v>
      </x:c>
      <x:c r="G3211" s="10" t="n">
        <x:f>SUM(D3211:F3211)</x:f>
        <x:v>560.308704005</x:v>
      </x:c>
    </x:row>
    <x:row r="3212" ht="24" customHeight="1">
      <x:c r="A3212" s="10" t="str">
        <x:v>S06-01</x:v>
      </x:c>
      <x:c r="B3212" s="10" t="str">
        <x:v>A</x:v>
      </x:c>
      <x:c r="C3212" s="18" t="n">
        <x:v>1.508333333</x:v>
      </x:c>
      <x:c r="D3212" s="10" t="n">
        <x:v>560</x:v>
      </x:c>
      <x:c r="E3212" s="10" t="n">
        <x:v>0.304608</x:v>
      </x:c>
      <x:c r="F3212" s="10" t="n">
        <x:v>0.004096</x:v>
      </x:c>
      <x:c r="G3212" s="10" t="n">
        <x:f>SUM(D3212:F3212)</x:f>
        <x:v>560.308704</x:v>
      </x:c>
    </x:row>
    <x:row r="3213" ht="24" customHeight="1">
      <x:c r="A3213" s="10" t="str">
        <x:v>S06-01</x:v>
      </x:c>
      <x:c r="B3213" s="10" t="str">
        <x:v>A</x:v>
      </x:c>
      <x:c r="C3213" s="18" t="n">
        <x:v>1.508333433</x:v>
      </x:c>
      <x:c r="D3213" s="10" t="n">
        <x:v>560</x:v>
      </x:c>
      <x:c r="E3213" s="10" t="n">
        <x:v>0.304608</x:v>
      </x:c>
      <x:c r="F3213" s="10" t="n">
        <x:v>0.004096</x:v>
      </x:c>
      <x:c r="G3213" s="10" t="n">
        <x:f>SUM(D3213:F3213)</x:f>
        <x:v>560.308704</x:v>
      </x:c>
    </x:row>
    <x:row r="3214" ht="24" customHeight="1">
      <x:c r="A3214" s="10" t="str">
        <x:v>S06-01</x:v>
      </x:c>
      <x:c r="B3214" s="10" t="str">
        <x:v>A</x:v>
      </x:c>
      <x:c r="C3214" s="18" t="n">
        <x:v>1.808333233</x:v>
      </x:c>
      <x:c r="D3214" s="10" t="n">
        <x:v>560</x:v>
      </x:c>
      <x:c r="E3214" s="10" t="n">
        <x:v>0.304608</x:v>
      </x:c>
      <x:c r="F3214" s="10" t="n">
        <x:v>0.004096</x:v>
      </x:c>
      <x:c r="G3214" s="10" t="n">
        <x:f>SUM(D3214:F3214)</x:f>
        <x:v>560.308704</x:v>
      </x:c>
    </x:row>
    <x:row r="3215" ht="24" customHeight="1">
      <x:c r="A3215" s="10" t="str">
        <x:v>S06-01</x:v>
      </x:c>
      <x:c r="B3215" s="10" t="str">
        <x:v>A</x:v>
      </x:c>
      <x:c r="C3215" s="18" t="n">
        <x:v>1.808333333</x:v>
      </x:c>
      <x:c r="D3215" s="10" t="n">
        <x:v>560</x:v>
      </x:c>
      <x:c r="E3215" s="10" t="n">
        <x:v>0.304608</x:v>
      </x:c>
      <x:c r="F3215" s="10" t="n">
        <x:v>0.004096</x:v>
      </x:c>
      <x:c r="G3215" s="10" t="n">
        <x:f>SUM(D3215:F3215)</x:f>
        <x:v>560.308704</x:v>
      </x:c>
    </x:row>
    <x:row r="3216" ht="24" customHeight="1">
      <x:c r="A3216" s="10" t="str">
        <x:v>S06-01</x:v>
      </x:c>
      <x:c r="B3216" s="10" t="str">
        <x:v>A</x:v>
      </x:c>
      <x:c r="C3216" s="18" t="n">
        <x:v>1.808333433</x:v>
      </x:c>
      <x:c r="D3216" s="10" t="n">
        <x:v>560</x:v>
      </x:c>
      <x:c r="E3216" s="10" t="n">
        <x:v>0.304607995</x:v>
      </x:c>
      <x:c r="F3216" s="10" t="n">
        <x:v>0.004096</x:v>
      </x:c>
      <x:c r="G3216" s="10" t="n">
        <x:f>SUM(D3216:F3216)</x:f>
        <x:v>560.308703995</x:v>
      </x:c>
    </x:row>
    <x:row r="3217" ht="24" customHeight="1">
      <x:c r="A3217" s="10" t="str">
        <x:v>S06-01</x:v>
      </x:c>
      <x:c r="B3217" s="10" t="str">
        <x:v>A</x:v>
      </x:c>
      <x:c r="C3217" s="18" t="n">
        <x:v>8.154333232</x:v>
      </x:c>
      <x:c r="D3217" s="10" t="n">
        <x:v>560</x:v>
      </x:c>
      <x:c r="E3217" s="10" t="n">
        <x:v>5e-9</x:v>
      </x:c>
      <x:c r="F3217" s="10" t="n">
        <x:v>0.004096</x:v>
      </x:c>
      <x:c r="G3217" s="10" t="n">
        <x:f>SUM(D3217:F3217)</x:f>
        <x:v>560.004096005</x:v>
      </x:c>
    </x:row>
    <x:row r="3218" ht="24" customHeight="1">
      <x:c r="A3218" s="10" t="str">
        <x:v>S06-01</x:v>
      </x:c>
      <x:c r="B3218" s="10" t="str">
        <x:v>A</x:v>
      </x:c>
      <x:c r="C3218" s="18" t="n">
        <x:v>8.154333332</x:v>
      </x:c>
      <x:c r="D3218" s="10" t="n">
        <x:v>560</x:v>
      </x:c>
      <x:c r="E3218" s="10" t="n">
        <x:v>0</x:v>
      </x:c>
      <x:c r="F3218" s="10" t="n">
        <x:v>0.004096</x:v>
      </x:c>
      <x:c r="G3218" s="10" t="n">
        <x:f>SUM(D3218:F3218)</x:f>
        <x:v>560.004096</x:v>
      </x:c>
    </x:row>
    <x:row r="3219" ht="24" customHeight="1">
      <x:c r="A3219" s="10" t="str">
        <x:v>S06-01</x:v>
      </x:c>
      <x:c r="B3219" s="10" t="str">
        <x:v>A</x:v>
      </x:c>
      <x:c r="C3219" s="18" t="n">
        <x:v>8.154333432</x:v>
      </x:c>
      <x:c r="D3219" s="10" t="n">
        <x:v>560</x:v>
      </x:c>
      <x:c r="E3219" s="10" t="n">
        <x:v>0</x:v>
      </x:c>
      <x:c r="F3219" s="10" t="n">
        <x:v>0</x:v>
      </x:c>
      <x:c r="G3219" s="10" t="n">
        <x:f>SUM(D3219:F3219)</x:f>
        <x:v>560</x:v>
      </x:c>
    </x:row>
    <x:row r="3220" ht="24" customHeight="1">
      <x:c r="A3220" s="10" t="str">
        <x:v>S06-01</x:v>
      </x:c>
      <x:c r="B3220" s="10" t="str">
        <x:v>B</x:v>
      </x:c>
      <x:c r="C3220" s="18" t="n">
        <x:v>-6.0000001</x:v>
      </x:c>
      <x:c r="D3220" s="10" t="n">
        <x:v>560</x:v>
      </x:c>
      <x:c r="E3220" s="10" t="n">
        <x:v>0</x:v>
      </x:c>
      <x:c r="F3220" s="10" t="n">
        <x:v>0</x:v>
      </x:c>
      <x:c r="G3220" s="10" t="n">
        <x:f>SUM(D3220:F3220)</x:f>
        <x:v>560</x:v>
      </x:c>
    </x:row>
    <x:row r="3221" ht="24" customHeight="1">
      <x:c r="A3221" s="10" t="str">
        <x:v>S06-01</x:v>
      </x:c>
      <x:c r="B3221" s="10" t="str">
        <x:v>B</x:v>
      </x:c>
      <x:c r="C3221" s="18" t="n">
        <x:v>-6</x:v>
      </x:c>
      <x:c r="D3221" s="10" t="n">
        <x:v>560</x:v>
      </x:c>
      <x:c r="E3221" s="10" t="n">
        <x:v>0</x:v>
      </x:c>
      <x:c r="F3221" s="10" t="n">
        <x:v>0</x:v>
      </x:c>
      <x:c r="G3221" s="10" t="n">
        <x:f>SUM(D3221:F3221)</x:f>
        <x:v>560</x:v>
      </x:c>
    </x:row>
    <x:row r="3222" ht="24" customHeight="1">
      <x:c r="A3222" s="10" t="str">
        <x:v>S06-01</x:v>
      </x:c>
      <x:c r="B3222" s="10" t="str">
        <x:v>B</x:v>
      </x:c>
      <x:c r="C3222" s="18" t="n">
        <x:v>-5.9999999</x:v>
      </x:c>
      <x:c r="D3222" s="10" t="n">
        <x:v>560</x:v>
      </x:c>
      <x:c r="E3222" s="10" t="n">
        <x:v>0</x:v>
      </x:c>
      <x:c r="F3222" s="10" t="n">
        <x:v>0</x:v>
      </x:c>
      <x:c r="G3222" s="10" t="n">
        <x:f>SUM(D3222:F3222)</x:f>
        <x:v>560</x:v>
      </x:c>
    </x:row>
    <x:row r="3223" ht="24" customHeight="1">
      <x:c r="A3223" s="10" t="str">
        <x:v>S06-01</x:v>
      </x:c>
      <x:c r="B3223" s="10" t="str">
        <x:v>B</x:v>
      </x:c>
      <x:c r="C3223" s="18" t="n">
        <x:v>-4.0000001</x:v>
      </x:c>
      <x:c r="D3223" s="10" t="n">
        <x:v>560</x:v>
      </x:c>
      <x:c r="E3223" s="10" t="n">
        <x:v>0</x:v>
      </x:c>
      <x:c r="F3223" s="10" t="n">
        <x:v>0</x:v>
      </x:c>
      <x:c r="G3223" s="10" t="n">
        <x:f>SUM(D3223:F3223)</x:f>
        <x:v>560</x:v>
      </x:c>
    </x:row>
    <x:row r="3224" ht="24" customHeight="1">
      <x:c r="A3224" s="10" t="str">
        <x:v>S06-01</x:v>
      </x:c>
      <x:c r="B3224" s="10" t="str">
        <x:v>B</x:v>
      </x:c>
      <x:c r="C3224" s="18" t="n">
        <x:v>-4</x:v>
      </x:c>
      <x:c r="D3224" s="10" t="n">
        <x:v>560</x:v>
      </x:c>
      <x:c r="E3224" s="10" t="n">
        <x:v>0</x:v>
      </x:c>
      <x:c r="F3224" s="10" t="n">
        <x:v>0.004096</x:v>
      </x:c>
      <x:c r="G3224" s="10" t="n">
        <x:f>SUM(D3224:F3224)</x:f>
        <x:v>560.004096</x:v>
      </x:c>
    </x:row>
    <x:row r="3225" ht="24" customHeight="1">
      <x:c r="A3225" s="10" t="str">
        <x:v>S06-01</x:v>
      </x:c>
      <x:c r="B3225" s="10" t="str">
        <x:v>B</x:v>
      </x:c>
      <x:c r="C3225" s="18" t="n">
        <x:v>-3.9999999</x:v>
      </x:c>
      <x:c r="D3225" s="10" t="n">
        <x:v>560</x:v>
      </x:c>
      <x:c r="E3225" s="10" t="n">
        <x:v>0</x:v>
      </x:c>
      <x:c r="F3225" s="10" t="n">
        <x:v>0.004096</x:v>
      </x:c>
      <x:c r="G3225" s="10" t="n">
        <x:f>SUM(D3225:F3225)</x:f>
        <x:v>560.004096</x:v>
      </x:c>
    </x:row>
    <x:row r="3226" ht="24" customHeight="1">
      <x:c r="A3226" s="10" t="str">
        <x:v>S06-01</x:v>
      </x:c>
      <x:c r="B3226" s="10" t="str">
        <x:v>B</x:v>
      </x:c>
      <x:c r="C3226" s="18" t="n">
        <x:v>-3.594333433</x:v>
      </x:c>
      <x:c r="D3226" s="10" t="n">
        <x:v>560</x:v>
      </x:c>
      <x:c r="E3226" s="10" t="n">
        <x:v>0</x:v>
      </x:c>
      <x:c r="F3226" s="10" t="n">
        <x:v>0.004096</x:v>
      </x:c>
      <x:c r="G3226" s="10" t="n">
        <x:f>SUM(D3226:F3226)</x:f>
        <x:v>560.004096</x:v>
      </x:c>
    </x:row>
    <x:row r="3227" ht="24" customHeight="1">
      <x:c r="A3227" s="10" t="str">
        <x:v>S06-01</x:v>
      </x:c>
      <x:c r="B3227" s="10" t="str">
        <x:v>B</x:v>
      </x:c>
      <x:c r="C3227" s="18" t="n">
        <x:v>-3.594333333</x:v>
      </x:c>
      <x:c r="D3227" s="10" t="n">
        <x:v>560</x:v>
      </x:c>
      <x:c r="E3227" s="10" t="n">
        <x:v>0.0096</x:v>
      </x:c>
      <x:c r="F3227" s="10" t="n">
        <x:v>0.004096</x:v>
      </x:c>
      <x:c r="G3227" s="10" t="n">
        <x:f>SUM(D3227:F3227)</x:f>
        <x:v>560.013696</x:v>
      </x:c>
    </x:row>
    <x:row r="3228" ht="24" customHeight="1">
      <x:c r="A3228" s="10" t="str">
        <x:v>S06-01</x:v>
      </x:c>
      <x:c r="B3228" s="10" t="str">
        <x:v>B</x:v>
      </x:c>
      <x:c r="C3228" s="18" t="n">
        <x:v>-3.594333233</x:v>
      </x:c>
      <x:c r="D3228" s="10" t="n">
        <x:v>560</x:v>
      </x:c>
      <x:c r="E3228" s="10" t="n">
        <x:v>0.009600019</x:v>
      </x:c>
      <x:c r="F3228" s="10" t="n">
        <x:v>0.004096</x:v>
      </x:c>
      <x:c r="G3228" s="10" t="n">
        <x:f>SUM(D3228:F3228)</x:f>
        <x:v>560.013696019</x:v>
      </x:c>
    </x:row>
    <x:row r="3229" ht="24" customHeight="1">
      <x:c r="A3229" s="10" t="str">
        <x:v>S06-01</x:v>
      </x:c>
      <x:c r="B3229" s="10" t="str">
        <x:v>B</x:v>
      </x:c>
      <x:c r="C3229" s="18" t="n">
        <x:v>-2.9200001</x:v>
      </x:c>
      <x:c r="D3229" s="10" t="n">
        <x:v>560</x:v>
      </x:c>
      <x:c r="E3229" s="10" t="n">
        <x:v>0.139071981</x:v>
      </x:c>
      <x:c r="F3229" s="10" t="n">
        <x:v>0.004096</x:v>
      </x:c>
      <x:c r="G3229" s="10" t="n">
        <x:f>SUM(D3229:F3229)</x:f>
        <x:v>560.143167981</x:v>
      </x:c>
    </x:row>
    <x:row r="3230" ht="24" customHeight="1">
      <x:c r="A3230" s="10" t="str">
        <x:v>S06-01</x:v>
      </x:c>
      <x:c r="B3230" s="10" t="str">
        <x:v>B</x:v>
      </x:c>
      <x:c r="C3230" s="18" t="n">
        <x:v>-2.92</x:v>
      </x:c>
      <x:c r="D3230" s="10" t="n">
        <x:v>560</x:v>
      </x:c>
      <x:c r="E3230" s="10" t="n">
        <x:v>0.139072</x:v>
      </x:c>
      <x:c r="F3230" s="10" t="n">
        <x:v>0.004096</x:v>
      </x:c>
      <x:c r="G3230" s="10" t="n">
        <x:f>SUM(D3230:F3230)</x:f>
        <x:v>560.1431680000001</x:v>
      </x:c>
    </x:row>
    <x:row r="3231" ht="24" customHeight="1">
      <x:c r="A3231" s="10" t="str">
        <x:v>S06-01</x:v>
      </x:c>
      <x:c r="B3231" s="10" t="str">
        <x:v>B</x:v>
      </x:c>
      <x:c r="C3231" s="18" t="n">
        <x:v>-2.9199999</x:v>
      </x:c>
      <x:c r="D3231" s="10" t="n">
        <x:v>560</x:v>
      </x:c>
      <x:c r="E3231" s="10" t="n">
        <x:v>0.139072014</x:v>
      </x:c>
      <x:c r="F3231" s="10" t="n">
        <x:v>0.004096</x:v>
      </x:c>
      <x:c r="G3231" s="10" t="n">
        <x:f>SUM(D3231:F3231)</x:f>
        <x:v>560.143168014</x:v>
      </x:c>
    </x:row>
    <x:row r="3232" ht="24" customHeight="1">
      <x:c r="A3232" s="10" t="str">
        <x:v>S06-01</x:v>
      </x:c>
      <x:c r="B3232" s="10" t="str">
        <x:v>B</x:v>
      </x:c>
      <x:c r="C3232" s="18" t="n">
        <x:v>-1.9200001</x:v>
      </x:c>
      <x:c r="D3232" s="10" t="n">
        <x:v>560</x:v>
      </x:c>
      <x:c r="E3232" s="10" t="n">
        <x:v>0.283071986</x:v>
      </x:c>
      <x:c r="F3232" s="10" t="n">
        <x:v>0.004096</x:v>
      </x:c>
      <x:c r="G3232" s="10" t="n">
        <x:f>SUM(D3232:F3232)</x:f>
        <x:v>560.287167986</x:v>
      </x:c>
    </x:row>
    <x:row r="3233" ht="24" customHeight="1">
      <x:c r="A3233" s="10" t="str">
        <x:v>S06-01</x:v>
      </x:c>
      <x:c r="B3233" s="10" t="str">
        <x:v>B</x:v>
      </x:c>
      <x:c r="C3233" s="18" t="n">
        <x:v>-1.92</x:v>
      </x:c>
      <x:c r="D3233" s="10" t="n">
        <x:v>560</x:v>
      </x:c>
      <x:c r="E3233" s="10" t="n">
        <x:v>0.283072</x:v>
      </x:c>
      <x:c r="F3233" s="10" t="n">
        <x:v>0.004096</x:v>
      </x:c>
      <x:c r="G3233" s="10" t="n">
        <x:f>SUM(D3233:F3233)</x:f>
        <x:v>560.287168</x:v>
      </x:c>
    </x:row>
    <x:row r="3234" ht="24" customHeight="1">
      <x:c r="A3234" s="10" t="str">
        <x:v>S06-01</x:v>
      </x:c>
      <x:c r="B3234" s="10" t="str">
        <x:v>B</x:v>
      </x:c>
      <x:c r="C3234" s="18" t="n">
        <x:v>-1.9199999</x:v>
      </x:c>
      <x:c r="D3234" s="10" t="n">
        <x:v>560</x:v>
      </x:c>
      <x:c r="E3234" s="10" t="n">
        <x:v>0.283072019</x:v>
      </x:c>
      <x:c r="F3234" s="10" t="n">
        <x:v>0.004096</x:v>
      </x:c>
      <x:c r="G3234" s="10" t="n">
        <x:f>SUM(D3234:F3234)</x:f>
        <x:v>560.287168019</x:v>
      </x:c>
    </x:row>
    <x:row r="3235" ht="24" customHeight="1">
      <x:c r="A3235" s="10" t="str">
        <x:v>S06-01</x:v>
      </x:c>
      <x:c r="B3235" s="10" t="str">
        <x:v>B</x:v>
      </x:c>
      <x:c r="C3235" s="18" t="n">
        <x:v>-1.657833433</x:v>
      </x:c>
      <x:c r="D3235" s="10" t="n">
        <x:v>560</x:v>
      </x:c>
      <x:c r="E3235" s="10" t="n">
        <x:v>0.333407981</x:v>
      </x:c>
      <x:c r="F3235" s="10" t="n">
        <x:v>0.004096</x:v>
      </x:c>
      <x:c r="G3235" s="10" t="n">
        <x:f>SUM(D3235:F3235)</x:f>
        <x:v>560.337503981</x:v>
      </x:c>
    </x:row>
    <x:row r="3236" ht="24" customHeight="1">
      <x:c r="A3236" s="10" t="str">
        <x:v>S06-01</x:v>
      </x:c>
      <x:c r="B3236" s="10" t="str">
        <x:v>B</x:v>
      </x:c>
      <x:c r="C3236" s="18" t="n">
        <x:v>-1.657833333</x:v>
      </x:c>
      <x:c r="D3236" s="10" t="n">
        <x:v>560</x:v>
      </x:c>
      <x:c r="E3236" s="10" t="n">
        <x:v>0.333408</x:v>
      </x:c>
      <x:c r="F3236" s="10" t="n">
        <x:v>0.004096</x:v>
      </x:c>
      <x:c r="G3236" s="10" t="n">
        <x:f>SUM(D3236:F3236)</x:f>
        <x:v>560.337504</x:v>
      </x:c>
    </x:row>
    <x:row r="3237" ht="24" customHeight="1">
      <x:c r="A3237" s="10" t="str">
        <x:v>S06-01</x:v>
      </x:c>
      <x:c r="B3237" s="10" t="str">
        <x:v>B</x:v>
      </x:c>
      <x:c r="C3237" s="18" t="n">
        <x:v>-1.657833233</x:v>
      </x:c>
      <x:c r="D3237" s="10" t="n">
        <x:v>560</x:v>
      </x:c>
      <x:c r="E3237" s="10" t="n">
        <x:v>0.333408</x:v>
      </x:c>
      <x:c r="F3237" s="10" t="n">
        <x:v>0.004096</x:v>
      </x:c>
      <x:c r="G3237" s="10" t="n">
        <x:f>SUM(D3237:F3237)</x:f>
        <x:v>560.337504</x:v>
      </x:c>
    </x:row>
    <x:row r="3238" ht="24" customHeight="1">
      <x:c r="A3238" s="10" t="str">
        <x:v>S06-01</x:v>
      </x:c>
      <x:c r="B3238" s="10" t="str">
        <x:v>B</x:v>
      </x:c>
      <x:c r="C3238" s="18" t="n">
        <x:v>-1e-7</x:v>
      </x:c>
      <x:c r="D3238" s="10" t="n">
        <x:v>560</x:v>
      </x:c>
      <x:c r="E3238" s="10" t="n">
        <x:v>0.333408</x:v>
      </x:c>
      <x:c r="F3238" s="10" t="n">
        <x:v>0.004096</x:v>
      </x:c>
      <x:c r="G3238" s="10" t="n">
        <x:f>SUM(D3238:F3238)</x:f>
        <x:v>560.337504</x:v>
      </x:c>
    </x:row>
    <x:row r="3239" ht="24" customHeight="1">
      <x:c r="A3239" s="10" t="str">
        <x:v>S06-01</x:v>
      </x:c>
      <x:c r="B3239" s="10" t="str">
        <x:v>B</x:v>
      </x:c>
      <x:c r="C3239" s="18" t="n">
        <x:v>0</x:v>
      </x:c>
      <x:c r="D3239" s="10" t="n">
        <x:v>560</x:v>
      </x:c>
      <x:c r="E3239" s="10" t="n">
        <x:v>0.333408</x:v>
      </x:c>
      <x:c r="F3239" s="10" t="n">
        <x:v>0.004096</x:v>
      </x:c>
      <x:c r="G3239" s="10" t="n">
        <x:f>SUM(D3239:F3239)</x:f>
        <x:v>560.337504</x:v>
      </x:c>
    </x:row>
    <x:row r="3240" ht="24" customHeight="1">
      <x:c r="A3240" s="10" t="str">
        <x:v>S06-01</x:v>
      </x:c>
      <x:c r="B3240" s="10" t="str">
        <x:v>B</x:v>
      </x:c>
      <x:c r="C3240" s="18" t="n">
        <x:v>1e-7</x:v>
      </x:c>
      <x:c r="D3240" s="10" t="n">
        <x:v>560</x:v>
      </x:c>
      <x:c r="E3240" s="10" t="n">
        <x:v>0.333408</x:v>
      </x:c>
      <x:c r="F3240" s="10" t="n">
        <x:v>0.004096</x:v>
      </x:c>
      <x:c r="G3240" s="10" t="n">
        <x:f>SUM(D3240:F3240)</x:f>
        <x:v>560.337504</x:v>
      </x:c>
    </x:row>
    <x:row r="3241" ht="24" customHeight="1">
      <x:c r="A3241" s="10" t="str">
        <x:v>S06-01</x:v>
      </x:c>
      <x:c r="B3241" s="10" t="str">
        <x:v>B</x:v>
      </x:c>
      <x:c r="C3241" s="18" t="n">
        <x:v>0.868333233</x:v>
      </x:c>
      <x:c r="D3241" s="10" t="n">
        <x:v>560</x:v>
      </x:c>
      <x:c r="E3241" s="10" t="n">
        <x:v>0.333408</x:v>
      </x:c>
      <x:c r="F3241" s="10" t="n">
        <x:v>0.004096</x:v>
      </x:c>
      <x:c r="G3241" s="10" t="n">
        <x:f>SUM(D3241:F3241)</x:f>
        <x:v>560.337504</x:v>
      </x:c>
    </x:row>
    <x:row r="3242" ht="24" customHeight="1">
      <x:c r="A3242" s="10" t="str">
        <x:v>S06-01</x:v>
      </x:c>
      <x:c r="B3242" s="10" t="str">
        <x:v>B</x:v>
      </x:c>
      <x:c r="C3242" s="18" t="n">
        <x:v>0.868333333</x:v>
      </x:c>
      <x:c r="D3242" s="10" t="n">
        <x:v>560</x:v>
      </x:c>
      <x:c r="E3242" s="10" t="n">
        <x:v>0.333408</x:v>
      </x:c>
      <x:c r="F3242" s="10" t="n">
        <x:v>0.004096</x:v>
      </x:c>
      <x:c r="G3242" s="10" t="n">
        <x:f>SUM(D3242:F3242)</x:f>
        <x:v>560.337504</x:v>
      </x:c>
    </x:row>
    <x:row r="3243" ht="24" customHeight="1">
      <x:c r="A3243" s="10" t="str">
        <x:v>S06-01</x:v>
      </x:c>
      <x:c r="B3243" s="10" t="str">
        <x:v>B</x:v>
      </x:c>
      <x:c r="C3243" s="18" t="n">
        <x:v>0.868333433</x:v>
      </x:c>
      <x:c r="D3243" s="10" t="n">
        <x:v>560</x:v>
      </x:c>
      <x:c r="E3243" s="10" t="n">
        <x:v>0.333408</x:v>
      </x:c>
      <x:c r="F3243" s="10" t="n">
        <x:v>0.004096</x:v>
      </x:c>
      <x:c r="G3243" s="10" t="n">
        <x:f>SUM(D3243:F3243)</x:f>
        <x:v>560.337504</x:v>
      </x:c>
    </x:row>
    <x:row r="3244" ht="24" customHeight="1">
      <x:c r="A3244" s="10" t="str">
        <x:v>S06-01</x:v>
      </x:c>
      <x:c r="B3244" s="10" t="str">
        <x:v>B</x:v>
      </x:c>
      <x:c r="C3244" s="18" t="n">
        <x:v>0.908333233</x:v>
      </x:c>
      <x:c r="D3244" s="10" t="n">
        <x:v>560</x:v>
      </x:c>
      <x:c r="E3244" s="10" t="n">
        <x:v>0.333408</x:v>
      </x:c>
      <x:c r="F3244" s="10" t="n">
        <x:v>0.004096</x:v>
      </x:c>
      <x:c r="G3244" s="10" t="n">
        <x:f>SUM(D3244:F3244)</x:f>
        <x:v>560.337504</x:v>
      </x:c>
    </x:row>
    <x:row r="3245" ht="24" customHeight="1">
      <x:c r="A3245" s="10" t="str">
        <x:v>S06-01</x:v>
      </x:c>
      <x:c r="B3245" s="10" t="str">
        <x:v>B</x:v>
      </x:c>
      <x:c r="C3245" s="18" t="n">
        <x:v>0.908333333</x:v>
      </x:c>
      <x:c r="D3245" s="10" t="n">
        <x:v>560</x:v>
      </x:c>
      <x:c r="E3245" s="10" t="n">
        <x:v>0.333408</x:v>
      </x:c>
      <x:c r="F3245" s="10" t="n">
        <x:v>0.004096</x:v>
      </x:c>
      <x:c r="G3245" s="10" t="n">
        <x:f>SUM(D3245:F3245)</x:f>
        <x:v>560.337504</x:v>
      </x:c>
    </x:row>
    <x:row r="3246" ht="24" customHeight="1">
      <x:c r="A3246" s="10" t="str">
        <x:v>S06-01</x:v>
      </x:c>
      <x:c r="B3246" s="10" t="str">
        <x:v>B</x:v>
      </x:c>
      <x:c r="C3246" s="18" t="n">
        <x:v>0.908333433</x:v>
      </x:c>
      <x:c r="D3246" s="10" t="n">
        <x:v>560</x:v>
      </x:c>
      <x:c r="E3246" s="10" t="n">
        <x:v>0.333407995</x:v>
      </x:c>
      <x:c r="F3246" s="10" t="n">
        <x:v>0.004096</x:v>
      </x:c>
      <x:c r="G3246" s="10" t="n">
        <x:f>SUM(D3246:F3246)</x:f>
        <x:v>560.337503995</x:v>
      </x:c>
    </x:row>
    <x:row r="3247" ht="24" customHeight="1">
      <x:c r="A3247" s="10" t="str">
        <x:v>S06-01</x:v>
      </x:c>
      <x:c r="B3247" s="10" t="str">
        <x:v>B</x:v>
      </x:c>
      <x:c r="C3247" s="18" t="n">
        <x:v>1.508333233</x:v>
      </x:c>
      <x:c r="D3247" s="10" t="n">
        <x:v>560</x:v>
      </x:c>
      <x:c r="E3247" s="10" t="n">
        <x:v>0.304608005</x:v>
      </x:c>
      <x:c r="F3247" s="10" t="n">
        <x:v>0.004096</x:v>
      </x:c>
      <x:c r="G3247" s="10" t="n">
        <x:f>SUM(D3247:F3247)</x:f>
        <x:v>560.308704005</x:v>
      </x:c>
    </x:row>
    <x:row r="3248" ht="24" customHeight="1">
      <x:c r="A3248" s="10" t="str">
        <x:v>S06-01</x:v>
      </x:c>
      <x:c r="B3248" s="10" t="str">
        <x:v>B</x:v>
      </x:c>
      <x:c r="C3248" s="18" t="n">
        <x:v>1.508333333</x:v>
      </x:c>
      <x:c r="D3248" s="10" t="n">
        <x:v>560</x:v>
      </x:c>
      <x:c r="E3248" s="10" t="n">
        <x:v>0.304608</x:v>
      </x:c>
      <x:c r="F3248" s="10" t="n">
        <x:v>0.004096</x:v>
      </x:c>
      <x:c r="G3248" s="10" t="n">
        <x:f>SUM(D3248:F3248)</x:f>
        <x:v>560.308704</x:v>
      </x:c>
    </x:row>
    <x:row r="3249" ht="24" customHeight="1">
      <x:c r="A3249" s="10" t="str">
        <x:v>S06-01</x:v>
      </x:c>
      <x:c r="B3249" s="10" t="str">
        <x:v>B</x:v>
      </x:c>
      <x:c r="C3249" s="18" t="n">
        <x:v>1.508333433</x:v>
      </x:c>
      <x:c r="D3249" s="10" t="n">
        <x:v>560</x:v>
      </x:c>
      <x:c r="E3249" s="10" t="n">
        <x:v>0.304608</x:v>
      </x:c>
      <x:c r="F3249" s="10" t="n">
        <x:v>0.004096</x:v>
      </x:c>
      <x:c r="G3249" s="10" t="n">
        <x:f>SUM(D3249:F3249)</x:f>
        <x:v>560.308704</x:v>
      </x:c>
    </x:row>
    <x:row r="3250" ht="24" customHeight="1">
      <x:c r="A3250" s="10" t="str">
        <x:v>S06-01</x:v>
      </x:c>
      <x:c r="B3250" s="10" t="str">
        <x:v>B</x:v>
      </x:c>
      <x:c r="C3250" s="18" t="n">
        <x:v>1.808333233</x:v>
      </x:c>
      <x:c r="D3250" s="10" t="n">
        <x:v>560</x:v>
      </x:c>
      <x:c r="E3250" s="10" t="n">
        <x:v>0.304608</x:v>
      </x:c>
      <x:c r="F3250" s="10" t="n">
        <x:v>0.004096</x:v>
      </x:c>
      <x:c r="G3250" s="10" t="n">
        <x:f>SUM(D3250:F3250)</x:f>
        <x:v>560.308704</x:v>
      </x:c>
    </x:row>
    <x:row r="3251" ht="24" customHeight="1">
      <x:c r="A3251" s="10" t="str">
        <x:v>S06-01</x:v>
      </x:c>
      <x:c r="B3251" s="10" t="str">
        <x:v>B</x:v>
      </x:c>
      <x:c r="C3251" s="18" t="n">
        <x:v>1.808333333</x:v>
      </x:c>
      <x:c r="D3251" s="10" t="n">
        <x:v>560</x:v>
      </x:c>
      <x:c r="E3251" s="10" t="n">
        <x:v>0.304608</x:v>
      </x:c>
      <x:c r="F3251" s="10" t="n">
        <x:v>0.004096</x:v>
      </x:c>
      <x:c r="G3251" s="10" t="n">
        <x:f>SUM(D3251:F3251)</x:f>
        <x:v>560.308704</x:v>
      </x:c>
    </x:row>
    <x:row r="3252" ht="24" customHeight="1">
      <x:c r="A3252" s="10" t="str">
        <x:v>S06-01</x:v>
      </x:c>
      <x:c r="B3252" s="10" t="str">
        <x:v>B</x:v>
      </x:c>
      <x:c r="C3252" s="18" t="n">
        <x:v>1.808333433</x:v>
      </x:c>
      <x:c r="D3252" s="10" t="n">
        <x:v>560</x:v>
      </x:c>
      <x:c r="E3252" s="10" t="n">
        <x:v>0.304607995</x:v>
      </x:c>
      <x:c r="F3252" s="10" t="n">
        <x:v>0.004096</x:v>
      </x:c>
      <x:c r="G3252" s="10" t="n">
        <x:f>SUM(D3252:F3252)</x:f>
        <x:v>560.308703995</x:v>
      </x:c>
    </x:row>
    <x:row r="3253" ht="24" customHeight="1">
      <x:c r="A3253" s="10" t="str">
        <x:v>S06-01</x:v>
      </x:c>
      <x:c r="B3253" s="10" t="str">
        <x:v>B</x:v>
      </x:c>
      <x:c r="C3253" s="18" t="n">
        <x:v>8.154333232</x:v>
      </x:c>
      <x:c r="D3253" s="10" t="n">
        <x:v>560</x:v>
      </x:c>
      <x:c r="E3253" s="10" t="n">
        <x:v>5e-9</x:v>
      </x:c>
      <x:c r="F3253" s="10" t="n">
        <x:v>0.004096</x:v>
      </x:c>
      <x:c r="G3253" s="10" t="n">
        <x:f>SUM(D3253:F3253)</x:f>
        <x:v>560.004096005</x:v>
      </x:c>
    </x:row>
    <x:row r="3254" ht="24" customHeight="1">
      <x:c r="A3254" s="10" t="str">
        <x:v>S06-01</x:v>
      </x:c>
      <x:c r="B3254" s="10" t="str">
        <x:v>B</x:v>
      </x:c>
      <x:c r="C3254" s="18" t="n">
        <x:v>8.154333332</x:v>
      </x:c>
      <x:c r="D3254" s="10" t="n">
        <x:v>560</x:v>
      </x:c>
      <x:c r="E3254" s="10" t="n">
        <x:v>0</x:v>
      </x:c>
      <x:c r="F3254" s="10" t="n">
        <x:v>0.004096</x:v>
      </x:c>
      <x:c r="G3254" s="10" t="n">
        <x:f>SUM(D3254:F3254)</x:f>
        <x:v>560.004096</x:v>
      </x:c>
    </x:row>
    <x:row r="3255" ht="24" customHeight="1">
      <x:c r="A3255" s="10" t="str">
        <x:v>S06-01</x:v>
      </x:c>
      <x:c r="B3255" s="10" t="str">
        <x:v>B</x:v>
      </x:c>
      <x:c r="C3255" s="18" t="n">
        <x:v>8.154333432</x:v>
      </x:c>
      <x:c r="D3255" s="10" t="n">
        <x:v>560</x:v>
      </x:c>
      <x:c r="E3255" s="10" t="n">
        <x:v>0</x:v>
      </x:c>
      <x:c r="F3255" s="10" t="n">
        <x:v>0</x:v>
      </x:c>
      <x:c r="G3255" s="10" t="n">
        <x:f>SUM(D3255:F3255)</x:f>
        <x:v>560</x:v>
      </x:c>
    </x:row>
    <x:row r="3256" ht="24" customHeight="1">
      <x:c r="A3256" s="10" t="str">
        <x:v>S06-02</x:v>
      </x:c>
      <x:c r="B3256" s="10" t="str">
        <x:v>A</x:v>
      </x:c>
      <x:c r="C3256" s="18" t="n">
        <x:v>-6.0000001</x:v>
      </x:c>
      <x:c r="D3256" s="10" t="n">
        <x:v>560</x:v>
      </x:c>
      <x:c r="E3256" s="10" t="n">
        <x:v>0</x:v>
      </x:c>
      <x:c r="F3256" s="10" t="n">
        <x:v>0</x:v>
      </x:c>
      <x:c r="G3256" s="10" t="n">
        <x:f>SUM(D3256:F3256)</x:f>
        <x:v>560</x:v>
      </x:c>
    </x:row>
    <x:row r="3257" ht="24" customHeight="1">
      <x:c r="A3257" s="10" t="str">
        <x:v>S06-02</x:v>
      </x:c>
      <x:c r="B3257" s="10" t="str">
        <x:v>A</x:v>
      </x:c>
      <x:c r="C3257" s="18" t="n">
        <x:v>-6</x:v>
      </x:c>
      <x:c r="D3257" s="10" t="n">
        <x:v>560</x:v>
      </x:c>
      <x:c r="E3257" s="10" t="n">
        <x:v>0</x:v>
      </x:c>
      <x:c r="F3257" s="10" t="n">
        <x:v>0</x:v>
      </x:c>
      <x:c r="G3257" s="10" t="n">
        <x:f>SUM(D3257:F3257)</x:f>
        <x:v>560</x:v>
      </x:c>
    </x:row>
    <x:row r="3258" ht="24" customHeight="1">
      <x:c r="A3258" s="10" t="str">
        <x:v>S06-02</x:v>
      </x:c>
      <x:c r="B3258" s="10" t="str">
        <x:v>A</x:v>
      </x:c>
      <x:c r="C3258" s="18" t="n">
        <x:v>-5.9999999</x:v>
      </x:c>
      <x:c r="D3258" s="10" t="n">
        <x:v>560</x:v>
      </x:c>
      <x:c r="E3258" s="10" t="n">
        <x:v>0</x:v>
      </x:c>
      <x:c r="F3258" s="10" t="n">
        <x:v>0</x:v>
      </x:c>
      <x:c r="G3258" s="10" t="n">
        <x:f>SUM(D3258:F3258)</x:f>
        <x:v>560</x:v>
      </x:c>
    </x:row>
    <x:row r="3259" ht="24" customHeight="1">
      <x:c r="A3259" s="10" t="str">
        <x:v>S06-02</x:v>
      </x:c>
      <x:c r="B3259" s="10" t="str">
        <x:v>A</x:v>
      </x:c>
      <x:c r="C3259" s="18" t="n">
        <x:v>-4.0000001</x:v>
      </x:c>
      <x:c r="D3259" s="10" t="n">
        <x:v>560</x:v>
      </x:c>
      <x:c r="E3259" s="10" t="n">
        <x:v>0</x:v>
      </x:c>
      <x:c r="F3259" s="10" t="n">
        <x:v>0</x:v>
      </x:c>
      <x:c r="G3259" s="10" t="n">
        <x:f>SUM(D3259:F3259)</x:f>
        <x:v>560</x:v>
      </x:c>
    </x:row>
    <x:row r="3260" ht="24" customHeight="1">
      <x:c r="A3260" s="10" t="str">
        <x:v>S06-02</x:v>
      </x:c>
      <x:c r="B3260" s="10" t="str">
        <x:v>A</x:v>
      </x:c>
      <x:c r="C3260" s="18" t="n">
        <x:v>-4</x:v>
      </x:c>
      <x:c r="D3260" s="10" t="n">
        <x:v>560</x:v>
      </x:c>
      <x:c r="E3260" s="10" t="n">
        <x:v>0</x:v>
      </x:c>
      <x:c r="F3260" s="10" t="n">
        <x:v>0.004096</x:v>
      </x:c>
      <x:c r="G3260" s="10" t="n">
        <x:f>SUM(D3260:F3260)</x:f>
        <x:v>560.004096</x:v>
      </x:c>
    </x:row>
    <x:row r="3261" ht="24" customHeight="1">
      <x:c r="A3261" s="10" t="str">
        <x:v>S06-02</x:v>
      </x:c>
      <x:c r="B3261" s="10" t="str">
        <x:v>A</x:v>
      </x:c>
      <x:c r="C3261" s="18" t="n">
        <x:v>-3.9999999</x:v>
      </x:c>
      <x:c r="D3261" s="10" t="n">
        <x:v>560</x:v>
      </x:c>
      <x:c r="E3261" s="10" t="n">
        <x:v>0</x:v>
      </x:c>
      <x:c r="F3261" s="10" t="n">
        <x:v>0.004096</x:v>
      </x:c>
      <x:c r="G3261" s="10" t="n">
        <x:f>SUM(D3261:F3261)</x:f>
        <x:v>560.004096</x:v>
      </x:c>
    </x:row>
    <x:row r="3262" ht="24" customHeight="1">
      <x:c r="A3262" s="10" t="str">
        <x:v>S06-02</x:v>
      </x:c>
      <x:c r="B3262" s="10" t="str">
        <x:v>A</x:v>
      </x:c>
      <x:c r="C3262" s="18" t="n">
        <x:v>-3.594333433</x:v>
      </x:c>
      <x:c r="D3262" s="10" t="n">
        <x:v>560</x:v>
      </x:c>
      <x:c r="E3262" s="10" t="n">
        <x:v>0</x:v>
      </x:c>
      <x:c r="F3262" s="10" t="n">
        <x:v>0.004096</x:v>
      </x:c>
      <x:c r="G3262" s="10" t="n">
        <x:f>SUM(D3262:F3262)</x:f>
        <x:v>560.004096</x:v>
      </x:c>
    </x:row>
    <x:row r="3263" ht="24" customHeight="1">
      <x:c r="A3263" s="10" t="str">
        <x:v>S06-02</x:v>
      </x:c>
      <x:c r="B3263" s="10" t="str">
        <x:v>A</x:v>
      </x:c>
      <x:c r="C3263" s="18" t="n">
        <x:v>-3.594333333</x:v>
      </x:c>
      <x:c r="D3263" s="10" t="n">
        <x:v>560</x:v>
      </x:c>
      <x:c r="E3263" s="10" t="n">
        <x:v>0.0096</x:v>
      </x:c>
      <x:c r="F3263" s="10" t="n">
        <x:v>0.004096</x:v>
      </x:c>
      <x:c r="G3263" s="10" t="n">
        <x:f>SUM(D3263:F3263)</x:f>
        <x:v>560.013696</x:v>
      </x:c>
    </x:row>
    <x:row r="3264" ht="24" customHeight="1">
      <x:c r="A3264" s="10" t="str">
        <x:v>S06-02</x:v>
      </x:c>
      <x:c r="B3264" s="10" t="str">
        <x:v>A</x:v>
      </x:c>
      <x:c r="C3264" s="18" t="n">
        <x:v>-3.594333233</x:v>
      </x:c>
      <x:c r="D3264" s="10" t="n">
        <x:v>560</x:v>
      </x:c>
      <x:c r="E3264" s="10" t="n">
        <x:v>0.009600019</x:v>
      </x:c>
      <x:c r="F3264" s="10" t="n">
        <x:v>0.004096</x:v>
      </x:c>
      <x:c r="G3264" s="10" t="n">
        <x:f>SUM(D3264:F3264)</x:f>
        <x:v>560.013696019</x:v>
      </x:c>
    </x:row>
    <x:row r="3265" ht="24" customHeight="1">
      <x:c r="A3265" s="10" t="str">
        <x:v>S06-02</x:v>
      </x:c>
      <x:c r="B3265" s="10" t="str">
        <x:v>A</x:v>
      </x:c>
      <x:c r="C3265" s="18" t="n">
        <x:v>-2.9200001</x:v>
      </x:c>
      <x:c r="D3265" s="10" t="n">
        <x:v>560</x:v>
      </x:c>
      <x:c r="E3265" s="10" t="n">
        <x:v>0.139071981</x:v>
      </x:c>
      <x:c r="F3265" s="10" t="n">
        <x:v>0.004096</x:v>
      </x:c>
      <x:c r="G3265" s="10" t="n">
        <x:f>SUM(D3265:F3265)</x:f>
        <x:v>560.143167981</x:v>
      </x:c>
    </x:row>
    <x:row r="3266" ht="24" customHeight="1">
      <x:c r="A3266" s="10" t="str">
        <x:v>S06-02</x:v>
      </x:c>
      <x:c r="B3266" s="10" t="str">
        <x:v>A</x:v>
      </x:c>
      <x:c r="C3266" s="18" t="n">
        <x:v>-2.92</x:v>
      </x:c>
      <x:c r="D3266" s="10" t="n">
        <x:v>560</x:v>
      </x:c>
      <x:c r="E3266" s="10" t="n">
        <x:v>0.139072</x:v>
      </x:c>
      <x:c r="F3266" s="10" t="n">
        <x:v>0.004096</x:v>
      </x:c>
      <x:c r="G3266" s="10" t="n">
        <x:f>SUM(D3266:F3266)</x:f>
        <x:v>560.1431680000001</x:v>
      </x:c>
    </x:row>
    <x:row r="3267" ht="24" customHeight="1">
      <x:c r="A3267" s="10" t="str">
        <x:v>S06-02</x:v>
      </x:c>
      <x:c r="B3267" s="10" t="str">
        <x:v>A</x:v>
      </x:c>
      <x:c r="C3267" s="18" t="n">
        <x:v>-2.9199999</x:v>
      </x:c>
      <x:c r="D3267" s="10" t="n">
        <x:v>560</x:v>
      </x:c>
      <x:c r="E3267" s="10" t="n">
        <x:v>0.139072014</x:v>
      </x:c>
      <x:c r="F3267" s="10" t="n">
        <x:v>0.004096</x:v>
      </x:c>
      <x:c r="G3267" s="10" t="n">
        <x:f>SUM(D3267:F3267)</x:f>
        <x:v>560.143168014</x:v>
      </x:c>
    </x:row>
    <x:row r="3268" ht="24" customHeight="1">
      <x:c r="A3268" s="10" t="str">
        <x:v>S06-02</x:v>
      </x:c>
      <x:c r="B3268" s="10" t="str">
        <x:v>A</x:v>
      </x:c>
      <x:c r="C3268" s="18" t="n">
        <x:v>-1.9200001</x:v>
      </x:c>
      <x:c r="D3268" s="10" t="n">
        <x:v>560</x:v>
      </x:c>
      <x:c r="E3268" s="10" t="n">
        <x:v>0.283071986</x:v>
      </x:c>
      <x:c r="F3268" s="10" t="n">
        <x:v>0.004096</x:v>
      </x:c>
      <x:c r="G3268" s="10" t="n">
        <x:f>SUM(D3268:F3268)</x:f>
        <x:v>560.287167986</x:v>
      </x:c>
    </x:row>
    <x:row r="3269" ht="24" customHeight="1">
      <x:c r="A3269" s="10" t="str">
        <x:v>S06-02</x:v>
      </x:c>
      <x:c r="B3269" s="10" t="str">
        <x:v>A</x:v>
      </x:c>
      <x:c r="C3269" s="18" t="n">
        <x:v>-1.92</x:v>
      </x:c>
      <x:c r="D3269" s="10" t="n">
        <x:v>560</x:v>
      </x:c>
      <x:c r="E3269" s="10" t="n">
        <x:v>0.283072</x:v>
      </x:c>
      <x:c r="F3269" s="10" t="n">
        <x:v>0.004096</x:v>
      </x:c>
      <x:c r="G3269" s="10" t="n">
        <x:f>SUM(D3269:F3269)</x:f>
        <x:v>560.287168</x:v>
      </x:c>
    </x:row>
    <x:row r="3270" ht="24" customHeight="1">
      <x:c r="A3270" s="10" t="str">
        <x:v>S06-02</x:v>
      </x:c>
      <x:c r="B3270" s="10" t="str">
        <x:v>A</x:v>
      </x:c>
      <x:c r="C3270" s="18" t="n">
        <x:v>-1.9199999</x:v>
      </x:c>
      <x:c r="D3270" s="10" t="n">
        <x:v>560</x:v>
      </x:c>
      <x:c r="E3270" s="10" t="n">
        <x:v>0.283072019</x:v>
      </x:c>
      <x:c r="F3270" s="10" t="n">
        <x:v>0.004096</x:v>
      </x:c>
      <x:c r="G3270" s="10" t="n">
        <x:f>SUM(D3270:F3270)</x:f>
        <x:v>560.287168019</x:v>
      </x:c>
    </x:row>
    <x:row r="3271" ht="24" customHeight="1">
      <x:c r="A3271" s="10" t="str">
        <x:v>S06-02</x:v>
      </x:c>
      <x:c r="B3271" s="10" t="str">
        <x:v>A</x:v>
      </x:c>
      <x:c r="C3271" s="18" t="n">
        <x:v>-1.654833433</x:v>
      </x:c>
      <x:c r="D3271" s="10" t="n">
        <x:v>560</x:v>
      </x:c>
      <x:c r="E3271" s="10" t="n">
        <x:v>0.333983981</x:v>
      </x:c>
      <x:c r="F3271" s="10" t="n">
        <x:v>0.004096</x:v>
      </x:c>
      <x:c r="G3271" s="10" t="n">
        <x:f>SUM(D3271:F3271)</x:f>
        <x:v>560.338079981</x:v>
      </x:c>
    </x:row>
    <x:row r="3272" ht="24" customHeight="1">
      <x:c r="A3272" s="10" t="str">
        <x:v>S06-02</x:v>
      </x:c>
      <x:c r="B3272" s="10" t="str">
        <x:v>A</x:v>
      </x:c>
      <x:c r="C3272" s="18" t="n">
        <x:v>-1.654833333</x:v>
      </x:c>
      <x:c r="D3272" s="10" t="n">
        <x:v>560</x:v>
      </x:c>
      <x:c r="E3272" s="10" t="n">
        <x:v>0.333984</x:v>
      </x:c>
      <x:c r="F3272" s="10" t="n">
        <x:v>0.004096</x:v>
      </x:c>
      <x:c r="G3272" s="10" t="n">
        <x:f>SUM(D3272:F3272)</x:f>
        <x:v>560.33808</x:v>
      </x:c>
    </x:row>
    <x:row r="3273" ht="24" customHeight="1">
      <x:c r="A3273" s="10" t="str">
        <x:v>S06-02</x:v>
      </x:c>
      <x:c r="B3273" s="10" t="str">
        <x:v>A</x:v>
      </x:c>
      <x:c r="C3273" s="18" t="n">
        <x:v>-1.654833233</x:v>
      </x:c>
      <x:c r="D3273" s="10" t="n">
        <x:v>560</x:v>
      </x:c>
      <x:c r="E3273" s="10" t="n">
        <x:v>0.333984</x:v>
      </x:c>
      <x:c r="F3273" s="10" t="n">
        <x:v>0.004096</x:v>
      </x:c>
      <x:c r="G3273" s="10" t="n">
        <x:f>SUM(D3273:F3273)</x:f>
        <x:v>560.33808</x:v>
      </x:c>
    </x:row>
    <x:row r="3274" ht="24" customHeight="1">
      <x:c r="A3274" s="10" t="str">
        <x:v>S06-02</x:v>
      </x:c>
      <x:c r="B3274" s="10" t="str">
        <x:v>A</x:v>
      </x:c>
      <x:c r="C3274" s="18" t="n">
        <x:v>-1e-7</x:v>
      </x:c>
      <x:c r="D3274" s="10" t="n">
        <x:v>560</x:v>
      </x:c>
      <x:c r="E3274" s="10" t="n">
        <x:v>0.333984</x:v>
      </x:c>
      <x:c r="F3274" s="10" t="n">
        <x:v>0.004096</x:v>
      </x:c>
      <x:c r="G3274" s="10" t="n">
        <x:f>SUM(D3274:F3274)</x:f>
        <x:v>560.33808</x:v>
      </x:c>
    </x:row>
    <x:row r="3275" ht="24" customHeight="1">
      <x:c r="A3275" s="10" t="str">
        <x:v>S06-02</x:v>
      </x:c>
      <x:c r="B3275" s="10" t="str">
        <x:v>A</x:v>
      </x:c>
      <x:c r="C3275" s="18" t="n">
        <x:v>0</x:v>
      </x:c>
      <x:c r="D3275" s="10" t="n">
        <x:v>560</x:v>
      </x:c>
      <x:c r="E3275" s="10" t="n">
        <x:v>0.333984</x:v>
      </x:c>
      <x:c r="F3275" s="10" t="n">
        <x:v>0.004096</x:v>
      </x:c>
      <x:c r="G3275" s="10" t="n">
        <x:f>SUM(D3275:F3275)</x:f>
        <x:v>560.33808</x:v>
      </x:c>
    </x:row>
    <x:row r="3276" ht="24" customHeight="1">
      <x:c r="A3276" s="10" t="str">
        <x:v>S06-02</x:v>
      </x:c>
      <x:c r="B3276" s="10" t="str">
        <x:v>A</x:v>
      </x:c>
      <x:c r="C3276" s="18" t="n">
        <x:v>1e-7</x:v>
      </x:c>
      <x:c r="D3276" s="10" t="n">
        <x:v>560</x:v>
      </x:c>
      <x:c r="E3276" s="10" t="n">
        <x:v>0.333984</x:v>
      </x:c>
      <x:c r="F3276" s="10" t="n">
        <x:v>0.004096</x:v>
      </x:c>
      <x:c r="G3276" s="10" t="n">
        <x:f>SUM(D3276:F3276)</x:f>
        <x:v>560.33808</x:v>
      </x:c>
    </x:row>
    <x:row r="3277" ht="24" customHeight="1">
      <x:c r="A3277" s="10" t="str">
        <x:v>S06-02</x:v>
      </x:c>
      <x:c r="B3277" s="10" t="str">
        <x:v>A</x:v>
      </x:c>
      <x:c r="C3277" s="18" t="n">
        <x:v>0.896666567</x:v>
      </x:c>
      <x:c r="D3277" s="10" t="n">
        <x:v>560</x:v>
      </x:c>
      <x:c r="E3277" s="10" t="n">
        <x:v>0.333984</x:v>
      </x:c>
      <x:c r="F3277" s="10" t="n">
        <x:v>0.004096</x:v>
      </x:c>
      <x:c r="G3277" s="10" t="n">
        <x:f>SUM(D3277:F3277)</x:f>
        <x:v>560.33808</x:v>
      </x:c>
    </x:row>
    <x:row r="3278" ht="24" customHeight="1">
      <x:c r="A3278" s="10" t="str">
        <x:v>S06-02</x:v>
      </x:c>
      <x:c r="B3278" s="10" t="str">
        <x:v>A</x:v>
      </x:c>
      <x:c r="C3278" s="18" t="n">
        <x:v>0.896666667</x:v>
      </x:c>
      <x:c r="D3278" s="10" t="n">
        <x:v>560</x:v>
      </x:c>
      <x:c r="E3278" s="10" t="n">
        <x:v>0.333984</x:v>
      </x:c>
      <x:c r="F3278" s="10" t="n">
        <x:v>0.004096</x:v>
      </x:c>
      <x:c r="G3278" s="10" t="n">
        <x:f>SUM(D3278:F3278)</x:f>
        <x:v>560.33808</x:v>
      </x:c>
    </x:row>
    <x:row r="3279" ht="24" customHeight="1">
      <x:c r="A3279" s="10" t="str">
        <x:v>S06-02</x:v>
      </x:c>
      <x:c r="B3279" s="10" t="str">
        <x:v>A</x:v>
      </x:c>
      <x:c r="C3279" s="18" t="n">
        <x:v>0.896666767</x:v>
      </x:c>
      <x:c r="D3279" s="10" t="n">
        <x:v>560</x:v>
      </x:c>
      <x:c r="E3279" s="10" t="n">
        <x:v>0.333984</x:v>
      </x:c>
      <x:c r="F3279" s="10" t="n">
        <x:v>0.004096</x:v>
      </x:c>
      <x:c r="G3279" s="10" t="n">
        <x:f>SUM(D3279:F3279)</x:f>
        <x:v>560.33808</x:v>
      </x:c>
    </x:row>
    <x:row r="3280" ht="24" customHeight="1">
      <x:c r="A3280" s="10" t="str">
        <x:v>S06-02</x:v>
      </x:c>
      <x:c r="B3280" s="10" t="str">
        <x:v>A</x:v>
      </x:c>
      <x:c r="C3280" s="18" t="n">
        <x:v>0.936666567</x:v>
      </x:c>
      <x:c r="D3280" s="10" t="n">
        <x:v>560</x:v>
      </x:c>
      <x:c r="E3280" s="10" t="n">
        <x:v>0.333984</x:v>
      </x:c>
      <x:c r="F3280" s="10" t="n">
        <x:v>0.004096</x:v>
      </x:c>
      <x:c r="G3280" s="10" t="n">
        <x:f>SUM(D3280:F3280)</x:f>
        <x:v>560.33808</x:v>
      </x:c>
    </x:row>
    <x:row r="3281" ht="24" customHeight="1">
      <x:c r="A3281" s="10" t="str">
        <x:v>S06-02</x:v>
      </x:c>
      <x:c r="B3281" s="10" t="str">
        <x:v>A</x:v>
      </x:c>
      <x:c r="C3281" s="18" t="n">
        <x:v>0.936666667</x:v>
      </x:c>
      <x:c r="D3281" s="10" t="n">
        <x:v>560</x:v>
      </x:c>
      <x:c r="E3281" s="10" t="n">
        <x:v>0.333984</x:v>
      </x:c>
      <x:c r="F3281" s="10" t="n">
        <x:v>0.004096</x:v>
      </x:c>
      <x:c r="G3281" s="10" t="n">
        <x:f>SUM(D3281:F3281)</x:f>
        <x:v>560.33808</x:v>
      </x:c>
    </x:row>
    <x:row r="3282" ht="24" customHeight="1">
      <x:c r="A3282" s="10" t="str">
        <x:v>S06-02</x:v>
      </x:c>
      <x:c r="B3282" s="10" t="str">
        <x:v>A</x:v>
      </x:c>
      <x:c r="C3282" s="18" t="n">
        <x:v>0.936666767</x:v>
      </x:c>
      <x:c r="D3282" s="10" t="n">
        <x:v>560</x:v>
      </x:c>
      <x:c r="E3282" s="10" t="n">
        <x:v>0.333983995</x:v>
      </x:c>
      <x:c r="F3282" s="10" t="n">
        <x:v>0.004096</x:v>
      </x:c>
      <x:c r="G3282" s="10" t="n">
        <x:f>SUM(D3282:F3282)</x:f>
        <x:v>560.338079995</x:v>
      </x:c>
    </x:row>
    <x:row r="3283" ht="24" customHeight="1">
      <x:c r="A3283" s="10" t="str">
        <x:v>S06-02</x:v>
      </x:c>
      <x:c r="B3283" s="10" t="str">
        <x:v>A</x:v>
      </x:c>
      <x:c r="C3283" s="18" t="n">
        <x:v>1.536666567</x:v>
      </x:c>
      <x:c r="D3283" s="10" t="n">
        <x:v>560</x:v>
      </x:c>
      <x:c r="E3283" s="10" t="n">
        <x:v>0.305184005</x:v>
      </x:c>
      <x:c r="F3283" s="10" t="n">
        <x:v>0.004096</x:v>
      </x:c>
      <x:c r="G3283" s="10" t="n">
        <x:f>SUM(D3283:F3283)</x:f>
        <x:v>560.309280005</x:v>
      </x:c>
    </x:row>
    <x:row r="3284" ht="24" customHeight="1">
      <x:c r="A3284" s="10" t="str">
        <x:v>S06-02</x:v>
      </x:c>
      <x:c r="B3284" s="10" t="str">
        <x:v>A</x:v>
      </x:c>
      <x:c r="C3284" s="18" t="n">
        <x:v>1.536666667</x:v>
      </x:c>
      <x:c r="D3284" s="10" t="n">
        <x:v>560</x:v>
      </x:c>
      <x:c r="E3284" s="10" t="n">
        <x:v>0.305184</x:v>
      </x:c>
      <x:c r="F3284" s="10" t="n">
        <x:v>0.004096</x:v>
      </x:c>
      <x:c r="G3284" s="10" t="n">
        <x:f>SUM(D3284:F3284)</x:f>
        <x:v>560.3092800000001</x:v>
      </x:c>
    </x:row>
    <x:row r="3285" ht="24" customHeight="1">
      <x:c r="A3285" s="10" t="str">
        <x:v>S06-02</x:v>
      </x:c>
      <x:c r="B3285" s="10" t="str">
        <x:v>A</x:v>
      </x:c>
      <x:c r="C3285" s="18" t="n">
        <x:v>1.536666767</x:v>
      </x:c>
      <x:c r="D3285" s="10" t="n">
        <x:v>560</x:v>
      </x:c>
      <x:c r="E3285" s="10" t="n">
        <x:v>0.305184</x:v>
      </x:c>
      <x:c r="F3285" s="10" t="n">
        <x:v>0.004096</x:v>
      </x:c>
      <x:c r="G3285" s="10" t="n">
        <x:f>SUM(D3285:F3285)</x:f>
        <x:v>560.3092800000001</x:v>
      </x:c>
    </x:row>
    <x:row r="3286" ht="24" customHeight="1">
      <x:c r="A3286" s="10" t="str">
        <x:v>S06-02</x:v>
      </x:c>
      <x:c r="B3286" s="10" t="str">
        <x:v>A</x:v>
      </x:c>
      <x:c r="C3286" s="18" t="n">
        <x:v>1.836666567</x:v>
      </x:c>
      <x:c r="D3286" s="10" t="n">
        <x:v>560</x:v>
      </x:c>
      <x:c r="E3286" s="10" t="n">
        <x:v>0.305184</x:v>
      </x:c>
      <x:c r="F3286" s="10" t="n">
        <x:v>0.004096</x:v>
      </x:c>
      <x:c r="G3286" s="10" t="n">
        <x:f>SUM(D3286:F3286)</x:f>
        <x:v>560.3092800000001</x:v>
      </x:c>
    </x:row>
    <x:row r="3287" ht="24" customHeight="1">
      <x:c r="A3287" s="10" t="str">
        <x:v>S06-02</x:v>
      </x:c>
      <x:c r="B3287" s="10" t="str">
        <x:v>A</x:v>
      </x:c>
      <x:c r="C3287" s="18" t="n">
        <x:v>1.836666667</x:v>
      </x:c>
      <x:c r="D3287" s="10" t="n">
        <x:v>560</x:v>
      </x:c>
      <x:c r="E3287" s="10" t="n">
        <x:v>0.305184</x:v>
      </x:c>
      <x:c r="F3287" s="10" t="n">
        <x:v>0.004096</x:v>
      </x:c>
      <x:c r="G3287" s="10" t="n">
        <x:f>SUM(D3287:F3287)</x:f>
        <x:v>560.3092800000001</x:v>
      </x:c>
    </x:row>
    <x:row r="3288" ht="24" customHeight="1">
      <x:c r="A3288" s="10" t="str">
        <x:v>S06-02</x:v>
      </x:c>
      <x:c r="B3288" s="10" t="str">
        <x:v>A</x:v>
      </x:c>
      <x:c r="C3288" s="18" t="n">
        <x:v>1.836666767</x:v>
      </x:c>
      <x:c r="D3288" s="10" t="n">
        <x:v>560</x:v>
      </x:c>
      <x:c r="E3288" s="10" t="n">
        <x:v>0.305183995</x:v>
      </x:c>
      <x:c r="F3288" s="10" t="n">
        <x:v>0.004096</x:v>
      </x:c>
      <x:c r="G3288" s="10" t="n">
        <x:f>SUM(D3288:F3288)</x:f>
        <x:v>560.309279995</x:v>
      </x:c>
    </x:row>
    <x:row r="3289" ht="24" customHeight="1">
      <x:c r="A3289" s="10" t="str">
        <x:v>S06-02</x:v>
      </x:c>
      <x:c r="B3289" s="10" t="str">
        <x:v>A</x:v>
      </x:c>
      <x:c r="C3289" s="18" t="n">
        <x:v>8.194666566</x:v>
      </x:c>
      <x:c r="D3289" s="10" t="n">
        <x:v>560</x:v>
      </x:c>
      <x:c r="E3289" s="10" t="n">
        <x:v>5e-9</x:v>
      </x:c>
      <x:c r="F3289" s="10" t="n">
        <x:v>0.004096</x:v>
      </x:c>
      <x:c r="G3289" s="10" t="n">
        <x:f>SUM(D3289:F3289)</x:f>
        <x:v>560.004096005</x:v>
      </x:c>
    </x:row>
    <x:row r="3290" ht="24" customHeight="1">
      <x:c r="A3290" s="10" t="str">
        <x:v>S06-02</x:v>
      </x:c>
      <x:c r="B3290" s="10" t="str">
        <x:v>A</x:v>
      </x:c>
      <x:c r="C3290" s="18" t="n">
        <x:v>8.194666666</x:v>
      </x:c>
      <x:c r="D3290" s="10" t="n">
        <x:v>560</x:v>
      </x:c>
      <x:c r="E3290" s="10" t="n">
        <x:v>0</x:v>
      </x:c>
      <x:c r="F3290" s="10" t="n">
        <x:v>0.004096</x:v>
      </x:c>
      <x:c r="G3290" s="10" t="n">
        <x:f>SUM(D3290:F3290)</x:f>
        <x:v>560.004096</x:v>
      </x:c>
    </x:row>
    <x:row r="3291" ht="24" customHeight="1">
      <x:c r="A3291" s="10" t="str">
        <x:v>S06-02</x:v>
      </x:c>
      <x:c r="B3291" s="10" t="str">
        <x:v>A</x:v>
      </x:c>
      <x:c r="C3291" s="18" t="n">
        <x:v>8.194666766</x:v>
      </x:c>
      <x:c r="D3291" s="10" t="n">
        <x:v>560</x:v>
      </x:c>
      <x:c r="E3291" s="10" t="n">
        <x:v>0</x:v>
      </x:c>
      <x:c r="F3291" s="10" t="n">
        <x:v>0</x:v>
      </x:c>
      <x:c r="G3291" s="10" t="n">
        <x:f>SUM(D3291:F3291)</x:f>
        <x:v>560</x:v>
      </x:c>
    </x:row>
    <x:row r="3292" ht="24" customHeight="1">
      <x:c r="A3292" s="10" t="str">
        <x:v>S06-02</x:v>
      </x:c>
      <x:c r="B3292" s="10" t="str">
        <x:v>B</x:v>
      </x:c>
      <x:c r="C3292" s="18" t="n">
        <x:v>-6.0000001</x:v>
      </x:c>
      <x:c r="D3292" s="10" t="n">
        <x:v>560</x:v>
      </x:c>
      <x:c r="E3292" s="10" t="n">
        <x:v>0</x:v>
      </x:c>
      <x:c r="F3292" s="10" t="n">
        <x:v>0</x:v>
      </x:c>
      <x:c r="G3292" s="10" t="n">
        <x:f>SUM(D3292:F3292)</x:f>
        <x:v>560</x:v>
      </x:c>
    </x:row>
    <x:row r="3293" ht="24" customHeight="1">
      <x:c r="A3293" s="10" t="str">
        <x:v>S06-02</x:v>
      </x:c>
      <x:c r="B3293" s="10" t="str">
        <x:v>B</x:v>
      </x:c>
      <x:c r="C3293" s="18" t="n">
        <x:v>-6</x:v>
      </x:c>
      <x:c r="D3293" s="10" t="n">
        <x:v>560</x:v>
      </x:c>
      <x:c r="E3293" s="10" t="n">
        <x:v>0</x:v>
      </x:c>
      <x:c r="F3293" s="10" t="n">
        <x:v>0</x:v>
      </x:c>
      <x:c r="G3293" s="10" t="n">
        <x:f>SUM(D3293:F3293)</x:f>
        <x:v>560</x:v>
      </x:c>
    </x:row>
    <x:row r="3294" ht="24" customHeight="1">
      <x:c r="A3294" s="10" t="str">
        <x:v>S06-02</x:v>
      </x:c>
      <x:c r="B3294" s="10" t="str">
        <x:v>B</x:v>
      </x:c>
      <x:c r="C3294" s="18" t="n">
        <x:v>-5.9999999</x:v>
      </x:c>
      <x:c r="D3294" s="10" t="n">
        <x:v>560</x:v>
      </x:c>
      <x:c r="E3294" s="10" t="n">
        <x:v>0</x:v>
      </x:c>
      <x:c r="F3294" s="10" t="n">
        <x:v>0</x:v>
      </x:c>
      <x:c r="G3294" s="10" t="n">
        <x:f>SUM(D3294:F3294)</x:f>
        <x:v>560</x:v>
      </x:c>
    </x:row>
    <x:row r="3295" ht="24" customHeight="1">
      <x:c r="A3295" s="10" t="str">
        <x:v>S06-02</x:v>
      </x:c>
      <x:c r="B3295" s="10" t="str">
        <x:v>B</x:v>
      </x:c>
      <x:c r="C3295" s="18" t="n">
        <x:v>-4.0000001</x:v>
      </x:c>
      <x:c r="D3295" s="10" t="n">
        <x:v>560</x:v>
      </x:c>
      <x:c r="E3295" s="10" t="n">
        <x:v>0</x:v>
      </x:c>
      <x:c r="F3295" s="10" t="n">
        <x:v>0</x:v>
      </x:c>
      <x:c r="G3295" s="10" t="n">
        <x:f>SUM(D3295:F3295)</x:f>
        <x:v>560</x:v>
      </x:c>
    </x:row>
    <x:row r="3296" ht="24" customHeight="1">
      <x:c r="A3296" s="10" t="str">
        <x:v>S06-02</x:v>
      </x:c>
      <x:c r="B3296" s="10" t="str">
        <x:v>B</x:v>
      </x:c>
      <x:c r="C3296" s="18" t="n">
        <x:v>-4</x:v>
      </x:c>
      <x:c r="D3296" s="10" t="n">
        <x:v>560</x:v>
      </x:c>
      <x:c r="E3296" s="10" t="n">
        <x:v>0</x:v>
      </x:c>
      <x:c r="F3296" s="10" t="n">
        <x:v>0.004096</x:v>
      </x:c>
      <x:c r="G3296" s="10" t="n">
        <x:f>SUM(D3296:F3296)</x:f>
        <x:v>560.004096</x:v>
      </x:c>
    </x:row>
    <x:row r="3297" ht="24" customHeight="1">
      <x:c r="A3297" s="10" t="str">
        <x:v>S06-02</x:v>
      </x:c>
      <x:c r="B3297" s="10" t="str">
        <x:v>B</x:v>
      </x:c>
      <x:c r="C3297" s="18" t="n">
        <x:v>-3.9999999</x:v>
      </x:c>
      <x:c r="D3297" s="10" t="n">
        <x:v>560</x:v>
      </x:c>
      <x:c r="E3297" s="10" t="n">
        <x:v>0</x:v>
      </x:c>
      <x:c r="F3297" s="10" t="n">
        <x:v>0.004096</x:v>
      </x:c>
      <x:c r="G3297" s="10" t="n">
        <x:f>SUM(D3297:F3297)</x:f>
        <x:v>560.004096</x:v>
      </x:c>
    </x:row>
    <x:row r="3298" ht="24" customHeight="1">
      <x:c r="A3298" s="10" t="str">
        <x:v>S06-02</x:v>
      </x:c>
      <x:c r="B3298" s="10" t="str">
        <x:v>B</x:v>
      </x:c>
      <x:c r="C3298" s="18" t="n">
        <x:v>-3.594333433</x:v>
      </x:c>
      <x:c r="D3298" s="10" t="n">
        <x:v>560</x:v>
      </x:c>
      <x:c r="E3298" s="10" t="n">
        <x:v>0</x:v>
      </x:c>
      <x:c r="F3298" s="10" t="n">
        <x:v>0.004096</x:v>
      </x:c>
      <x:c r="G3298" s="10" t="n">
        <x:f>SUM(D3298:F3298)</x:f>
        <x:v>560.004096</x:v>
      </x:c>
    </x:row>
    <x:row r="3299" ht="24" customHeight="1">
      <x:c r="A3299" s="10" t="str">
        <x:v>S06-02</x:v>
      </x:c>
      <x:c r="B3299" s="10" t="str">
        <x:v>B</x:v>
      </x:c>
      <x:c r="C3299" s="18" t="n">
        <x:v>-3.594333333</x:v>
      </x:c>
      <x:c r="D3299" s="10" t="n">
        <x:v>560</x:v>
      </x:c>
      <x:c r="E3299" s="10" t="n">
        <x:v>0.0096</x:v>
      </x:c>
      <x:c r="F3299" s="10" t="n">
        <x:v>0.004096</x:v>
      </x:c>
      <x:c r="G3299" s="10" t="n">
        <x:f>SUM(D3299:F3299)</x:f>
        <x:v>560.013696</x:v>
      </x:c>
    </x:row>
    <x:row r="3300" ht="24" customHeight="1">
      <x:c r="A3300" s="10" t="str">
        <x:v>S06-02</x:v>
      </x:c>
      <x:c r="B3300" s="10" t="str">
        <x:v>B</x:v>
      </x:c>
      <x:c r="C3300" s="18" t="n">
        <x:v>-3.594333233</x:v>
      </x:c>
      <x:c r="D3300" s="10" t="n">
        <x:v>560</x:v>
      </x:c>
      <x:c r="E3300" s="10" t="n">
        <x:v>0.009600019</x:v>
      </x:c>
      <x:c r="F3300" s="10" t="n">
        <x:v>0.004096</x:v>
      </x:c>
      <x:c r="G3300" s="10" t="n">
        <x:f>SUM(D3300:F3300)</x:f>
        <x:v>560.013696019</x:v>
      </x:c>
    </x:row>
    <x:row r="3301" ht="24" customHeight="1">
      <x:c r="A3301" s="10" t="str">
        <x:v>S06-02</x:v>
      </x:c>
      <x:c r="B3301" s="10" t="str">
        <x:v>B</x:v>
      </x:c>
      <x:c r="C3301" s="18" t="n">
        <x:v>-2.9200001</x:v>
      </x:c>
      <x:c r="D3301" s="10" t="n">
        <x:v>560</x:v>
      </x:c>
      <x:c r="E3301" s="10" t="n">
        <x:v>0.139071981</x:v>
      </x:c>
      <x:c r="F3301" s="10" t="n">
        <x:v>0.004096</x:v>
      </x:c>
      <x:c r="G3301" s="10" t="n">
        <x:f>SUM(D3301:F3301)</x:f>
        <x:v>560.143167981</x:v>
      </x:c>
    </x:row>
    <x:row r="3302" ht="24" customHeight="1">
      <x:c r="A3302" s="10" t="str">
        <x:v>S06-02</x:v>
      </x:c>
      <x:c r="B3302" s="10" t="str">
        <x:v>B</x:v>
      </x:c>
      <x:c r="C3302" s="18" t="n">
        <x:v>-2.92</x:v>
      </x:c>
      <x:c r="D3302" s="10" t="n">
        <x:v>560</x:v>
      </x:c>
      <x:c r="E3302" s="10" t="n">
        <x:v>0.139072</x:v>
      </x:c>
      <x:c r="F3302" s="10" t="n">
        <x:v>0.004096</x:v>
      </x:c>
      <x:c r="G3302" s="10" t="n">
        <x:f>SUM(D3302:F3302)</x:f>
        <x:v>560.1431680000001</x:v>
      </x:c>
    </x:row>
    <x:row r="3303" ht="24" customHeight="1">
      <x:c r="A3303" s="10" t="str">
        <x:v>S06-02</x:v>
      </x:c>
      <x:c r="B3303" s="10" t="str">
        <x:v>B</x:v>
      </x:c>
      <x:c r="C3303" s="18" t="n">
        <x:v>-2.9199999</x:v>
      </x:c>
      <x:c r="D3303" s="10" t="n">
        <x:v>560</x:v>
      </x:c>
      <x:c r="E3303" s="10" t="n">
        <x:v>0.139072014</x:v>
      </x:c>
      <x:c r="F3303" s="10" t="n">
        <x:v>0.004096</x:v>
      </x:c>
      <x:c r="G3303" s="10" t="n">
        <x:f>SUM(D3303:F3303)</x:f>
        <x:v>560.143168014</x:v>
      </x:c>
    </x:row>
    <x:row r="3304" ht="24" customHeight="1">
      <x:c r="A3304" s="10" t="str">
        <x:v>S06-02</x:v>
      </x:c>
      <x:c r="B3304" s="10" t="str">
        <x:v>B</x:v>
      </x:c>
      <x:c r="C3304" s="18" t="n">
        <x:v>-1.9200001</x:v>
      </x:c>
      <x:c r="D3304" s="10" t="n">
        <x:v>560</x:v>
      </x:c>
      <x:c r="E3304" s="10" t="n">
        <x:v>0.283071986</x:v>
      </x:c>
      <x:c r="F3304" s="10" t="n">
        <x:v>0.004096</x:v>
      </x:c>
      <x:c r="G3304" s="10" t="n">
        <x:f>SUM(D3304:F3304)</x:f>
        <x:v>560.287167986</x:v>
      </x:c>
    </x:row>
    <x:row r="3305" ht="24" customHeight="1">
      <x:c r="A3305" s="10" t="str">
        <x:v>S06-02</x:v>
      </x:c>
      <x:c r="B3305" s="10" t="str">
        <x:v>B</x:v>
      </x:c>
      <x:c r="C3305" s="18" t="n">
        <x:v>-1.92</x:v>
      </x:c>
      <x:c r="D3305" s="10" t="n">
        <x:v>560</x:v>
      </x:c>
      <x:c r="E3305" s="10" t="n">
        <x:v>0.283072</x:v>
      </x:c>
      <x:c r="F3305" s="10" t="n">
        <x:v>0.004096</x:v>
      </x:c>
      <x:c r="G3305" s="10" t="n">
        <x:f>SUM(D3305:F3305)</x:f>
        <x:v>560.287168</x:v>
      </x:c>
    </x:row>
    <x:row r="3306" ht="24" customHeight="1">
      <x:c r="A3306" s="10" t="str">
        <x:v>S06-02</x:v>
      </x:c>
      <x:c r="B3306" s="10" t="str">
        <x:v>B</x:v>
      </x:c>
      <x:c r="C3306" s="18" t="n">
        <x:v>-1.9199999</x:v>
      </x:c>
      <x:c r="D3306" s="10" t="n">
        <x:v>560</x:v>
      </x:c>
      <x:c r="E3306" s="10" t="n">
        <x:v>0.283072019</x:v>
      </x:c>
      <x:c r="F3306" s="10" t="n">
        <x:v>0.004096</x:v>
      </x:c>
      <x:c r="G3306" s="10" t="n">
        <x:f>SUM(D3306:F3306)</x:f>
        <x:v>560.287168019</x:v>
      </x:c>
    </x:row>
    <x:row r="3307" ht="24" customHeight="1">
      <x:c r="A3307" s="10" t="str">
        <x:v>S06-02</x:v>
      </x:c>
      <x:c r="B3307" s="10" t="str">
        <x:v>B</x:v>
      </x:c>
      <x:c r="C3307" s="18" t="n">
        <x:v>-1.654833433</x:v>
      </x:c>
      <x:c r="D3307" s="10" t="n">
        <x:v>560</x:v>
      </x:c>
      <x:c r="E3307" s="10" t="n">
        <x:v>0.333983981</x:v>
      </x:c>
      <x:c r="F3307" s="10" t="n">
        <x:v>0.004096</x:v>
      </x:c>
      <x:c r="G3307" s="10" t="n">
        <x:f>SUM(D3307:F3307)</x:f>
        <x:v>560.338079981</x:v>
      </x:c>
    </x:row>
    <x:row r="3308" ht="24" customHeight="1">
      <x:c r="A3308" s="10" t="str">
        <x:v>S06-02</x:v>
      </x:c>
      <x:c r="B3308" s="10" t="str">
        <x:v>B</x:v>
      </x:c>
      <x:c r="C3308" s="18" t="n">
        <x:v>-1.654833333</x:v>
      </x:c>
      <x:c r="D3308" s="10" t="n">
        <x:v>560</x:v>
      </x:c>
      <x:c r="E3308" s="10" t="n">
        <x:v>0.333984</x:v>
      </x:c>
      <x:c r="F3308" s="10" t="n">
        <x:v>0.004096</x:v>
      </x:c>
      <x:c r="G3308" s="10" t="n">
        <x:f>SUM(D3308:F3308)</x:f>
        <x:v>560.33808</x:v>
      </x:c>
    </x:row>
    <x:row r="3309" ht="24" customHeight="1">
      <x:c r="A3309" s="10" t="str">
        <x:v>S06-02</x:v>
      </x:c>
      <x:c r="B3309" s="10" t="str">
        <x:v>B</x:v>
      </x:c>
      <x:c r="C3309" s="18" t="n">
        <x:v>-1.654833233</x:v>
      </x:c>
      <x:c r="D3309" s="10" t="n">
        <x:v>560</x:v>
      </x:c>
      <x:c r="E3309" s="10" t="n">
        <x:v>0.333984</x:v>
      </x:c>
      <x:c r="F3309" s="10" t="n">
        <x:v>0.004096</x:v>
      </x:c>
      <x:c r="G3309" s="10" t="n">
        <x:f>SUM(D3309:F3309)</x:f>
        <x:v>560.33808</x:v>
      </x:c>
    </x:row>
    <x:row r="3310" ht="24" customHeight="1">
      <x:c r="A3310" s="10" t="str">
        <x:v>S06-02</x:v>
      </x:c>
      <x:c r="B3310" s="10" t="str">
        <x:v>B</x:v>
      </x:c>
      <x:c r="C3310" s="18" t="n">
        <x:v>-1e-7</x:v>
      </x:c>
      <x:c r="D3310" s="10" t="n">
        <x:v>560</x:v>
      </x:c>
      <x:c r="E3310" s="10" t="n">
        <x:v>0.333984</x:v>
      </x:c>
      <x:c r="F3310" s="10" t="n">
        <x:v>0.004096</x:v>
      </x:c>
      <x:c r="G3310" s="10" t="n">
        <x:f>SUM(D3310:F3310)</x:f>
        <x:v>560.33808</x:v>
      </x:c>
    </x:row>
    <x:row r="3311" ht="24" customHeight="1">
      <x:c r="A3311" s="10" t="str">
        <x:v>S06-02</x:v>
      </x:c>
      <x:c r="B3311" s="10" t="str">
        <x:v>B</x:v>
      </x:c>
      <x:c r="C3311" s="18" t="n">
        <x:v>0</x:v>
      </x:c>
      <x:c r="D3311" s="10" t="n">
        <x:v>560</x:v>
      </x:c>
      <x:c r="E3311" s="10" t="n">
        <x:v>0.333984</x:v>
      </x:c>
      <x:c r="F3311" s="10" t="n">
        <x:v>0.004096</x:v>
      </x:c>
      <x:c r="G3311" s="10" t="n">
        <x:f>SUM(D3311:F3311)</x:f>
        <x:v>560.33808</x:v>
      </x:c>
    </x:row>
    <x:row r="3312" ht="24" customHeight="1">
      <x:c r="A3312" s="10" t="str">
        <x:v>S06-02</x:v>
      </x:c>
      <x:c r="B3312" s="10" t="str">
        <x:v>B</x:v>
      </x:c>
      <x:c r="C3312" s="18" t="n">
        <x:v>1e-7</x:v>
      </x:c>
      <x:c r="D3312" s="10" t="n">
        <x:v>560</x:v>
      </x:c>
      <x:c r="E3312" s="10" t="n">
        <x:v>0.333984</x:v>
      </x:c>
      <x:c r="F3312" s="10" t="n">
        <x:v>0.004096</x:v>
      </x:c>
      <x:c r="G3312" s="10" t="n">
        <x:f>SUM(D3312:F3312)</x:f>
        <x:v>560.33808</x:v>
      </x:c>
    </x:row>
    <x:row r="3313" ht="24" customHeight="1">
      <x:c r="A3313" s="10" t="str">
        <x:v>S06-02</x:v>
      </x:c>
      <x:c r="B3313" s="10" t="str">
        <x:v>B</x:v>
      </x:c>
      <x:c r="C3313" s="18" t="n">
        <x:v>0.896666567</x:v>
      </x:c>
      <x:c r="D3313" s="10" t="n">
        <x:v>560</x:v>
      </x:c>
      <x:c r="E3313" s="10" t="n">
        <x:v>0.333984</x:v>
      </x:c>
      <x:c r="F3313" s="10" t="n">
        <x:v>0.004096</x:v>
      </x:c>
      <x:c r="G3313" s="10" t="n">
        <x:f>SUM(D3313:F3313)</x:f>
        <x:v>560.33808</x:v>
      </x:c>
    </x:row>
    <x:row r="3314" ht="24" customHeight="1">
      <x:c r="A3314" s="10" t="str">
        <x:v>S06-02</x:v>
      </x:c>
      <x:c r="B3314" s="10" t="str">
        <x:v>B</x:v>
      </x:c>
      <x:c r="C3314" s="18" t="n">
        <x:v>0.896666667</x:v>
      </x:c>
      <x:c r="D3314" s="10" t="n">
        <x:v>560</x:v>
      </x:c>
      <x:c r="E3314" s="10" t="n">
        <x:v>0.333984</x:v>
      </x:c>
      <x:c r="F3314" s="10" t="n">
        <x:v>0.004096</x:v>
      </x:c>
      <x:c r="G3314" s="10" t="n">
        <x:f>SUM(D3314:F3314)</x:f>
        <x:v>560.33808</x:v>
      </x:c>
    </x:row>
    <x:row r="3315" ht="24" customHeight="1">
      <x:c r="A3315" s="10" t="str">
        <x:v>S06-02</x:v>
      </x:c>
      <x:c r="B3315" s="10" t="str">
        <x:v>B</x:v>
      </x:c>
      <x:c r="C3315" s="18" t="n">
        <x:v>0.896666767</x:v>
      </x:c>
      <x:c r="D3315" s="10" t="n">
        <x:v>560</x:v>
      </x:c>
      <x:c r="E3315" s="10" t="n">
        <x:v>0.333984</x:v>
      </x:c>
      <x:c r="F3315" s="10" t="n">
        <x:v>0.004096</x:v>
      </x:c>
      <x:c r="G3315" s="10" t="n">
        <x:f>SUM(D3315:F3315)</x:f>
        <x:v>560.33808</x:v>
      </x:c>
    </x:row>
    <x:row r="3316" ht="24" customHeight="1">
      <x:c r="A3316" s="10" t="str">
        <x:v>S06-02</x:v>
      </x:c>
      <x:c r="B3316" s="10" t="str">
        <x:v>B</x:v>
      </x:c>
      <x:c r="C3316" s="18" t="n">
        <x:v>0.936666567</x:v>
      </x:c>
      <x:c r="D3316" s="10" t="n">
        <x:v>560</x:v>
      </x:c>
      <x:c r="E3316" s="10" t="n">
        <x:v>0.333984</x:v>
      </x:c>
      <x:c r="F3316" s="10" t="n">
        <x:v>0.004096</x:v>
      </x:c>
      <x:c r="G3316" s="10" t="n">
        <x:f>SUM(D3316:F3316)</x:f>
        <x:v>560.33808</x:v>
      </x:c>
    </x:row>
    <x:row r="3317" ht="24" customHeight="1">
      <x:c r="A3317" s="10" t="str">
        <x:v>S06-02</x:v>
      </x:c>
      <x:c r="B3317" s="10" t="str">
        <x:v>B</x:v>
      </x:c>
      <x:c r="C3317" s="18" t="n">
        <x:v>0.936666667</x:v>
      </x:c>
      <x:c r="D3317" s="10" t="n">
        <x:v>560</x:v>
      </x:c>
      <x:c r="E3317" s="10" t="n">
        <x:v>0.333984</x:v>
      </x:c>
      <x:c r="F3317" s="10" t="n">
        <x:v>0.004096</x:v>
      </x:c>
      <x:c r="G3317" s="10" t="n">
        <x:f>SUM(D3317:F3317)</x:f>
        <x:v>560.33808</x:v>
      </x:c>
    </x:row>
    <x:row r="3318" ht="24" customHeight="1">
      <x:c r="A3318" s="10" t="str">
        <x:v>S06-02</x:v>
      </x:c>
      <x:c r="B3318" s="10" t="str">
        <x:v>B</x:v>
      </x:c>
      <x:c r="C3318" s="18" t="n">
        <x:v>0.936666767</x:v>
      </x:c>
      <x:c r="D3318" s="10" t="n">
        <x:v>560</x:v>
      </x:c>
      <x:c r="E3318" s="10" t="n">
        <x:v>0.333983995</x:v>
      </x:c>
      <x:c r="F3318" s="10" t="n">
        <x:v>0.004096</x:v>
      </x:c>
      <x:c r="G3318" s="10" t="n">
        <x:f>SUM(D3318:F3318)</x:f>
        <x:v>560.338079995</x:v>
      </x:c>
    </x:row>
    <x:row r="3319" ht="24" customHeight="1">
      <x:c r="A3319" s="10" t="str">
        <x:v>S06-02</x:v>
      </x:c>
      <x:c r="B3319" s="10" t="str">
        <x:v>B</x:v>
      </x:c>
      <x:c r="C3319" s="18" t="n">
        <x:v>1.536666567</x:v>
      </x:c>
      <x:c r="D3319" s="10" t="n">
        <x:v>560</x:v>
      </x:c>
      <x:c r="E3319" s="10" t="n">
        <x:v>0.305184005</x:v>
      </x:c>
      <x:c r="F3319" s="10" t="n">
        <x:v>0.004096</x:v>
      </x:c>
      <x:c r="G3319" s="10" t="n">
        <x:f>SUM(D3319:F3319)</x:f>
        <x:v>560.309280005</x:v>
      </x:c>
    </x:row>
    <x:row r="3320" ht="24" customHeight="1">
      <x:c r="A3320" s="10" t="str">
        <x:v>S06-02</x:v>
      </x:c>
      <x:c r="B3320" s="10" t="str">
        <x:v>B</x:v>
      </x:c>
      <x:c r="C3320" s="18" t="n">
        <x:v>1.536666667</x:v>
      </x:c>
      <x:c r="D3320" s="10" t="n">
        <x:v>560</x:v>
      </x:c>
      <x:c r="E3320" s="10" t="n">
        <x:v>0.305184</x:v>
      </x:c>
      <x:c r="F3320" s="10" t="n">
        <x:v>0.004096</x:v>
      </x:c>
      <x:c r="G3320" s="10" t="n">
        <x:f>SUM(D3320:F3320)</x:f>
        <x:v>560.3092800000001</x:v>
      </x:c>
    </x:row>
    <x:row r="3321" ht="24" customHeight="1">
      <x:c r="A3321" s="10" t="str">
        <x:v>S06-02</x:v>
      </x:c>
      <x:c r="B3321" s="10" t="str">
        <x:v>B</x:v>
      </x:c>
      <x:c r="C3321" s="18" t="n">
        <x:v>1.536666767</x:v>
      </x:c>
      <x:c r="D3321" s="10" t="n">
        <x:v>560</x:v>
      </x:c>
      <x:c r="E3321" s="10" t="n">
        <x:v>0.305184</x:v>
      </x:c>
      <x:c r="F3321" s="10" t="n">
        <x:v>0.004096</x:v>
      </x:c>
      <x:c r="G3321" s="10" t="n">
        <x:f>SUM(D3321:F3321)</x:f>
        <x:v>560.3092800000001</x:v>
      </x:c>
    </x:row>
    <x:row r="3322" ht="24" customHeight="1">
      <x:c r="A3322" s="10" t="str">
        <x:v>S06-02</x:v>
      </x:c>
      <x:c r="B3322" s="10" t="str">
        <x:v>B</x:v>
      </x:c>
      <x:c r="C3322" s="18" t="n">
        <x:v>1.836666567</x:v>
      </x:c>
      <x:c r="D3322" s="10" t="n">
        <x:v>560</x:v>
      </x:c>
      <x:c r="E3322" s="10" t="n">
        <x:v>0.305184</x:v>
      </x:c>
      <x:c r="F3322" s="10" t="n">
        <x:v>0.004096</x:v>
      </x:c>
      <x:c r="G3322" s="10" t="n">
        <x:f>SUM(D3322:F3322)</x:f>
        <x:v>560.3092800000001</x:v>
      </x:c>
    </x:row>
    <x:row r="3323" ht="24" customHeight="1">
      <x:c r="A3323" s="10" t="str">
        <x:v>S06-02</x:v>
      </x:c>
      <x:c r="B3323" s="10" t="str">
        <x:v>B</x:v>
      </x:c>
      <x:c r="C3323" s="18" t="n">
        <x:v>1.836666667</x:v>
      </x:c>
      <x:c r="D3323" s="10" t="n">
        <x:v>560</x:v>
      </x:c>
      <x:c r="E3323" s="10" t="n">
        <x:v>0.305184</x:v>
      </x:c>
      <x:c r="F3323" s="10" t="n">
        <x:v>0.004096</x:v>
      </x:c>
      <x:c r="G3323" s="10" t="n">
        <x:f>SUM(D3323:F3323)</x:f>
        <x:v>560.3092800000001</x:v>
      </x:c>
    </x:row>
    <x:row r="3324" ht="24" customHeight="1">
      <x:c r="A3324" s="10" t="str">
        <x:v>S06-02</x:v>
      </x:c>
      <x:c r="B3324" s="10" t="str">
        <x:v>B</x:v>
      </x:c>
      <x:c r="C3324" s="18" t="n">
        <x:v>1.836666767</x:v>
      </x:c>
      <x:c r="D3324" s="10" t="n">
        <x:v>560</x:v>
      </x:c>
      <x:c r="E3324" s="10" t="n">
        <x:v>0.305183995</x:v>
      </x:c>
      <x:c r="F3324" s="10" t="n">
        <x:v>0.004096</x:v>
      </x:c>
      <x:c r="G3324" s="10" t="n">
        <x:f>SUM(D3324:F3324)</x:f>
        <x:v>560.309279995</x:v>
      </x:c>
    </x:row>
    <x:row r="3325" ht="24" customHeight="1">
      <x:c r="A3325" s="10" t="str">
        <x:v>S06-02</x:v>
      </x:c>
      <x:c r="B3325" s="10" t="str">
        <x:v>B</x:v>
      </x:c>
      <x:c r="C3325" s="18" t="n">
        <x:v>8.194666566</x:v>
      </x:c>
      <x:c r="D3325" s="10" t="n">
        <x:v>560</x:v>
      </x:c>
      <x:c r="E3325" s="10" t="n">
        <x:v>5e-9</x:v>
      </x:c>
      <x:c r="F3325" s="10" t="n">
        <x:v>0.004096</x:v>
      </x:c>
      <x:c r="G3325" s="10" t="n">
        <x:f>SUM(D3325:F3325)</x:f>
        <x:v>560.004096005</x:v>
      </x:c>
    </x:row>
    <x:row r="3326" ht="24" customHeight="1">
      <x:c r="A3326" s="10" t="str">
        <x:v>S06-02</x:v>
      </x:c>
      <x:c r="B3326" s="10" t="str">
        <x:v>B</x:v>
      </x:c>
      <x:c r="C3326" s="18" t="n">
        <x:v>8.194666666</x:v>
      </x:c>
      <x:c r="D3326" s="10" t="n">
        <x:v>560</x:v>
      </x:c>
      <x:c r="E3326" s="10" t="n">
        <x:v>0</x:v>
      </x:c>
      <x:c r="F3326" s="10" t="n">
        <x:v>0.004096</x:v>
      </x:c>
      <x:c r="G3326" s="10" t="n">
        <x:f>SUM(D3326:F3326)</x:f>
        <x:v>560.004096</x:v>
      </x:c>
    </x:row>
    <x:row r="3327" ht="24" customHeight="1">
      <x:c r="A3327" s="10" t="str">
        <x:v>S06-02</x:v>
      </x:c>
      <x:c r="B3327" s="10" t="str">
        <x:v>B</x:v>
      </x:c>
      <x:c r="C3327" s="18" t="n">
        <x:v>8.194666766</x:v>
      </x:c>
      <x:c r="D3327" s="10" t="n">
        <x:v>560</x:v>
      </x:c>
      <x:c r="E3327" s="10" t="n">
        <x:v>0</x:v>
      </x:c>
      <x:c r="F3327" s="10" t="n">
        <x:v>0</x:v>
      </x:c>
      <x:c r="G3327" s="10" t="n">
        <x:f>SUM(D3327:F3327)</x:f>
        <x:v>560</x:v>
      </x:c>
    </x:row>
    <x:row r="3328" ht="24" customHeight="1">
      <x:c r="A3328" s="10" t="str">
        <x:v>S06-03</x:v>
      </x:c>
      <x:c r="B3328" s="10" t="str">
        <x:v>A</x:v>
      </x:c>
      <x:c r="C3328" s="18" t="n">
        <x:v>-6.0000001</x:v>
      </x:c>
      <x:c r="D3328" s="10" t="n">
        <x:v>560</x:v>
      </x:c>
      <x:c r="E3328" s="10" t="n">
        <x:v>0</x:v>
      </x:c>
      <x:c r="F3328" s="10" t="n">
        <x:v>0</x:v>
      </x:c>
      <x:c r="G3328" s="10" t="n">
        <x:f>SUM(D3328:F3328)</x:f>
        <x:v>560</x:v>
      </x:c>
    </x:row>
    <x:row r="3329" ht="24" customHeight="1">
      <x:c r="A3329" s="10" t="str">
        <x:v>S06-03</x:v>
      </x:c>
      <x:c r="B3329" s="10" t="str">
        <x:v>A</x:v>
      </x:c>
      <x:c r="C3329" s="18" t="n">
        <x:v>-6</x:v>
      </x:c>
      <x:c r="D3329" s="10" t="n">
        <x:v>560</x:v>
      </x:c>
      <x:c r="E3329" s="10" t="n">
        <x:v>0</x:v>
      </x:c>
      <x:c r="F3329" s="10" t="n">
        <x:v>0</x:v>
      </x:c>
      <x:c r="G3329" s="10" t="n">
        <x:f>SUM(D3329:F3329)</x:f>
        <x:v>560</x:v>
      </x:c>
    </x:row>
    <x:row r="3330" ht="24" customHeight="1">
      <x:c r="A3330" s="10" t="str">
        <x:v>S06-03</x:v>
      </x:c>
      <x:c r="B3330" s="10" t="str">
        <x:v>A</x:v>
      </x:c>
      <x:c r="C3330" s="18" t="n">
        <x:v>-5.9999999</x:v>
      </x:c>
      <x:c r="D3330" s="10" t="n">
        <x:v>560</x:v>
      </x:c>
      <x:c r="E3330" s="10" t="n">
        <x:v>0</x:v>
      </x:c>
      <x:c r="F3330" s="10" t="n">
        <x:v>0</x:v>
      </x:c>
      <x:c r="G3330" s="10" t="n">
        <x:f>SUM(D3330:F3330)</x:f>
        <x:v>560</x:v>
      </x:c>
    </x:row>
    <x:row r="3331" ht="24" customHeight="1">
      <x:c r="A3331" s="10" t="str">
        <x:v>S06-03</x:v>
      </x:c>
      <x:c r="B3331" s="10" t="str">
        <x:v>A</x:v>
      </x:c>
      <x:c r="C3331" s="18" t="n">
        <x:v>-4.0000001</x:v>
      </x:c>
      <x:c r="D3331" s="10" t="n">
        <x:v>560</x:v>
      </x:c>
      <x:c r="E3331" s="10" t="n">
        <x:v>0</x:v>
      </x:c>
      <x:c r="F3331" s="10" t="n">
        <x:v>0</x:v>
      </x:c>
      <x:c r="G3331" s="10" t="n">
        <x:f>SUM(D3331:F3331)</x:f>
        <x:v>560</x:v>
      </x:c>
    </x:row>
    <x:row r="3332" ht="24" customHeight="1">
      <x:c r="A3332" s="10" t="str">
        <x:v>S06-03</x:v>
      </x:c>
      <x:c r="B3332" s="10" t="str">
        <x:v>A</x:v>
      </x:c>
      <x:c r="C3332" s="18" t="n">
        <x:v>-4</x:v>
      </x:c>
      <x:c r="D3332" s="10" t="n">
        <x:v>560</x:v>
      </x:c>
      <x:c r="E3332" s="10" t="n">
        <x:v>0</x:v>
      </x:c>
      <x:c r="F3332" s="10" t="n">
        <x:v>0.004096</x:v>
      </x:c>
      <x:c r="G3332" s="10" t="n">
        <x:f>SUM(D3332:F3332)</x:f>
        <x:v>560.004096</x:v>
      </x:c>
    </x:row>
    <x:row r="3333" ht="24" customHeight="1">
      <x:c r="A3333" s="10" t="str">
        <x:v>S06-03</x:v>
      </x:c>
      <x:c r="B3333" s="10" t="str">
        <x:v>A</x:v>
      </x:c>
      <x:c r="C3333" s="18" t="n">
        <x:v>-3.9999999</x:v>
      </x:c>
      <x:c r="D3333" s="10" t="n">
        <x:v>560</x:v>
      </x:c>
      <x:c r="E3333" s="10" t="n">
        <x:v>0</x:v>
      </x:c>
      <x:c r="F3333" s="10" t="n">
        <x:v>0.004096</x:v>
      </x:c>
      <x:c r="G3333" s="10" t="n">
        <x:f>SUM(D3333:F3333)</x:f>
        <x:v>560.004096</x:v>
      </x:c>
    </x:row>
    <x:row r="3334" ht="24" customHeight="1">
      <x:c r="A3334" s="10" t="str">
        <x:v>S06-03</x:v>
      </x:c>
      <x:c r="B3334" s="10" t="str">
        <x:v>A</x:v>
      </x:c>
      <x:c r="C3334" s="18" t="n">
        <x:v>-3.594333433</x:v>
      </x:c>
      <x:c r="D3334" s="10" t="n">
        <x:v>560</x:v>
      </x:c>
      <x:c r="E3334" s="10" t="n">
        <x:v>0</x:v>
      </x:c>
      <x:c r="F3334" s="10" t="n">
        <x:v>0.004096</x:v>
      </x:c>
      <x:c r="G3334" s="10" t="n">
        <x:f>SUM(D3334:F3334)</x:f>
        <x:v>560.004096</x:v>
      </x:c>
    </x:row>
    <x:row r="3335" ht="24" customHeight="1">
      <x:c r="A3335" s="10" t="str">
        <x:v>S06-03</x:v>
      </x:c>
      <x:c r="B3335" s="10" t="str">
        <x:v>A</x:v>
      </x:c>
      <x:c r="C3335" s="18" t="n">
        <x:v>-3.594333333</x:v>
      </x:c>
      <x:c r="D3335" s="10" t="n">
        <x:v>560</x:v>
      </x:c>
      <x:c r="E3335" s="10" t="n">
        <x:v>0.0096</x:v>
      </x:c>
      <x:c r="F3335" s="10" t="n">
        <x:v>0.004096</x:v>
      </x:c>
      <x:c r="G3335" s="10" t="n">
        <x:f>SUM(D3335:F3335)</x:f>
        <x:v>560.013696</x:v>
      </x:c>
    </x:row>
    <x:row r="3336" ht="24" customHeight="1">
      <x:c r="A3336" s="10" t="str">
        <x:v>S06-03</x:v>
      </x:c>
      <x:c r="B3336" s="10" t="str">
        <x:v>A</x:v>
      </x:c>
      <x:c r="C3336" s="18" t="n">
        <x:v>-3.594333233</x:v>
      </x:c>
      <x:c r="D3336" s="10" t="n">
        <x:v>560</x:v>
      </x:c>
      <x:c r="E3336" s="10" t="n">
        <x:v>0.009600019</x:v>
      </x:c>
      <x:c r="F3336" s="10" t="n">
        <x:v>0.004096</x:v>
      </x:c>
      <x:c r="G3336" s="10" t="n">
        <x:f>SUM(D3336:F3336)</x:f>
        <x:v>560.013696019</x:v>
      </x:c>
    </x:row>
    <x:row r="3337" ht="24" customHeight="1">
      <x:c r="A3337" s="10" t="str">
        <x:v>S06-03</x:v>
      </x:c>
      <x:c r="B3337" s="10" t="str">
        <x:v>A</x:v>
      </x:c>
      <x:c r="C3337" s="18" t="n">
        <x:v>-2.9200001</x:v>
      </x:c>
      <x:c r="D3337" s="10" t="n">
        <x:v>560</x:v>
      </x:c>
      <x:c r="E3337" s="10" t="n">
        <x:v>0.139071981</x:v>
      </x:c>
      <x:c r="F3337" s="10" t="n">
        <x:v>0.004096</x:v>
      </x:c>
      <x:c r="G3337" s="10" t="n">
        <x:f>SUM(D3337:F3337)</x:f>
        <x:v>560.143167981</x:v>
      </x:c>
    </x:row>
    <x:row r="3338" ht="24" customHeight="1">
      <x:c r="A3338" s="10" t="str">
        <x:v>S06-03</x:v>
      </x:c>
      <x:c r="B3338" s="10" t="str">
        <x:v>A</x:v>
      </x:c>
      <x:c r="C3338" s="18" t="n">
        <x:v>-2.92</x:v>
      </x:c>
      <x:c r="D3338" s="10" t="n">
        <x:v>560</x:v>
      </x:c>
      <x:c r="E3338" s="10" t="n">
        <x:v>0.139072</x:v>
      </x:c>
      <x:c r="F3338" s="10" t="n">
        <x:v>0.004096</x:v>
      </x:c>
      <x:c r="G3338" s="10" t="n">
        <x:f>SUM(D3338:F3338)</x:f>
        <x:v>560.1431680000001</x:v>
      </x:c>
    </x:row>
    <x:row r="3339" ht="24" customHeight="1">
      <x:c r="A3339" s="10" t="str">
        <x:v>S06-03</x:v>
      </x:c>
      <x:c r="B3339" s="10" t="str">
        <x:v>A</x:v>
      </x:c>
      <x:c r="C3339" s="18" t="n">
        <x:v>-2.9199999</x:v>
      </x:c>
      <x:c r="D3339" s="10" t="n">
        <x:v>560</x:v>
      </x:c>
      <x:c r="E3339" s="10" t="n">
        <x:v>0.139072014</x:v>
      </x:c>
      <x:c r="F3339" s="10" t="n">
        <x:v>0.004096</x:v>
      </x:c>
      <x:c r="G3339" s="10" t="n">
        <x:f>SUM(D3339:F3339)</x:f>
        <x:v>560.143168014</x:v>
      </x:c>
    </x:row>
    <x:row r="3340" ht="24" customHeight="1">
      <x:c r="A3340" s="10" t="str">
        <x:v>S06-03</x:v>
      </x:c>
      <x:c r="B3340" s="10" t="str">
        <x:v>A</x:v>
      </x:c>
      <x:c r="C3340" s="18" t="n">
        <x:v>-1.9200001</x:v>
      </x:c>
      <x:c r="D3340" s="10" t="n">
        <x:v>560</x:v>
      </x:c>
      <x:c r="E3340" s="10" t="n">
        <x:v>0.283071986</x:v>
      </x:c>
      <x:c r="F3340" s="10" t="n">
        <x:v>0.004096</x:v>
      </x:c>
      <x:c r="G3340" s="10" t="n">
        <x:f>SUM(D3340:F3340)</x:f>
        <x:v>560.287167986</x:v>
      </x:c>
    </x:row>
    <x:row r="3341" ht="24" customHeight="1">
      <x:c r="A3341" s="10" t="str">
        <x:v>S06-03</x:v>
      </x:c>
      <x:c r="B3341" s="10" t="str">
        <x:v>A</x:v>
      </x:c>
      <x:c r="C3341" s="18" t="n">
        <x:v>-1.92</x:v>
      </x:c>
      <x:c r="D3341" s="10" t="n">
        <x:v>560</x:v>
      </x:c>
      <x:c r="E3341" s="10" t="n">
        <x:v>0.283072</x:v>
      </x:c>
      <x:c r="F3341" s="10" t="n">
        <x:v>0.004096</x:v>
      </x:c>
      <x:c r="G3341" s="10" t="n">
        <x:f>SUM(D3341:F3341)</x:f>
        <x:v>560.287168</x:v>
      </x:c>
    </x:row>
    <x:row r="3342" ht="24" customHeight="1">
      <x:c r="A3342" s="10" t="str">
        <x:v>S06-03</x:v>
      </x:c>
      <x:c r="B3342" s="10" t="str">
        <x:v>A</x:v>
      </x:c>
      <x:c r="C3342" s="18" t="n">
        <x:v>-1.9199999</x:v>
      </x:c>
      <x:c r="D3342" s="10" t="n">
        <x:v>560</x:v>
      </x:c>
      <x:c r="E3342" s="10" t="n">
        <x:v>0.283072019</x:v>
      </x:c>
      <x:c r="F3342" s="10" t="n">
        <x:v>0.004096</x:v>
      </x:c>
      <x:c r="G3342" s="10" t="n">
        <x:f>SUM(D3342:F3342)</x:f>
        <x:v>560.287168019</x:v>
      </x:c>
    </x:row>
    <x:row r="3343" ht="24" customHeight="1">
      <x:c r="A3343" s="10" t="str">
        <x:v>S06-03</x:v>
      </x:c>
      <x:c r="B3343" s="10" t="str">
        <x:v>A</x:v>
      </x:c>
      <x:c r="C3343" s="18" t="n">
        <x:v>-1.651833433</x:v>
      </x:c>
      <x:c r="D3343" s="10" t="n">
        <x:v>560</x:v>
      </x:c>
      <x:c r="E3343" s="10" t="n">
        <x:v>0.334559981</x:v>
      </x:c>
      <x:c r="F3343" s="10" t="n">
        <x:v>0.004096</x:v>
      </x:c>
      <x:c r="G3343" s="10" t="n">
        <x:f>SUM(D3343:F3343)</x:f>
        <x:v>560.338655981</x:v>
      </x:c>
    </x:row>
    <x:row r="3344" ht="24" customHeight="1">
      <x:c r="A3344" s="10" t="str">
        <x:v>S06-03</x:v>
      </x:c>
      <x:c r="B3344" s="10" t="str">
        <x:v>A</x:v>
      </x:c>
      <x:c r="C3344" s="18" t="n">
        <x:v>-1.651833333</x:v>
      </x:c>
      <x:c r="D3344" s="10" t="n">
        <x:v>560</x:v>
      </x:c>
      <x:c r="E3344" s="10" t="n">
        <x:v>0.33456</x:v>
      </x:c>
      <x:c r="F3344" s="10" t="n">
        <x:v>0.004096</x:v>
      </x:c>
      <x:c r="G3344" s="10" t="n">
        <x:f>SUM(D3344:F3344)</x:f>
        <x:v>560.338656</x:v>
      </x:c>
    </x:row>
    <x:row r="3345" ht="24" customHeight="1">
      <x:c r="A3345" s="10" t="str">
        <x:v>S06-03</x:v>
      </x:c>
      <x:c r="B3345" s="10" t="str">
        <x:v>A</x:v>
      </x:c>
      <x:c r="C3345" s="18" t="n">
        <x:v>-1.651833233</x:v>
      </x:c>
      <x:c r="D3345" s="10" t="n">
        <x:v>560</x:v>
      </x:c>
      <x:c r="E3345" s="10" t="n">
        <x:v>0.33456</x:v>
      </x:c>
      <x:c r="F3345" s="10" t="n">
        <x:v>0.004096</x:v>
      </x:c>
      <x:c r="G3345" s="10" t="n">
        <x:f>SUM(D3345:F3345)</x:f>
        <x:v>560.338656</x:v>
      </x:c>
    </x:row>
    <x:row r="3346" ht="24" customHeight="1">
      <x:c r="A3346" s="10" t="str">
        <x:v>S06-03</x:v>
      </x:c>
      <x:c r="B3346" s="10" t="str">
        <x:v>A</x:v>
      </x:c>
      <x:c r="C3346" s="18" t="n">
        <x:v>-1e-7</x:v>
      </x:c>
      <x:c r="D3346" s="10" t="n">
        <x:v>560</x:v>
      </x:c>
      <x:c r="E3346" s="10" t="n">
        <x:v>0.33456</x:v>
      </x:c>
      <x:c r="F3346" s="10" t="n">
        <x:v>0.004096</x:v>
      </x:c>
      <x:c r="G3346" s="10" t="n">
        <x:f>SUM(D3346:F3346)</x:f>
        <x:v>560.338656</x:v>
      </x:c>
    </x:row>
    <x:row r="3347" ht="24" customHeight="1">
      <x:c r="A3347" s="10" t="str">
        <x:v>S06-03</x:v>
      </x:c>
      <x:c r="B3347" s="10" t="str">
        <x:v>A</x:v>
      </x:c>
      <x:c r="C3347" s="18" t="n">
        <x:v>0</x:v>
      </x:c>
      <x:c r="D3347" s="10" t="n">
        <x:v>560</x:v>
      </x:c>
      <x:c r="E3347" s="10" t="n">
        <x:v>0.33456</x:v>
      </x:c>
      <x:c r="F3347" s="10" t="n">
        <x:v>0.004096</x:v>
      </x:c>
      <x:c r="G3347" s="10" t="n">
        <x:f>SUM(D3347:F3347)</x:f>
        <x:v>560.338656</x:v>
      </x:c>
    </x:row>
    <x:row r="3348" ht="24" customHeight="1">
      <x:c r="A3348" s="10" t="str">
        <x:v>S06-03</x:v>
      </x:c>
      <x:c r="B3348" s="10" t="str">
        <x:v>A</x:v>
      </x:c>
      <x:c r="C3348" s="18" t="n">
        <x:v>1e-7</x:v>
      </x:c>
      <x:c r="D3348" s="10" t="n">
        <x:v>560</x:v>
      </x:c>
      <x:c r="E3348" s="10" t="n">
        <x:v>0.33456</x:v>
      </x:c>
      <x:c r="F3348" s="10" t="n">
        <x:v>0.004096</x:v>
      </x:c>
      <x:c r="G3348" s="10" t="n">
        <x:f>SUM(D3348:F3348)</x:f>
        <x:v>560.338656</x:v>
      </x:c>
    </x:row>
    <x:row r="3349" ht="24" customHeight="1">
      <x:c r="A3349" s="10" t="str">
        <x:v>S06-03</x:v>
      </x:c>
      <x:c r="B3349" s="10" t="str">
        <x:v>A</x:v>
      </x:c>
      <x:c r="C3349" s="18" t="n">
        <x:v>0.8499999</x:v>
      </x:c>
      <x:c r="D3349" s="10" t="n">
        <x:v>560</x:v>
      </x:c>
      <x:c r="E3349" s="10" t="n">
        <x:v>0.33456</x:v>
      </x:c>
      <x:c r="F3349" s="10" t="n">
        <x:v>0.004096</x:v>
      </x:c>
      <x:c r="G3349" s="10" t="n">
        <x:f>SUM(D3349:F3349)</x:f>
        <x:v>560.338656</x:v>
      </x:c>
    </x:row>
    <x:row r="3350" ht="24" customHeight="1">
      <x:c r="A3350" s="10" t="str">
        <x:v>S06-03</x:v>
      </x:c>
      <x:c r="B3350" s="10" t="str">
        <x:v>A</x:v>
      </x:c>
      <x:c r="C3350" s="18" t="n">
        <x:v>0.85</x:v>
      </x:c>
      <x:c r="D3350" s="10" t="n">
        <x:v>560</x:v>
      </x:c>
      <x:c r="E3350" s="10" t="n">
        <x:v>0.33456</x:v>
      </x:c>
      <x:c r="F3350" s="10" t="n">
        <x:v>0.004096</x:v>
      </x:c>
      <x:c r="G3350" s="10" t="n">
        <x:f>SUM(D3350:F3350)</x:f>
        <x:v>560.338656</x:v>
      </x:c>
    </x:row>
    <x:row r="3351" ht="24" customHeight="1">
      <x:c r="A3351" s="10" t="str">
        <x:v>S06-03</x:v>
      </x:c>
      <x:c r="B3351" s="10" t="str">
        <x:v>A</x:v>
      </x:c>
      <x:c r="C3351" s="18" t="n">
        <x:v>0.8500001</x:v>
      </x:c>
      <x:c r="D3351" s="10" t="n">
        <x:v>560</x:v>
      </x:c>
      <x:c r="E3351" s="10" t="n">
        <x:v>0.33456</x:v>
      </x:c>
      <x:c r="F3351" s="10" t="n">
        <x:v>0.004096</x:v>
      </x:c>
      <x:c r="G3351" s="10" t="n">
        <x:f>SUM(D3351:F3351)</x:f>
        <x:v>560.338656</x:v>
      </x:c>
    </x:row>
    <x:row r="3352" ht="24" customHeight="1">
      <x:c r="A3352" s="10" t="str">
        <x:v>S06-03</x:v>
      </x:c>
      <x:c r="B3352" s="10" t="str">
        <x:v>A</x:v>
      </x:c>
      <x:c r="C3352" s="18" t="n">
        <x:v>0.8899999</x:v>
      </x:c>
      <x:c r="D3352" s="10" t="n">
        <x:v>560</x:v>
      </x:c>
      <x:c r="E3352" s="10" t="n">
        <x:v>0.33456</x:v>
      </x:c>
      <x:c r="F3352" s="10" t="n">
        <x:v>0.004096</x:v>
      </x:c>
      <x:c r="G3352" s="10" t="n">
        <x:f>SUM(D3352:F3352)</x:f>
        <x:v>560.338656</x:v>
      </x:c>
    </x:row>
    <x:row r="3353" ht="24" customHeight="1">
      <x:c r="A3353" s="10" t="str">
        <x:v>S06-03</x:v>
      </x:c>
      <x:c r="B3353" s="10" t="str">
        <x:v>A</x:v>
      </x:c>
      <x:c r="C3353" s="18" t="n">
        <x:v>0.89</x:v>
      </x:c>
      <x:c r="D3353" s="10" t="n">
        <x:v>560</x:v>
      </x:c>
      <x:c r="E3353" s="10" t="n">
        <x:v>0.33456</x:v>
      </x:c>
      <x:c r="F3353" s="10" t="n">
        <x:v>0.004096</x:v>
      </x:c>
      <x:c r="G3353" s="10" t="n">
        <x:f>SUM(D3353:F3353)</x:f>
        <x:v>560.338656</x:v>
      </x:c>
    </x:row>
    <x:row r="3354" ht="24" customHeight="1">
      <x:c r="A3354" s="10" t="str">
        <x:v>S06-03</x:v>
      </x:c>
      <x:c r="B3354" s="10" t="str">
        <x:v>A</x:v>
      </x:c>
      <x:c r="C3354" s="18" t="n">
        <x:v>0.8900001</x:v>
      </x:c>
      <x:c r="D3354" s="10" t="n">
        <x:v>560</x:v>
      </x:c>
      <x:c r="E3354" s="10" t="n">
        <x:v>0.334559995</x:v>
      </x:c>
      <x:c r="F3354" s="10" t="n">
        <x:v>0.004096</x:v>
      </x:c>
      <x:c r="G3354" s="10" t="n">
        <x:f>SUM(D3354:F3354)</x:f>
        <x:v>560.338655995</x:v>
      </x:c>
    </x:row>
    <x:row r="3355" ht="24" customHeight="1">
      <x:c r="A3355" s="10" t="str">
        <x:v>S06-03</x:v>
      </x:c>
      <x:c r="B3355" s="10" t="str">
        <x:v>A</x:v>
      </x:c>
      <x:c r="C3355" s="18" t="n">
        <x:v>1.4899999</x:v>
      </x:c>
      <x:c r="D3355" s="10" t="n">
        <x:v>560</x:v>
      </x:c>
      <x:c r="E3355" s="10" t="n">
        <x:v>0.305760005</x:v>
      </x:c>
      <x:c r="F3355" s="10" t="n">
        <x:v>0.004096</x:v>
      </x:c>
      <x:c r="G3355" s="10" t="n">
        <x:f>SUM(D3355:F3355)</x:f>
        <x:v>560.309856005</x:v>
      </x:c>
    </x:row>
    <x:row r="3356" ht="24" customHeight="1">
      <x:c r="A3356" s="10" t="str">
        <x:v>S06-03</x:v>
      </x:c>
      <x:c r="B3356" s="10" t="str">
        <x:v>A</x:v>
      </x:c>
      <x:c r="C3356" s="18" t="n">
        <x:v>1.49</x:v>
      </x:c>
      <x:c r="D3356" s="10" t="n">
        <x:v>560</x:v>
      </x:c>
      <x:c r="E3356" s="10" t="n">
        <x:v>0.30576</x:v>
      </x:c>
      <x:c r="F3356" s="10" t="n">
        <x:v>0.004096</x:v>
      </x:c>
      <x:c r="G3356" s="10" t="n">
        <x:f>SUM(D3356:F3356)</x:f>
        <x:v>560.309856</x:v>
      </x:c>
    </x:row>
    <x:row r="3357" ht="24" customHeight="1">
      <x:c r="A3357" s="10" t="str">
        <x:v>S06-03</x:v>
      </x:c>
      <x:c r="B3357" s="10" t="str">
        <x:v>A</x:v>
      </x:c>
      <x:c r="C3357" s="18" t="n">
        <x:v>1.4900001</x:v>
      </x:c>
      <x:c r="D3357" s="10" t="n">
        <x:v>560</x:v>
      </x:c>
      <x:c r="E3357" s="10" t="n">
        <x:v>0.30576</x:v>
      </x:c>
      <x:c r="F3357" s="10" t="n">
        <x:v>0.004096</x:v>
      </x:c>
      <x:c r="G3357" s="10" t="n">
        <x:f>SUM(D3357:F3357)</x:f>
        <x:v>560.309856</x:v>
      </x:c>
    </x:row>
    <x:row r="3358" ht="24" customHeight="1">
      <x:c r="A3358" s="10" t="str">
        <x:v>S06-03</x:v>
      </x:c>
      <x:c r="B3358" s="10" t="str">
        <x:v>A</x:v>
      </x:c>
      <x:c r="C3358" s="18" t="n">
        <x:v>1.7899999</x:v>
      </x:c>
      <x:c r="D3358" s="10" t="n">
        <x:v>560</x:v>
      </x:c>
      <x:c r="E3358" s="10" t="n">
        <x:v>0.30576</x:v>
      </x:c>
      <x:c r="F3358" s="10" t="n">
        <x:v>0.004096</x:v>
      </x:c>
      <x:c r="G3358" s="10" t="n">
        <x:f>SUM(D3358:F3358)</x:f>
        <x:v>560.309856</x:v>
      </x:c>
    </x:row>
    <x:row r="3359" ht="24" customHeight="1">
      <x:c r="A3359" s="10" t="str">
        <x:v>S06-03</x:v>
      </x:c>
      <x:c r="B3359" s="10" t="str">
        <x:v>A</x:v>
      </x:c>
      <x:c r="C3359" s="18" t="n">
        <x:v>1.79</x:v>
      </x:c>
      <x:c r="D3359" s="10" t="n">
        <x:v>560</x:v>
      </x:c>
      <x:c r="E3359" s="10" t="n">
        <x:v>0.30576</x:v>
      </x:c>
      <x:c r="F3359" s="10" t="n">
        <x:v>0.004096</x:v>
      </x:c>
      <x:c r="G3359" s="10" t="n">
        <x:f>SUM(D3359:F3359)</x:f>
        <x:v>560.309856</x:v>
      </x:c>
    </x:row>
    <x:row r="3360" ht="24" customHeight="1">
      <x:c r="A3360" s="10" t="str">
        <x:v>S06-03</x:v>
      </x:c>
      <x:c r="B3360" s="10" t="str">
        <x:v>A</x:v>
      </x:c>
      <x:c r="C3360" s="18" t="n">
        <x:v>1.7900001</x:v>
      </x:c>
      <x:c r="D3360" s="10" t="n">
        <x:v>560</x:v>
      </x:c>
      <x:c r="E3360" s="10" t="n">
        <x:v>0.305759995</x:v>
      </x:c>
      <x:c r="F3360" s="10" t="n">
        <x:v>0.004096</x:v>
      </x:c>
      <x:c r="G3360" s="10" t="n">
        <x:f>SUM(D3360:F3360)</x:f>
        <x:v>560.309855995</x:v>
      </x:c>
    </x:row>
    <x:row r="3361" ht="24" customHeight="1">
      <x:c r="A3361" s="10" t="str">
        <x:v>S06-03</x:v>
      </x:c>
      <x:c r="B3361" s="10" t="str">
        <x:v>A</x:v>
      </x:c>
      <x:c r="C3361" s="18" t="n">
        <x:v>8.159999899</x:v>
      </x:c>
      <x:c r="D3361" s="10" t="n">
        <x:v>560</x:v>
      </x:c>
      <x:c r="E3361" s="10" t="n">
        <x:v>5e-9</x:v>
      </x:c>
      <x:c r="F3361" s="10" t="n">
        <x:v>0.004096</x:v>
      </x:c>
      <x:c r="G3361" s="10" t="n">
        <x:f>SUM(D3361:F3361)</x:f>
        <x:v>560.004096005</x:v>
      </x:c>
    </x:row>
    <x:row r="3362" ht="24" customHeight="1">
      <x:c r="A3362" s="10" t="str">
        <x:v>S06-03</x:v>
      </x:c>
      <x:c r="B3362" s="10" t="str">
        <x:v>A</x:v>
      </x:c>
      <x:c r="C3362" s="18" t="n">
        <x:v>8.159999999</x:v>
      </x:c>
      <x:c r="D3362" s="10" t="n">
        <x:v>560</x:v>
      </x:c>
      <x:c r="E3362" s="10" t="n">
        <x:v>0</x:v>
      </x:c>
      <x:c r="F3362" s="10" t="n">
        <x:v>0.004096</x:v>
      </x:c>
      <x:c r="G3362" s="10" t="n">
        <x:f>SUM(D3362:F3362)</x:f>
        <x:v>560.004096</x:v>
      </x:c>
    </x:row>
    <x:row r="3363" ht="24" customHeight="1">
      <x:c r="A3363" s="10" t="str">
        <x:v>S06-03</x:v>
      </x:c>
      <x:c r="B3363" s="10" t="str">
        <x:v>A</x:v>
      </x:c>
      <x:c r="C3363" s="18" t="n">
        <x:v>8.160000099</x:v>
      </x:c>
      <x:c r="D3363" s="10" t="n">
        <x:v>560</x:v>
      </x:c>
      <x:c r="E3363" s="10" t="n">
        <x:v>0</x:v>
      </x:c>
      <x:c r="F3363" s="10" t="n">
        <x:v>0</x:v>
      </x:c>
      <x:c r="G3363" s="10" t="n">
        <x:f>SUM(D3363:F3363)</x:f>
        <x:v>560</x:v>
      </x:c>
    </x:row>
    <x:row r="3364" ht="24" customHeight="1">
      <x:c r="A3364" s="10" t="str">
        <x:v>S06-03</x:v>
      </x:c>
      <x:c r="B3364" s="10" t="str">
        <x:v>B</x:v>
      </x:c>
      <x:c r="C3364" s="18" t="n">
        <x:v>-6.0000001</x:v>
      </x:c>
      <x:c r="D3364" s="10" t="n">
        <x:v>560</x:v>
      </x:c>
      <x:c r="E3364" s="10" t="n">
        <x:v>0</x:v>
      </x:c>
      <x:c r="F3364" s="10" t="n">
        <x:v>0</x:v>
      </x:c>
      <x:c r="G3364" s="10" t="n">
        <x:f>SUM(D3364:F3364)</x:f>
        <x:v>560</x:v>
      </x:c>
    </x:row>
    <x:row r="3365" ht="24" customHeight="1">
      <x:c r="A3365" s="10" t="str">
        <x:v>S06-03</x:v>
      </x:c>
      <x:c r="B3365" s="10" t="str">
        <x:v>B</x:v>
      </x:c>
      <x:c r="C3365" s="18" t="n">
        <x:v>-6</x:v>
      </x:c>
      <x:c r="D3365" s="10" t="n">
        <x:v>560</x:v>
      </x:c>
      <x:c r="E3365" s="10" t="n">
        <x:v>0</x:v>
      </x:c>
      <x:c r="F3365" s="10" t="n">
        <x:v>0</x:v>
      </x:c>
      <x:c r="G3365" s="10" t="n">
        <x:f>SUM(D3365:F3365)</x:f>
        <x:v>560</x:v>
      </x:c>
    </x:row>
    <x:row r="3366" ht="24" customHeight="1">
      <x:c r="A3366" s="10" t="str">
        <x:v>S06-03</x:v>
      </x:c>
      <x:c r="B3366" s="10" t="str">
        <x:v>B</x:v>
      </x:c>
      <x:c r="C3366" s="18" t="n">
        <x:v>-5.9999999</x:v>
      </x:c>
      <x:c r="D3366" s="10" t="n">
        <x:v>560</x:v>
      </x:c>
      <x:c r="E3366" s="10" t="n">
        <x:v>0</x:v>
      </x:c>
      <x:c r="F3366" s="10" t="n">
        <x:v>0</x:v>
      </x:c>
      <x:c r="G3366" s="10" t="n">
        <x:f>SUM(D3366:F3366)</x:f>
        <x:v>560</x:v>
      </x:c>
    </x:row>
    <x:row r="3367" ht="24" customHeight="1">
      <x:c r="A3367" s="10" t="str">
        <x:v>S06-03</x:v>
      </x:c>
      <x:c r="B3367" s="10" t="str">
        <x:v>B</x:v>
      </x:c>
      <x:c r="C3367" s="18" t="n">
        <x:v>-4.0000001</x:v>
      </x:c>
      <x:c r="D3367" s="10" t="n">
        <x:v>560</x:v>
      </x:c>
      <x:c r="E3367" s="10" t="n">
        <x:v>0</x:v>
      </x:c>
      <x:c r="F3367" s="10" t="n">
        <x:v>0</x:v>
      </x:c>
      <x:c r="G3367" s="10" t="n">
        <x:f>SUM(D3367:F3367)</x:f>
        <x:v>560</x:v>
      </x:c>
    </x:row>
    <x:row r="3368" ht="24" customHeight="1">
      <x:c r="A3368" s="10" t="str">
        <x:v>S06-03</x:v>
      </x:c>
      <x:c r="B3368" s="10" t="str">
        <x:v>B</x:v>
      </x:c>
      <x:c r="C3368" s="18" t="n">
        <x:v>-4</x:v>
      </x:c>
      <x:c r="D3368" s="10" t="n">
        <x:v>560</x:v>
      </x:c>
      <x:c r="E3368" s="10" t="n">
        <x:v>0</x:v>
      </x:c>
      <x:c r="F3368" s="10" t="n">
        <x:v>0.004096</x:v>
      </x:c>
      <x:c r="G3368" s="10" t="n">
        <x:f>SUM(D3368:F3368)</x:f>
        <x:v>560.004096</x:v>
      </x:c>
    </x:row>
    <x:row r="3369" ht="24" customHeight="1">
      <x:c r="A3369" s="10" t="str">
        <x:v>S06-03</x:v>
      </x:c>
      <x:c r="B3369" s="10" t="str">
        <x:v>B</x:v>
      </x:c>
      <x:c r="C3369" s="18" t="n">
        <x:v>-3.9999999</x:v>
      </x:c>
      <x:c r="D3369" s="10" t="n">
        <x:v>560</x:v>
      </x:c>
      <x:c r="E3369" s="10" t="n">
        <x:v>0</x:v>
      </x:c>
      <x:c r="F3369" s="10" t="n">
        <x:v>0.004096</x:v>
      </x:c>
      <x:c r="G3369" s="10" t="n">
        <x:f>SUM(D3369:F3369)</x:f>
        <x:v>560.004096</x:v>
      </x:c>
    </x:row>
    <x:row r="3370" ht="24" customHeight="1">
      <x:c r="A3370" s="10" t="str">
        <x:v>S06-03</x:v>
      </x:c>
      <x:c r="B3370" s="10" t="str">
        <x:v>B</x:v>
      </x:c>
      <x:c r="C3370" s="18" t="n">
        <x:v>-3.594333433</x:v>
      </x:c>
      <x:c r="D3370" s="10" t="n">
        <x:v>560</x:v>
      </x:c>
      <x:c r="E3370" s="10" t="n">
        <x:v>0</x:v>
      </x:c>
      <x:c r="F3370" s="10" t="n">
        <x:v>0.004096</x:v>
      </x:c>
      <x:c r="G3370" s="10" t="n">
        <x:f>SUM(D3370:F3370)</x:f>
        <x:v>560.004096</x:v>
      </x:c>
    </x:row>
    <x:row r="3371" ht="24" customHeight="1">
      <x:c r="A3371" s="10" t="str">
        <x:v>S06-03</x:v>
      </x:c>
      <x:c r="B3371" s="10" t="str">
        <x:v>B</x:v>
      </x:c>
      <x:c r="C3371" s="18" t="n">
        <x:v>-3.594333333</x:v>
      </x:c>
      <x:c r="D3371" s="10" t="n">
        <x:v>560</x:v>
      </x:c>
      <x:c r="E3371" s="10" t="n">
        <x:v>0.0096</x:v>
      </x:c>
      <x:c r="F3371" s="10" t="n">
        <x:v>0.004096</x:v>
      </x:c>
      <x:c r="G3371" s="10" t="n">
        <x:f>SUM(D3371:F3371)</x:f>
        <x:v>560.013696</x:v>
      </x:c>
    </x:row>
    <x:row r="3372" ht="24" customHeight="1">
      <x:c r="A3372" s="10" t="str">
        <x:v>S06-03</x:v>
      </x:c>
      <x:c r="B3372" s="10" t="str">
        <x:v>B</x:v>
      </x:c>
      <x:c r="C3372" s="18" t="n">
        <x:v>-3.594333233</x:v>
      </x:c>
      <x:c r="D3372" s="10" t="n">
        <x:v>560</x:v>
      </x:c>
      <x:c r="E3372" s="10" t="n">
        <x:v>0.009600019</x:v>
      </x:c>
      <x:c r="F3372" s="10" t="n">
        <x:v>0.004096</x:v>
      </x:c>
      <x:c r="G3372" s="10" t="n">
        <x:f>SUM(D3372:F3372)</x:f>
        <x:v>560.013696019</x:v>
      </x:c>
    </x:row>
    <x:row r="3373" ht="24" customHeight="1">
      <x:c r="A3373" s="10" t="str">
        <x:v>S06-03</x:v>
      </x:c>
      <x:c r="B3373" s="10" t="str">
        <x:v>B</x:v>
      </x:c>
      <x:c r="C3373" s="18" t="n">
        <x:v>-2.9200001</x:v>
      </x:c>
      <x:c r="D3373" s="10" t="n">
        <x:v>560</x:v>
      </x:c>
      <x:c r="E3373" s="10" t="n">
        <x:v>0.139071981</x:v>
      </x:c>
      <x:c r="F3373" s="10" t="n">
        <x:v>0.004096</x:v>
      </x:c>
      <x:c r="G3373" s="10" t="n">
        <x:f>SUM(D3373:F3373)</x:f>
        <x:v>560.143167981</x:v>
      </x:c>
    </x:row>
    <x:row r="3374" ht="24" customHeight="1">
      <x:c r="A3374" s="10" t="str">
        <x:v>S06-03</x:v>
      </x:c>
      <x:c r="B3374" s="10" t="str">
        <x:v>B</x:v>
      </x:c>
      <x:c r="C3374" s="18" t="n">
        <x:v>-2.92</x:v>
      </x:c>
      <x:c r="D3374" s="10" t="n">
        <x:v>560</x:v>
      </x:c>
      <x:c r="E3374" s="10" t="n">
        <x:v>0.139072</x:v>
      </x:c>
      <x:c r="F3374" s="10" t="n">
        <x:v>0.004096</x:v>
      </x:c>
      <x:c r="G3374" s="10" t="n">
        <x:f>SUM(D3374:F3374)</x:f>
        <x:v>560.1431680000001</x:v>
      </x:c>
    </x:row>
    <x:row r="3375" ht="24" customHeight="1">
      <x:c r="A3375" s="10" t="str">
        <x:v>S06-03</x:v>
      </x:c>
      <x:c r="B3375" s="10" t="str">
        <x:v>B</x:v>
      </x:c>
      <x:c r="C3375" s="18" t="n">
        <x:v>-2.9199999</x:v>
      </x:c>
      <x:c r="D3375" s="10" t="n">
        <x:v>560</x:v>
      </x:c>
      <x:c r="E3375" s="10" t="n">
        <x:v>0.139072014</x:v>
      </x:c>
      <x:c r="F3375" s="10" t="n">
        <x:v>0.004096</x:v>
      </x:c>
      <x:c r="G3375" s="10" t="n">
        <x:f>SUM(D3375:F3375)</x:f>
        <x:v>560.143168014</x:v>
      </x:c>
    </x:row>
    <x:row r="3376" ht="24" customHeight="1">
      <x:c r="A3376" s="10" t="str">
        <x:v>S06-03</x:v>
      </x:c>
      <x:c r="B3376" s="10" t="str">
        <x:v>B</x:v>
      </x:c>
      <x:c r="C3376" s="18" t="n">
        <x:v>-1.9200001</x:v>
      </x:c>
      <x:c r="D3376" s="10" t="n">
        <x:v>560</x:v>
      </x:c>
      <x:c r="E3376" s="10" t="n">
        <x:v>0.283071986</x:v>
      </x:c>
      <x:c r="F3376" s="10" t="n">
        <x:v>0.004096</x:v>
      </x:c>
      <x:c r="G3376" s="10" t="n">
        <x:f>SUM(D3376:F3376)</x:f>
        <x:v>560.287167986</x:v>
      </x:c>
    </x:row>
    <x:row r="3377" ht="24" customHeight="1">
      <x:c r="A3377" s="10" t="str">
        <x:v>S06-03</x:v>
      </x:c>
      <x:c r="B3377" s="10" t="str">
        <x:v>B</x:v>
      </x:c>
      <x:c r="C3377" s="18" t="n">
        <x:v>-1.92</x:v>
      </x:c>
      <x:c r="D3377" s="10" t="n">
        <x:v>560</x:v>
      </x:c>
      <x:c r="E3377" s="10" t="n">
        <x:v>0.283072</x:v>
      </x:c>
      <x:c r="F3377" s="10" t="n">
        <x:v>0.004096</x:v>
      </x:c>
      <x:c r="G3377" s="10" t="n">
        <x:f>SUM(D3377:F3377)</x:f>
        <x:v>560.287168</x:v>
      </x:c>
    </x:row>
    <x:row r="3378" ht="24" customHeight="1">
      <x:c r="A3378" s="10" t="str">
        <x:v>S06-03</x:v>
      </x:c>
      <x:c r="B3378" s="10" t="str">
        <x:v>B</x:v>
      </x:c>
      <x:c r="C3378" s="18" t="n">
        <x:v>-1.9199999</x:v>
      </x:c>
      <x:c r="D3378" s="10" t="n">
        <x:v>560</x:v>
      </x:c>
      <x:c r="E3378" s="10" t="n">
        <x:v>0.283072019</x:v>
      </x:c>
      <x:c r="F3378" s="10" t="n">
        <x:v>0.004096</x:v>
      </x:c>
      <x:c r="G3378" s="10" t="n">
        <x:f>SUM(D3378:F3378)</x:f>
        <x:v>560.287168019</x:v>
      </x:c>
    </x:row>
    <x:row r="3379" ht="24" customHeight="1">
      <x:c r="A3379" s="10" t="str">
        <x:v>S06-03</x:v>
      </x:c>
      <x:c r="B3379" s="10" t="str">
        <x:v>B</x:v>
      </x:c>
      <x:c r="C3379" s="18" t="n">
        <x:v>-1.651833433</x:v>
      </x:c>
      <x:c r="D3379" s="10" t="n">
        <x:v>560</x:v>
      </x:c>
      <x:c r="E3379" s="10" t="n">
        <x:v>0.334559981</x:v>
      </x:c>
      <x:c r="F3379" s="10" t="n">
        <x:v>0.004096</x:v>
      </x:c>
      <x:c r="G3379" s="10" t="n">
        <x:f>SUM(D3379:F3379)</x:f>
        <x:v>560.338655981</x:v>
      </x:c>
    </x:row>
    <x:row r="3380" ht="24" customHeight="1">
      <x:c r="A3380" s="10" t="str">
        <x:v>S06-03</x:v>
      </x:c>
      <x:c r="B3380" s="10" t="str">
        <x:v>B</x:v>
      </x:c>
      <x:c r="C3380" s="18" t="n">
        <x:v>-1.651833333</x:v>
      </x:c>
      <x:c r="D3380" s="10" t="n">
        <x:v>560</x:v>
      </x:c>
      <x:c r="E3380" s="10" t="n">
        <x:v>0.33456</x:v>
      </x:c>
      <x:c r="F3380" s="10" t="n">
        <x:v>0.004096</x:v>
      </x:c>
      <x:c r="G3380" s="10" t="n">
        <x:f>SUM(D3380:F3380)</x:f>
        <x:v>560.338656</x:v>
      </x:c>
    </x:row>
    <x:row r="3381" ht="24" customHeight="1">
      <x:c r="A3381" s="10" t="str">
        <x:v>S06-03</x:v>
      </x:c>
      <x:c r="B3381" s="10" t="str">
        <x:v>B</x:v>
      </x:c>
      <x:c r="C3381" s="18" t="n">
        <x:v>-1.651833233</x:v>
      </x:c>
      <x:c r="D3381" s="10" t="n">
        <x:v>560</x:v>
      </x:c>
      <x:c r="E3381" s="10" t="n">
        <x:v>0.33456</x:v>
      </x:c>
      <x:c r="F3381" s="10" t="n">
        <x:v>0.004096</x:v>
      </x:c>
      <x:c r="G3381" s="10" t="n">
        <x:f>SUM(D3381:F3381)</x:f>
        <x:v>560.338656</x:v>
      </x:c>
    </x:row>
    <x:row r="3382" ht="24" customHeight="1">
      <x:c r="A3382" s="10" t="str">
        <x:v>S06-03</x:v>
      </x:c>
      <x:c r="B3382" s="10" t="str">
        <x:v>B</x:v>
      </x:c>
      <x:c r="C3382" s="18" t="n">
        <x:v>-1e-7</x:v>
      </x:c>
      <x:c r="D3382" s="10" t="n">
        <x:v>560</x:v>
      </x:c>
      <x:c r="E3382" s="10" t="n">
        <x:v>0.33456</x:v>
      </x:c>
      <x:c r="F3382" s="10" t="n">
        <x:v>0.004096</x:v>
      </x:c>
      <x:c r="G3382" s="10" t="n">
        <x:f>SUM(D3382:F3382)</x:f>
        <x:v>560.338656</x:v>
      </x:c>
    </x:row>
    <x:row r="3383" ht="24" customHeight="1">
      <x:c r="A3383" s="10" t="str">
        <x:v>S06-03</x:v>
      </x:c>
      <x:c r="B3383" s="10" t="str">
        <x:v>B</x:v>
      </x:c>
      <x:c r="C3383" s="18" t="n">
        <x:v>0</x:v>
      </x:c>
      <x:c r="D3383" s="10" t="n">
        <x:v>560</x:v>
      </x:c>
      <x:c r="E3383" s="10" t="n">
        <x:v>0.33456</x:v>
      </x:c>
      <x:c r="F3383" s="10" t="n">
        <x:v>0.004096</x:v>
      </x:c>
      <x:c r="G3383" s="10" t="n">
        <x:f>SUM(D3383:F3383)</x:f>
        <x:v>560.338656</x:v>
      </x:c>
    </x:row>
    <x:row r="3384" ht="24" customHeight="1">
      <x:c r="A3384" s="10" t="str">
        <x:v>S06-03</x:v>
      </x:c>
      <x:c r="B3384" s="10" t="str">
        <x:v>B</x:v>
      </x:c>
      <x:c r="C3384" s="18" t="n">
        <x:v>1e-7</x:v>
      </x:c>
      <x:c r="D3384" s="10" t="n">
        <x:v>560</x:v>
      </x:c>
      <x:c r="E3384" s="10" t="n">
        <x:v>0.33456</x:v>
      </x:c>
      <x:c r="F3384" s="10" t="n">
        <x:v>0.004096</x:v>
      </x:c>
      <x:c r="G3384" s="10" t="n">
        <x:f>SUM(D3384:F3384)</x:f>
        <x:v>560.338656</x:v>
      </x:c>
    </x:row>
    <x:row r="3385" ht="24" customHeight="1">
      <x:c r="A3385" s="10" t="str">
        <x:v>S06-03</x:v>
      </x:c>
      <x:c r="B3385" s="10" t="str">
        <x:v>B</x:v>
      </x:c>
      <x:c r="C3385" s="18" t="n">
        <x:v>0.8499999</x:v>
      </x:c>
      <x:c r="D3385" s="10" t="n">
        <x:v>560</x:v>
      </x:c>
      <x:c r="E3385" s="10" t="n">
        <x:v>0.33456</x:v>
      </x:c>
      <x:c r="F3385" s="10" t="n">
        <x:v>0.004096</x:v>
      </x:c>
      <x:c r="G3385" s="10" t="n">
        <x:f>SUM(D3385:F3385)</x:f>
        <x:v>560.338656</x:v>
      </x:c>
    </x:row>
    <x:row r="3386" ht="24" customHeight="1">
      <x:c r="A3386" s="10" t="str">
        <x:v>S06-03</x:v>
      </x:c>
      <x:c r="B3386" s="10" t="str">
        <x:v>B</x:v>
      </x:c>
      <x:c r="C3386" s="18" t="n">
        <x:v>0.85</x:v>
      </x:c>
      <x:c r="D3386" s="10" t="n">
        <x:v>560</x:v>
      </x:c>
      <x:c r="E3386" s="10" t="n">
        <x:v>0.33456</x:v>
      </x:c>
      <x:c r="F3386" s="10" t="n">
        <x:v>0.004096</x:v>
      </x:c>
      <x:c r="G3386" s="10" t="n">
        <x:f>SUM(D3386:F3386)</x:f>
        <x:v>560.338656</x:v>
      </x:c>
    </x:row>
    <x:row r="3387" ht="24" customHeight="1">
      <x:c r="A3387" s="10" t="str">
        <x:v>S06-03</x:v>
      </x:c>
      <x:c r="B3387" s="10" t="str">
        <x:v>B</x:v>
      </x:c>
      <x:c r="C3387" s="18" t="n">
        <x:v>0.8500001</x:v>
      </x:c>
      <x:c r="D3387" s="10" t="n">
        <x:v>560</x:v>
      </x:c>
      <x:c r="E3387" s="10" t="n">
        <x:v>0.33456</x:v>
      </x:c>
      <x:c r="F3387" s="10" t="n">
        <x:v>0.004096</x:v>
      </x:c>
      <x:c r="G3387" s="10" t="n">
        <x:f>SUM(D3387:F3387)</x:f>
        <x:v>560.338656</x:v>
      </x:c>
    </x:row>
    <x:row r="3388" ht="24" customHeight="1">
      <x:c r="A3388" s="10" t="str">
        <x:v>S06-03</x:v>
      </x:c>
      <x:c r="B3388" s="10" t="str">
        <x:v>B</x:v>
      </x:c>
      <x:c r="C3388" s="18" t="n">
        <x:v>0.8899999</x:v>
      </x:c>
      <x:c r="D3388" s="10" t="n">
        <x:v>560</x:v>
      </x:c>
      <x:c r="E3388" s="10" t="n">
        <x:v>0.33456</x:v>
      </x:c>
      <x:c r="F3388" s="10" t="n">
        <x:v>0.004096</x:v>
      </x:c>
      <x:c r="G3388" s="10" t="n">
        <x:f>SUM(D3388:F3388)</x:f>
        <x:v>560.338656</x:v>
      </x:c>
    </x:row>
    <x:row r="3389" ht="24" customHeight="1">
      <x:c r="A3389" s="10" t="str">
        <x:v>S06-03</x:v>
      </x:c>
      <x:c r="B3389" s="10" t="str">
        <x:v>B</x:v>
      </x:c>
      <x:c r="C3389" s="18" t="n">
        <x:v>0.89</x:v>
      </x:c>
      <x:c r="D3389" s="10" t="n">
        <x:v>560</x:v>
      </x:c>
      <x:c r="E3389" s="10" t="n">
        <x:v>0.33456</x:v>
      </x:c>
      <x:c r="F3389" s="10" t="n">
        <x:v>0.004096</x:v>
      </x:c>
      <x:c r="G3389" s="10" t="n">
        <x:f>SUM(D3389:F3389)</x:f>
        <x:v>560.338656</x:v>
      </x:c>
    </x:row>
    <x:row r="3390" ht="24" customHeight="1">
      <x:c r="A3390" s="10" t="str">
        <x:v>S06-03</x:v>
      </x:c>
      <x:c r="B3390" s="10" t="str">
        <x:v>B</x:v>
      </x:c>
      <x:c r="C3390" s="18" t="n">
        <x:v>0.8900001</x:v>
      </x:c>
      <x:c r="D3390" s="10" t="n">
        <x:v>560</x:v>
      </x:c>
      <x:c r="E3390" s="10" t="n">
        <x:v>0.334559995</x:v>
      </x:c>
      <x:c r="F3390" s="10" t="n">
        <x:v>0.004096</x:v>
      </x:c>
      <x:c r="G3390" s="10" t="n">
        <x:f>SUM(D3390:F3390)</x:f>
        <x:v>560.338655995</x:v>
      </x:c>
    </x:row>
    <x:row r="3391" ht="24" customHeight="1">
      <x:c r="A3391" s="10" t="str">
        <x:v>S06-03</x:v>
      </x:c>
      <x:c r="B3391" s="10" t="str">
        <x:v>B</x:v>
      </x:c>
      <x:c r="C3391" s="18" t="n">
        <x:v>1.4899999</x:v>
      </x:c>
      <x:c r="D3391" s="10" t="n">
        <x:v>560</x:v>
      </x:c>
      <x:c r="E3391" s="10" t="n">
        <x:v>0.305760005</x:v>
      </x:c>
      <x:c r="F3391" s="10" t="n">
        <x:v>0.004096</x:v>
      </x:c>
      <x:c r="G3391" s="10" t="n">
        <x:f>SUM(D3391:F3391)</x:f>
        <x:v>560.309856005</x:v>
      </x:c>
    </x:row>
    <x:row r="3392" ht="24" customHeight="1">
      <x:c r="A3392" s="10" t="str">
        <x:v>S06-03</x:v>
      </x:c>
      <x:c r="B3392" s="10" t="str">
        <x:v>B</x:v>
      </x:c>
      <x:c r="C3392" s="18" t="n">
        <x:v>1.49</x:v>
      </x:c>
      <x:c r="D3392" s="10" t="n">
        <x:v>560</x:v>
      </x:c>
      <x:c r="E3392" s="10" t="n">
        <x:v>0.30576</x:v>
      </x:c>
      <x:c r="F3392" s="10" t="n">
        <x:v>0.004096</x:v>
      </x:c>
      <x:c r="G3392" s="10" t="n">
        <x:f>SUM(D3392:F3392)</x:f>
        <x:v>560.309856</x:v>
      </x:c>
    </x:row>
    <x:row r="3393" ht="24" customHeight="1">
      <x:c r="A3393" s="10" t="str">
        <x:v>S06-03</x:v>
      </x:c>
      <x:c r="B3393" s="10" t="str">
        <x:v>B</x:v>
      </x:c>
      <x:c r="C3393" s="18" t="n">
        <x:v>1.4900001</x:v>
      </x:c>
      <x:c r="D3393" s="10" t="n">
        <x:v>560</x:v>
      </x:c>
      <x:c r="E3393" s="10" t="n">
        <x:v>0.30576</x:v>
      </x:c>
      <x:c r="F3393" s="10" t="n">
        <x:v>0.004096</x:v>
      </x:c>
      <x:c r="G3393" s="10" t="n">
        <x:f>SUM(D3393:F3393)</x:f>
        <x:v>560.309856</x:v>
      </x:c>
    </x:row>
    <x:row r="3394" ht="24" customHeight="1">
      <x:c r="A3394" s="10" t="str">
        <x:v>S06-03</x:v>
      </x:c>
      <x:c r="B3394" s="10" t="str">
        <x:v>B</x:v>
      </x:c>
      <x:c r="C3394" s="18" t="n">
        <x:v>1.7899999</x:v>
      </x:c>
      <x:c r="D3394" s="10" t="n">
        <x:v>560</x:v>
      </x:c>
      <x:c r="E3394" s="10" t="n">
        <x:v>0.30576</x:v>
      </x:c>
      <x:c r="F3394" s="10" t="n">
        <x:v>0.004096</x:v>
      </x:c>
      <x:c r="G3394" s="10" t="n">
        <x:f>SUM(D3394:F3394)</x:f>
        <x:v>560.309856</x:v>
      </x:c>
    </x:row>
    <x:row r="3395" ht="24" customHeight="1">
      <x:c r="A3395" s="10" t="str">
        <x:v>S06-03</x:v>
      </x:c>
      <x:c r="B3395" s="10" t="str">
        <x:v>B</x:v>
      </x:c>
      <x:c r="C3395" s="18" t="n">
        <x:v>1.79</x:v>
      </x:c>
      <x:c r="D3395" s="10" t="n">
        <x:v>560</x:v>
      </x:c>
      <x:c r="E3395" s="10" t="n">
        <x:v>0.30576</x:v>
      </x:c>
      <x:c r="F3395" s="10" t="n">
        <x:v>0.004096</x:v>
      </x:c>
      <x:c r="G3395" s="10" t="n">
        <x:f>SUM(D3395:F3395)</x:f>
        <x:v>560.309856</x:v>
      </x:c>
    </x:row>
    <x:row r="3396" ht="24" customHeight="1">
      <x:c r="A3396" s="10" t="str">
        <x:v>S06-03</x:v>
      </x:c>
      <x:c r="B3396" s="10" t="str">
        <x:v>B</x:v>
      </x:c>
      <x:c r="C3396" s="18" t="n">
        <x:v>1.7900001</x:v>
      </x:c>
      <x:c r="D3396" s="10" t="n">
        <x:v>560</x:v>
      </x:c>
      <x:c r="E3396" s="10" t="n">
        <x:v>0.305759995</x:v>
      </x:c>
      <x:c r="F3396" s="10" t="n">
        <x:v>0.004096</x:v>
      </x:c>
      <x:c r="G3396" s="10" t="n">
        <x:f>SUM(D3396:F3396)</x:f>
        <x:v>560.309855995</x:v>
      </x:c>
    </x:row>
    <x:row r="3397" ht="24" customHeight="1">
      <x:c r="A3397" s="10" t="str">
        <x:v>S06-03</x:v>
      </x:c>
      <x:c r="B3397" s="10" t="str">
        <x:v>B</x:v>
      </x:c>
      <x:c r="C3397" s="18" t="n">
        <x:v>8.159999899</x:v>
      </x:c>
      <x:c r="D3397" s="10" t="n">
        <x:v>560</x:v>
      </x:c>
      <x:c r="E3397" s="10" t="n">
        <x:v>5e-9</x:v>
      </x:c>
      <x:c r="F3397" s="10" t="n">
        <x:v>0.004096</x:v>
      </x:c>
      <x:c r="G3397" s="10" t="n">
        <x:f>SUM(D3397:F3397)</x:f>
        <x:v>560.004096005</x:v>
      </x:c>
    </x:row>
    <x:row r="3398" ht="24" customHeight="1">
      <x:c r="A3398" s="10" t="str">
        <x:v>S06-03</x:v>
      </x:c>
      <x:c r="B3398" s="10" t="str">
        <x:v>B</x:v>
      </x:c>
      <x:c r="C3398" s="18" t="n">
        <x:v>8.159999999</x:v>
      </x:c>
      <x:c r="D3398" s="10" t="n">
        <x:v>560</x:v>
      </x:c>
      <x:c r="E3398" s="10" t="n">
        <x:v>0</x:v>
      </x:c>
      <x:c r="F3398" s="10" t="n">
        <x:v>0.004096</x:v>
      </x:c>
      <x:c r="G3398" s="10" t="n">
        <x:f>SUM(D3398:F3398)</x:f>
        <x:v>560.004096</x:v>
      </x:c>
    </x:row>
    <x:row r="3399" ht="24" customHeight="1">
      <x:c r="A3399" s="10" t="str">
        <x:v>S06-03</x:v>
      </x:c>
      <x:c r="B3399" s="10" t="str">
        <x:v>B</x:v>
      </x:c>
      <x:c r="C3399" s="18" t="n">
        <x:v>8.160000099</x:v>
      </x:c>
      <x:c r="D3399" s="10" t="n">
        <x:v>560</x:v>
      </x:c>
      <x:c r="E3399" s="10" t="n">
        <x:v>0</x:v>
      </x:c>
      <x:c r="F3399" s="10" t="n">
        <x:v>0</x:v>
      </x:c>
      <x:c r="G3399" s="10" t="n">
        <x:f>SUM(D3399:F3399)</x:f>
        <x:v>560</x:v>
      </x:c>
    </x:row>
    <x:row r="3400" ht="24" customHeight="1">
      <x:c r="A3400" s="10" t="str">
        <x:v>S06-04</x:v>
      </x:c>
      <x:c r="B3400" s="10" t="str">
        <x:v>A</x:v>
      </x:c>
      <x:c r="C3400" s="18" t="n">
        <x:v>-6.0000001</x:v>
      </x:c>
      <x:c r="D3400" s="10" t="n">
        <x:v>560</x:v>
      </x:c>
      <x:c r="E3400" s="10" t="n">
        <x:v>0</x:v>
      </x:c>
      <x:c r="F3400" s="10" t="n">
        <x:v>0</x:v>
      </x:c>
      <x:c r="G3400" s="10" t="n">
        <x:f>SUM(D3400:F3400)</x:f>
        <x:v>560</x:v>
      </x:c>
    </x:row>
    <x:row r="3401" ht="24" customHeight="1">
      <x:c r="A3401" s="10" t="str">
        <x:v>S06-04</x:v>
      </x:c>
      <x:c r="B3401" s="10" t="str">
        <x:v>A</x:v>
      </x:c>
      <x:c r="C3401" s="18" t="n">
        <x:v>-6</x:v>
      </x:c>
      <x:c r="D3401" s="10" t="n">
        <x:v>560</x:v>
      </x:c>
      <x:c r="E3401" s="10" t="n">
        <x:v>0</x:v>
      </x:c>
      <x:c r="F3401" s="10" t="n">
        <x:v>0</x:v>
      </x:c>
      <x:c r="G3401" s="10" t="n">
        <x:f>SUM(D3401:F3401)</x:f>
        <x:v>560</x:v>
      </x:c>
    </x:row>
    <x:row r="3402" ht="24" customHeight="1">
      <x:c r="A3402" s="10" t="str">
        <x:v>S06-04</x:v>
      </x:c>
      <x:c r="B3402" s="10" t="str">
        <x:v>A</x:v>
      </x:c>
      <x:c r="C3402" s="18" t="n">
        <x:v>-5.9999999</x:v>
      </x:c>
      <x:c r="D3402" s="10" t="n">
        <x:v>560</x:v>
      </x:c>
      <x:c r="E3402" s="10" t="n">
        <x:v>0</x:v>
      </x:c>
      <x:c r="F3402" s="10" t="n">
        <x:v>0</x:v>
      </x:c>
      <x:c r="G3402" s="10" t="n">
        <x:f>SUM(D3402:F3402)</x:f>
        <x:v>560</x:v>
      </x:c>
    </x:row>
    <x:row r="3403" ht="24" customHeight="1">
      <x:c r="A3403" s="10" t="str">
        <x:v>S06-04</x:v>
      </x:c>
      <x:c r="B3403" s="10" t="str">
        <x:v>A</x:v>
      </x:c>
      <x:c r="C3403" s="18" t="n">
        <x:v>-4.0000001</x:v>
      </x:c>
      <x:c r="D3403" s="10" t="n">
        <x:v>560</x:v>
      </x:c>
      <x:c r="E3403" s="10" t="n">
        <x:v>0</x:v>
      </x:c>
      <x:c r="F3403" s="10" t="n">
        <x:v>0</x:v>
      </x:c>
      <x:c r="G3403" s="10" t="n">
        <x:f>SUM(D3403:F3403)</x:f>
        <x:v>560</x:v>
      </x:c>
    </x:row>
    <x:row r="3404" ht="24" customHeight="1">
      <x:c r="A3404" s="10" t="str">
        <x:v>S06-04</x:v>
      </x:c>
      <x:c r="B3404" s="10" t="str">
        <x:v>A</x:v>
      </x:c>
      <x:c r="C3404" s="18" t="n">
        <x:v>-4</x:v>
      </x:c>
      <x:c r="D3404" s="10" t="n">
        <x:v>560</x:v>
      </x:c>
      <x:c r="E3404" s="10" t="n">
        <x:v>0</x:v>
      </x:c>
      <x:c r="F3404" s="10" t="n">
        <x:v>0.004096</x:v>
      </x:c>
      <x:c r="G3404" s="10" t="n">
        <x:f>SUM(D3404:F3404)</x:f>
        <x:v>560.004096</x:v>
      </x:c>
    </x:row>
    <x:row r="3405" ht="24" customHeight="1">
      <x:c r="A3405" s="10" t="str">
        <x:v>S06-04</x:v>
      </x:c>
      <x:c r="B3405" s="10" t="str">
        <x:v>A</x:v>
      </x:c>
      <x:c r="C3405" s="18" t="n">
        <x:v>-3.9999999</x:v>
      </x:c>
      <x:c r="D3405" s="10" t="n">
        <x:v>560</x:v>
      </x:c>
      <x:c r="E3405" s="10" t="n">
        <x:v>0</x:v>
      </x:c>
      <x:c r="F3405" s="10" t="n">
        <x:v>0.004096</x:v>
      </x:c>
      <x:c r="G3405" s="10" t="n">
        <x:f>SUM(D3405:F3405)</x:f>
        <x:v>560.004096</x:v>
      </x:c>
    </x:row>
    <x:row r="3406" ht="24" customHeight="1">
      <x:c r="A3406" s="10" t="str">
        <x:v>S06-04</x:v>
      </x:c>
      <x:c r="B3406" s="10" t="str">
        <x:v>A</x:v>
      </x:c>
      <x:c r="C3406" s="18" t="n">
        <x:v>-3.594333433</x:v>
      </x:c>
      <x:c r="D3406" s="10" t="n">
        <x:v>560</x:v>
      </x:c>
      <x:c r="E3406" s="10" t="n">
        <x:v>0</x:v>
      </x:c>
      <x:c r="F3406" s="10" t="n">
        <x:v>0.004096</x:v>
      </x:c>
      <x:c r="G3406" s="10" t="n">
        <x:f>SUM(D3406:F3406)</x:f>
        <x:v>560.004096</x:v>
      </x:c>
    </x:row>
    <x:row r="3407" ht="24" customHeight="1">
      <x:c r="A3407" s="10" t="str">
        <x:v>S06-04</x:v>
      </x:c>
      <x:c r="B3407" s="10" t="str">
        <x:v>A</x:v>
      </x:c>
      <x:c r="C3407" s="18" t="n">
        <x:v>-3.594333333</x:v>
      </x:c>
      <x:c r="D3407" s="10" t="n">
        <x:v>560</x:v>
      </x:c>
      <x:c r="E3407" s="10" t="n">
        <x:v>0.0096</x:v>
      </x:c>
      <x:c r="F3407" s="10" t="n">
        <x:v>0.004096</x:v>
      </x:c>
      <x:c r="G3407" s="10" t="n">
        <x:f>SUM(D3407:F3407)</x:f>
        <x:v>560.013696</x:v>
      </x:c>
    </x:row>
    <x:row r="3408" ht="24" customHeight="1">
      <x:c r="A3408" s="10" t="str">
        <x:v>S06-04</x:v>
      </x:c>
      <x:c r="B3408" s="10" t="str">
        <x:v>A</x:v>
      </x:c>
      <x:c r="C3408" s="18" t="n">
        <x:v>-3.594333233</x:v>
      </x:c>
      <x:c r="D3408" s="10" t="n">
        <x:v>560</x:v>
      </x:c>
      <x:c r="E3408" s="10" t="n">
        <x:v>0.009600019</x:v>
      </x:c>
      <x:c r="F3408" s="10" t="n">
        <x:v>0.004096</x:v>
      </x:c>
      <x:c r="G3408" s="10" t="n">
        <x:f>SUM(D3408:F3408)</x:f>
        <x:v>560.013696019</x:v>
      </x:c>
    </x:row>
    <x:row r="3409" ht="24" customHeight="1">
      <x:c r="A3409" s="10" t="str">
        <x:v>S06-04</x:v>
      </x:c>
      <x:c r="B3409" s="10" t="str">
        <x:v>A</x:v>
      </x:c>
      <x:c r="C3409" s="18" t="n">
        <x:v>-2.9200001</x:v>
      </x:c>
      <x:c r="D3409" s="10" t="n">
        <x:v>560</x:v>
      </x:c>
      <x:c r="E3409" s="10" t="n">
        <x:v>0.139071981</x:v>
      </x:c>
      <x:c r="F3409" s="10" t="n">
        <x:v>0.004096</x:v>
      </x:c>
      <x:c r="G3409" s="10" t="n">
        <x:f>SUM(D3409:F3409)</x:f>
        <x:v>560.143167981</x:v>
      </x:c>
    </x:row>
    <x:row r="3410" ht="24" customHeight="1">
      <x:c r="A3410" s="10" t="str">
        <x:v>S06-04</x:v>
      </x:c>
      <x:c r="B3410" s="10" t="str">
        <x:v>A</x:v>
      </x:c>
      <x:c r="C3410" s="18" t="n">
        <x:v>-2.92</x:v>
      </x:c>
      <x:c r="D3410" s="10" t="n">
        <x:v>560</x:v>
      </x:c>
      <x:c r="E3410" s="10" t="n">
        <x:v>0.139072</x:v>
      </x:c>
      <x:c r="F3410" s="10" t="n">
        <x:v>0.004096</x:v>
      </x:c>
      <x:c r="G3410" s="10" t="n">
        <x:f>SUM(D3410:F3410)</x:f>
        <x:v>560.1431680000001</x:v>
      </x:c>
    </x:row>
    <x:row r="3411" ht="24" customHeight="1">
      <x:c r="A3411" s="10" t="str">
        <x:v>S06-04</x:v>
      </x:c>
      <x:c r="B3411" s="10" t="str">
        <x:v>A</x:v>
      </x:c>
      <x:c r="C3411" s="18" t="n">
        <x:v>-2.9199999</x:v>
      </x:c>
      <x:c r="D3411" s="10" t="n">
        <x:v>560</x:v>
      </x:c>
      <x:c r="E3411" s="10" t="n">
        <x:v>0.139072014</x:v>
      </x:c>
      <x:c r="F3411" s="10" t="n">
        <x:v>0.004096</x:v>
      </x:c>
      <x:c r="G3411" s="10" t="n">
        <x:f>SUM(D3411:F3411)</x:f>
        <x:v>560.143168014</x:v>
      </x:c>
    </x:row>
    <x:row r="3412" ht="24" customHeight="1">
      <x:c r="A3412" s="10" t="str">
        <x:v>S06-04</x:v>
      </x:c>
      <x:c r="B3412" s="10" t="str">
        <x:v>A</x:v>
      </x:c>
      <x:c r="C3412" s="18" t="n">
        <x:v>-1.9200001</x:v>
      </x:c>
      <x:c r="D3412" s="10" t="n">
        <x:v>560</x:v>
      </x:c>
      <x:c r="E3412" s="10" t="n">
        <x:v>0.283071986</x:v>
      </x:c>
      <x:c r="F3412" s="10" t="n">
        <x:v>0.004096</x:v>
      </x:c>
      <x:c r="G3412" s="10" t="n">
        <x:f>SUM(D3412:F3412)</x:f>
        <x:v>560.287167986</x:v>
      </x:c>
    </x:row>
    <x:row r="3413" ht="24" customHeight="1">
      <x:c r="A3413" s="10" t="str">
        <x:v>S06-04</x:v>
      </x:c>
      <x:c r="B3413" s="10" t="str">
        <x:v>A</x:v>
      </x:c>
      <x:c r="C3413" s="18" t="n">
        <x:v>-1.92</x:v>
      </x:c>
      <x:c r="D3413" s="10" t="n">
        <x:v>560</x:v>
      </x:c>
      <x:c r="E3413" s="10" t="n">
        <x:v>0.283072</x:v>
      </x:c>
      <x:c r="F3413" s="10" t="n">
        <x:v>0.004096</x:v>
      </x:c>
      <x:c r="G3413" s="10" t="n">
        <x:f>SUM(D3413:F3413)</x:f>
        <x:v>560.287168</x:v>
      </x:c>
    </x:row>
    <x:row r="3414" ht="24" customHeight="1">
      <x:c r="A3414" s="10" t="str">
        <x:v>S06-04</x:v>
      </x:c>
      <x:c r="B3414" s="10" t="str">
        <x:v>A</x:v>
      </x:c>
      <x:c r="C3414" s="18" t="n">
        <x:v>-1.9199999</x:v>
      </x:c>
      <x:c r="D3414" s="10" t="n">
        <x:v>560</x:v>
      </x:c>
      <x:c r="E3414" s="10" t="n">
        <x:v>0.283072019</x:v>
      </x:c>
      <x:c r="F3414" s="10" t="n">
        <x:v>0.004096</x:v>
      </x:c>
      <x:c r="G3414" s="10" t="n">
        <x:f>SUM(D3414:F3414)</x:f>
        <x:v>560.287168019</x:v>
      </x:c>
    </x:row>
    <x:row r="3415" ht="24" customHeight="1">
      <x:c r="A3415" s="10" t="str">
        <x:v>S06-04</x:v>
      </x:c>
      <x:c r="B3415" s="10" t="str">
        <x:v>A</x:v>
      </x:c>
      <x:c r="C3415" s="18" t="n">
        <x:v>-1.648833433</x:v>
      </x:c>
      <x:c r="D3415" s="10" t="n">
        <x:v>560</x:v>
      </x:c>
      <x:c r="E3415" s="10" t="n">
        <x:v>0.335135981</x:v>
      </x:c>
      <x:c r="F3415" s="10" t="n">
        <x:v>0.004096</x:v>
      </x:c>
      <x:c r="G3415" s="10" t="n">
        <x:f>SUM(D3415:F3415)</x:f>
        <x:v>560.339231981</x:v>
      </x:c>
    </x:row>
    <x:row r="3416" ht="24" customHeight="1">
      <x:c r="A3416" s="10" t="str">
        <x:v>S06-04</x:v>
      </x:c>
      <x:c r="B3416" s="10" t="str">
        <x:v>A</x:v>
      </x:c>
      <x:c r="C3416" s="18" t="n">
        <x:v>-1.648833333</x:v>
      </x:c>
      <x:c r="D3416" s="10" t="n">
        <x:v>560</x:v>
      </x:c>
      <x:c r="E3416" s="10" t="n">
        <x:v>0.335136</x:v>
      </x:c>
      <x:c r="F3416" s="10" t="n">
        <x:v>0.004096</x:v>
      </x:c>
      <x:c r="G3416" s="10" t="n">
        <x:f>SUM(D3416:F3416)</x:f>
        <x:v>560.339232</x:v>
      </x:c>
    </x:row>
    <x:row r="3417" ht="24" customHeight="1">
      <x:c r="A3417" s="10" t="str">
        <x:v>S06-04</x:v>
      </x:c>
      <x:c r="B3417" s="10" t="str">
        <x:v>A</x:v>
      </x:c>
      <x:c r="C3417" s="18" t="n">
        <x:v>-1.648833233</x:v>
      </x:c>
      <x:c r="D3417" s="10" t="n">
        <x:v>560</x:v>
      </x:c>
      <x:c r="E3417" s="10" t="n">
        <x:v>0.335136</x:v>
      </x:c>
      <x:c r="F3417" s="10" t="n">
        <x:v>0.004096</x:v>
      </x:c>
      <x:c r="G3417" s="10" t="n">
        <x:f>SUM(D3417:F3417)</x:f>
        <x:v>560.339232</x:v>
      </x:c>
    </x:row>
    <x:row r="3418" ht="24" customHeight="1">
      <x:c r="A3418" s="10" t="str">
        <x:v>S06-04</x:v>
      </x:c>
      <x:c r="B3418" s="10" t="str">
        <x:v>A</x:v>
      </x:c>
      <x:c r="C3418" s="18" t="n">
        <x:v>-1e-7</x:v>
      </x:c>
      <x:c r="D3418" s="10" t="n">
        <x:v>560</x:v>
      </x:c>
      <x:c r="E3418" s="10" t="n">
        <x:v>0.335136</x:v>
      </x:c>
      <x:c r="F3418" s="10" t="n">
        <x:v>0.004096</x:v>
      </x:c>
      <x:c r="G3418" s="10" t="n">
        <x:f>SUM(D3418:F3418)</x:f>
        <x:v>560.339232</x:v>
      </x:c>
    </x:row>
    <x:row r="3419" ht="24" customHeight="1">
      <x:c r="A3419" s="10" t="str">
        <x:v>S06-04</x:v>
      </x:c>
      <x:c r="B3419" s="10" t="str">
        <x:v>A</x:v>
      </x:c>
      <x:c r="C3419" s="18" t="n">
        <x:v>0</x:v>
      </x:c>
      <x:c r="D3419" s="10" t="n">
        <x:v>560</x:v>
      </x:c>
      <x:c r="E3419" s="10" t="n">
        <x:v>0.335136</x:v>
      </x:c>
      <x:c r="F3419" s="10" t="n">
        <x:v>0.004096</x:v>
      </x:c>
      <x:c r="G3419" s="10" t="n">
        <x:f>SUM(D3419:F3419)</x:f>
        <x:v>560.339232</x:v>
      </x:c>
    </x:row>
    <x:row r="3420" ht="24" customHeight="1">
      <x:c r="A3420" s="10" t="str">
        <x:v>S06-04</x:v>
      </x:c>
      <x:c r="B3420" s="10" t="str">
        <x:v>A</x:v>
      </x:c>
      <x:c r="C3420" s="18" t="n">
        <x:v>1e-7</x:v>
      </x:c>
      <x:c r="D3420" s="10" t="n">
        <x:v>560</x:v>
      </x:c>
      <x:c r="E3420" s="10" t="n">
        <x:v>0.335136</x:v>
      </x:c>
      <x:c r="F3420" s="10" t="n">
        <x:v>0.004096</x:v>
      </x:c>
      <x:c r="G3420" s="10" t="n">
        <x:f>SUM(D3420:F3420)</x:f>
        <x:v>560.339232</x:v>
      </x:c>
    </x:row>
    <x:row r="3421" ht="24" customHeight="1">
      <x:c r="A3421" s="10" t="str">
        <x:v>S06-04</x:v>
      </x:c>
      <x:c r="B3421" s="10" t="str">
        <x:v>A</x:v>
      </x:c>
      <x:c r="C3421" s="18" t="n">
        <x:v>0.878333233</x:v>
      </x:c>
      <x:c r="D3421" s="10" t="n">
        <x:v>560</x:v>
      </x:c>
      <x:c r="E3421" s="10" t="n">
        <x:v>0.335136</x:v>
      </x:c>
      <x:c r="F3421" s="10" t="n">
        <x:v>0.004096</x:v>
      </x:c>
      <x:c r="G3421" s="10" t="n">
        <x:f>SUM(D3421:F3421)</x:f>
        <x:v>560.339232</x:v>
      </x:c>
    </x:row>
    <x:row r="3422" ht="24" customHeight="1">
      <x:c r="A3422" s="10" t="str">
        <x:v>S06-04</x:v>
      </x:c>
      <x:c r="B3422" s="10" t="str">
        <x:v>A</x:v>
      </x:c>
      <x:c r="C3422" s="18" t="n">
        <x:v>0.878333333</x:v>
      </x:c>
      <x:c r="D3422" s="10" t="n">
        <x:v>560</x:v>
      </x:c>
      <x:c r="E3422" s="10" t="n">
        <x:v>0.335136</x:v>
      </x:c>
      <x:c r="F3422" s="10" t="n">
        <x:v>0.004096</x:v>
      </x:c>
      <x:c r="G3422" s="10" t="n">
        <x:f>SUM(D3422:F3422)</x:f>
        <x:v>560.339232</x:v>
      </x:c>
    </x:row>
    <x:row r="3423" ht="24" customHeight="1">
      <x:c r="A3423" s="10" t="str">
        <x:v>S06-04</x:v>
      </x:c>
      <x:c r="B3423" s="10" t="str">
        <x:v>A</x:v>
      </x:c>
      <x:c r="C3423" s="18" t="n">
        <x:v>0.878333433</x:v>
      </x:c>
      <x:c r="D3423" s="10" t="n">
        <x:v>560</x:v>
      </x:c>
      <x:c r="E3423" s="10" t="n">
        <x:v>0.335136</x:v>
      </x:c>
      <x:c r="F3423" s="10" t="n">
        <x:v>0.004096</x:v>
      </x:c>
      <x:c r="G3423" s="10" t="n">
        <x:f>SUM(D3423:F3423)</x:f>
        <x:v>560.339232</x:v>
      </x:c>
    </x:row>
    <x:row r="3424" ht="24" customHeight="1">
      <x:c r="A3424" s="10" t="str">
        <x:v>S06-04</x:v>
      </x:c>
      <x:c r="B3424" s="10" t="str">
        <x:v>A</x:v>
      </x:c>
      <x:c r="C3424" s="18" t="n">
        <x:v>0.918333233</x:v>
      </x:c>
      <x:c r="D3424" s="10" t="n">
        <x:v>560</x:v>
      </x:c>
      <x:c r="E3424" s="10" t="n">
        <x:v>0.335136</x:v>
      </x:c>
      <x:c r="F3424" s="10" t="n">
        <x:v>0.004096</x:v>
      </x:c>
      <x:c r="G3424" s="10" t="n">
        <x:f>SUM(D3424:F3424)</x:f>
        <x:v>560.339232</x:v>
      </x:c>
    </x:row>
    <x:row r="3425" ht="24" customHeight="1">
      <x:c r="A3425" s="10" t="str">
        <x:v>S06-04</x:v>
      </x:c>
      <x:c r="B3425" s="10" t="str">
        <x:v>A</x:v>
      </x:c>
      <x:c r="C3425" s="18" t="n">
        <x:v>0.918333333</x:v>
      </x:c>
      <x:c r="D3425" s="10" t="n">
        <x:v>560</x:v>
      </x:c>
      <x:c r="E3425" s="10" t="n">
        <x:v>0.335136</x:v>
      </x:c>
      <x:c r="F3425" s="10" t="n">
        <x:v>0.004096</x:v>
      </x:c>
      <x:c r="G3425" s="10" t="n">
        <x:f>SUM(D3425:F3425)</x:f>
        <x:v>560.339232</x:v>
      </x:c>
    </x:row>
    <x:row r="3426" ht="24" customHeight="1">
      <x:c r="A3426" s="10" t="str">
        <x:v>S06-04</x:v>
      </x:c>
      <x:c r="B3426" s="10" t="str">
        <x:v>A</x:v>
      </x:c>
      <x:c r="C3426" s="18" t="n">
        <x:v>0.918333433</x:v>
      </x:c>
      <x:c r="D3426" s="10" t="n">
        <x:v>560</x:v>
      </x:c>
      <x:c r="E3426" s="10" t="n">
        <x:v>0.335135995</x:v>
      </x:c>
      <x:c r="F3426" s="10" t="n">
        <x:v>0.004096</x:v>
      </x:c>
      <x:c r="G3426" s="10" t="n">
        <x:f>SUM(D3426:F3426)</x:f>
        <x:v>560.339231995</x:v>
      </x:c>
    </x:row>
    <x:row r="3427" ht="24" customHeight="1">
      <x:c r="A3427" s="10" t="str">
        <x:v>S06-04</x:v>
      </x:c>
      <x:c r="B3427" s="10" t="str">
        <x:v>A</x:v>
      </x:c>
      <x:c r="C3427" s="18" t="n">
        <x:v>1.518333233</x:v>
      </x:c>
      <x:c r="D3427" s="10" t="n">
        <x:v>560</x:v>
      </x:c>
      <x:c r="E3427" s="10" t="n">
        <x:v>0.306336005</x:v>
      </x:c>
      <x:c r="F3427" s="10" t="n">
        <x:v>0.004096</x:v>
      </x:c>
      <x:c r="G3427" s="10" t="n">
        <x:f>SUM(D3427:F3427)</x:f>
        <x:v>560.310432005</x:v>
      </x:c>
    </x:row>
    <x:row r="3428" ht="24" customHeight="1">
      <x:c r="A3428" s="10" t="str">
        <x:v>S06-04</x:v>
      </x:c>
      <x:c r="B3428" s="10" t="str">
        <x:v>A</x:v>
      </x:c>
      <x:c r="C3428" s="18" t="n">
        <x:v>1.518333333</x:v>
      </x:c>
      <x:c r="D3428" s="10" t="n">
        <x:v>560</x:v>
      </x:c>
      <x:c r="E3428" s="10" t="n">
        <x:v>0.306336</x:v>
      </x:c>
      <x:c r="F3428" s="10" t="n">
        <x:v>0.004096</x:v>
      </x:c>
      <x:c r="G3428" s="10" t="n">
        <x:f>SUM(D3428:F3428)</x:f>
        <x:v>560.310432</x:v>
      </x:c>
    </x:row>
    <x:row r="3429" ht="24" customHeight="1">
      <x:c r="A3429" s="10" t="str">
        <x:v>S06-04</x:v>
      </x:c>
      <x:c r="B3429" s="10" t="str">
        <x:v>A</x:v>
      </x:c>
      <x:c r="C3429" s="18" t="n">
        <x:v>1.518333433</x:v>
      </x:c>
      <x:c r="D3429" s="10" t="n">
        <x:v>560</x:v>
      </x:c>
      <x:c r="E3429" s="10" t="n">
        <x:v>0.306336</x:v>
      </x:c>
      <x:c r="F3429" s="10" t="n">
        <x:v>0.004096</x:v>
      </x:c>
      <x:c r="G3429" s="10" t="n">
        <x:f>SUM(D3429:F3429)</x:f>
        <x:v>560.310432</x:v>
      </x:c>
    </x:row>
    <x:row r="3430" ht="24" customHeight="1">
      <x:c r="A3430" s="10" t="str">
        <x:v>S06-04</x:v>
      </x:c>
      <x:c r="B3430" s="10" t="str">
        <x:v>A</x:v>
      </x:c>
      <x:c r="C3430" s="18" t="n">
        <x:v>1.818333233</x:v>
      </x:c>
      <x:c r="D3430" s="10" t="n">
        <x:v>560</x:v>
      </x:c>
      <x:c r="E3430" s="10" t="n">
        <x:v>0.306336</x:v>
      </x:c>
      <x:c r="F3430" s="10" t="n">
        <x:v>0.004096</x:v>
      </x:c>
      <x:c r="G3430" s="10" t="n">
        <x:f>SUM(D3430:F3430)</x:f>
        <x:v>560.310432</x:v>
      </x:c>
    </x:row>
    <x:row r="3431" ht="24" customHeight="1">
      <x:c r="A3431" s="10" t="str">
        <x:v>S06-04</x:v>
      </x:c>
      <x:c r="B3431" s="10" t="str">
        <x:v>A</x:v>
      </x:c>
      <x:c r="C3431" s="18" t="n">
        <x:v>1.818333333</x:v>
      </x:c>
      <x:c r="D3431" s="10" t="n">
        <x:v>560</x:v>
      </x:c>
      <x:c r="E3431" s="10" t="n">
        <x:v>0.306336</x:v>
      </x:c>
      <x:c r="F3431" s="10" t="n">
        <x:v>0.004096</x:v>
      </x:c>
      <x:c r="G3431" s="10" t="n">
        <x:f>SUM(D3431:F3431)</x:f>
        <x:v>560.310432</x:v>
      </x:c>
    </x:row>
    <x:row r="3432" ht="24" customHeight="1">
      <x:c r="A3432" s="10" t="str">
        <x:v>S06-04</x:v>
      </x:c>
      <x:c r="B3432" s="10" t="str">
        <x:v>A</x:v>
      </x:c>
      <x:c r="C3432" s="18" t="n">
        <x:v>1.818333433</x:v>
      </x:c>
      <x:c r="D3432" s="10" t="n">
        <x:v>560</x:v>
      </x:c>
      <x:c r="E3432" s="10" t="n">
        <x:v>0.306335995</x:v>
      </x:c>
      <x:c r="F3432" s="10" t="n">
        <x:v>0.004096</x:v>
      </x:c>
      <x:c r="G3432" s="10" t="n">
        <x:f>SUM(D3432:F3432)</x:f>
        <x:v>560.310431995</x:v>
      </x:c>
    </x:row>
    <x:row r="3433" ht="24" customHeight="1">
      <x:c r="A3433" s="10" t="str">
        <x:v>S06-04</x:v>
      </x:c>
      <x:c r="B3433" s="10" t="str">
        <x:v>A</x:v>
      </x:c>
      <x:c r="C3433" s="18" t="n">
        <x:v>8.200333232</x:v>
      </x:c>
      <x:c r="D3433" s="10" t="n">
        <x:v>560</x:v>
      </x:c>
      <x:c r="E3433" s="10" t="n">
        <x:v>5e-9</x:v>
      </x:c>
      <x:c r="F3433" s="10" t="n">
        <x:v>0.004096</x:v>
      </x:c>
      <x:c r="G3433" s="10" t="n">
        <x:f>SUM(D3433:F3433)</x:f>
        <x:v>560.004096005</x:v>
      </x:c>
    </x:row>
    <x:row r="3434" ht="24" customHeight="1">
      <x:c r="A3434" s="10" t="str">
        <x:v>S06-04</x:v>
      </x:c>
      <x:c r="B3434" s="10" t="str">
        <x:v>A</x:v>
      </x:c>
      <x:c r="C3434" s="18" t="n">
        <x:v>8.200333332</x:v>
      </x:c>
      <x:c r="D3434" s="10" t="n">
        <x:v>560</x:v>
      </x:c>
      <x:c r="E3434" s="10" t="n">
        <x:v>0</x:v>
      </x:c>
      <x:c r="F3434" s="10" t="n">
        <x:v>0.004096</x:v>
      </x:c>
      <x:c r="G3434" s="10" t="n">
        <x:f>SUM(D3434:F3434)</x:f>
        <x:v>560.004096</x:v>
      </x:c>
    </x:row>
    <x:row r="3435" ht="24" customHeight="1">
      <x:c r="A3435" s="10" t="str">
        <x:v>S06-04</x:v>
      </x:c>
      <x:c r="B3435" s="10" t="str">
        <x:v>A</x:v>
      </x:c>
      <x:c r="C3435" s="18" t="n">
        <x:v>8.200333432</x:v>
      </x:c>
      <x:c r="D3435" s="10" t="n">
        <x:v>560</x:v>
      </x:c>
      <x:c r="E3435" s="10" t="n">
        <x:v>0</x:v>
      </x:c>
      <x:c r="F3435" s="10" t="n">
        <x:v>0</x:v>
      </x:c>
      <x:c r="G3435" s="10" t="n">
        <x:f>SUM(D3435:F3435)</x:f>
        <x:v>560</x:v>
      </x:c>
    </x:row>
    <x:row r="3436" ht="24" customHeight="1">
      <x:c r="A3436" s="10" t="str">
        <x:v>S06-04</x:v>
      </x:c>
      <x:c r="B3436" s="10" t="str">
        <x:v>B</x:v>
      </x:c>
      <x:c r="C3436" s="18" t="n">
        <x:v>-6.0000001</x:v>
      </x:c>
      <x:c r="D3436" s="10" t="n">
        <x:v>560</x:v>
      </x:c>
      <x:c r="E3436" s="10" t="n">
        <x:v>0</x:v>
      </x:c>
      <x:c r="F3436" s="10" t="n">
        <x:v>0</x:v>
      </x:c>
      <x:c r="G3436" s="10" t="n">
        <x:f>SUM(D3436:F3436)</x:f>
        <x:v>560</x:v>
      </x:c>
    </x:row>
    <x:row r="3437" ht="24" customHeight="1">
      <x:c r="A3437" s="10" t="str">
        <x:v>S06-04</x:v>
      </x:c>
      <x:c r="B3437" s="10" t="str">
        <x:v>B</x:v>
      </x:c>
      <x:c r="C3437" s="18" t="n">
        <x:v>-6</x:v>
      </x:c>
      <x:c r="D3437" s="10" t="n">
        <x:v>560</x:v>
      </x:c>
      <x:c r="E3437" s="10" t="n">
        <x:v>0</x:v>
      </x:c>
      <x:c r="F3437" s="10" t="n">
        <x:v>0</x:v>
      </x:c>
      <x:c r="G3437" s="10" t="n">
        <x:f>SUM(D3437:F3437)</x:f>
        <x:v>560</x:v>
      </x:c>
    </x:row>
    <x:row r="3438" ht="24" customHeight="1">
      <x:c r="A3438" s="10" t="str">
        <x:v>S06-04</x:v>
      </x:c>
      <x:c r="B3438" s="10" t="str">
        <x:v>B</x:v>
      </x:c>
      <x:c r="C3438" s="18" t="n">
        <x:v>-5.9999999</x:v>
      </x:c>
      <x:c r="D3438" s="10" t="n">
        <x:v>560</x:v>
      </x:c>
      <x:c r="E3438" s="10" t="n">
        <x:v>0</x:v>
      </x:c>
      <x:c r="F3438" s="10" t="n">
        <x:v>0</x:v>
      </x:c>
      <x:c r="G3438" s="10" t="n">
        <x:f>SUM(D3438:F3438)</x:f>
        <x:v>560</x:v>
      </x:c>
    </x:row>
    <x:row r="3439" ht="24" customHeight="1">
      <x:c r="A3439" s="10" t="str">
        <x:v>S06-04</x:v>
      </x:c>
      <x:c r="B3439" s="10" t="str">
        <x:v>B</x:v>
      </x:c>
      <x:c r="C3439" s="18" t="n">
        <x:v>-4.0000001</x:v>
      </x:c>
      <x:c r="D3439" s="10" t="n">
        <x:v>560</x:v>
      </x:c>
      <x:c r="E3439" s="10" t="n">
        <x:v>0</x:v>
      </x:c>
      <x:c r="F3439" s="10" t="n">
        <x:v>0</x:v>
      </x:c>
      <x:c r="G3439" s="10" t="n">
        <x:f>SUM(D3439:F3439)</x:f>
        <x:v>560</x:v>
      </x:c>
    </x:row>
    <x:row r="3440" ht="24" customHeight="1">
      <x:c r="A3440" s="10" t="str">
        <x:v>S06-04</x:v>
      </x:c>
      <x:c r="B3440" s="10" t="str">
        <x:v>B</x:v>
      </x:c>
      <x:c r="C3440" s="18" t="n">
        <x:v>-4</x:v>
      </x:c>
      <x:c r="D3440" s="10" t="n">
        <x:v>560</x:v>
      </x:c>
      <x:c r="E3440" s="10" t="n">
        <x:v>0</x:v>
      </x:c>
      <x:c r="F3440" s="10" t="n">
        <x:v>0.004096</x:v>
      </x:c>
      <x:c r="G3440" s="10" t="n">
        <x:f>SUM(D3440:F3440)</x:f>
        <x:v>560.004096</x:v>
      </x:c>
    </x:row>
    <x:row r="3441" ht="24" customHeight="1">
      <x:c r="A3441" s="10" t="str">
        <x:v>S06-04</x:v>
      </x:c>
      <x:c r="B3441" s="10" t="str">
        <x:v>B</x:v>
      </x:c>
      <x:c r="C3441" s="18" t="n">
        <x:v>-3.9999999</x:v>
      </x:c>
      <x:c r="D3441" s="10" t="n">
        <x:v>560</x:v>
      </x:c>
      <x:c r="E3441" s="10" t="n">
        <x:v>0</x:v>
      </x:c>
      <x:c r="F3441" s="10" t="n">
        <x:v>0.004096</x:v>
      </x:c>
      <x:c r="G3441" s="10" t="n">
        <x:f>SUM(D3441:F3441)</x:f>
        <x:v>560.004096</x:v>
      </x:c>
    </x:row>
    <x:row r="3442" ht="24" customHeight="1">
      <x:c r="A3442" s="10" t="str">
        <x:v>S06-04</x:v>
      </x:c>
      <x:c r="B3442" s="10" t="str">
        <x:v>B</x:v>
      </x:c>
      <x:c r="C3442" s="18" t="n">
        <x:v>-3.594333433</x:v>
      </x:c>
      <x:c r="D3442" s="10" t="n">
        <x:v>560</x:v>
      </x:c>
      <x:c r="E3442" s="10" t="n">
        <x:v>0</x:v>
      </x:c>
      <x:c r="F3442" s="10" t="n">
        <x:v>0.004096</x:v>
      </x:c>
      <x:c r="G3442" s="10" t="n">
        <x:f>SUM(D3442:F3442)</x:f>
        <x:v>560.004096</x:v>
      </x:c>
    </x:row>
    <x:row r="3443" ht="24" customHeight="1">
      <x:c r="A3443" s="10" t="str">
        <x:v>S06-04</x:v>
      </x:c>
      <x:c r="B3443" s="10" t="str">
        <x:v>B</x:v>
      </x:c>
      <x:c r="C3443" s="18" t="n">
        <x:v>-3.594333333</x:v>
      </x:c>
      <x:c r="D3443" s="10" t="n">
        <x:v>560</x:v>
      </x:c>
      <x:c r="E3443" s="10" t="n">
        <x:v>0.0096</x:v>
      </x:c>
      <x:c r="F3443" s="10" t="n">
        <x:v>0.004096</x:v>
      </x:c>
      <x:c r="G3443" s="10" t="n">
        <x:f>SUM(D3443:F3443)</x:f>
        <x:v>560.013696</x:v>
      </x:c>
    </x:row>
    <x:row r="3444" ht="24" customHeight="1">
      <x:c r="A3444" s="10" t="str">
        <x:v>S06-04</x:v>
      </x:c>
      <x:c r="B3444" s="10" t="str">
        <x:v>B</x:v>
      </x:c>
      <x:c r="C3444" s="18" t="n">
        <x:v>-3.594333233</x:v>
      </x:c>
      <x:c r="D3444" s="10" t="n">
        <x:v>560</x:v>
      </x:c>
      <x:c r="E3444" s="10" t="n">
        <x:v>0.009600019</x:v>
      </x:c>
      <x:c r="F3444" s="10" t="n">
        <x:v>0.004096</x:v>
      </x:c>
      <x:c r="G3444" s="10" t="n">
        <x:f>SUM(D3444:F3444)</x:f>
        <x:v>560.013696019</x:v>
      </x:c>
    </x:row>
    <x:row r="3445" ht="24" customHeight="1">
      <x:c r="A3445" s="10" t="str">
        <x:v>S06-04</x:v>
      </x:c>
      <x:c r="B3445" s="10" t="str">
        <x:v>B</x:v>
      </x:c>
      <x:c r="C3445" s="18" t="n">
        <x:v>-2.9200001</x:v>
      </x:c>
      <x:c r="D3445" s="10" t="n">
        <x:v>560</x:v>
      </x:c>
      <x:c r="E3445" s="10" t="n">
        <x:v>0.139071981</x:v>
      </x:c>
      <x:c r="F3445" s="10" t="n">
        <x:v>0.004096</x:v>
      </x:c>
      <x:c r="G3445" s="10" t="n">
        <x:f>SUM(D3445:F3445)</x:f>
        <x:v>560.143167981</x:v>
      </x:c>
    </x:row>
    <x:row r="3446" ht="24" customHeight="1">
      <x:c r="A3446" s="10" t="str">
        <x:v>S06-04</x:v>
      </x:c>
      <x:c r="B3446" s="10" t="str">
        <x:v>B</x:v>
      </x:c>
      <x:c r="C3446" s="18" t="n">
        <x:v>-2.92</x:v>
      </x:c>
      <x:c r="D3446" s="10" t="n">
        <x:v>560</x:v>
      </x:c>
      <x:c r="E3446" s="10" t="n">
        <x:v>0.139072</x:v>
      </x:c>
      <x:c r="F3446" s="10" t="n">
        <x:v>0.004096</x:v>
      </x:c>
      <x:c r="G3446" s="10" t="n">
        <x:f>SUM(D3446:F3446)</x:f>
        <x:v>560.1431680000001</x:v>
      </x:c>
    </x:row>
    <x:row r="3447" ht="24" customHeight="1">
      <x:c r="A3447" s="10" t="str">
        <x:v>S06-04</x:v>
      </x:c>
      <x:c r="B3447" s="10" t="str">
        <x:v>B</x:v>
      </x:c>
      <x:c r="C3447" s="18" t="n">
        <x:v>-2.9199999</x:v>
      </x:c>
      <x:c r="D3447" s="10" t="n">
        <x:v>560</x:v>
      </x:c>
      <x:c r="E3447" s="10" t="n">
        <x:v>0.139072014</x:v>
      </x:c>
      <x:c r="F3447" s="10" t="n">
        <x:v>0.004096</x:v>
      </x:c>
      <x:c r="G3447" s="10" t="n">
        <x:f>SUM(D3447:F3447)</x:f>
        <x:v>560.143168014</x:v>
      </x:c>
    </x:row>
    <x:row r="3448" ht="24" customHeight="1">
      <x:c r="A3448" s="10" t="str">
        <x:v>S06-04</x:v>
      </x:c>
      <x:c r="B3448" s="10" t="str">
        <x:v>B</x:v>
      </x:c>
      <x:c r="C3448" s="18" t="n">
        <x:v>-1.9200001</x:v>
      </x:c>
      <x:c r="D3448" s="10" t="n">
        <x:v>560</x:v>
      </x:c>
      <x:c r="E3448" s="10" t="n">
        <x:v>0.283071986</x:v>
      </x:c>
      <x:c r="F3448" s="10" t="n">
        <x:v>0.004096</x:v>
      </x:c>
      <x:c r="G3448" s="10" t="n">
        <x:f>SUM(D3448:F3448)</x:f>
        <x:v>560.287167986</x:v>
      </x:c>
    </x:row>
    <x:row r="3449" ht="24" customHeight="1">
      <x:c r="A3449" s="10" t="str">
        <x:v>S06-04</x:v>
      </x:c>
      <x:c r="B3449" s="10" t="str">
        <x:v>B</x:v>
      </x:c>
      <x:c r="C3449" s="18" t="n">
        <x:v>-1.92</x:v>
      </x:c>
      <x:c r="D3449" s="10" t="n">
        <x:v>560</x:v>
      </x:c>
      <x:c r="E3449" s="10" t="n">
        <x:v>0.283072</x:v>
      </x:c>
      <x:c r="F3449" s="10" t="n">
        <x:v>0.004096</x:v>
      </x:c>
      <x:c r="G3449" s="10" t="n">
        <x:f>SUM(D3449:F3449)</x:f>
        <x:v>560.287168</x:v>
      </x:c>
    </x:row>
    <x:row r="3450" ht="24" customHeight="1">
      <x:c r="A3450" s="10" t="str">
        <x:v>S06-04</x:v>
      </x:c>
      <x:c r="B3450" s="10" t="str">
        <x:v>B</x:v>
      </x:c>
      <x:c r="C3450" s="18" t="n">
        <x:v>-1.9199999</x:v>
      </x:c>
      <x:c r="D3450" s="10" t="n">
        <x:v>560</x:v>
      </x:c>
      <x:c r="E3450" s="10" t="n">
        <x:v>0.283072019</x:v>
      </x:c>
      <x:c r="F3450" s="10" t="n">
        <x:v>0.004096</x:v>
      </x:c>
      <x:c r="G3450" s="10" t="n">
        <x:f>SUM(D3450:F3450)</x:f>
        <x:v>560.287168019</x:v>
      </x:c>
    </x:row>
    <x:row r="3451" ht="24" customHeight="1">
      <x:c r="A3451" s="10" t="str">
        <x:v>S06-04</x:v>
      </x:c>
      <x:c r="B3451" s="10" t="str">
        <x:v>B</x:v>
      </x:c>
      <x:c r="C3451" s="18" t="n">
        <x:v>-1.648833433</x:v>
      </x:c>
      <x:c r="D3451" s="10" t="n">
        <x:v>560</x:v>
      </x:c>
      <x:c r="E3451" s="10" t="n">
        <x:v>0.335135981</x:v>
      </x:c>
      <x:c r="F3451" s="10" t="n">
        <x:v>0.004096</x:v>
      </x:c>
      <x:c r="G3451" s="10" t="n">
        <x:f>SUM(D3451:F3451)</x:f>
        <x:v>560.339231981</x:v>
      </x:c>
    </x:row>
    <x:row r="3452" ht="24" customHeight="1">
      <x:c r="A3452" s="10" t="str">
        <x:v>S06-04</x:v>
      </x:c>
      <x:c r="B3452" s="10" t="str">
        <x:v>B</x:v>
      </x:c>
      <x:c r="C3452" s="18" t="n">
        <x:v>-1.648833333</x:v>
      </x:c>
      <x:c r="D3452" s="10" t="n">
        <x:v>560</x:v>
      </x:c>
      <x:c r="E3452" s="10" t="n">
        <x:v>0.335136</x:v>
      </x:c>
      <x:c r="F3452" s="10" t="n">
        <x:v>0.004096</x:v>
      </x:c>
      <x:c r="G3452" s="10" t="n">
        <x:f>SUM(D3452:F3452)</x:f>
        <x:v>560.339232</x:v>
      </x:c>
    </x:row>
    <x:row r="3453" ht="24" customHeight="1">
      <x:c r="A3453" s="10" t="str">
        <x:v>S06-04</x:v>
      </x:c>
      <x:c r="B3453" s="10" t="str">
        <x:v>B</x:v>
      </x:c>
      <x:c r="C3453" s="18" t="n">
        <x:v>-1.648833233</x:v>
      </x:c>
      <x:c r="D3453" s="10" t="n">
        <x:v>560</x:v>
      </x:c>
      <x:c r="E3453" s="10" t="n">
        <x:v>0.335136</x:v>
      </x:c>
      <x:c r="F3453" s="10" t="n">
        <x:v>0.004096</x:v>
      </x:c>
      <x:c r="G3453" s="10" t="n">
        <x:f>SUM(D3453:F3453)</x:f>
        <x:v>560.339232</x:v>
      </x:c>
    </x:row>
    <x:row r="3454" ht="24" customHeight="1">
      <x:c r="A3454" s="10" t="str">
        <x:v>S06-04</x:v>
      </x:c>
      <x:c r="B3454" s="10" t="str">
        <x:v>B</x:v>
      </x:c>
      <x:c r="C3454" s="18" t="n">
        <x:v>-1e-7</x:v>
      </x:c>
      <x:c r="D3454" s="10" t="n">
        <x:v>560</x:v>
      </x:c>
      <x:c r="E3454" s="10" t="n">
        <x:v>0.335136</x:v>
      </x:c>
      <x:c r="F3454" s="10" t="n">
        <x:v>0.004096</x:v>
      </x:c>
      <x:c r="G3454" s="10" t="n">
        <x:f>SUM(D3454:F3454)</x:f>
        <x:v>560.339232</x:v>
      </x:c>
    </x:row>
    <x:row r="3455" ht="24" customHeight="1">
      <x:c r="A3455" s="10" t="str">
        <x:v>S06-04</x:v>
      </x:c>
      <x:c r="B3455" s="10" t="str">
        <x:v>B</x:v>
      </x:c>
      <x:c r="C3455" s="18" t="n">
        <x:v>0</x:v>
      </x:c>
      <x:c r="D3455" s="10" t="n">
        <x:v>560</x:v>
      </x:c>
      <x:c r="E3455" s="10" t="n">
        <x:v>0.335136</x:v>
      </x:c>
      <x:c r="F3455" s="10" t="n">
        <x:v>0.004096</x:v>
      </x:c>
      <x:c r="G3455" s="10" t="n">
        <x:f>SUM(D3455:F3455)</x:f>
        <x:v>560.339232</x:v>
      </x:c>
    </x:row>
    <x:row r="3456" ht="24" customHeight="1">
      <x:c r="A3456" s="10" t="str">
        <x:v>S06-04</x:v>
      </x:c>
      <x:c r="B3456" s="10" t="str">
        <x:v>B</x:v>
      </x:c>
      <x:c r="C3456" s="18" t="n">
        <x:v>1e-7</x:v>
      </x:c>
      <x:c r="D3456" s="10" t="n">
        <x:v>560</x:v>
      </x:c>
      <x:c r="E3456" s="10" t="n">
        <x:v>0.335136</x:v>
      </x:c>
      <x:c r="F3456" s="10" t="n">
        <x:v>0.004096</x:v>
      </x:c>
      <x:c r="G3456" s="10" t="n">
        <x:f>SUM(D3456:F3456)</x:f>
        <x:v>560.339232</x:v>
      </x:c>
    </x:row>
    <x:row r="3457" ht="24" customHeight="1">
      <x:c r="A3457" s="10" t="str">
        <x:v>S06-04</x:v>
      </x:c>
      <x:c r="B3457" s="10" t="str">
        <x:v>B</x:v>
      </x:c>
      <x:c r="C3457" s="18" t="n">
        <x:v>0.878333233</x:v>
      </x:c>
      <x:c r="D3457" s="10" t="n">
        <x:v>560</x:v>
      </x:c>
      <x:c r="E3457" s="10" t="n">
        <x:v>0.335136</x:v>
      </x:c>
      <x:c r="F3457" s="10" t="n">
        <x:v>0.004096</x:v>
      </x:c>
      <x:c r="G3457" s="10" t="n">
        <x:f>SUM(D3457:F3457)</x:f>
        <x:v>560.339232</x:v>
      </x:c>
    </x:row>
    <x:row r="3458" ht="24" customHeight="1">
      <x:c r="A3458" s="10" t="str">
        <x:v>S06-04</x:v>
      </x:c>
      <x:c r="B3458" s="10" t="str">
        <x:v>B</x:v>
      </x:c>
      <x:c r="C3458" s="18" t="n">
        <x:v>0.878333333</x:v>
      </x:c>
      <x:c r="D3458" s="10" t="n">
        <x:v>560</x:v>
      </x:c>
      <x:c r="E3458" s="10" t="n">
        <x:v>0.335136</x:v>
      </x:c>
      <x:c r="F3458" s="10" t="n">
        <x:v>0.004096</x:v>
      </x:c>
      <x:c r="G3458" s="10" t="n">
        <x:f>SUM(D3458:F3458)</x:f>
        <x:v>560.339232</x:v>
      </x:c>
    </x:row>
    <x:row r="3459" ht="24" customHeight="1">
      <x:c r="A3459" s="10" t="str">
        <x:v>S06-04</x:v>
      </x:c>
      <x:c r="B3459" s="10" t="str">
        <x:v>B</x:v>
      </x:c>
      <x:c r="C3459" s="18" t="n">
        <x:v>0.878333433</x:v>
      </x:c>
      <x:c r="D3459" s="10" t="n">
        <x:v>560</x:v>
      </x:c>
      <x:c r="E3459" s="10" t="n">
        <x:v>0.335136</x:v>
      </x:c>
      <x:c r="F3459" s="10" t="n">
        <x:v>0.004096</x:v>
      </x:c>
      <x:c r="G3459" s="10" t="n">
        <x:f>SUM(D3459:F3459)</x:f>
        <x:v>560.339232</x:v>
      </x:c>
    </x:row>
    <x:row r="3460" ht="24" customHeight="1">
      <x:c r="A3460" s="10" t="str">
        <x:v>S06-04</x:v>
      </x:c>
      <x:c r="B3460" s="10" t="str">
        <x:v>B</x:v>
      </x:c>
      <x:c r="C3460" s="18" t="n">
        <x:v>0.918333233</x:v>
      </x:c>
      <x:c r="D3460" s="10" t="n">
        <x:v>560</x:v>
      </x:c>
      <x:c r="E3460" s="10" t="n">
        <x:v>0.335136</x:v>
      </x:c>
      <x:c r="F3460" s="10" t="n">
        <x:v>0.004096</x:v>
      </x:c>
      <x:c r="G3460" s="10" t="n">
        <x:f>SUM(D3460:F3460)</x:f>
        <x:v>560.339232</x:v>
      </x:c>
    </x:row>
    <x:row r="3461" ht="24" customHeight="1">
      <x:c r="A3461" s="10" t="str">
        <x:v>S06-04</x:v>
      </x:c>
      <x:c r="B3461" s="10" t="str">
        <x:v>B</x:v>
      </x:c>
      <x:c r="C3461" s="18" t="n">
        <x:v>0.918333333</x:v>
      </x:c>
      <x:c r="D3461" s="10" t="n">
        <x:v>560</x:v>
      </x:c>
      <x:c r="E3461" s="10" t="n">
        <x:v>0.335136</x:v>
      </x:c>
      <x:c r="F3461" s="10" t="n">
        <x:v>0.004096</x:v>
      </x:c>
      <x:c r="G3461" s="10" t="n">
        <x:f>SUM(D3461:F3461)</x:f>
        <x:v>560.339232</x:v>
      </x:c>
    </x:row>
    <x:row r="3462" ht="24" customHeight="1">
      <x:c r="A3462" s="10" t="str">
        <x:v>S06-04</x:v>
      </x:c>
      <x:c r="B3462" s="10" t="str">
        <x:v>B</x:v>
      </x:c>
      <x:c r="C3462" s="18" t="n">
        <x:v>0.918333433</x:v>
      </x:c>
      <x:c r="D3462" s="10" t="n">
        <x:v>560</x:v>
      </x:c>
      <x:c r="E3462" s="10" t="n">
        <x:v>0.335135995</x:v>
      </x:c>
      <x:c r="F3462" s="10" t="n">
        <x:v>0.004096</x:v>
      </x:c>
      <x:c r="G3462" s="10" t="n">
        <x:f>SUM(D3462:F3462)</x:f>
        <x:v>560.339231995</x:v>
      </x:c>
    </x:row>
    <x:row r="3463" ht="24" customHeight="1">
      <x:c r="A3463" s="10" t="str">
        <x:v>S06-04</x:v>
      </x:c>
      <x:c r="B3463" s="10" t="str">
        <x:v>B</x:v>
      </x:c>
      <x:c r="C3463" s="18" t="n">
        <x:v>1.518333233</x:v>
      </x:c>
      <x:c r="D3463" s="10" t="n">
        <x:v>560</x:v>
      </x:c>
      <x:c r="E3463" s="10" t="n">
        <x:v>0.306336005</x:v>
      </x:c>
      <x:c r="F3463" s="10" t="n">
        <x:v>0.004096</x:v>
      </x:c>
      <x:c r="G3463" s="10" t="n">
        <x:f>SUM(D3463:F3463)</x:f>
        <x:v>560.310432005</x:v>
      </x:c>
    </x:row>
    <x:row r="3464" ht="24" customHeight="1">
      <x:c r="A3464" s="10" t="str">
        <x:v>S06-04</x:v>
      </x:c>
      <x:c r="B3464" s="10" t="str">
        <x:v>B</x:v>
      </x:c>
      <x:c r="C3464" s="18" t="n">
        <x:v>1.518333333</x:v>
      </x:c>
      <x:c r="D3464" s="10" t="n">
        <x:v>560</x:v>
      </x:c>
      <x:c r="E3464" s="10" t="n">
        <x:v>0.306336</x:v>
      </x:c>
      <x:c r="F3464" s="10" t="n">
        <x:v>0.004096</x:v>
      </x:c>
      <x:c r="G3464" s="10" t="n">
        <x:f>SUM(D3464:F3464)</x:f>
        <x:v>560.310432</x:v>
      </x:c>
    </x:row>
    <x:row r="3465" ht="24" customHeight="1">
      <x:c r="A3465" s="10" t="str">
        <x:v>S06-04</x:v>
      </x:c>
      <x:c r="B3465" s="10" t="str">
        <x:v>B</x:v>
      </x:c>
      <x:c r="C3465" s="18" t="n">
        <x:v>1.518333433</x:v>
      </x:c>
      <x:c r="D3465" s="10" t="n">
        <x:v>560</x:v>
      </x:c>
      <x:c r="E3465" s="10" t="n">
        <x:v>0.306336</x:v>
      </x:c>
      <x:c r="F3465" s="10" t="n">
        <x:v>0.004096</x:v>
      </x:c>
      <x:c r="G3465" s="10" t="n">
        <x:f>SUM(D3465:F3465)</x:f>
        <x:v>560.310432</x:v>
      </x:c>
    </x:row>
    <x:row r="3466" ht="24" customHeight="1">
      <x:c r="A3466" s="10" t="str">
        <x:v>S06-04</x:v>
      </x:c>
      <x:c r="B3466" s="10" t="str">
        <x:v>B</x:v>
      </x:c>
      <x:c r="C3466" s="18" t="n">
        <x:v>1.818333233</x:v>
      </x:c>
      <x:c r="D3466" s="10" t="n">
        <x:v>560</x:v>
      </x:c>
      <x:c r="E3466" s="10" t="n">
        <x:v>0.306336</x:v>
      </x:c>
      <x:c r="F3466" s="10" t="n">
        <x:v>0.004096</x:v>
      </x:c>
      <x:c r="G3466" s="10" t="n">
        <x:f>SUM(D3466:F3466)</x:f>
        <x:v>560.310432</x:v>
      </x:c>
    </x:row>
    <x:row r="3467" ht="24" customHeight="1">
      <x:c r="A3467" s="10" t="str">
        <x:v>S06-04</x:v>
      </x:c>
      <x:c r="B3467" s="10" t="str">
        <x:v>B</x:v>
      </x:c>
      <x:c r="C3467" s="18" t="n">
        <x:v>1.818333333</x:v>
      </x:c>
      <x:c r="D3467" s="10" t="n">
        <x:v>560</x:v>
      </x:c>
      <x:c r="E3467" s="10" t="n">
        <x:v>0.306336</x:v>
      </x:c>
      <x:c r="F3467" s="10" t="n">
        <x:v>0.004096</x:v>
      </x:c>
      <x:c r="G3467" s="10" t="n">
        <x:f>SUM(D3467:F3467)</x:f>
        <x:v>560.310432</x:v>
      </x:c>
    </x:row>
    <x:row r="3468" ht="24" customHeight="1">
      <x:c r="A3468" s="10" t="str">
        <x:v>S06-04</x:v>
      </x:c>
      <x:c r="B3468" s="10" t="str">
        <x:v>B</x:v>
      </x:c>
      <x:c r="C3468" s="18" t="n">
        <x:v>1.818333433</x:v>
      </x:c>
      <x:c r="D3468" s="10" t="n">
        <x:v>560</x:v>
      </x:c>
      <x:c r="E3468" s="10" t="n">
        <x:v>0.306335995</x:v>
      </x:c>
      <x:c r="F3468" s="10" t="n">
        <x:v>0.004096</x:v>
      </x:c>
      <x:c r="G3468" s="10" t="n">
        <x:f>SUM(D3468:F3468)</x:f>
        <x:v>560.310431995</x:v>
      </x:c>
    </x:row>
    <x:row r="3469" ht="24" customHeight="1">
      <x:c r="A3469" s="10" t="str">
        <x:v>S06-04</x:v>
      </x:c>
      <x:c r="B3469" s="10" t="str">
        <x:v>B</x:v>
      </x:c>
      <x:c r="C3469" s="18" t="n">
        <x:v>8.200333232</x:v>
      </x:c>
      <x:c r="D3469" s="10" t="n">
        <x:v>560</x:v>
      </x:c>
      <x:c r="E3469" s="10" t="n">
        <x:v>5e-9</x:v>
      </x:c>
      <x:c r="F3469" s="10" t="n">
        <x:v>0.004096</x:v>
      </x:c>
      <x:c r="G3469" s="10" t="n">
        <x:f>SUM(D3469:F3469)</x:f>
        <x:v>560.004096005</x:v>
      </x:c>
    </x:row>
    <x:row r="3470" ht="24" customHeight="1">
      <x:c r="A3470" s="10" t="str">
        <x:v>S06-04</x:v>
      </x:c>
      <x:c r="B3470" s="10" t="str">
        <x:v>B</x:v>
      </x:c>
      <x:c r="C3470" s="18" t="n">
        <x:v>8.200333332</x:v>
      </x:c>
      <x:c r="D3470" s="10" t="n">
        <x:v>560</x:v>
      </x:c>
      <x:c r="E3470" s="10" t="n">
        <x:v>0</x:v>
      </x:c>
      <x:c r="F3470" s="10" t="n">
        <x:v>0.004096</x:v>
      </x:c>
      <x:c r="G3470" s="10" t="n">
        <x:f>SUM(D3470:F3470)</x:f>
        <x:v>560.004096</x:v>
      </x:c>
    </x:row>
    <x:row r="3471" ht="24" customHeight="1">
      <x:c r="A3471" s="10" t="str">
        <x:v>S06-04</x:v>
      </x:c>
      <x:c r="B3471" s="10" t="str">
        <x:v>B</x:v>
      </x:c>
      <x:c r="C3471" s="18" t="n">
        <x:v>8.200333432</x:v>
      </x:c>
      <x:c r="D3471" s="10" t="n">
        <x:v>560</x:v>
      </x:c>
      <x:c r="E3471" s="10" t="n">
        <x:v>0</x:v>
      </x:c>
      <x:c r="F3471" s="10" t="n">
        <x:v>0</x:v>
      </x:c>
      <x:c r="G3471" s="10" t="n">
        <x:f>SUM(D3471:F3471)</x:f>
        <x:v>560</x:v>
      </x:c>
    </x:row>
    <x:row r="3472" ht="24" customHeight="1">
      <x:c r="A3472" s="10" t="str">
        <x:v>S06-05</x:v>
      </x:c>
      <x:c r="B3472" s="10" t="str">
        <x:v>A</x:v>
      </x:c>
      <x:c r="C3472" s="18" t="n">
        <x:v>-6.0000001</x:v>
      </x:c>
      <x:c r="D3472" s="10" t="n">
        <x:v>560</x:v>
      </x:c>
      <x:c r="E3472" s="10" t="n">
        <x:v>0</x:v>
      </x:c>
      <x:c r="F3472" s="10" t="n">
        <x:v>0</x:v>
      </x:c>
      <x:c r="G3472" s="10" t="n">
        <x:f>SUM(D3472:F3472)</x:f>
        <x:v>560</x:v>
      </x:c>
    </x:row>
    <x:row r="3473" ht="24" customHeight="1">
      <x:c r="A3473" s="10" t="str">
        <x:v>S06-05</x:v>
      </x:c>
      <x:c r="B3473" s="10" t="str">
        <x:v>A</x:v>
      </x:c>
      <x:c r="C3473" s="18" t="n">
        <x:v>-6</x:v>
      </x:c>
      <x:c r="D3473" s="10" t="n">
        <x:v>560</x:v>
      </x:c>
      <x:c r="E3473" s="10" t="n">
        <x:v>0</x:v>
      </x:c>
      <x:c r="F3473" s="10" t="n">
        <x:v>0</x:v>
      </x:c>
      <x:c r="G3473" s="10" t="n">
        <x:f>SUM(D3473:F3473)</x:f>
        <x:v>560</x:v>
      </x:c>
    </x:row>
    <x:row r="3474" ht="24" customHeight="1">
      <x:c r="A3474" s="10" t="str">
        <x:v>S06-05</x:v>
      </x:c>
      <x:c r="B3474" s="10" t="str">
        <x:v>A</x:v>
      </x:c>
      <x:c r="C3474" s="18" t="n">
        <x:v>-5.9999999</x:v>
      </x:c>
      <x:c r="D3474" s="10" t="n">
        <x:v>560</x:v>
      </x:c>
      <x:c r="E3474" s="10" t="n">
        <x:v>0</x:v>
      </x:c>
      <x:c r="F3474" s="10" t="n">
        <x:v>0</x:v>
      </x:c>
      <x:c r="G3474" s="10" t="n">
        <x:f>SUM(D3474:F3474)</x:f>
        <x:v>560</x:v>
      </x:c>
    </x:row>
    <x:row r="3475" ht="24" customHeight="1">
      <x:c r="A3475" s="10" t="str">
        <x:v>S06-05</x:v>
      </x:c>
      <x:c r="B3475" s="10" t="str">
        <x:v>A</x:v>
      </x:c>
      <x:c r="C3475" s="18" t="n">
        <x:v>-4.0000001</x:v>
      </x:c>
      <x:c r="D3475" s="10" t="n">
        <x:v>560</x:v>
      </x:c>
      <x:c r="E3475" s="10" t="n">
        <x:v>0</x:v>
      </x:c>
      <x:c r="F3475" s="10" t="n">
        <x:v>0</x:v>
      </x:c>
      <x:c r="G3475" s="10" t="n">
        <x:f>SUM(D3475:F3475)</x:f>
        <x:v>560</x:v>
      </x:c>
    </x:row>
    <x:row r="3476" ht="24" customHeight="1">
      <x:c r="A3476" s="10" t="str">
        <x:v>S06-05</x:v>
      </x:c>
      <x:c r="B3476" s="10" t="str">
        <x:v>A</x:v>
      </x:c>
      <x:c r="C3476" s="18" t="n">
        <x:v>-4</x:v>
      </x:c>
      <x:c r="D3476" s="10" t="n">
        <x:v>560</x:v>
      </x:c>
      <x:c r="E3476" s="10" t="n">
        <x:v>0</x:v>
      </x:c>
      <x:c r="F3476" s="10" t="n">
        <x:v>0.004096</x:v>
      </x:c>
      <x:c r="G3476" s="10" t="n">
        <x:f>SUM(D3476:F3476)</x:f>
        <x:v>560.004096</x:v>
      </x:c>
    </x:row>
    <x:row r="3477" ht="24" customHeight="1">
      <x:c r="A3477" s="10" t="str">
        <x:v>S06-05</x:v>
      </x:c>
      <x:c r="B3477" s="10" t="str">
        <x:v>A</x:v>
      </x:c>
      <x:c r="C3477" s="18" t="n">
        <x:v>-3.9999999</x:v>
      </x:c>
      <x:c r="D3477" s="10" t="n">
        <x:v>560</x:v>
      </x:c>
      <x:c r="E3477" s="10" t="n">
        <x:v>0</x:v>
      </x:c>
      <x:c r="F3477" s="10" t="n">
        <x:v>0.004096</x:v>
      </x:c>
      <x:c r="G3477" s="10" t="n">
        <x:f>SUM(D3477:F3477)</x:f>
        <x:v>560.004096</x:v>
      </x:c>
    </x:row>
    <x:row r="3478" ht="24" customHeight="1">
      <x:c r="A3478" s="10" t="str">
        <x:v>S06-05</x:v>
      </x:c>
      <x:c r="B3478" s="10" t="str">
        <x:v>A</x:v>
      </x:c>
      <x:c r="C3478" s="18" t="n">
        <x:v>-3.594333433</x:v>
      </x:c>
      <x:c r="D3478" s="10" t="n">
        <x:v>560</x:v>
      </x:c>
      <x:c r="E3478" s="10" t="n">
        <x:v>0</x:v>
      </x:c>
      <x:c r="F3478" s="10" t="n">
        <x:v>0.004096</x:v>
      </x:c>
      <x:c r="G3478" s="10" t="n">
        <x:f>SUM(D3478:F3478)</x:f>
        <x:v>560.004096</x:v>
      </x:c>
    </x:row>
    <x:row r="3479" ht="24" customHeight="1">
      <x:c r="A3479" s="10" t="str">
        <x:v>S06-05</x:v>
      </x:c>
      <x:c r="B3479" s="10" t="str">
        <x:v>A</x:v>
      </x:c>
      <x:c r="C3479" s="18" t="n">
        <x:v>-3.594333333</x:v>
      </x:c>
      <x:c r="D3479" s="10" t="n">
        <x:v>560</x:v>
      </x:c>
      <x:c r="E3479" s="10" t="n">
        <x:v>0.0096</x:v>
      </x:c>
      <x:c r="F3479" s="10" t="n">
        <x:v>0.004096</x:v>
      </x:c>
      <x:c r="G3479" s="10" t="n">
        <x:f>SUM(D3479:F3479)</x:f>
        <x:v>560.013696</x:v>
      </x:c>
    </x:row>
    <x:row r="3480" ht="24" customHeight="1">
      <x:c r="A3480" s="10" t="str">
        <x:v>S06-05</x:v>
      </x:c>
      <x:c r="B3480" s="10" t="str">
        <x:v>A</x:v>
      </x:c>
      <x:c r="C3480" s="18" t="n">
        <x:v>-3.594333233</x:v>
      </x:c>
      <x:c r="D3480" s="10" t="n">
        <x:v>560</x:v>
      </x:c>
      <x:c r="E3480" s="10" t="n">
        <x:v>0.009600019</x:v>
      </x:c>
      <x:c r="F3480" s="10" t="n">
        <x:v>0.004096</x:v>
      </x:c>
      <x:c r="G3480" s="10" t="n">
        <x:f>SUM(D3480:F3480)</x:f>
        <x:v>560.013696019</x:v>
      </x:c>
    </x:row>
    <x:row r="3481" ht="24" customHeight="1">
      <x:c r="A3481" s="10" t="str">
        <x:v>S06-05</x:v>
      </x:c>
      <x:c r="B3481" s="10" t="str">
        <x:v>A</x:v>
      </x:c>
      <x:c r="C3481" s="18" t="n">
        <x:v>-2.9200001</x:v>
      </x:c>
      <x:c r="D3481" s="10" t="n">
        <x:v>560</x:v>
      </x:c>
      <x:c r="E3481" s="10" t="n">
        <x:v>0.139071981</x:v>
      </x:c>
      <x:c r="F3481" s="10" t="n">
        <x:v>0.004096</x:v>
      </x:c>
      <x:c r="G3481" s="10" t="n">
        <x:f>SUM(D3481:F3481)</x:f>
        <x:v>560.143167981</x:v>
      </x:c>
    </x:row>
    <x:row r="3482" ht="24" customHeight="1">
      <x:c r="A3482" s="10" t="str">
        <x:v>S06-05</x:v>
      </x:c>
      <x:c r="B3482" s="10" t="str">
        <x:v>A</x:v>
      </x:c>
      <x:c r="C3482" s="18" t="n">
        <x:v>-2.92</x:v>
      </x:c>
      <x:c r="D3482" s="10" t="n">
        <x:v>560</x:v>
      </x:c>
      <x:c r="E3482" s="10" t="n">
        <x:v>0.139072</x:v>
      </x:c>
      <x:c r="F3482" s="10" t="n">
        <x:v>0.004096</x:v>
      </x:c>
      <x:c r="G3482" s="10" t="n">
        <x:f>SUM(D3482:F3482)</x:f>
        <x:v>560.1431680000001</x:v>
      </x:c>
    </x:row>
    <x:row r="3483" ht="24" customHeight="1">
      <x:c r="A3483" s="10" t="str">
        <x:v>S06-05</x:v>
      </x:c>
      <x:c r="B3483" s="10" t="str">
        <x:v>A</x:v>
      </x:c>
      <x:c r="C3483" s="18" t="n">
        <x:v>-2.9199999</x:v>
      </x:c>
      <x:c r="D3483" s="10" t="n">
        <x:v>560</x:v>
      </x:c>
      <x:c r="E3483" s="10" t="n">
        <x:v>0.139072014</x:v>
      </x:c>
      <x:c r="F3483" s="10" t="n">
        <x:v>0.004096</x:v>
      </x:c>
      <x:c r="G3483" s="10" t="n">
        <x:f>SUM(D3483:F3483)</x:f>
        <x:v>560.143168014</x:v>
      </x:c>
    </x:row>
    <x:row r="3484" ht="24" customHeight="1">
      <x:c r="A3484" s="10" t="str">
        <x:v>S06-05</x:v>
      </x:c>
      <x:c r="B3484" s="10" t="str">
        <x:v>A</x:v>
      </x:c>
      <x:c r="C3484" s="18" t="n">
        <x:v>-1.9200001</x:v>
      </x:c>
      <x:c r="D3484" s="10" t="n">
        <x:v>560</x:v>
      </x:c>
      <x:c r="E3484" s="10" t="n">
        <x:v>0.283071986</x:v>
      </x:c>
      <x:c r="F3484" s="10" t="n">
        <x:v>0.004096</x:v>
      </x:c>
      <x:c r="G3484" s="10" t="n">
        <x:f>SUM(D3484:F3484)</x:f>
        <x:v>560.287167986</x:v>
      </x:c>
    </x:row>
    <x:row r="3485" ht="24" customHeight="1">
      <x:c r="A3485" s="10" t="str">
        <x:v>S06-05</x:v>
      </x:c>
      <x:c r="B3485" s="10" t="str">
        <x:v>A</x:v>
      </x:c>
      <x:c r="C3485" s="18" t="n">
        <x:v>-1.92</x:v>
      </x:c>
      <x:c r="D3485" s="10" t="n">
        <x:v>560</x:v>
      </x:c>
      <x:c r="E3485" s="10" t="n">
        <x:v>0.283072</x:v>
      </x:c>
      <x:c r="F3485" s="10" t="n">
        <x:v>0.004096</x:v>
      </x:c>
      <x:c r="G3485" s="10" t="n">
        <x:f>SUM(D3485:F3485)</x:f>
        <x:v>560.287168</x:v>
      </x:c>
    </x:row>
    <x:row r="3486" ht="24" customHeight="1">
      <x:c r="A3486" s="10" t="str">
        <x:v>S06-05</x:v>
      </x:c>
      <x:c r="B3486" s="10" t="str">
        <x:v>A</x:v>
      </x:c>
      <x:c r="C3486" s="18" t="n">
        <x:v>-1.9199999</x:v>
      </x:c>
      <x:c r="D3486" s="10" t="n">
        <x:v>560</x:v>
      </x:c>
      <x:c r="E3486" s="10" t="n">
        <x:v>0.283072019</x:v>
      </x:c>
      <x:c r="F3486" s="10" t="n">
        <x:v>0.004096</x:v>
      </x:c>
      <x:c r="G3486" s="10" t="n">
        <x:f>SUM(D3486:F3486)</x:f>
        <x:v>560.287168019</x:v>
      </x:c>
    </x:row>
    <x:row r="3487" ht="24" customHeight="1">
      <x:c r="A3487" s="10" t="str">
        <x:v>S06-05</x:v>
      </x:c>
      <x:c r="B3487" s="10" t="str">
        <x:v>A</x:v>
      </x:c>
      <x:c r="C3487" s="18" t="n">
        <x:v>-1.645833433</x:v>
      </x:c>
      <x:c r="D3487" s="10" t="n">
        <x:v>560</x:v>
      </x:c>
      <x:c r="E3487" s="10" t="n">
        <x:v>0.335711981</x:v>
      </x:c>
      <x:c r="F3487" s="10" t="n">
        <x:v>0.004096</x:v>
      </x:c>
      <x:c r="G3487" s="10" t="n">
        <x:f>SUM(D3487:F3487)</x:f>
        <x:v>560.339807981</x:v>
      </x:c>
    </x:row>
    <x:row r="3488" ht="24" customHeight="1">
      <x:c r="A3488" s="10" t="str">
        <x:v>S06-05</x:v>
      </x:c>
      <x:c r="B3488" s="10" t="str">
        <x:v>A</x:v>
      </x:c>
      <x:c r="C3488" s="18" t="n">
        <x:v>-1.645833333</x:v>
      </x:c>
      <x:c r="D3488" s="10" t="n">
        <x:v>560</x:v>
      </x:c>
      <x:c r="E3488" s="10" t="n">
        <x:v>0.335712</x:v>
      </x:c>
      <x:c r="F3488" s="10" t="n">
        <x:v>0.004096</x:v>
      </x:c>
      <x:c r="G3488" s="10" t="n">
        <x:f>SUM(D3488:F3488)</x:f>
        <x:v>560.339808</x:v>
      </x:c>
    </x:row>
    <x:row r="3489" ht="24" customHeight="1">
      <x:c r="A3489" s="10" t="str">
        <x:v>S06-05</x:v>
      </x:c>
      <x:c r="B3489" s="10" t="str">
        <x:v>A</x:v>
      </x:c>
      <x:c r="C3489" s="18" t="n">
        <x:v>-1.645833233</x:v>
      </x:c>
      <x:c r="D3489" s="10" t="n">
        <x:v>560</x:v>
      </x:c>
      <x:c r="E3489" s="10" t="n">
        <x:v>0.335712</x:v>
      </x:c>
      <x:c r="F3489" s="10" t="n">
        <x:v>0.004096</x:v>
      </x:c>
      <x:c r="G3489" s="10" t="n">
        <x:f>SUM(D3489:F3489)</x:f>
        <x:v>560.339808</x:v>
      </x:c>
    </x:row>
    <x:row r="3490" ht="24" customHeight="1">
      <x:c r="A3490" s="10" t="str">
        <x:v>S06-05</x:v>
      </x:c>
      <x:c r="B3490" s="10" t="str">
        <x:v>A</x:v>
      </x:c>
      <x:c r="C3490" s="18" t="n">
        <x:v>-1e-7</x:v>
      </x:c>
      <x:c r="D3490" s="10" t="n">
        <x:v>560</x:v>
      </x:c>
      <x:c r="E3490" s="10" t="n">
        <x:v>0.335712</x:v>
      </x:c>
      <x:c r="F3490" s="10" t="n">
        <x:v>0.004096</x:v>
      </x:c>
      <x:c r="G3490" s="10" t="n">
        <x:f>SUM(D3490:F3490)</x:f>
        <x:v>560.339808</x:v>
      </x:c>
    </x:row>
    <x:row r="3491" ht="24" customHeight="1">
      <x:c r="A3491" s="10" t="str">
        <x:v>S06-05</x:v>
      </x:c>
      <x:c r="B3491" s="10" t="str">
        <x:v>A</x:v>
      </x:c>
      <x:c r="C3491" s="18" t="n">
        <x:v>0</x:v>
      </x:c>
      <x:c r="D3491" s="10" t="n">
        <x:v>560</x:v>
      </x:c>
      <x:c r="E3491" s="10" t="n">
        <x:v>0.335712</x:v>
      </x:c>
      <x:c r="F3491" s="10" t="n">
        <x:v>0.004096</x:v>
      </x:c>
      <x:c r="G3491" s="10" t="n">
        <x:f>SUM(D3491:F3491)</x:f>
        <x:v>560.339808</x:v>
      </x:c>
    </x:row>
    <x:row r="3492" ht="24" customHeight="1">
      <x:c r="A3492" s="10" t="str">
        <x:v>S06-05</x:v>
      </x:c>
      <x:c r="B3492" s="10" t="str">
        <x:v>A</x:v>
      </x:c>
      <x:c r="C3492" s="18" t="n">
        <x:v>1e-7</x:v>
      </x:c>
      <x:c r="D3492" s="10" t="n">
        <x:v>560</x:v>
      </x:c>
      <x:c r="E3492" s="10" t="n">
        <x:v>0.335712</x:v>
      </x:c>
      <x:c r="F3492" s="10" t="n">
        <x:v>0.004096</x:v>
      </x:c>
      <x:c r="G3492" s="10" t="n">
        <x:f>SUM(D3492:F3492)</x:f>
        <x:v>560.339808</x:v>
      </x:c>
    </x:row>
    <x:row r="3493" ht="24" customHeight="1">
      <x:c r="A3493" s="10" t="str">
        <x:v>S06-05</x:v>
      </x:c>
      <x:c r="B3493" s="10" t="str">
        <x:v>A</x:v>
      </x:c>
      <x:c r="C3493" s="18" t="n">
        <x:v>0.906666567</x:v>
      </x:c>
      <x:c r="D3493" s="10" t="n">
        <x:v>560</x:v>
      </x:c>
      <x:c r="E3493" s="10" t="n">
        <x:v>0.335712</x:v>
      </x:c>
      <x:c r="F3493" s="10" t="n">
        <x:v>0.004096</x:v>
      </x:c>
      <x:c r="G3493" s="10" t="n">
        <x:f>SUM(D3493:F3493)</x:f>
        <x:v>560.339808</x:v>
      </x:c>
    </x:row>
    <x:row r="3494" ht="24" customHeight="1">
      <x:c r="A3494" s="10" t="str">
        <x:v>S06-05</x:v>
      </x:c>
      <x:c r="B3494" s="10" t="str">
        <x:v>A</x:v>
      </x:c>
      <x:c r="C3494" s="18" t="n">
        <x:v>0.906666667</x:v>
      </x:c>
      <x:c r="D3494" s="10" t="n">
        <x:v>560</x:v>
      </x:c>
      <x:c r="E3494" s="10" t="n">
        <x:v>0.335712</x:v>
      </x:c>
      <x:c r="F3494" s="10" t="n">
        <x:v>0.004096</x:v>
      </x:c>
      <x:c r="G3494" s="10" t="n">
        <x:f>SUM(D3494:F3494)</x:f>
        <x:v>560.339808</x:v>
      </x:c>
    </x:row>
    <x:row r="3495" ht="24" customHeight="1">
      <x:c r="A3495" s="10" t="str">
        <x:v>S06-05</x:v>
      </x:c>
      <x:c r="B3495" s="10" t="str">
        <x:v>A</x:v>
      </x:c>
      <x:c r="C3495" s="18" t="n">
        <x:v>0.906666767</x:v>
      </x:c>
      <x:c r="D3495" s="10" t="n">
        <x:v>560</x:v>
      </x:c>
      <x:c r="E3495" s="10" t="n">
        <x:v>0.335712</x:v>
      </x:c>
      <x:c r="F3495" s="10" t="n">
        <x:v>0.004096</x:v>
      </x:c>
      <x:c r="G3495" s="10" t="n">
        <x:f>SUM(D3495:F3495)</x:f>
        <x:v>560.339808</x:v>
      </x:c>
    </x:row>
    <x:row r="3496" ht="24" customHeight="1">
      <x:c r="A3496" s="10" t="str">
        <x:v>S06-05</x:v>
      </x:c>
      <x:c r="B3496" s="10" t="str">
        <x:v>A</x:v>
      </x:c>
      <x:c r="C3496" s="18" t="n">
        <x:v>0.946666567</x:v>
      </x:c>
      <x:c r="D3496" s="10" t="n">
        <x:v>560</x:v>
      </x:c>
      <x:c r="E3496" s="10" t="n">
        <x:v>0.335712</x:v>
      </x:c>
      <x:c r="F3496" s="10" t="n">
        <x:v>0.004096</x:v>
      </x:c>
      <x:c r="G3496" s="10" t="n">
        <x:f>SUM(D3496:F3496)</x:f>
        <x:v>560.339808</x:v>
      </x:c>
    </x:row>
    <x:row r="3497" ht="24" customHeight="1">
      <x:c r="A3497" s="10" t="str">
        <x:v>S06-05</x:v>
      </x:c>
      <x:c r="B3497" s="10" t="str">
        <x:v>A</x:v>
      </x:c>
      <x:c r="C3497" s="18" t="n">
        <x:v>0.946666667</x:v>
      </x:c>
      <x:c r="D3497" s="10" t="n">
        <x:v>560</x:v>
      </x:c>
      <x:c r="E3497" s="10" t="n">
        <x:v>0.335712</x:v>
      </x:c>
      <x:c r="F3497" s="10" t="n">
        <x:v>0.004096</x:v>
      </x:c>
      <x:c r="G3497" s="10" t="n">
        <x:f>SUM(D3497:F3497)</x:f>
        <x:v>560.339808</x:v>
      </x:c>
    </x:row>
    <x:row r="3498" ht="24" customHeight="1">
      <x:c r="A3498" s="10" t="str">
        <x:v>S06-05</x:v>
      </x:c>
      <x:c r="B3498" s="10" t="str">
        <x:v>A</x:v>
      </x:c>
      <x:c r="C3498" s="18" t="n">
        <x:v>0.946666767</x:v>
      </x:c>
      <x:c r="D3498" s="10" t="n">
        <x:v>560</x:v>
      </x:c>
      <x:c r="E3498" s="10" t="n">
        <x:v>0.335711995</x:v>
      </x:c>
      <x:c r="F3498" s="10" t="n">
        <x:v>0.004096</x:v>
      </x:c>
      <x:c r="G3498" s="10" t="n">
        <x:f>SUM(D3498:F3498)</x:f>
        <x:v>560.339807995</x:v>
      </x:c>
    </x:row>
    <x:row r="3499" ht="24" customHeight="1">
      <x:c r="A3499" s="10" t="str">
        <x:v>S06-05</x:v>
      </x:c>
      <x:c r="B3499" s="10" t="str">
        <x:v>A</x:v>
      </x:c>
      <x:c r="C3499" s="18" t="n">
        <x:v>1.546666567</x:v>
      </x:c>
      <x:c r="D3499" s="10" t="n">
        <x:v>560</x:v>
      </x:c>
      <x:c r="E3499" s="10" t="n">
        <x:v>0.306912005</x:v>
      </x:c>
      <x:c r="F3499" s="10" t="n">
        <x:v>0.004096</x:v>
      </x:c>
      <x:c r="G3499" s="10" t="n">
        <x:f>SUM(D3499:F3499)</x:f>
        <x:v>560.311008005</x:v>
      </x:c>
    </x:row>
    <x:row r="3500" ht="24" customHeight="1">
      <x:c r="A3500" s="10" t="str">
        <x:v>S06-05</x:v>
      </x:c>
      <x:c r="B3500" s="10" t="str">
        <x:v>A</x:v>
      </x:c>
      <x:c r="C3500" s="18" t="n">
        <x:v>1.546666667</x:v>
      </x:c>
      <x:c r="D3500" s="10" t="n">
        <x:v>560</x:v>
      </x:c>
      <x:c r="E3500" s="10" t="n">
        <x:v>0.306912</x:v>
      </x:c>
      <x:c r="F3500" s="10" t="n">
        <x:v>0.004096</x:v>
      </x:c>
      <x:c r="G3500" s="10" t="n">
        <x:f>SUM(D3500:F3500)</x:f>
        <x:v>560.311008</x:v>
      </x:c>
    </x:row>
    <x:row r="3501" ht="24" customHeight="1">
      <x:c r="A3501" s="10" t="str">
        <x:v>S06-05</x:v>
      </x:c>
      <x:c r="B3501" s="10" t="str">
        <x:v>A</x:v>
      </x:c>
      <x:c r="C3501" s="18" t="n">
        <x:v>1.546666767</x:v>
      </x:c>
      <x:c r="D3501" s="10" t="n">
        <x:v>560</x:v>
      </x:c>
      <x:c r="E3501" s="10" t="n">
        <x:v>0.306912</x:v>
      </x:c>
      <x:c r="F3501" s="10" t="n">
        <x:v>0.004096</x:v>
      </x:c>
      <x:c r="G3501" s="10" t="n">
        <x:f>SUM(D3501:F3501)</x:f>
        <x:v>560.311008</x:v>
      </x:c>
    </x:row>
    <x:row r="3502" ht="24" customHeight="1">
      <x:c r="A3502" s="10" t="str">
        <x:v>S06-05</x:v>
      </x:c>
      <x:c r="B3502" s="10" t="str">
        <x:v>A</x:v>
      </x:c>
      <x:c r="C3502" s="18" t="n">
        <x:v>1.846666567</x:v>
      </x:c>
      <x:c r="D3502" s="10" t="n">
        <x:v>560</x:v>
      </x:c>
      <x:c r="E3502" s="10" t="n">
        <x:v>0.306912</x:v>
      </x:c>
      <x:c r="F3502" s="10" t="n">
        <x:v>0.004096</x:v>
      </x:c>
      <x:c r="G3502" s="10" t="n">
        <x:f>SUM(D3502:F3502)</x:f>
        <x:v>560.311008</x:v>
      </x:c>
    </x:row>
    <x:row r="3503" ht="24" customHeight="1">
      <x:c r="A3503" s="10" t="str">
        <x:v>S06-05</x:v>
      </x:c>
      <x:c r="B3503" s="10" t="str">
        <x:v>A</x:v>
      </x:c>
      <x:c r="C3503" s="18" t="n">
        <x:v>1.846666667</x:v>
      </x:c>
      <x:c r="D3503" s="10" t="n">
        <x:v>560</x:v>
      </x:c>
      <x:c r="E3503" s="10" t="n">
        <x:v>0.306912</x:v>
      </x:c>
      <x:c r="F3503" s="10" t="n">
        <x:v>0.004096</x:v>
      </x:c>
      <x:c r="G3503" s="10" t="n">
        <x:f>SUM(D3503:F3503)</x:f>
        <x:v>560.311008</x:v>
      </x:c>
    </x:row>
    <x:row r="3504" ht="24" customHeight="1">
      <x:c r="A3504" s="10" t="str">
        <x:v>S06-05</x:v>
      </x:c>
      <x:c r="B3504" s="10" t="str">
        <x:v>A</x:v>
      </x:c>
      <x:c r="C3504" s="18" t="n">
        <x:v>1.846666767</x:v>
      </x:c>
      <x:c r="D3504" s="10" t="n">
        <x:v>560</x:v>
      </x:c>
      <x:c r="E3504" s="10" t="n">
        <x:v>0.306911995</x:v>
      </x:c>
      <x:c r="F3504" s="10" t="n">
        <x:v>0.004096</x:v>
      </x:c>
      <x:c r="G3504" s="10" t="n">
        <x:f>SUM(D3504:F3504)</x:f>
        <x:v>560.311007995</x:v>
      </x:c>
    </x:row>
    <x:row r="3505" ht="24" customHeight="1">
      <x:c r="A3505" s="10" t="str">
        <x:v>S06-05</x:v>
      </x:c>
      <x:c r="B3505" s="10" t="str">
        <x:v>A</x:v>
      </x:c>
      <x:c r="C3505" s="18" t="n">
        <x:v>8.240666566</x:v>
      </x:c>
      <x:c r="D3505" s="10" t="n">
        <x:v>560</x:v>
      </x:c>
      <x:c r="E3505" s="10" t="n">
        <x:v>5e-9</x:v>
      </x:c>
      <x:c r="F3505" s="10" t="n">
        <x:v>0.004096</x:v>
      </x:c>
      <x:c r="G3505" s="10" t="n">
        <x:f>SUM(D3505:F3505)</x:f>
        <x:v>560.004096005</x:v>
      </x:c>
    </x:row>
    <x:row r="3506" ht="24" customHeight="1">
      <x:c r="A3506" s="10" t="str">
        <x:v>S06-05</x:v>
      </x:c>
      <x:c r="B3506" s="10" t="str">
        <x:v>A</x:v>
      </x:c>
      <x:c r="C3506" s="18" t="n">
        <x:v>8.240666666</x:v>
      </x:c>
      <x:c r="D3506" s="10" t="n">
        <x:v>560</x:v>
      </x:c>
      <x:c r="E3506" s="10" t="n">
        <x:v>0</x:v>
      </x:c>
      <x:c r="F3506" s="10" t="n">
        <x:v>0.004096</x:v>
      </x:c>
      <x:c r="G3506" s="10" t="n">
        <x:f>SUM(D3506:F3506)</x:f>
        <x:v>560.004096</x:v>
      </x:c>
    </x:row>
    <x:row r="3507" ht="24" customHeight="1">
      <x:c r="A3507" s="10" t="str">
        <x:v>S06-05</x:v>
      </x:c>
      <x:c r="B3507" s="10" t="str">
        <x:v>A</x:v>
      </x:c>
      <x:c r="C3507" s="18" t="n">
        <x:v>8.240666766</x:v>
      </x:c>
      <x:c r="D3507" s="10" t="n">
        <x:v>560</x:v>
      </x:c>
      <x:c r="E3507" s="10" t="n">
        <x:v>0</x:v>
      </x:c>
      <x:c r="F3507" s="10" t="n">
        <x:v>0</x:v>
      </x:c>
      <x:c r="G3507" s="10" t="n">
        <x:f>SUM(D3507:F3507)</x:f>
        <x:v>560</x:v>
      </x:c>
    </x:row>
    <x:row r="3508" ht="24" customHeight="1">
      <x:c r="A3508" s="10" t="str">
        <x:v>S06-05</x:v>
      </x:c>
      <x:c r="B3508" s="10" t="str">
        <x:v>B</x:v>
      </x:c>
      <x:c r="C3508" s="18" t="n">
        <x:v>-6.0000001</x:v>
      </x:c>
      <x:c r="D3508" s="10" t="n">
        <x:v>560</x:v>
      </x:c>
      <x:c r="E3508" s="10" t="n">
        <x:v>0</x:v>
      </x:c>
      <x:c r="F3508" s="10" t="n">
        <x:v>0</x:v>
      </x:c>
      <x:c r="G3508" s="10" t="n">
        <x:f>SUM(D3508:F3508)</x:f>
        <x:v>560</x:v>
      </x:c>
    </x:row>
    <x:row r="3509" ht="24" customHeight="1">
      <x:c r="A3509" s="10" t="str">
        <x:v>S06-05</x:v>
      </x:c>
      <x:c r="B3509" s="10" t="str">
        <x:v>B</x:v>
      </x:c>
      <x:c r="C3509" s="18" t="n">
        <x:v>-6</x:v>
      </x:c>
      <x:c r="D3509" s="10" t="n">
        <x:v>560</x:v>
      </x:c>
      <x:c r="E3509" s="10" t="n">
        <x:v>0</x:v>
      </x:c>
      <x:c r="F3509" s="10" t="n">
        <x:v>0</x:v>
      </x:c>
      <x:c r="G3509" s="10" t="n">
        <x:f>SUM(D3509:F3509)</x:f>
        <x:v>560</x:v>
      </x:c>
    </x:row>
    <x:row r="3510" ht="24" customHeight="1">
      <x:c r="A3510" s="10" t="str">
        <x:v>S06-05</x:v>
      </x:c>
      <x:c r="B3510" s="10" t="str">
        <x:v>B</x:v>
      </x:c>
      <x:c r="C3510" s="18" t="n">
        <x:v>-5.9999999</x:v>
      </x:c>
      <x:c r="D3510" s="10" t="n">
        <x:v>560</x:v>
      </x:c>
      <x:c r="E3510" s="10" t="n">
        <x:v>0</x:v>
      </x:c>
      <x:c r="F3510" s="10" t="n">
        <x:v>0</x:v>
      </x:c>
      <x:c r="G3510" s="10" t="n">
        <x:f>SUM(D3510:F3510)</x:f>
        <x:v>560</x:v>
      </x:c>
    </x:row>
    <x:row r="3511" ht="24" customHeight="1">
      <x:c r="A3511" s="10" t="str">
        <x:v>S06-05</x:v>
      </x:c>
      <x:c r="B3511" s="10" t="str">
        <x:v>B</x:v>
      </x:c>
      <x:c r="C3511" s="18" t="n">
        <x:v>-4.0000001</x:v>
      </x:c>
      <x:c r="D3511" s="10" t="n">
        <x:v>560</x:v>
      </x:c>
      <x:c r="E3511" s="10" t="n">
        <x:v>0</x:v>
      </x:c>
      <x:c r="F3511" s="10" t="n">
        <x:v>0</x:v>
      </x:c>
      <x:c r="G3511" s="10" t="n">
        <x:f>SUM(D3511:F3511)</x:f>
        <x:v>560</x:v>
      </x:c>
    </x:row>
    <x:row r="3512" ht="24" customHeight="1">
      <x:c r="A3512" s="10" t="str">
        <x:v>S06-05</x:v>
      </x:c>
      <x:c r="B3512" s="10" t="str">
        <x:v>B</x:v>
      </x:c>
      <x:c r="C3512" s="18" t="n">
        <x:v>-4</x:v>
      </x:c>
      <x:c r="D3512" s="10" t="n">
        <x:v>560</x:v>
      </x:c>
      <x:c r="E3512" s="10" t="n">
        <x:v>0</x:v>
      </x:c>
      <x:c r="F3512" s="10" t="n">
        <x:v>0.004096</x:v>
      </x:c>
      <x:c r="G3512" s="10" t="n">
        <x:f>SUM(D3512:F3512)</x:f>
        <x:v>560.004096</x:v>
      </x:c>
    </x:row>
    <x:row r="3513" ht="24" customHeight="1">
      <x:c r="A3513" s="10" t="str">
        <x:v>S06-05</x:v>
      </x:c>
      <x:c r="B3513" s="10" t="str">
        <x:v>B</x:v>
      </x:c>
      <x:c r="C3513" s="18" t="n">
        <x:v>-3.9999999</x:v>
      </x:c>
      <x:c r="D3513" s="10" t="n">
        <x:v>560</x:v>
      </x:c>
      <x:c r="E3513" s="10" t="n">
        <x:v>0</x:v>
      </x:c>
      <x:c r="F3513" s="10" t="n">
        <x:v>0.004096</x:v>
      </x:c>
      <x:c r="G3513" s="10" t="n">
        <x:f>SUM(D3513:F3513)</x:f>
        <x:v>560.004096</x:v>
      </x:c>
    </x:row>
    <x:row r="3514" ht="24" customHeight="1">
      <x:c r="A3514" s="10" t="str">
        <x:v>S06-05</x:v>
      </x:c>
      <x:c r="B3514" s="10" t="str">
        <x:v>B</x:v>
      </x:c>
      <x:c r="C3514" s="18" t="n">
        <x:v>-3.594333433</x:v>
      </x:c>
      <x:c r="D3514" s="10" t="n">
        <x:v>560</x:v>
      </x:c>
      <x:c r="E3514" s="10" t="n">
        <x:v>0</x:v>
      </x:c>
      <x:c r="F3514" s="10" t="n">
        <x:v>0.004096</x:v>
      </x:c>
      <x:c r="G3514" s="10" t="n">
        <x:f>SUM(D3514:F3514)</x:f>
        <x:v>560.004096</x:v>
      </x:c>
    </x:row>
    <x:row r="3515" ht="24" customHeight="1">
      <x:c r="A3515" s="10" t="str">
        <x:v>S06-05</x:v>
      </x:c>
      <x:c r="B3515" s="10" t="str">
        <x:v>B</x:v>
      </x:c>
      <x:c r="C3515" s="18" t="n">
        <x:v>-3.594333333</x:v>
      </x:c>
      <x:c r="D3515" s="10" t="n">
        <x:v>560</x:v>
      </x:c>
      <x:c r="E3515" s="10" t="n">
        <x:v>0.0096</x:v>
      </x:c>
      <x:c r="F3515" s="10" t="n">
        <x:v>0.004096</x:v>
      </x:c>
      <x:c r="G3515" s="10" t="n">
        <x:f>SUM(D3515:F3515)</x:f>
        <x:v>560.013696</x:v>
      </x:c>
    </x:row>
    <x:row r="3516" ht="24" customHeight="1">
      <x:c r="A3516" s="10" t="str">
        <x:v>S06-05</x:v>
      </x:c>
      <x:c r="B3516" s="10" t="str">
        <x:v>B</x:v>
      </x:c>
      <x:c r="C3516" s="18" t="n">
        <x:v>-3.594333233</x:v>
      </x:c>
      <x:c r="D3516" s="10" t="n">
        <x:v>560</x:v>
      </x:c>
      <x:c r="E3516" s="10" t="n">
        <x:v>0.009600019</x:v>
      </x:c>
      <x:c r="F3516" s="10" t="n">
        <x:v>0.004096</x:v>
      </x:c>
      <x:c r="G3516" s="10" t="n">
        <x:f>SUM(D3516:F3516)</x:f>
        <x:v>560.013696019</x:v>
      </x:c>
    </x:row>
    <x:row r="3517" ht="24" customHeight="1">
      <x:c r="A3517" s="10" t="str">
        <x:v>S06-05</x:v>
      </x:c>
      <x:c r="B3517" s="10" t="str">
        <x:v>B</x:v>
      </x:c>
      <x:c r="C3517" s="18" t="n">
        <x:v>-2.9200001</x:v>
      </x:c>
      <x:c r="D3517" s="10" t="n">
        <x:v>560</x:v>
      </x:c>
      <x:c r="E3517" s="10" t="n">
        <x:v>0.139071981</x:v>
      </x:c>
      <x:c r="F3517" s="10" t="n">
        <x:v>0.004096</x:v>
      </x:c>
      <x:c r="G3517" s="10" t="n">
        <x:f>SUM(D3517:F3517)</x:f>
        <x:v>560.143167981</x:v>
      </x:c>
    </x:row>
    <x:row r="3518" ht="24" customHeight="1">
      <x:c r="A3518" s="10" t="str">
        <x:v>S06-05</x:v>
      </x:c>
      <x:c r="B3518" s="10" t="str">
        <x:v>B</x:v>
      </x:c>
      <x:c r="C3518" s="18" t="n">
        <x:v>-2.92</x:v>
      </x:c>
      <x:c r="D3518" s="10" t="n">
        <x:v>560</x:v>
      </x:c>
      <x:c r="E3518" s="10" t="n">
        <x:v>0.139072</x:v>
      </x:c>
      <x:c r="F3518" s="10" t="n">
        <x:v>0.004096</x:v>
      </x:c>
      <x:c r="G3518" s="10" t="n">
        <x:f>SUM(D3518:F3518)</x:f>
        <x:v>560.1431680000001</x:v>
      </x:c>
    </x:row>
    <x:row r="3519" ht="24" customHeight="1">
      <x:c r="A3519" s="10" t="str">
        <x:v>S06-05</x:v>
      </x:c>
      <x:c r="B3519" s="10" t="str">
        <x:v>B</x:v>
      </x:c>
      <x:c r="C3519" s="18" t="n">
        <x:v>-2.9199999</x:v>
      </x:c>
      <x:c r="D3519" s="10" t="n">
        <x:v>560</x:v>
      </x:c>
      <x:c r="E3519" s="10" t="n">
        <x:v>0.139072014</x:v>
      </x:c>
      <x:c r="F3519" s="10" t="n">
        <x:v>0.004096</x:v>
      </x:c>
      <x:c r="G3519" s="10" t="n">
        <x:f>SUM(D3519:F3519)</x:f>
        <x:v>560.143168014</x:v>
      </x:c>
    </x:row>
    <x:row r="3520" ht="24" customHeight="1">
      <x:c r="A3520" s="10" t="str">
        <x:v>S06-05</x:v>
      </x:c>
      <x:c r="B3520" s="10" t="str">
        <x:v>B</x:v>
      </x:c>
      <x:c r="C3520" s="18" t="n">
        <x:v>-1.9200001</x:v>
      </x:c>
      <x:c r="D3520" s="10" t="n">
        <x:v>560</x:v>
      </x:c>
      <x:c r="E3520" s="10" t="n">
        <x:v>0.283071986</x:v>
      </x:c>
      <x:c r="F3520" s="10" t="n">
        <x:v>0.004096</x:v>
      </x:c>
      <x:c r="G3520" s="10" t="n">
        <x:f>SUM(D3520:F3520)</x:f>
        <x:v>560.287167986</x:v>
      </x:c>
    </x:row>
    <x:row r="3521" ht="24" customHeight="1">
      <x:c r="A3521" s="10" t="str">
        <x:v>S06-05</x:v>
      </x:c>
      <x:c r="B3521" s="10" t="str">
        <x:v>B</x:v>
      </x:c>
      <x:c r="C3521" s="18" t="n">
        <x:v>-1.92</x:v>
      </x:c>
      <x:c r="D3521" s="10" t="n">
        <x:v>560</x:v>
      </x:c>
      <x:c r="E3521" s="10" t="n">
        <x:v>0.283072</x:v>
      </x:c>
      <x:c r="F3521" s="10" t="n">
        <x:v>0.004096</x:v>
      </x:c>
      <x:c r="G3521" s="10" t="n">
        <x:f>SUM(D3521:F3521)</x:f>
        <x:v>560.287168</x:v>
      </x:c>
    </x:row>
    <x:row r="3522" ht="24" customHeight="1">
      <x:c r="A3522" s="10" t="str">
        <x:v>S06-05</x:v>
      </x:c>
      <x:c r="B3522" s="10" t="str">
        <x:v>B</x:v>
      </x:c>
      <x:c r="C3522" s="18" t="n">
        <x:v>-1.9199999</x:v>
      </x:c>
      <x:c r="D3522" s="10" t="n">
        <x:v>560</x:v>
      </x:c>
      <x:c r="E3522" s="10" t="n">
        <x:v>0.283072019</x:v>
      </x:c>
      <x:c r="F3522" s="10" t="n">
        <x:v>0.004096</x:v>
      </x:c>
      <x:c r="G3522" s="10" t="n">
        <x:f>SUM(D3522:F3522)</x:f>
        <x:v>560.287168019</x:v>
      </x:c>
    </x:row>
    <x:row r="3523" ht="24" customHeight="1">
      <x:c r="A3523" s="10" t="str">
        <x:v>S06-05</x:v>
      </x:c>
      <x:c r="B3523" s="10" t="str">
        <x:v>B</x:v>
      </x:c>
      <x:c r="C3523" s="18" t="n">
        <x:v>-1.645833433</x:v>
      </x:c>
      <x:c r="D3523" s="10" t="n">
        <x:v>560</x:v>
      </x:c>
      <x:c r="E3523" s="10" t="n">
        <x:v>0.335711981</x:v>
      </x:c>
      <x:c r="F3523" s="10" t="n">
        <x:v>0.004096</x:v>
      </x:c>
      <x:c r="G3523" s="10" t="n">
        <x:f>SUM(D3523:F3523)</x:f>
        <x:v>560.339807981</x:v>
      </x:c>
    </x:row>
    <x:row r="3524" ht="24" customHeight="1">
      <x:c r="A3524" s="10" t="str">
        <x:v>S06-05</x:v>
      </x:c>
      <x:c r="B3524" s="10" t="str">
        <x:v>B</x:v>
      </x:c>
      <x:c r="C3524" s="18" t="n">
        <x:v>-1.645833333</x:v>
      </x:c>
      <x:c r="D3524" s="10" t="n">
        <x:v>560</x:v>
      </x:c>
      <x:c r="E3524" s="10" t="n">
        <x:v>0.335712</x:v>
      </x:c>
      <x:c r="F3524" s="10" t="n">
        <x:v>0.004096</x:v>
      </x:c>
      <x:c r="G3524" s="10" t="n">
        <x:f>SUM(D3524:F3524)</x:f>
        <x:v>560.339808</x:v>
      </x:c>
    </x:row>
    <x:row r="3525" ht="24" customHeight="1">
      <x:c r="A3525" s="10" t="str">
        <x:v>S06-05</x:v>
      </x:c>
      <x:c r="B3525" s="10" t="str">
        <x:v>B</x:v>
      </x:c>
      <x:c r="C3525" s="18" t="n">
        <x:v>-1.645833233</x:v>
      </x:c>
      <x:c r="D3525" s="10" t="n">
        <x:v>560</x:v>
      </x:c>
      <x:c r="E3525" s="10" t="n">
        <x:v>0.335712</x:v>
      </x:c>
      <x:c r="F3525" s="10" t="n">
        <x:v>0.004096</x:v>
      </x:c>
      <x:c r="G3525" s="10" t="n">
        <x:f>SUM(D3525:F3525)</x:f>
        <x:v>560.339808</x:v>
      </x:c>
    </x:row>
    <x:row r="3526" ht="24" customHeight="1">
      <x:c r="A3526" s="10" t="str">
        <x:v>S06-05</x:v>
      </x:c>
      <x:c r="B3526" s="10" t="str">
        <x:v>B</x:v>
      </x:c>
      <x:c r="C3526" s="18" t="n">
        <x:v>-1e-7</x:v>
      </x:c>
      <x:c r="D3526" s="10" t="n">
        <x:v>560</x:v>
      </x:c>
      <x:c r="E3526" s="10" t="n">
        <x:v>0.335712</x:v>
      </x:c>
      <x:c r="F3526" s="10" t="n">
        <x:v>0.004096</x:v>
      </x:c>
      <x:c r="G3526" s="10" t="n">
        <x:f>SUM(D3526:F3526)</x:f>
        <x:v>560.339808</x:v>
      </x:c>
    </x:row>
    <x:row r="3527" ht="24" customHeight="1">
      <x:c r="A3527" s="10" t="str">
        <x:v>S06-05</x:v>
      </x:c>
      <x:c r="B3527" s="10" t="str">
        <x:v>B</x:v>
      </x:c>
      <x:c r="C3527" s="18" t="n">
        <x:v>0</x:v>
      </x:c>
      <x:c r="D3527" s="10" t="n">
        <x:v>560</x:v>
      </x:c>
      <x:c r="E3527" s="10" t="n">
        <x:v>0.335712</x:v>
      </x:c>
      <x:c r="F3527" s="10" t="n">
        <x:v>0.004096</x:v>
      </x:c>
      <x:c r="G3527" s="10" t="n">
        <x:f>SUM(D3527:F3527)</x:f>
        <x:v>560.339808</x:v>
      </x:c>
    </x:row>
    <x:row r="3528" ht="24" customHeight="1">
      <x:c r="A3528" s="10" t="str">
        <x:v>S06-05</x:v>
      </x:c>
      <x:c r="B3528" s="10" t="str">
        <x:v>B</x:v>
      </x:c>
      <x:c r="C3528" s="18" t="n">
        <x:v>1e-7</x:v>
      </x:c>
      <x:c r="D3528" s="10" t="n">
        <x:v>560</x:v>
      </x:c>
      <x:c r="E3528" s="10" t="n">
        <x:v>0.335712</x:v>
      </x:c>
      <x:c r="F3528" s="10" t="n">
        <x:v>0.004096</x:v>
      </x:c>
      <x:c r="G3528" s="10" t="n">
        <x:f>SUM(D3528:F3528)</x:f>
        <x:v>560.339808</x:v>
      </x:c>
    </x:row>
    <x:row r="3529" ht="24" customHeight="1">
      <x:c r="A3529" s="10" t="str">
        <x:v>S06-05</x:v>
      </x:c>
      <x:c r="B3529" s="10" t="str">
        <x:v>B</x:v>
      </x:c>
      <x:c r="C3529" s="18" t="n">
        <x:v>0.906666567</x:v>
      </x:c>
      <x:c r="D3529" s="10" t="n">
        <x:v>560</x:v>
      </x:c>
      <x:c r="E3529" s="10" t="n">
        <x:v>0.335712</x:v>
      </x:c>
      <x:c r="F3529" s="10" t="n">
        <x:v>0.004096</x:v>
      </x:c>
      <x:c r="G3529" s="10" t="n">
        <x:f>SUM(D3529:F3529)</x:f>
        <x:v>560.339808</x:v>
      </x:c>
    </x:row>
    <x:row r="3530" ht="24" customHeight="1">
      <x:c r="A3530" s="10" t="str">
        <x:v>S06-05</x:v>
      </x:c>
      <x:c r="B3530" s="10" t="str">
        <x:v>B</x:v>
      </x:c>
      <x:c r="C3530" s="18" t="n">
        <x:v>0.906666667</x:v>
      </x:c>
      <x:c r="D3530" s="10" t="n">
        <x:v>560</x:v>
      </x:c>
      <x:c r="E3530" s="10" t="n">
        <x:v>0.335712</x:v>
      </x:c>
      <x:c r="F3530" s="10" t="n">
        <x:v>0.004096</x:v>
      </x:c>
      <x:c r="G3530" s="10" t="n">
        <x:f>SUM(D3530:F3530)</x:f>
        <x:v>560.339808</x:v>
      </x:c>
    </x:row>
    <x:row r="3531" ht="24" customHeight="1">
      <x:c r="A3531" s="10" t="str">
        <x:v>S06-05</x:v>
      </x:c>
      <x:c r="B3531" s="10" t="str">
        <x:v>B</x:v>
      </x:c>
      <x:c r="C3531" s="18" t="n">
        <x:v>0.906666767</x:v>
      </x:c>
      <x:c r="D3531" s="10" t="n">
        <x:v>560</x:v>
      </x:c>
      <x:c r="E3531" s="10" t="n">
        <x:v>0.335712</x:v>
      </x:c>
      <x:c r="F3531" s="10" t="n">
        <x:v>0.004096</x:v>
      </x:c>
      <x:c r="G3531" s="10" t="n">
        <x:f>SUM(D3531:F3531)</x:f>
        <x:v>560.339808</x:v>
      </x:c>
    </x:row>
    <x:row r="3532" ht="24" customHeight="1">
      <x:c r="A3532" s="10" t="str">
        <x:v>S06-05</x:v>
      </x:c>
      <x:c r="B3532" s="10" t="str">
        <x:v>B</x:v>
      </x:c>
      <x:c r="C3532" s="18" t="n">
        <x:v>0.946666567</x:v>
      </x:c>
      <x:c r="D3532" s="10" t="n">
        <x:v>560</x:v>
      </x:c>
      <x:c r="E3532" s="10" t="n">
        <x:v>0.335712</x:v>
      </x:c>
      <x:c r="F3532" s="10" t="n">
        <x:v>0.004096</x:v>
      </x:c>
      <x:c r="G3532" s="10" t="n">
        <x:f>SUM(D3532:F3532)</x:f>
        <x:v>560.339808</x:v>
      </x:c>
    </x:row>
    <x:row r="3533" ht="24" customHeight="1">
      <x:c r="A3533" s="10" t="str">
        <x:v>S06-05</x:v>
      </x:c>
      <x:c r="B3533" s="10" t="str">
        <x:v>B</x:v>
      </x:c>
      <x:c r="C3533" s="18" t="n">
        <x:v>0.946666667</x:v>
      </x:c>
      <x:c r="D3533" s="10" t="n">
        <x:v>560</x:v>
      </x:c>
      <x:c r="E3533" s="10" t="n">
        <x:v>0.335712</x:v>
      </x:c>
      <x:c r="F3533" s="10" t="n">
        <x:v>0.004096</x:v>
      </x:c>
      <x:c r="G3533" s="10" t="n">
        <x:f>SUM(D3533:F3533)</x:f>
        <x:v>560.339808</x:v>
      </x:c>
    </x:row>
    <x:row r="3534" ht="24" customHeight="1">
      <x:c r="A3534" s="10" t="str">
        <x:v>S06-05</x:v>
      </x:c>
      <x:c r="B3534" s="10" t="str">
        <x:v>B</x:v>
      </x:c>
      <x:c r="C3534" s="18" t="n">
        <x:v>0.946666767</x:v>
      </x:c>
      <x:c r="D3534" s="10" t="n">
        <x:v>560</x:v>
      </x:c>
      <x:c r="E3534" s="10" t="n">
        <x:v>0.335711995</x:v>
      </x:c>
      <x:c r="F3534" s="10" t="n">
        <x:v>0.004096</x:v>
      </x:c>
      <x:c r="G3534" s="10" t="n">
        <x:f>SUM(D3534:F3534)</x:f>
        <x:v>560.339807995</x:v>
      </x:c>
    </x:row>
    <x:row r="3535" ht="24" customHeight="1">
      <x:c r="A3535" s="10" t="str">
        <x:v>S06-05</x:v>
      </x:c>
      <x:c r="B3535" s="10" t="str">
        <x:v>B</x:v>
      </x:c>
      <x:c r="C3535" s="18" t="n">
        <x:v>1.546666567</x:v>
      </x:c>
      <x:c r="D3535" s="10" t="n">
        <x:v>560</x:v>
      </x:c>
      <x:c r="E3535" s="10" t="n">
        <x:v>0.306912005</x:v>
      </x:c>
      <x:c r="F3535" s="10" t="n">
        <x:v>0.004096</x:v>
      </x:c>
      <x:c r="G3535" s="10" t="n">
        <x:f>SUM(D3535:F3535)</x:f>
        <x:v>560.311008005</x:v>
      </x:c>
    </x:row>
    <x:row r="3536" ht="24" customHeight="1">
      <x:c r="A3536" s="10" t="str">
        <x:v>S06-05</x:v>
      </x:c>
      <x:c r="B3536" s="10" t="str">
        <x:v>B</x:v>
      </x:c>
      <x:c r="C3536" s="18" t="n">
        <x:v>1.546666667</x:v>
      </x:c>
      <x:c r="D3536" s="10" t="n">
        <x:v>560</x:v>
      </x:c>
      <x:c r="E3536" s="10" t="n">
        <x:v>0.306912</x:v>
      </x:c>
      <x:c r="F3536" s="10" t="n">
        <x:v>0.004096</x:v>
      </x:c>
      <x:c r="G3536" s="10" t="n">
        <x:f>SUM(D3536:F3536)</x:f>
        <x:v>560.311008</x:v>
      </x:c>
    </x:row>
    <x:row r="3537" ht="24" customHeight="1">
      <x:c r="A3537" s="10" t="str">
        <x:v>S06-05</x:v>
      </x:c>
      <x:c r="B3537" s="10" t="str">
        <x:v>B</x:v>
      </x:c>
      <x:c r="C3537" s="18" t="n">
        <x:v>1.546666767</x:v>
      </x:c>
      <x:c r="D3537" s="10" t="n">
        <x:v>560</x:v>
      </x:c>
      <x:c r="E3537" s="10" t="n">
        <x:v>0.306912</x:v>
      </x:c>
      <x:c r="F3537" s="10" t="n">
        <x:v>0.004096</x:v>
      </x:c>
      <x:c r="G3537" s="10" t="n">
        <x:f>SUM(D3537:F3537)</x:f>
        <x:v>560.311008</x:v>
      </x:c>
    </x:row>
    <x:row r="3538" ht="24" customHeight="1">
      <x:c r="A3538" s="10" t="str">
        <x:v>S06-05</x:v>
      </x:c>
      <x:c r="B3538" s="10" t="str">
        <x:v>B</x:v>
      </x:c>
      <x:c r="C3538" s="18" t="n">
        <x:v>1.846666567</x:v>
      </x:c>
      <x:c r="D3538" s="10" t="n">
        <x:v>560</x:v>
      </x:c>
      <x:c r="E3538" s="10" t="n">
        <x:v>0.306912</x:v>
      </x:c>
      <x:c r="F3538" s="10" t="n">
        <x:v>0.004096</x:v>
      </x:c>
      <x:c r="G3538" s="10" t="n">
        <x:f>SUM(D3538:F3538)</x:f>
        <x:v>560.311008</x:v>
      </x:c>
    </x:row>
    <x:row r="3539" ht="24" customHeight="1">
      <x:c r="A3539" s="10" t="str">
        <x:v>S06-05</x:v>
      </x:c>
      <x:c r="B3539" s="10" t="str">
        <x:v>B</x:v>
      </x:c>
      <x:c r="C3539" s="18" t="n">
        <x:v>1.846666667</x:v>
      </x:c>
      <x:c r="D3539" s="10" t="n">
        <x:v>560</x:v>
      </x:c>
      <x:c r="E3539" s="10" t="n">
        <x:v>0.306912</x:v>
      </x:c>
      <x:c r="F3539" s="10" t="n">
        <x:v>0.004096</x:v>
      </x:c>
      <x:c r="G3539" s="10" t="n">
        <x:f>SUM(D3539:F3539)</x:f>
        <x:v>560.311008</x:v>
      </x:c>
    </x:row>
    <x:row r="3540" ht="24" customHeight="1">
      <x:c r="A3540" s="10" t="str">
        <x:v>S06-05</x:v>
      </x:c>
      <x:c r="B3540" s="10" t="str">
        <x:v>B</x:v>
      </x:c>
      <x:c r="C3540" s="18" t="n">
        <x:v>1.846666767</x:v>
      </x:c>
      <x:c r="D3540" s="10" t="n">
        <x:v>560</x:v>
      </x:c>
      <x:c r="E3540" s="10" t="n">
        <x:v>0.306911995</x:v>
      </x:c>
      <x:c r="F3540" s="10" t="n">
        <x:v>0.004096</x:v>
      </x:c>
      <x:c r="G3540" s="10" t="n">
        <x:f>SUM(D3540:F3540)</x:f>
        <x:v>560.311007995</x:v>
      </x:c>
    </x:row>
    <x:row r="3541" ht="24" customHeight="1">
      <x:c r="A3541" s="10" t="str">
        <x:v>S06-05</x:v>
      </x:c>
      <x:c r="B3541" s="10" t="str">
        <x:v>B</x:v>
      </x:c>
      <x:c r="C3541" s="18" t="n">
        <x:v>8.240666566</x:v>
      </x:c>
      <x:c r="D3541" s="10" t="n">
        <x:v>560</x:v>
      </x:c>
      <x:c r="E3541" s="10" t="n">
        <x:v>5e-9</x:v>
      </x:c>
      <x:c r="F3541" s="10" t="n">
        <x:v>0.004096</x:v>
      </x:c>
      <x:c r="G3541" s="10" t="n">
        <x:f>SUM(D3541:F3541)</x:f>
        <x:v>560.004096005</x:v>
      </x:c>
    </x:row>
    <x:row r="3542" ht="24" customHeight="1">
      <x:c r="A3542" s="10" t="str">
        <x:v>S06-05</x:v>
      </x:c>
      <x:c r="B3542" s="10" t="str">
        <x:v>B</x:v>
      </x:c>
      <x:c r="C3542" s="18" t="n">
        <x:v>8.240666666</x:v>
      </x:c>
      <x:c r="D3542" s="10" t="n">
        <x:v>560</x:v>
      </x:c>
      <x:c r="E3542" s="10" t="n">
        <x:v>0</x:v>
      </x:c>
      <x:c r="F3542" s="10" t="n">
        <x:v>0.004096</x:v>
      </x:c>
      <x:c r="G3542" s="10" t="n">
        <x:f>SUM(D3542:F3542)</x:f>
        <x:v>560.004096</x:v>
      </x:c>
    </x:row>
    <x:row r="3543" ht="24" customHeight="1">
      <x:c r="A3543" s="10" t="str">
        <x:v>S06-05</x:v>
      </x:c>
      <x:c r="B3543" s="10" t="str">
        <x:v>B</x:v>
      </x:c>
      <x:c r="C3543" s="18" t="n">
        <x:v>8.240666766</x:v>
      </x:c>
      <x:c r="D3543" s="10" t="n">
        <x:v>560</x:v>
      </x:c>
      <x:c r="E3543" s="10" t="n">
        <x:v>0</x:v>
      </x:c>
      <x:c r="F3543" s="10" t="n">
        <x:v>0</x:v>
      </x:c>
      <x:c r="G3543" s="10" t="n">
        <x:f>SUM(D3543:F3543)</x:f>
        <x:v>560</x:v>
      </x:c>
    </x:row>
    <x:row r="3544" ht="24" customHeight="1">
      <x:c r="A3544" s="10" t="str">
        <x:v>S06-06</x:v>
      </x:c>
      <x:c r="B3544" s="10" t="str">
        <x:v>A</x:v>
      </x:c>
      <x:c r="C3544" s="18" t="n">
        <x:v>-6.0000001</x:v>
      </x:c>
      <x:c r="D3544" s="10" t="n">
        <x:v>560</x:v>
      </x:c>
      <x:c r="E3544" s="10" t="n">
        <x:v>0</x:v>
      </x:c>
      <x:c r="F3544" s="10" t="n">
        <x:v>0</x:v>
      </x:c>
      <x:c r="G3544" s="10" t="n">
        <x:f>SUM(D3544:F3544)</x:f>
        <x:v>560</x:v>
      </x:c>
    </x:row>
    <x:row r="3545" ht="24" customHeight="1">
      <x:c r="A3545" s="10" t="str">
        <x:v>S06-06</x:v>
      </x:c>
      <x:c r="B3545" s="10" t="str">
        <x:v>A</x:v>
      </x:c>
      <x:c r="C3545" s="18" t="n">
        <x:v>-6</x:v>
      </x:c>
      <x:c r="D3545" s="10" t="n">
        <x:v>560</x:v>
      </x:c>
      <x:c r="E3545" s="10" t="n">
        <x:v>0</x:v>
      </x:c>
      <x:c r="F3545" s="10" t="n">
        <x:v>0</x:v>
      </x:c>
      <x:c r="G3545" s="10" t="n">
        <x:f>SUM(D3545:F3545)</x:f>
        <x:v>560</x:v>
      </x:c>
    </x:row>
    <x:row r="3546" ht="24" customHeight="1">
      <x:c r="A3546" s="10" t="str">
        <x:v>S06-06</x:v>
      </x:c>
      <x:c r="B3546" s="10" t="str">
        <x:v>A</x:v>
      </x:c>
      <x:c r="C3546" s="18" t="n">
        <x:v>-5.9999999</x:v>
      </x:c>
      <x:c r="D3546" s="10" t="n">
        <x:v>560</x:v>
      </x:c>
      <x:c r="E3546" s="10" t="n">
        <x:v>0</x:v>
      </x:c>
      <x:c r="F3546" s="10" t="n">
        <x:v>0</x:v>
      </x:c>
      <x:c r="G3546" s="10" t="n">
        <x:f>SUM(D3546:F3546)</x:f>
        <x:v>560</x:v>
      </x:c>
    </x:row>
    <x:row r="3547" ht="24" customHeight="1">
      <x:c r="A3547" s="10" t="str">
        <x:v>S06-06</x:v>
      </x:c>
      <x:c r="B3547" s="10" t="str">
        <x:v>A</x:v>
      </x:c>
      <x:c r="C3547" s="18" t="n">
        <x:v>-4.0000001</x:v>
      </x:c>
      <x:c r="D3547" s="10" t="n">
        <x:v>560</x:v>
      </x:c>
      <x:c r="E3547" s="10" t="n">
        <x:v>0</x:v>
      </x:c>
      <x:c r="F3547" s="10" t="n">
        <x:v>0</x:v>
      </x:c>
      <x:c r="G3547" s="10" t="n">
        <x:f>SUM(D3547:F3547)</x:f>
        <x:v>560</x:v>
      </x:c>
    </x:row>
    <x:row r="3548" ht="24" customHeight="1">
      <x:c r="A3548" s="10" t="str">
        <x:v>S06-06</x:v>
      </x:c>
      <x:c r="B3548" s="10" t="str">
        <x:v>A</x:v>
      </x:c>
      <x:c r="C3548" s="18" t="n">
        <x:v>-4</x:v>
      </x:c>
      <x:c r="D3548" s="10" t="n">
        <x:v>560</x:v>
      </x:c>
      <x:c r="E3548" s="10" t="n">
        <x:v>0</x:v>
      </x:c>
      <x:c r="F3548" s="10" t="n">
        <x:v>0.004096</x:v>
      </x:c>
      <x:c r="G3548" s="10" t="n">
        <x:f>SUM(D3548:F3548)</x:f>
        <x:v>560.004096</x:v>
      </x:c>
    </x:row>
    <x:row r="3549" ht="24" customHeight="1">
      <x:c r="A3549" s="10" t="str">
        <x:v>S06-06</x:v>
      </x:c>
      <x:c r="B3549" s="10" t="str">
        <x:v>A</x:v>
      </x:c>
      <x:c r="C3549" s="18" t="n">
        <x:v>-3.9999999</x:v>
      </x:c>
      <x:c r="D3549" s="10" t="n">
        <x:v>560</x:v>
      </x:c>
      <x:c r="E3549" s="10" t="n">
        <x:v>0</x:v>
      </x:c>
      <x:c r="F3549" s="10" t="n">
        <x:v>0.004096</x:v>
      </x:c>
      <x:c r="G3549" s="10" t="n">
        <x:f>SUM(D3549:F3549)</x:f>
        <x:v>560.004096</x:v>
      </x:c>
    </x:row>
    <x:row r="3550" ht="24" customHeight="1">
      <x:c r="A3550" s="10" t="str">
        <x:v>S06-06</x:v>
      </x:c>
      <x:c r="B3550" s="10" t="str">
        <x:v>A</x:v>
      </x:c>
      <x:c r="C3550" s="18" t="n">
        <x:v>-3.594333433</x:v>
      </x:c>
      <x:c r="D3550" s="10" t="n">
        <x:v>560</x:v>
      </x:c>
      <x:c r="E3550" s="10" t="n">
        <x:v>0</x:v>
      </x:c>
      <x:c r="F3550" s="10" t="n">
        <x:v>0.004096</x:v>
      </x:c>
      <x:c r="G3550" s="10" t="n">
        <x:f>SUM(D3550:F3550)</x:f>
        <x:v>560.004096</x:v>
      </x:c>
    </x:row>
    <x:row r="3551" ht="24" customHeight="1">
      <x:c r="A3551" s="10" t="str">
        <x:v>S06-06</x:v>
      </x:c>
      <x:c r="B3551" s="10" t="str">
        <x:v>A</x:v>
      </x:c>
      <x:c r="C3551" s="18" t="n">
        <x:v>-3.594333333</x:v>
      </x:c>
      <x:c r="D3551" s="10" t="n">
        <x:v>560</x:v>
      </x:c>
      <x:c r="E3551" s="10" t="n">
        <x:v>0.0096</x:v>
      </x:c>
      <x:c r="F3551" s="10" t="n">
        <x:v>0.004096</x:v>
      </x:c>
      <x:c r="G3551" s="10" t="n">
        <x:f>SUM(D3551:F3551)</x:f>
        <x:v>560.013696</x:v>
      </x:c>
    </x:row>
    <x:row r="3552" ht="24" customHeight="1">
      <x:c r="A3552" s="10" t="str">
        <x:v>S06-06</x:v>
      </x:c>
      <x:c r="B3552" s="10" t="str">
        <x:v>A</x:v>
      </x:c>
      <x:c r="C3552" s="18" t="n">
        <x:v>-3.594333233</x:v>
      </x:c>
      <x:c r="D3552" s="10" t="n">
        <x:v>560</x:v>
      </x:c>
      <x:c r="E3552" s="10" t="n">
        <x:v>0.009600019</x:v>
      </x:c>
      <x:c r="F3552" s="10" t="n">
        <x:v>0.004096</x:v>
      </x:c>
      <x:c r="G3552" s="10" t="n">
        <x:f>SUM(D3552:F3552)</x:f>
        <x:v>560.013696019</x:v>
      </x:c>
    </x:row>
    <x:row r="3553" ht="24" customHeight="1">
      <x:c r="A3553" s="10" t="str">
        <x:v>S06-06</x:v>
      </x:c>
      <x:c r="B3553" s="10" t="str">
        <x:v>A</x:v>
      </x:c>
      <x:c r="C3553" s="18" t="n">
        <x:v>-2.9200001</x:v>
      </x:c>
      <x:c r="D3553" s="10" t="n">
        <x:v>560</x:v>
      </x:c>
      <x:c r="E3553" s="10" t="n">
        <x:v>0.139071981</x:v>
      </x:c>
      <x:c r="F3553" s="10" t="n">
        <x:v>0.004096</x:v>
      </x:c>
      <x:c r="G3553" s="10" t="n">
        <x:f>SUM(D3553:F3553)</x:f>
        <x:v>560.143167981</x:v>
      </x:c>
    </x:row>
    <x:row r="3554" ht="24" customHeight="1">
      <x:c r="A3554" s="10" t="str">
        <x:v>S06-06</x:v>
      </x:c>
      <x:c r="B3554" s="10" t="str">
        <x:v>A</x:v>
      </x:c>
      <x:c r="C3554" s="18" t="n">
        <x:v>-2.92</x:v>
      </x:c>
      <x:c r="D3554" s="10" t="n">
        <x:v>560</x:v>
      </x:c>
      <x:c r="E3554" s="10" t="n">
        <x:v>0.139072</x:v>
      </x:c>
      <x:c r="F3554" s="10" t="n">
        <x:v>0.004096</x:v>
      </x:c>
      <x:c r="G3554" s="10" t="n">
        <x:f>SUM(D3554:F3554)</x:f>
        <x:v>560.1431680000001</x:v>
      </x:c>
    </x:row>
    <x:row r="3555" ht="24" customHeight="1">
      <x:c r="A3555" s="10" t="str">
        <x:v>S06-06</x:v>
      </x:c>
      <x:c r="B3555" s="10" t="str">
        <x:v>A</x:v>
      </x:c>
      <x:c r="C3555" s="18" t="n">
        <x:v>-2.9199999</x:v>
      </x:c>
      <x:c r="D3555" s="10" t="n">
        <x:v>560</x:v>
      </x:c>
      <x:c r="E3555" s="10" t="n">
        <x:v>0.139072014</x:v>
      </x:c>
      <x:c r="F3555" s="10" t="n">
        <x:v>0.004096</x:v>
      </x:c>
      <x:c r="G3555" s="10" t="n">
        <x:f>SUM(D3555:F3555)</x:f>
        <x:v>560.143168014</x:v>
      </x:c>
    </x:row>
    <x:row r="3556" ht="24" customHeight="1">
      <x:c r="A3556" s="10" t="str">
        <x:v>S06-06</x:v>
      </x:c>
      <x:c r="B3556" s="10" t="str">
        <x:v>A</x:v>
      </x:c>
      <x:c r="C3556" s="18" t="n">
        <x:v>-1.9200001</x:v>
      </x:c>
      <x:c r="D3556" s="10" t="n">
        <x:v>560</x:v>
      </x:c>
      <x:c r="E3556" s="10" t="n">
        <x:v>0.283071986</x:v>
      </x:c>
      <x:c r="F3556" s="10" t="n">
        <x:v>0.004096</x:v>
      </x:c>
      <x:c r="G3556" s="10" t="n">
        <x:f>SUM(D3556:F3556)</x:f>
        <x:v>560.287167986</x:v>
      </x:c>
    </x:row>
    <x:row r="3557" ht="24" customHeight="1">
      <x:c r="A3557" s="10" t="str">
        <x:v>S06-06</x:v>
      </x:c>
      <x:c r="B3557" s="10" t="str">
        <x:v>A</x:v>
      </x:c>
      <x:c r="C3557" s="18" t="n">
        <x:v>-1.92</x:v>
      </x:c>
      <x:c r="D3557" s="10" t="n">
        <x:v>560</x:v>
      </x:c>
      <x:c r="E3557" s="10" t="n">
        <x:v>0.283072</x:v>
      </x:c>
      <x:c r="F3557" s="10" t="n">
        <x:v>0.004096</x:v>
      </x:c>
      <x:c r="G3557" s="10" t="n">
        <x:f>SUM(D3557:F3557)</x:f>
        <x:v>560.287168</x:v>
      </x:c>
    </x:row>
    <x:row r="3558" ht="24" customHeight="1">
      <x:c r="A3558" s="10" t="str">
        <x:v>S06-06</x:v>
      </x:c>
      <x:c r="B3558" s="10" t="str">
        <x:v>A</x:v>
      </x:c>
      <x:c r="C3558" s="18" t="n">
        <x:v>-1.9199999</x:v>
      </x:c>
      <x:c r="D3558" s="10" t="n">
        <x:v>560</x:v>
      </x:c>
      <x:c r="E3558" s="10" t="n">
        <x:v>0.283072019</x:v>
      </x:c>
      <x:c r="F3558" s="10" t="n">
        <x:v>0.004096</x:v>
      </x:c>
      <x:c r="G3558" s="10" t="n">
        <x:f>SUM(D3558:F3558)</x:f>
        <x:v>560.287168019</x:v>
      </x:c>
    </x:row>
    <x:row r="3559" ht="24" customHeight="1">
      <x:c r="A3559" s="10" t="str">
        <x:v>S06-06</x:v>
      </x:c>
      <x:c r="B3559" s="10" t="str">
        <x:v>A</x:v>
      </x:c>
      <x:c r="C3559" s="18" t="n">
        <x:v>-1.642833433</x:v>
      </x:c>
      <x:c r="D3559" s="10" t="n">
        <x:v>560</x:v>
      </x:c>
      <x:c r="E3559" s="10" t="n">
        <x:v>0.336287981</x:v>
      </x:c>
      <x:c r="F3559" s="10" t="n">
        <x:v>0.004096</x:v>
      </x:c>
      <x:c r="G3559" s="10" t="n">
        <x:f>SUM(D3559:F3559)</x:f>
        <x:v>560.3403839810001</x:v>
      </x:c>
    </x:row>
    <x:row r="3560" ht="24" customHeight="1">
      <x:c r="A3560" s="10" t="str">
        <x:v>S06-06</x:v>
      </x:c>
      <x:c r="B3560" s="10" t="str">
        <x:v>A</x:v>
      </x:c>
      <x:c r="C3560" s="18" t="n">
        <x:v>-1.642833333</x:v>
      </x:c>
      <x:c r="D3560" s="10" t="n">
        <x:v>560</x:v>
      </x:c>
      <x:c r="E3560" s="10" t="n">
        <x:v>0.336288</x:v>
      </x:c>
      <x:c r="F3560" s="10" t="n">
        <x:v>0.004096</x:v>
      </x:c>
      <x:c r="G3560" s="10" t="n">
        <x:f>SUM(D3560:F3560)</x:f>
        <x:v>560.340384</x:v>
      </x:c>
    </x:row>
    <x:row r="3561" ht="24" customHeight="1">
      <x:c r="A3561" s="10" t="str">
        <x:v>S06-06</x:v>
      </x:c>
      <x:c r="B3561" s="10" t="str">
        <x:v>A</x:v>
      </x:c>
      <x:c r="C3561" s="18" t="n">
        <x:v>-1.642833233</x:v>
      </x:c>
      <x:c r="D3561" s="10" t="n">
        <x:v>560</x:v>
      </x:c>
      <x:c r="E3561" s="10" t="n">
        <x:v>0.336288</x:v>
      </x:c>
      <x:c r="F3561" s="10" t="n">
        <x:v>0.004096</x:v>
      </x:c>
      <x:c r="G3561" s="10" t="n">
        <x:f>SUM(D3561:F3561)</x:f>
        <x:v>560.340384</x:v>
      </x:c>
    </x:row>
    <x:row r="3562" ht="24" customHeight="1">
      <x:c r="A3562" s="10" t="str">
        <x:v>S06-06</x:v>
      </x:c>
      <x:c r="B3562" s="10" t="str">
        <x:v>A</x:v>
      </x:c>
      <x:c r="C3562" s="18" t="n">
        <x:v>-1e-7</x:v>
      </x:c>
      <x:c r="D3562" s="10" t="n">
        <x:v>560</x:v>
      </x:c>
      <x:c r="E3562" s="10" t="n">
        <x:v>0.336288</x:v>
      </x:c>
      <x:c r="F3562" s="10" t="n">
        <x:v>0.004096</x:v>
      </x:c>
      <x:c r="G3562" s="10" t="n">
        <x:f>SUM(D3562:F3562)</x:f>
        <x:v>560.340384</x:v>
      </x:c>
    </x:row>
    <x:row r="3563" ht="24" customHeight="1">
      <x:c r="A3563" s="10" t="str">
        <x:v>S06-06</x:v>
      </x:c>
      <x:c r="B3563" s="10" t="str">
        <x:v>A</x:v>
      </x:c>
      <x:c r="C3563" s="18" t="n">
        <x:v>0</x:v>
      </x:c>
      <x:c r="D3563" s="10" t="n">
        <x:v>560</x:v>
      </x:c>
      <x:c r="E3563" s="10" t="n">
        <x:v>0.336288</x:v>
      </x:c>
      <x:c r="F3563" s="10" t="n">
        <x:v>0.004096</x:v>
      </x:c>
      <x:c r="G3563" s="10" t="n">
        <x:f>SUM(D3563:F3563)</x:f>
        <x:v>560.340384</x:v>
      </x:c>
    </x:row>
    <x:row r="3564" ht="24" customHeight="1">
      <x:c r="A3564" s="10" t="str">
        <x:v>S06-06</x:v>
      </x:c>
      <x:c r="B3564" s="10" t="str">
        <x:v>A</x:v>
      </x:c>
      <x:c r="C3564" s="18" t="n">
        <x:v>1e-7</x:v>
      </x:c>
      <x:c r="D3564" s="10" t="n">
        <x:v>560</x:v>
      </x:c>
      <x:c r="E3564" s="10" t="n">
        <x:v>0.336288</x:v>
      </x:c>
      <x:c r="F3564" s="10" t="n">
        <x:v>0.004096</x:v>
      </x:c>
      <x:c r="G3564" s="10" t="n">
        <x:f>SUM(D3564:F3564)</x:f>
        <x:v>560.340384</x:v>
      </x:c>
    </x:row>
    <x:row r="3565" ht="24" customHeight="1">
      <x:c r="A3565" s="10" t="str">
        <x:v>S06-06</x:v>
      </x:c>
      <x:c r="B3565" s="10" t="str">
        <x:v>A</x:v>
      </x:c>
      <x:c r="C3565" s="18" t="n">
        <x:v>0.8599999</x:v>
      </x:c>
      <x:c r="D3565" s="10" t="n">
        <x:v>560</x:v>
      </x:c>
      <x:c r="E3565" s="10" t="n">
        <x:v>0.336288</x:v>
      </x:c>
      <x:c r="F3565" s="10" t="n">
        <x:v>0.004096</x:v>
      </x:c>
      <x:c r="G3565" s="10" t="n">
        <x:f>SUM(D3565:F3565)</x:f>
        <x:v>560.340384</x:v>
      </x:c>
    </x:row>
    <x:row r="3566" ht="24" customHeight="1">
      <x:c r="A3566" s="10" t="str">
        <x:v>S06-06</x:v>
      </x:c>
      <x:c r="B3566" s="10" t="str">
        <x:v>A</x:v>
      </x:c>
      <x:c r="C3566" s="18" t="n">
        <x:v>0.86</x:v>
      </x:c>
      <x:c r="D3566" s="10" t="n">
        <x:v>560</x:v>
      </x:c>
      <x:c r="E3566" s="10" t="n">
        <x:v>0.336288</x:v>
      </x:c>
      <x:c r="F3566" s="10" t="n">
        <x:v>0.004096</x:v>
      </x:c>
      <x:c r="G3566" s="10" t="n">
        <x:f>SUM(D3566:F3566)</x:f>
        <x:v>560.340384</x:v>
      </x:c>
    </x:row>
    <x:row r="3567" ht="24" customHeight="1">
      <x:c r="A3567" s="10" t="str">
        <x:v>S06-06</x:v>
      </x:c>
      <x:c r="B3567" s="10" t="str">
        <x:v>A</x:v>
      </x:c>
      <x:c r="C3567" s="18" t="n">
        <x:v>0.8600001</x:v>
      </x:c>
      <x:c r="D3567" s="10" t="n">
        <x:v>560</x:v>
      </x:c>
      <x:c r="E3567" s="10" t="n">
        <x:v>0.336288</x:v>
      </x:c>
      <x:c r="F3567" s="10" t="n">
        <x:v>0.004096</x:v>
      </x:c>
      <x:c r="G3567" s="10" t="n">
        <x:f>SUM(D3567:F3567)</x:f>
        <x:v>560.340384</x:v>
      </x:c>
    </x:row>
    <x:row r="3568" ht="24" customHeight="1">
      <x:c r="A3568" s="10" t="str">
        <x:v>S06-06</x:v>
      </x:c>
      <x:c r="B3568" s="10" t="str">
        <x:v>A</x:v>
      </x:c>
      <x:c r="C3568" s="18" t="n">
        <x:v>0.8999999</x:v>
      </x:c>
      <x:c r="D3568" s="10" t="n">
        <x:v>560</x:v>
      </x:c>
      <x:c r="E3568" s="10" t="n">
        <x:v>0.336288</x:v>
      </x:c>
      <x:c r="F3568" s="10" t="n">
        <x:v>0.004096</x:v>
      </x:c>
      <x:c r="G3568" s="10" t="n">
        <x:f>SUM(D3568:F3568)</x:f>
        <x:v>560.340384</x:v>
      </x:c>
    </x:row>
    <x:row r="3569" ht="24" customHeight="1">
      <x:c r="A3569" s="10" t="str">
        <x:v>S06-06</x:v>
      </x:c>
      <x:c r="B3569" s="10" t="str">
        <x:v>A</x:v>
      </x:c>
      <x:c r="C3569" s="18" t="n">
        <x:v>0.9</x:v>
      </x:c>
      <x:c r="D3569" s="10" t="n">
        <x:v>560</x:v>
      </x:c>
      <x:c r="E3569" s="10" t="n">
        <x:v>0.336288</x:v>
      </x:c>
      <x:c r="F3569" s="10" t="n">
        <x:v>0.004096</x:v>
      </x:c>
      <x:c r="G3569" s="10" t="n">
        <x:f>SUM(D3569:F3569)</x:f>
        <x:v>560.340384</x:v>
      </x:c>
    </x:row>
    <x:row r="3570" ht="24" customHeight="1">
      <x:c r="A3570" s="10" t="str">
        <x:v>S06-06</x:v>
      </x:c>
      <x:c r="B3570" s="10" t="str">
        <x:v>A</x:v>
      </x:c>
      <x:c r="C3570" s="18" t="n">
        <x:v>0.9000001</x:v>
      </x:c>
      <x:c r="D3570" s="10" t="n">
        <x:v>560</x:v>
      </x:c>
      <x:c r="E3570" s="10" t="n">
        <x:v>0.336287995</x:v>
      </x:c>
      <x:c r="F3570" s="10" t="n">
        <x:v>0.004096</x:v>
      </x:c>
      <x:c r="G3570" s="10" t="n">
        <x:f>SUM(D3570:F3570)</x:f>
        <x:v>560.340383995</x:v>
      </x:c>
    </x:row>
    <x:row r="3571" ht="24" customHeight="1">
      <x:c r="A3571" s="10" t="str">
        <x:v>S06-06</x:v>
      </x:c>
      <x:c r="B3571" s="10" t="str">
        <x:v>A</x:v>
      </x:c>
      <x:c r="C3571" s="18" t="n">
        <x:v>1.4999999</x:v>
      </x:c>
      <x:c r="D3571" s="10" t="n">
        <x:v>560</x:v>
      </x:c>
      <x:c r="E3571" s="10" t="n">
        <x:v>0.307488005</x:v>
      </x:c>
      <x:c r="F3571" s="10" t="n">
        <x:v>0.004096</x:v>
      </x:c>
      <x:c r="G3571" s="10" t="n">
        <x:f>SUM(D3571:F3571)</x:f>
        <x:v>560.311584005</x:v>
      </x:c>
    </x:row>
    <x:row r="3572" ht="24" customHeight="1">
      <x:c r="A3572" s="10" t="str">
        <x:v>S06-06</x:v>
      </x:c>
      <x:c r="B3572" s="10" t="str">
        <x:v>A</x:v>
      </x:c>
      <x:c r="C3572" s="18" t="n">
        <x:v>1.5</x:v>
      </x:c>
      <x:c r="D3572" s="10" t="n">
        <x:v>560</x:v>
      </x:c>
      <x:c r="E3572" s="10" t="n">
        <x:v>0.307488</x:v>
      </x:c>
      <x:c r="F3572" s="10" t="n">
        <x:v>0.004096</x:v>
      </x:c>
      <x:c r="G3572" s="10" t="n">
        <x:f>SUM(D3572:F3572)</x:f>
        <x:v>560.311584</x:v>
      </x:c>
    </x:row>
    <x:row r="3573" ht="24" customHeight="1">
      <x:c r="A3573" s="10" t="str">
        <x:v>S06-06</x:v>
      </x:c>
      <x:c r="B3573" s="10" t="str">
        <x:v>A</x:v>
      </x:c>
      <x:c r="C3573" s="18" t="n">
        <x:v>1.5000001</x:v>
      </x:c>
      <x:c r="D3573" s="10" t="n">
        <x:v>560</x:v>
      </x:c>
      <x:c r="E3573" s="10" t="n">
        <x:v>0.307488</x:v>
      </x:c>
      <x:c r="F3573" s="10" t="n">
        <x:v>0.004096</x:v>
      </x:c>
      <x:c r="G3573" s="10" t="n">
        <x:f>SUM(D3573:F3573)</x:f>
        <x:v>560.311584</x:v>
      </x:c>
    </x:row>
    <x:row r="3574" ht="24" customHeight="1">
      <x:c r="A3574" s="10" t="str">
        <x:v>S06-06</x:v>
      </x:c>
      <x:c r="B3574" s="10" t="str">
        <x:v>A</x:v>
      </x:c>
      <x:c r="C3574" s="18" t="n">
        <x:v>1.7999999</x:v>
      </x:c>
      <x:c r="D3574" s="10" t="n">
        <x:v>560</x:v>
      </x:c>
      <x:c r="E3574" s="10" t="n">
        <x:v>0.307488</x:v>
      </x:c>
      <x:c r="F3574" s="10" t="n">
        <x:v>0.004096</x:v>
      </x:c>
      <x:c r="G3574" s="10" t="n">
        <x:f>SUM(D3574:F3574)</x:f>
        <x:v>560.311584</x:v>
      </x:c>
    </x:row>
    <x:row r="3575" ht="24" customHeight="1">
      <x:c r="A3575" s="10" t="str">
        <x:v>S06-06</x:v>
      </x:c>
      <x:c r="B3575" s="10" t="str">
        <x:v>A</x:v>
      </x:c>
      <x:c r="C3575" s="18" t="n">
        <x:v>1.8</x:v>
      </x:c>
      <x:c r="D3575" s="10" t="n">
        <x:v>560</x:v>
      </x:c>
      <x:c r="E3575" s="10" t="n">
        <x:v>0.307488</x:v>
      </x:c>
      <x:c r="F3575" s="10" t="n">
        <x:v>0.004096</x:v>
      </x:c>
      <x:c r="G3575" s="10" t="n">
        <x:f>SUM(D3575:F3575)</x:f>
        <x:v>560.311584</x:v>
      </x:c>
    </x:row>
    <x:row r="3576" ht="24" customHeight="1">
      <x:c r="A3576" s="10" t="str">
        <x:v>S06-06</x:v>
      </x:c>
      <x:c r="B3576" s="10" t="str">
        <x:v>A</x:v>
      </x:c>
      <x:c r="C3576" s="18" t="n">
        <x:v>1.8000001</x:v>
      </x:c>
      <x:c r="D3576" s="10" t="n">
        <x:v>560</x:v>
      </x:c>
      <x:c r="E3576" s="10" t="n">
        <x:v>0.307487995</x:v>
      </x:c>
      <x:c r="F3576" s="10" t="n">
        <x:v>0.004096</x:v>
      </x:c>
      <x:c r="G3576" s="10" t="n">
        <x:f>SUM(D3576:F3576)</x:f>
        <x:v>560.311583995</x:v>
      </x:c>
    </x:row>
    <x:row r="3577" ht="24" customHeight="1">
      <x:c r="A3577" s="10" t="str">
        <x:v>S06-06</x:v>
      </x:c>
      <x:c r="B3577" s="10" t="str">
        <x:v>A</x:v>
      </x:c>
      <x:c r="C3577" s="18" t="n">
        <x:v>8.205999899</x:v>
      </x:c>
      <x:c r="D3577" s="10" t="n">
        <x:v>560</x:v>
      </x:c>
      <x:c r="E3577" s="10" t="n">
        <x:v>5e-9</x:v>
      </x:c>
      <x:c r="F3577" s="10" t="n">
        <x:v>0.004096</x:v>
      </x:c>
      <x:c r="G3577" s="10" t="n">
        <x:f>SUM(D3577:F3577)</x:f>
        <x:v>560.004096005</x:v>
      </x:c>
    </x:row>
    <x:row r="3578" ht="24" customHeight="1">
      <x:c r="A3578" s="10" t="str">
        <x:v>S06-06</x:v>
      </x:c>
      <x:c r="B3578" s="10" t="str">
        <x:v>A</x:v>
      </x:c>
      <x:c r="C3578" s="18" t="n">
        <x:v>8.205999999</x:v>
      </x:c>
      <x:c r="D3578" s="10" t="n">
        <x:v>560</x:v>
      </x:c>
      <x:c r="E3578" s="10" t="n">
        <x:v>0</x:v>
      </x:c>
      <x:c r="F3578" s="10" t="n">
        <x:v>0.004096</x:v>
      </x:c>
      <x:c r="G3578" s="10" t="n">
        <x:f>SUM(D3578:F3578)</x:f>
        <x:v>560.004096</x:v>
      </x:c>
    </x:row>
    <x:row r="3579" ht="24" customHeight="1">
      <x:c r="A3579" s="10" t="str">
        <x:v>S06-06</x:v>
      </x:c>
      <x:c r="B3579" s="10" t="str">
        <x:v>A</x:v>
      </x:c>
      <x:c r="C3579" s="18" t="n">
        <x:v>8.206000099</x:v>
      </x:c>
      <x:c r="D3579" s="10" t="n">
        <x:v>560</x:v>
      </x:c>
      <x:c r="E3579" s="10" t="n">
        <x:v>0</x:v>
      </x:c>
      <x:c r="F3579" s="10" t="n">
        <x:v>0</x:v>
      </x:c>
      <x:c r="G3579" s="10" t="n">
        <x:f>SUM(D3579:F3579)</x:f>
        <x:v>560</x:v>
      </x:c>
    </x:row>
    <x:row r="3580" ht="24" customHeight="1">
      <x:c r="A3580" s="10" t="str">
        <x:v>S06-06</x:v>
      </x:c>
      <x:c r="B3580" s="10" t="str">
        <x:v>B</x:v>
      </x:c>
      <x:c r="C3580" s="18" t="n">
        <x:v>-6.0000001</x:v>
      </x:c>
      <x:c r="D3580" s="10" t="n">
        <x:v>560</x:v>
      </x:c>
      <x:c r="E3580" s="10" t="n">
        <x:v>0</x:v>
      </x:c>
      <x:c r="F3580" s="10" t="n">
        <x:v>0</x:v>
      </x:c>
      <x:c r="G3580" s="10" t="n">
        <x:f>SUM(D3580:F3580)</x:f>
        <x:v>560</x:v>
      </x:c>
    </x:row>
    <x:row r="3581" ht="24" customHeight="1">
      <x:c r="A3581" s="10" t="str">
        <x:v>S06-06</x:v>
      </x:c>
      <x:c r="B3581" s="10" t="str">
        <x:v>B</x:v>
      </x:c>
      <x:c r="C3581" s="18" t="n">
        <x:v>-6</x:v>
      </x:c>
      <x:c r="D3581" s="10" t="n">
        <x:v>560</x:v>
      </x:c>
      <x:c r="E3581" s="10" t="n">
        <x:v>0</x:v>
      </x:c>
      <x:c r="F3581" s="10" t="n">
        <x:v>0</x:v>
      </x:c>
      <x:c r="G3581" s="10" t="n">
        <x:f>SUM(D3581:F3581)</x:f>
        <x:v>560</x:v>
      </x:c>
    </x:row>
    <x:row r="3582" ht="24" customHeight="1">
      <x:c r="A3582" s="10" t="str">
        <x:v>S06-06</x:v>
      </x:c>
      <x:c r="B3582" s="10" t="str">
        <x:v>B</x:v>
      </x:c>
      <x:c r="C3582" s="18" t="n">
        <x:v>-5.9999999</x:v>
      </x:c>
      <x:c r="D3582" s="10" t="n">
        <x:v>560</x:v>
      </x:c>
      <x:c r="E3582" s="10" t="n">
        <x:v>0</x:v>
      </x:c>
      <x:c r="F3582" s="10" t="n">
        <x:v>0</x:v>
      </x:c>
      <x:c r="G3582" s="10" t="n">
        <x:f>SUM(D3582:F3582)</x:f>
        <x:v>560</x:v>
      </x:c>
    </x:row>
    <x:row r="3583" ht="24" customHeight="1">
      <x:c r="A3583" s="10" t="str">
        <x:v>S06-06</x:v>
      </x:c>
      <x:c r="B3583" s="10" t="str">
        <x:v>B</x:v>
      </x:c>
      <x:c r="C3583" s="18" t="n">
        <x:v>-4.0000001</x:v>
      </x:c>
      <x:c r="D3583" s="10" t="n">
        <x:v>560</x:v>
      </x:c>
      <x:c r="E3583" s="10" t="n">
        <x:v>0</x:v>
      </x:c>
      <x:c r="F3583" s="10" t="n">
        <x:v>0</x:v>
      </x:c>
      <x:c r="G3583" s="10" t="n">
        <x:f>SUM(D3583:F3583)</x:f>
        <x:v>560</x:v>
      </x:c>
    </x:row>
    <x:row r="3584" ht="24" customHeight="1">
      <x:c r="A3584" s="10" t="str">
        <x:v>S06-06</x:v>
      </x:c>
      <x:c r="B3584" s="10" t="str">
        <x:v>B</x:v>
      </x:c>
      <x:c r="C3584" s="18" t="n">
        <x:v>-4</x:v>
      </x:c>
      <x:c r="D3584" s="10" t="n">
        <x:v>560</x:v>
      </x:c>
      <x:c r="E3584" s="10" t="n">
        <x:v>0</x:v>
      </x:c>
      <x:c r="F3584" s="10" t="n">
        <x:v>0.004096</x:v>
      </x:c>
      <x:c r="G3584" s="10" t="n">
        <x:f>SUM(D3584:F3584)</x:f>
        <x:v>560.004096</x:v>
      </x:c>
    </x:row>
    <x:row r="3585" ht="24" customHeight="1">
      <x:c r="A3585" s="10" t="str">
        <x:v>S06-06</x:v>
      </x:c>
      <x:c r="B3585" s="10" t="str">
        <x:v>B</x:v>
      </x:c>
      <x:c r="C3585" s="18" t="n">
        <x:v>-3.9999999</x:v>
      </x:c>
      <x:c r="D3585" s="10" t="n">
        <x:v>560</x:v>
      </x:c>
      <x:c r="E3585" s="10" t="n">
        <x:v>0</x:v>
      </x:c>
      <x:c r="F3585" s="10" t="n">
        <x:v>0.004096</x:v>
      </x:c>
      <x:c r="G3585" s="10" t="n">
        <x:f>SUM(D3585:F3585)</x:f>
        <x:v>560.004096</x:v>
      </x:c>
    </x:row>
    <x:row r="3586" ht="24" customHeight="1">
      <x:c r="A3586" s="10" t="str">
        <x:v>S06-06</x:v>
      </x:c>
      <x:c r="B3586" s="10" t="str">
        <x:v>B</x:v>
      </x:c>
      <x:c r="C3586" s="18" t="n">
        <x:v>-3.594333433</x:v>
      </x:c>
      <x:c r="D3586" s="10" t="n">
        <x:v>560</x:v>
      </x:c>
      <x:c r="E3586" s="10" t="n">
        <x:v>0</x:v>
      </x:c>
      <x:c r="F3586" s="10" t="n">
        <x:v>0.004096</x:v>
      </x:c>
      <x:c r="G3586" s="10" t="n">
        <x:f>SUM(D3586:F3586)</x:f>
        <x:v>560.004096</x:v>
      </x:c>
    </x:row>
    <x:row r="3587" ht="24" customHeight="1">
      <x:c r="A3587" s="10" t="str">
        <x:v>S06-06</x:v>
      </x:c>
      <x:c r="B3587" s="10" t="str">
        <x:v>B</x:v>
      </x:c>
      <x:c r="C3587" s="18" t="n">
        <x:v>-3.594333333</x:v>
      </x:c>
      <x:c r="D3587" s="10" t="n">
        <x:v>560</x:v>
      </x:c>
      <x:c r="E3587" s="10" t="n">
        <x:v>0.0096</x:v>
      </x:c>
      <x:c r="F3587" s="10" t="n">
        <x:v>0.004096</x:v>
      </x:c>
      <x:c r="G3587" s="10" t="n">
        <x:f>SUM(D3587:F3587)</x:f>
        <x:v>560.013696</x:v>
      </x:c>
    </x:row>
    <x:row r="3588" ht="24" customHeight="1">
      <x:c r="A3588" s="10" t="str">
        <x:v>S06-06</x:v>
      </x:c>
      <x:c r="B3588" s="10" t="str">
        <x:v>B</x:v>
      </x:c>
      <x:c r="C3588" s="18" t="n">
        <x:v>-3.594333233</x:v>
      </x:c>
      <x:c r="D3588" s="10" t="n">
        <x:v>560</x:v>
      </x:c>
      <x:c r="E3588" s="10" t="n">
        <x:v>0.009600019</x:v>
      </x:c>
      <x:c r="F3588" s="10" t="n">
        <x:v>0.004096</x:v>
      </x:c>
      <x:c r="G3588" s="10" t="n">
        <x:f>SUM(D3588:F3588)</x:f>
        <x:v>560.013696019</x:v>
      </x:c>
    </x:row>
    <x:row r="3589" ht="24" customHeight="1">
      <x:c r="A3589" s="10" t="str">
        <x:v>S06-06</x:v>
      </x:c>
      <x:c r="B3589" s="10" t="str">
        <x:v>B</x:v>
      </x:c>
      <x:c r="C3589" s="18" t="n">
        <x:v>-2.9200001</x:v>
      </x:c>
      <x:c r="D3589" s="10" t="n">
        <x:v>560</x:v>
      </x:c>
      <x:c r="E3589" s="10" t="n">
        <x:v>0.139071981</x:v>
      </x:c>
      <x:c r="F3589" s="10" t="n">
        <x:v>0.004096</x:v>
      </x:c>
      <x:c r="G3589" s="10" t="n">
        <x:f>SUM(D3589:F3589)</x:f>
        <x:v>560.143167981</x:v>
      </x:c>
    </x:row>
    <x:row r="3590" ht="24" customHeight="1">
      <x:c r="A3590" s="10" t="str">
        <x:v>S06-06</x:v>
      </x:c>
      <x:c r="B3590" s="10" t="str">
        <x:v>B</x:v>
      </x:c>
      <x:c r="C3590" s="18" t="n">
        <x:v>-2.92</x:v>
      </x:c>
      <x:c r="D3590" s="10" t="n">
        <x:v>560</x:v>
      </x:c>
      <x:c r="E3590" s="10" t="n">
        <x:v>0.139072</x:v>
      </x:c>
      <x:c r="F3590" s="10" t="n">
        <x:v>0.004096</x:v>
      </x:c>
      <x:c r="G3590" s="10" t="n">
        <x:f>SUM(D3590:F3590)</x:f>
        <x:v>560.1431680000001</x:v>
      </x:c>
    </x:row>
    <x:row r="3591" ht="24" customHeight="1">
      <x:c r="A3591" s="10" t="str">
        <x:v>S06-06</x:v>
      </x:c>
      <x:c r="B3591" s="10" t="str">
        <x:v>B</x:v>
      </x:c>
      <x:c r="C3591" s="18" t="n">
        <x:v>-2.9199999</x:v>
      </x:c>
      <x:c r="D3591" s="10" t="n">
        <x:v>560</x:v>
      </x:c>
      <x:c r="E3591" s="10" t="n">
        <x:v>0.139072014</x:v>
      </x:c>
      <x:c r="F3591" s="10" t="n">
        <x:v>0.004096</x:v>
      </x:c>
      <x:c r="G3591" s="10" t="n">
        <x:f>SUM(D3591:F3591)</x:f>
        <x:v>560.143168014</x:v>
      </x:c>
    </x:row>
    <x:row r="3592" ht="24" customHeight="1">
      <x:c r="A3592" s="10" t="str">
        <x:v>S06-06</x:v>
      </x:c>
      <x:c r="B3592" s="10" t="str">
        <x:v>B</x:v>
      </x:c>
      <x:c r="C3592" s="18" t="n">
        <x:v>-1.9200001</x:v>
      </x:c>
      <x:c r="D3592" s="10" t="n">
        <x:v>560</x:v>
      </x:c>
      <x:c r="E3592" s="10" t="n">
        <x:v>0.283071986</x:v>
      </x:c>
      <x:c r="F3592" s="10" t="n">
        <x:v>0.004096</x:v>
      </x:c>
      <x:c r="G3592" s="10" t="n">
        <x:f>SUM(D3592:F3592)</x:f>
        <x:v>560.287167986</x:v>
      </x:c>
    </x:row>
    <x:row r="3593" ht="24" customHeight="1">
      <x:c r="A3593" s="10" t="str">
        <x:v>S06-06</x:v>
      </x:c>
      <x:c r="B3593" s="10" t="str">
        <x:v>B</x:v>
      </x:c>
      <x:c r="C3593" s="18" t="n">
        <x:v>-1.92</x:v>
      </x:c>
      <x:c r="D3593" s="10" t="n">
        <x:v>560</x:v>
      </x:c>
      <x:c r="E3593" s="10" t="n">
        <x:v>0.283072</x:v>
      </x:c>
      <x:c r="F3593" s="10" t="n">
        <x:v>0.004096</x:v>
      </x:c>
      <x:c r="G3593" s="10" t="n">
        <x:f>SUM(D3593:F3593)</x:f>
        <x:v>560.287168</x:v>
      </x:c>
    </x:row>
    <x:row r="3594" ht="24" customHeight="1">
      <x:c r="A3594" s="10" t="str">
        <x:v>S06-06</x:v>
      </x:c>
      <x:c r="B3594" s="10" t="str">
        <x:v>B</x:v>
      </x:c>
      <x:c r="C3594" s="18" t="n">
        <x:v>-1.9199999</x:v>
      </x:c>
      <x:c r="D3594" s="10" t="n">
        <x:v>560</x:v>
      </x:c>
      <x:c r="E3594" s="10" t="n">
        <x:v>0.283072019</x:v>
      </x:c>
      <x:c r="F3594" s="10" t="n">
        <x:v>0.004096</x:v>
      </x:c>
      <x:c r="G3594" s="10" t="n">
        <x:f>SUM(D3594:F3594)</x:f>
        <x:v>560.287168019</x:v>
      </x:c>
    </x:row>
    <x:row r="3595" ht="24" customHeight="1">
      <x:c r="A3595" s="10" t="str">
        <x:v>S06-06</x:v>
      </x:c>
      <x:c r="B3595" s="10" t="str">
        <x:v>B</x:v>
      </x:c>
      <x:c r="C3595" s="18" t="n">
        <x:v>-1.642833433</x:v>
      </x:c>
      <x:c r="D3595" s="10" t="n">
        <x:v>560</x:v>
      </x:c>
      <x:c r="E3595" s="10" t="n">
        <x:v>0.336287981</x:v>
      </x:c>
      <x:c r="F3595" s="10" t="n">
        <x:v>0.004096</x:v>
      </x:c>
      <x:c r="G3595" s="10" t="n">
        <x:f>SUM(D3595:F3595)</x:f>
        <x:v>560.3403839810001</x:v>
      </x:c>
    </x:row>
    <x:row r="3596" ht="24" customHeight="1">
      <x:c r="A3596" s="10" t="str">
        <x:v>S06-06</x:v>
      </x:c>
      <x:c r="B3596" s="10" t="str">
        <x:v>B</x:v>
      </x:c>
      <x:c r="C3596" s="18" t="n">
        <x:v>-1.642833333</x:v>
      </x:c>
      <x:c r="D3596" s="10" t="n">
        <x:v>560</x:v>
      </x:c>
      <x:c r="E3596" s="10" t="n">
        <x:v>0.336288</x:v>
      </x:c>
      <x:c r="F3596" s="10" t="n">
        <x:v>0.004096</x:v>
      </x:c>
      <x:c r="G3596" s="10" t="n">
        <x:f>SUM(D3596:F3596)</x:f>
        <x:v>560.340384</x:v>
      </x:c>
    </x:row>
    <x:row r="3597" ht="24" customHeight="1">
      <x:c r="A3597" s="10" t="str">
        <x:v>S06-06</x:v>
      </x:c>
      <x:c r="B3597" s="10" t="str">
        <x:v>B</x:v>
      </x:c>
      <x:c r="C3597" s="18" t="n">
        <x:v>-1.642833233</x:v>
      </x:c>
      <x:c r="D3597" s="10" t="n">
        <x:v>560</x:v>
      </x:c>
      <x:c r="E3597" s="10" t="n">
        <x:v>0.336288</x:v>
      </x:c>
      <x:c r="F3597" s="10" t="n">
        <x:v>0.004096</x:v>
      </x:c>
      <x:c r="G3597" s="10" t="n">
        <x:f>SUM(D3597:F3597)</x:f>
        <x:v>560.340384</x:v>
      </x:c>
    </x:row>
    <x:row r="3598" ht="24" customHeight="1">
      <x:c r="A3598" s="10" t="str">
        <x:v>S06-06</x:v>
      </x:c>
      <x:c r="B3598" s="10" t="str">
        <x:v>B</x:v>
      </x:c>
      <x:c r="C3598" s="18" t="n">
        <x:v>-1e-7</x:v>
      </x:c>
      <x:c r="D3598" s="10" t="n">
        <x:v>560</x:v>
      </x:c>
      <x:c r="E3598" s="10" t="n">
        <x:v>0.336288</x:v>
      </x:c>
      <x:c r="F3598" s="10" t="n">
        <x:v>0.004096</x:v>
      </x:c>
      <x:c r="G3598" s="10" t="n">
        <x:f>SUM(D3598:F3598)</x:f>
        <x:v>560.340384</x:v>
      </x:c>
    </x:row>
    <x:row r="3599" ht="24" customHeight="1">
      <x:c r="A3599" s="10" t="str">
        <x:v>S06-06</x:v>
      </x:c>
      <x:c r="B3599" s="10" t="str">
        <x:v>B</x:v>
      </x:c>
      <x:c r="C3599" s="18" t="n">
        <x:v>0</x:v>
      </x:c>
      <x:c r="D3599" s="10" t="n">
        <x:v>560</x:v>
      </x:c>
      <x:c r="E3599" s="10" t="n">
        <x:v>0.336288</x:v>
      </x:c>
      <x:c r="F3599" s="10" t="n">
        <x:v>0.004096</x:v>
      </x:c>
      <x:c r="G3599" s="10" t="n">
        <x:f>SUM(D3599:F3599)</x:f>
        <x:v>560.340384</x:v>
      </x:c>
    </x:row>
    <x:row r="3600" ht="24" customHeight="1">
      <x:c r="A3600" s="10" t="str">
        <x:v>S06-06</x:v>
      </x:c>
      <x:c r="B3600" s="10" t="str">
        <x:v>B</x:v>
      </x:c>
      <x:c r="C3600" s="18" t="n">
        <x:v>1e-7</x:v>
      </x:c>
      <x:c r="D3600" s="10" t="n">
        <x:v>560</x:v>
      </x:c>
      <x:c r="E3600" s="10" t="n">
        <x:v>0.336288</x:v>
      </x:c>
      <x:c r="F3600" s="10" t="n">
        <x:v>0.004096</x:v>
      </x:c>
      <x:c r="G3600" s="10" t="n">
        <x:f>SUM(D3600:F3600)</x:f>
        <x:v>560.340384</x:v>
      </x:c>
    </x:row>
    <x:row r="3601" ht="24" customHeight="1">
      <x:c r="A3601" s="10" t="str">
        <x:v>S06-06</x:v>
      </x:c>
      <x:c r="B3601" s="10" t="str">
        <x:v>B</x:v>
      </x:c>
      <x:c r="C3601" s="18" t="n">
        <x:v>0.8599999</x:v>
      </x:c>
      <x:c r="D3601" s="10" t="n">
        <x:v>560</x:v>
      </x:c>
      <x:c r="E3601" s="10" t="n">
        <x:v>0.336288</x:v>
      </x:c>
      <x:c r="F3601" s="10" t="n">
        <x:v>0.004096</x:v>
      </x:c>
      <x:c r="G3601" s="10" t="n">
        <x:f>SUM(D3601:F3601)</x:f>
        <x:v>560.340384</x:v>
      </x:c>
    </x:row>
    <x:row r="3602" ht="24" customHeight="1">
      <x:c r="A3602" s="10" t="str">
        <x:v>S06-06</x:v>
      </x:c>
      <x:c r="B3602" s="10" t="str">
        <x:v>B</x:v>
      </x:c>
      <x:c r="C3602" s="18" t="n">
        <x:v>0.86</x:v>
      </x:c>
      <x:c r="D3602" s="10" t="n">
        <x:v>560</x:v>
      </x:c>
      <x:c r="E3602" s="10" t="n">
        <x:v>0.336288</x:v>
      </x:c>
      <x:c r="F3602" s="10" t="n">
        <x:v>0.004096</x:v>
      </x:c>
      <x:c r="G3602" s="10" t="n">
        <x:f>SUM(D3602:F3602)</x:f>
        <x:v>560.340384</x:v>
      </x:c>
    </x:row>
    <x:row r="3603" ht="24" customHeight="1">
      <x:c r="A3603" s="10" t="str">
        <x:v>S06-06</x:v>
      </x:c>
      <x:c r="B3603" s="10" t="str">
        <x:v>B</x:v>
      </x:c>
      <x:c r="C3603" s="18" t="n">
        <x:v>0.8600001</x:v>
      </x:c>
      <x:c r="D3603" s="10" t="n">
        <x:v>560</x:v>
      </x:c>
      <x:c r="E3603" s="10" t="n">
        <x:v>0.336288</x:v>
      </x:c>
      <x:c r="F3603" s="10" t="n">
        <x:v>0.004096</x:v>
      </x:c>
      <x:c r="G3603" s="10" t="n">
        <x:f>SUM(D3603:F3603)</x:f>
        <x:v>560.340384</x:v>
      </x:c>
    </x:row>
    <x:row r="3604" ht="24" customHeight="1">
      <x:c r="A3604" s="10" t="str">
        <x:v>S06-06</x:v>
      </x:c>
      <x:c r="B3604" s="10" t="str">
        <x:v>B</x:v>
      </x:c>
      <x:c r="C3604" s="18" t="n">
        <x:v>0.8999999</x:v>
      </x:c>
      <x:c r="D3604" s="10" t="n">
        <x:v>560</x:v>
      </x:c>
      <x:c r="E3604" s="10" t="n">
        <x:v>0.336288</x:v>
      </x:c>
      <x:c r="F3604" s="10" t="n">
        <x:v>0.004096</x:v>
      </x:c>
      <x:c r="G3604" s="10" t="n">
        <x:f>SUM(D3604:F3604)</x:f>
        <x:v>560.340384</x:v>
      </x:c>
    </x:row>
    <x:row r="3605" ht="24" customHeight="1">
      <x:c r="A3605" s="10" t="str">
        <x:v>S06-06</x:v>
      </x:c>
      <x:c r="B3605" s="10" t="str">
        <x:v>B</x:v>
      </x:c>
      <x:c r="C3605" s="18" t="n">
        <x:v>0.9</x:v>
      </x:c>
      <x:c r="D3605" s="10" t="n">
        <x:v>560</x:v>
      </x:c>
      <x:c r="E3605" s="10" t="n">
        <x:v>0.336288</x:v>
      </x:c>
      <x:c r="F3605" s="10" t="n">
        <x:v>0.004096</x:v>
      </x:c>
      <x:c r="G3605" s="10" t="n">
        <x:f>SUM(D3605:F3605)</x:f>
        <x:v>560.340384</x:v>
      </x:c>
    </x:row>
    <x:row r="3606" ht="24" customHeight="1">
      <x:c r="A3606" s="10" t="str">
        <x:v>S06-06</x:v>
      </x:c>
      <x:c r="B3606" s="10" t="str">
        <x:v>B</x:v>
      </x:c>
      <x:c r="C3606" s="18" t="n">
        <x:v>0.9000001</x:v>
      </x:c>
      <x:c r="D3606" s="10" t="n">
        <x:v>560</x:v>
      </x:c>
      <x:c r="E3606" s="10" t="n">
        <x:v>0.336287995</x:v>
      </x:c>
      <x:c r="F3606" s="10" t="n">
        <x:v>0.004096</x:v>
      </x:c>
      <x:c r="G3606" s="10" t="n">
        <x:f>SUM(D3606:F3606)</x:f>
        <x:v>560.340383995</x:v>
      </x:c>
    </x:row>
    <x:row r="3607" ht="24" customHeight="1">
      <x:c r="A3607" s="10" t="str">
        <x:v>S06-06</x:v>
      </x:c>
      <x:c r="B3607" s="10" t="str">
        <x:v>B</x:v>
      </x:c>
      <x:c r="C3607" s="18" t="n">
        <x:v>1.4999999</x:v>
      </x:c>
      <x:c r="D3607" s="10" t="n">
        <x:v>560</x:v>
      </x:c>
      <x:c r="E3607" s="10" t="n">
        <x:v>0.307488005</x:v>
      </x:c>
      <x:c r="F3607" s="10" t="n">
        <x:v>0.004096</x:v>
      </x:c>
      <x:c r="G3607" s="10" t="n">
        <x:f>SUM(D3607:F3607)</x:f>
        <x:v>560.311584005</x:v>
      </x:c>
    </x:row>
    <x:row r="3608" ht="24" customHeight="1">
      <x:c r="A3608" s="10" t="str">
        <x:v>S06-06</x:v>
      </x:c>
      <x:c r="B3608" s="10" t="str">
        <x:v>B</x:v>
      </x:c>
      <x:c r="C3608" s="18" t="n">
        <x:v>1.5</x:v>
      </x:c>
      <x:c r="D3608" s="10" t="n">
        <x:v>560</x:v>
      </x:c>
      <x:c r="E3608" s="10" t="n">
        <x:v>0.307488</x:v>
      </x:c>
      <x:c r="F3608" s="10" t="n">
        <x:v>0.004096</x:v>
      </x:c>
      <x:c r="G3608" s="10" t="n">
        <x:f>SUM(D3608:F3608)</x:f>
        <x:v>560.311584</x:v>
      </x:c>
    </x:row>
    <x:row r="3609" ht="24" customHeight="1">
      <x:c r="A3609" s="10" t="str">
        <x:v>S06-06</x:v>
      </x:c>
      <x:c r="B3609" s="10" t="str">
        <x:v>B</x:v>
      </x:c>
      <x:c r="C3609" s="18" t="n">
        <x:v>1.5000001</x:v>
      </x:c>
      <x:c r="D3609" s="10" t="n">
        <x:v>560</x:v>
      </x:c>
      <x:c r="E3609" s="10" t="n">
        <x:v>0.307488</x:v>
      </x:c>
      <x:c r="F3609" s="10" t="n">
        <x:v>0.004096</x:v>
      </x:c>
      <x:c r="G3609" s="10" t="n">
        <x:f>SUM(D3609:F3609)</x:f>
        <x:v>560.311584</x:v>
      </x:c>
    </x:row>
    <x:row r="3610" ht="24" customHeight="1">
      <x:c r="A3610" s="10" t="str">
        <x:v>S06-06</x:v>
      </x:c>
      <x:c r="B3610" s="10" t="str">
        <x:v>B</x:v>
      </x:c>
      <x:c r="C3610" s="18" t="n">
        <x:v>1.7999999</x:v>
      </x:c>
      <x:c r="D3610" s="10" t="n">
        <x:v>560</x:v>
      </x:c>
      <x:c r="E3610" s="10" t="n">
        <x:v>0.307488</x:v>
      </x:c>
      <x:c r="F3610" s="10" t="n">
        <x:v>0.004096</x:v>
      </x:c>
      <x:c r="G3610" s="10" t="n">
        <x:f>SUM(D3610:F3610)</x:f>
        <x:v>560.311584</x:v>
      </x:c>
    </x:row>
    <x:row r="3611" ht="24" customHeight="1">
      <x:c r="A3611" s="10" t="str">
        <x:v>S06-06</x:v>
      </x:c>
      <x:c r="B3611" s="10" t="str">
        <x:v>B</x:v>
      </x:c>
      <x:c r="C3611" s="18" t="n">
        <x:v>1.8</x:v>
      </x:c>
      <x:c r="D3611" s="10" t="n">
        <x:v>560</x:v>
      </x:c>
      <x:c r="E3611" s="10" t="n">
        <x:v>0.307488</x:v>
      </x:c>
      <x:c r="F3611" s="10" t="n">
        <x:v>0.004096</x:v>
      </x:c>
      <x:c r="G3611" s="10" t="n">
        <x:f>SUM(D3611:F3611)</x:f>
        <x:v>560.311584</x:v>
      </x:c>
    </x:row>
    <x:row r="3612" ht="24" customHeight="1">
      <x:c r="A3612" s="10" t="str">
        <x:v>S06-06</x:v>
      </x:c>
      <x:c r="B3612" s="10" t="str">
        <x:v>B</x:v>
      </x:c>
      <x:c r="C3612" s="18" t="n">
        <x:v>1.8000001</x:v>
      </x:c>
      <x:c r="D3612" s="10" t="n">
        <x:v>560</x:v>
      </x:c>
      <x:c r="E3612" s="10" t="n">
        <x:v>0.307487995</x:v>
      </x:c>
      <x:c r="F3612" s="10" t="n">
        <x:v>0.004096</x:v>
      </x:c>
      <x:c r="G3612" s="10" t="n">
        <x:f>SUM(D3612:F3612)</x:f>
        <x:v>560.311583995</x:v>
      </x:c>
    </x:row>
    <x:row r="3613" ht="24" customHeight="1">
      <x:c r="A3613" s="10" t="str">
        <x:v>S06-06</x:v>
      </x:c>
      <x:c r="B3613" s="10" t="str">
        <x:v>B</x:v>
      </x:c>
      <x:c r="C3613" s="18" t="n">
        <x:v>8.205999899</x:v>
      </x:c>
      <x:c r="D3613" s="10" t="n">
        <x:v>560</x:v>
      </x:c>
      <x:c r="E3613" s="10" t="n">
        <x:v>5e-9</x:v>
      </x:c>
      <x:c r="F3613" s="10" t="n">
        <x:v>0.004096</x:v>
      </x:c>
      <x:c r="G3613" s="10" t="n">
        <x:f>SUM(D3613:F3613)</x:f>
        <x:v>560.004096005</x:v>
      </x:c>
    </x:row>
    <x:row r="3614" ht="24" customHeight="1">
      <x:c r="A3614" s="10" t="str">
        <x:v>S06-06</x:v>
      </x:c>
      <x:c r="B3614" s="10" t="str">
        <x:v>B</x:v>
      </x:c>
      <x:c r="C3614" s="18" t="n">
        <x:v>8.205999999</x:v>
      </x:c>
      <x:c r="D3614" s="10" t="n">
        <x:v>560</x:v>
      </x:c>
      <x:c r="E3614" s="10" t="n">
        <x:v>0</x:v>
      </x:c>
      <x:c r="F3614" s="10" t="n">
        <x:v>0.004096</x:v>
      </x:c>
      <x:c r="G3614" s="10" t="n">
        <x:f>SUM(D3614:F3614)</x:f>
        <x:v>560.004096</x:v>
      </x:c>
    </x:row>
    <x:row r="3615" ht="24" customHeight="1">
      <x:c r="A3615" s="10" t="str">
        <x:v>S06-06</x:v>
      </x:c>
      <x:c r="B3615" s="10" t="str">
        <x:v>B</x:v>
      </x:c>
      <x:c r="C3615" s="18" t="n">
        <x:v>8.206000099</x:v>
      </x:c>
      <x:c r="D3615" s="10" t="n">
        <x:v>560</x:v>
      </x:c>
      <x:c r="E3615" s="10" t="n">
        <x:v>0</x:v>
      </x:c>
      <x:c r="F3615" s="10" t="n">
        <x:v>0</x:v>
      </x:c>
      <x:c r="G3615" s="10" t="n">
        <x:f>SUM(D3615:F3615)</x:f>
        <x:v>560</x:v>
      </x:c>
    </x:row>
    <x:row r="3616" ht="24" customHeight="1">
      <x:c r="A3616" s="10" t="str">
        <x:v>S06-07</x:v>
      </x:c>
      <x:c r="B3616" s="10" t="str">
        <x:v>A</x:v>
      </x:c>
      <x:c r="C3616" s="18" t="n">
        <x:v>-6.0000001</x:v>
      </x:c>
      <x:c r="D3616" s="10" t="n">
        <x:v>560</x:v>
      </x:c>
      <x:c r="E3616" s="10" t="n">
        <x:v>0</x:v>
      </x:c>
      <x:c r="F3616" s="10" t="n">
        <x:v>0</x:v>
      </x:c>
      <x:c r="G3616" s="10" t="n">
        <x:f>SUM(D3616:F3616)</x:f>
        <x:v>560</x:v>
      </x:c>
    </x:row>
    <x:row r="3617" ht="24" customHeight="1">
      <x:c r="A3617" s="10" t="str">
        <x:v>S06-07</x:v>
      </x:c>
      <x:c r="B3617" s="10" t="str">
        <x:v>A</x:v>
      </x:c>
      <x:c r="C3617" s="18" t="n">
        <x:v>-6</x:v>
      </x:c>
      <x:c r="D3617" s="10" t="n">
        <x:v>560</x:v>
      </x:c>
      <x:c r="E3617" s="10" t="n">
        <x:v>0</x:v>
      </x:c>
      <x:c r="F3617" s="10" t="n">
        <x:v>0</x:v>
      </x:c>
      <x:c r="G3617" s="10" t="n">
        <x:f>SUM(D3617:F3617)</x:f>
        <x:v>560</x:v>
      </x:c>
    </x:row>
    <x:row r="3618" ht="24" customHeight="1">
      <x:c r="A3618" s="10" t="str">
        <x:v>S06-07</x:v>
      </x:c>
      <x:c r="B3618" s="10" t="str">
        <x:v>A</x:v>
      </x:c>
      <x:c r="C3618" s="18" t="n">
        <x:v>-5.9999999</x:v>
      </x:c>
      <x:c r="D3618" s="10" t="n">
        <x:v>560</x:v>
      </x:c>
      <x:c r="E3618" s="10" t="n">
        <x:v>0</x:v>
      </x:c>
      <x:c r="F3618" s="10" t="n">
        <x:v>0</x:v>
      </x:c>
      <x:c r="G3618" s="10" t="n">
        <x:f>SUM(D3618:F3618)</x:f>
        <x:v>560</x:v>
      </x:c>
    </x:row>
    <x:row r="3619" ht="24" customHeight="1">
      <x:c r="A3619" s="10" t="str">
        <x:v>S06-07</x:v>
      </x:c>
      <x:c r="B3619" s="10" t="str">
        <x:v>A</x:v>
      </x:c>
      <x:c r="C3619" s="18" t="n">
        <x:v>-4.0000001</x:v>
      </x:c>
      <x:c r="D3619" s="10" t="n">
        <x:v>560</x:v>
      </x:c>
      <x:c r="E3619" s="10" t="n">
        <x:v>0</x:v>
      </x:c>
      <x:c r="F3619" s="10" t="n">
        <x:v>0</x:v>
      </x:c>
      <x:c r="G3619" s="10" t="n">
        <x:f>SUM(D3619:F3619)</x:f>
        <x:v>560</x:v>
      </x:c>
    </x:row>
    <x:row r="3620" ht="24" customHeight="1">
      <x:c r="A3620" s="10" t="str">
        <x:v>S06-07</x:v>
      </x:c>
      <x:c r="B3620" s="10" t="str">
        <x:v>A</x:v>
      </x:c>
      <x:c r="C3620" s="18" t="n">
        <x:v>-4</x:v>
      </x:c>
      <x:c r="D3620" s="10" t="n">
        <x:v>560</x:v>
      </x:c>
      <x:c r="E3620" s="10" t="n">
        <x:v>0</x:v>
      </x:c>
      <x:c r="F3620" s="10" t="n">
        <x:v>0.004096</x:v>
      </x:c>
      <x:c r="G3620" s="10" t="n">
        <x:f>SUM(D3620:F3620)</x:f>
        <x:v>560.004096</x:v>
      </x:c>
    </x:row>
    <x:row r="3621" ht="24" customHeight="1">
      <x:c r="A3621" s="10" t="str">
        <x:v>S06-07</x:v>
      </x:c>
      <x:c r="B3621" s="10" t="str">
        <x:v>A</x:v>
      </x:c>
      <x:c r="C3621" s="18" t="n">
        <x:v>-3.9999999</x:v>
      </x:c>
      <x:c r="D3621" s="10" t="n">
        <x:v>560</x:v>
      </x:c>
      <x:c r="E3621" s="10" t="n">
        <x:v>0</x:v>
      </x:c>
      <x:c r="F3621" s="10" t="n">
        <x:v>0.004096</x:v>
      </x:c>
      <x:c r="G3621" s="10" t="n">
        <x:f>SUM(D3621:F3621)</x:f>
        <x:v>560.004096</x:v>
      </x:c>
    </x:row>
    <x:row r="3622" ht="24" customHeight="1">
      <x:c r="A3622" s="10" t="str">
        <x:v>S06-07</x:v>
      </x:c>
      <x:c r="B3622" s="10" t="str">
        <x:v>A</x:v>
      </x:c>
      <x:c r="C3622" s="18" t="n">
        <x:v>-3.594333433</x:v>
      </x:c>
      <x:c r="D3622" s="10" t="n">
        <x:v>560</x:v>
      </x:c>
      <x:c r="E3622" s="10" t="n">
        <x:v>0</x:v>
      </x:c>
      <x:c r="F3622" s="10" t="n">
        <x:v>0.004096</x:v>
      </x:c>
      <x:c r="G3622" s="10" t="n">
        <x:f>SUM(D3622:F3622)</x:f>
        <x:v>560.004096</x:v>
      </x:c>
    </x:row>
    <x:row r="3623" ht="24" customHeight="1">
      <x:c r="A3623" s="10" t="str">
        <x:v>S06-07</x:v>
      </x:c>
      <x:c r="B3623" s="10" t="str">
        <x:v>A</x:v>
      </x:c>
      <x:c r="C3623" s="18" t="n">
        <x:v>-3.594333333</x:v>
      </x:c>
      <x:c r="D3623" s="10" t="n">
        <x:v>560</x:v>
      </x:c>
      <x:c r="E3623" s="10" t="n">
        <x:v>0.0096</x:v>
      </x:c>
      <x:c r="F3623" s="10" t="n">
        <x:v>0.004096</x:v>
      </x:c>
      <x:c r="G3623" s="10" t="n">
        <x:f>SUM(D3623:F3623)</x:f>
        <x:v>560.013696</x:v>
      </x:c>
    </x:row>
    <x:row r="3624" ht="24" customHeight="1">
      <x:c r="A3624" s="10" t="str">
        <x:v>S06-07</x:v>
      </x:c>
      <x:c r="B3624" s="10" t="str">
        <x:v>A</x:v>
      </x:c>
      <x:c r="C3624" s="18" t="n">
        <x:v>-3.594333233</x:v>
      </x:c>
      <x:c r="D3624" s="10" t="n">
        <x:v>560</x:v>
      </x:c>
      <x:c r="E3624" s="10" t="n">
        <x:v>0.009600019</x:v>
      </x:c>
      <x:c r="F3624" s="10" t="n">
        <x:v>0.004096</x:v>
      </x:c>
      <x:c r="G3624" s="10" t="n">
        <x:f>SUM(D3624:F3624)</x:f>
        <x:v>560.013696019</x:v>
      </x:c>
    </x:row>
    <x:row r="3625" ht="24" customHeight="1">
      <x:c r="A3625" s="10" t="str">
        <x:v>S06-07</x:v>
      </x:c>
      <x:c r="B3625" s="10" t="str">
        <x:v>A</x:v>
      </x:c>
      <x:c r="C3625" s="18" t="n">
        <x:v>-2.9200001</x:v>
      </x:c>
      <x:c r="D3625" s="10" t="n">
        <x:v>560</x:v>
      </x:c>
      <x:c r="E3625" s="10" t="n">
        <x:v>0.139071981</x:v>
      </x:c>
      <x:c r="F3625" s="10" t="n">
        <x:v>0.004096</x:v>
      </x:c>
      <x:c r="G3625" s="10" t="n">
        <x:f>SUM(D3625:F3625)</x:f>
        <x:v>560.143167981</x:v>
      </x:c>
    </x:row>
    <x:row r="3626" ht="24" customHeight="1">
      <x:c r="A3626" s="10" t="str">
        <x:v>S06-07</x:v>
      </x:c>
      <x:c r="B3626" s="10" t="str">
        <x:v>A</x:v>
      </x:c>
      <x:c r="C3626" s="18" t="n">
        <x:v>-2.92</x:v>
      </x:c>
      <x:c r="D3626" s="10" t="n">
        <x:v>560</x:v>
      </x:c>
      <x:c r="E3626" s="10" t="n">
        <x:v>0.139072</x:v>
      </x:c>
      <x:c r="F3626" s="10" t="n">
        <x:v>0.004096</x:v>
      </x:c>
      <x:c r="G3626" s="10" t="n">
        <x:f>SUM(D3626:F3626)</x:f>
        <x:v>560.1431680000001</x:v>
      </x:c>
    </x:row>
    <x:row r="3627" ht="24" customHeight="1">
      <x:c r="A3627" s="10" t="str">
        <x:v>S06-07</x:v>
      </x:c>
      <x:c r="B3627" s="10" t="str">
        <x:v>A</x:v>
      </x:c>
      <x:c r="C3627" s="18" t="n">
        <x:v>-2.9199999</x:v>
      </x:c>
      <x:c r="D3627" s="10" t="n">
        <x:v>560</x:v>
      </x:c>
      <x:c r="E3627" s="10" t="n">
        <x:v>0.139072014</x:v>
      </x:c>
      <x:c r="F3627" s="10" t="n">
        <x:v>0.004096</x:v>
      </x:c>
      <x:c r="G3627" s="10" t="n">
        <x:f>SUM(D3627:F3627)</x:f>
        <x:v>560.143168014</x:v>
      </x:c>
    </x:row>
    <x:row r="3628" ht="24" customHeight="1">
      <x:c r="A3628" s="10" t="str">
        <x:v>S06-07</x:v>
      </x:c>
      <x:c r="B3628" s="10" t="str">
        <x:v>A</x:v>
      </x:c>
      <x:c r="C3628" s="18" t="n">
        <x:v>-1.9200001</x:v>
      </x:c>
      <x:c r="D3628" s="10" t="n">
        <x:v>560</x:v>
      </x:c>
      <x:c r="E3628" s="10" t="n">
        <x:v>0.283071986</x:v>
      </x:c>
      <x:c r="F3628" s="10" t="n">
        <x:v>0.004096</x:v>
      </x:c>
      <x:c r="G3628" s="10" t="n">
        <x:f>SUM(D3628:F3628)</x:f>
        <x:v>560.287167986</x:v>
      </x:c>
    </x:row>
    <x:row r="3629" ht="24" customHeight="1">
      <x:c r="A3629" s="10" t="str">
        <x:v>S06-07</x:v>
      </x:c>
      <x:c r="B3629" s="10" t="str">
        <x:v>A</x:v>
      </x:c>
      <x:c r="C3629" s="18" t="n">
        <x:v>-1.92</x:v>
      </x:c>
      <x:c r="D3629" s="10" t="n">
        <x:v>560</x:v>
      </x:c>
      <x:c r="E3629" s="10" t="n">
        <x:v>0.283072</x:v>
      </x:c>
      <x:c r="F3629" s="10" t="n">
        <x:v>0.004096</x:v>
      </x:c>
      <x:c r="G3629" s="10" t="n">
        <x:f>SUM(D3629:F3629)</x:f>
        <x:v>560.287168</x:v>
      </x:c>
    </x:row>
    <x:row r="3630" ht="24" customHeight="1">
      <x:c r="A3630" s="10" t="str">
        <x:v>S06-07</x:v>
      </x:c>
      <x:c r="B3630" s="10" t="str">
        <x:v>A</x:v>
      </x:c>
      <x:c r="C3630" s="18" t="n">
        <x:v>-1.9199999</x:v>
      </x:c>
      <x:c r="D3630" s="10" t="n">
        <x:v>560</x:v>
      </x:c>
      <x:c r="E3630" s="10" t="n">
        <x:v>0.283072019</x:v>
      </x:c>
      <x:c r="F3630" s="10" t="n">
        <x:v>0.004096</x:v>
      </x:c>
      <x:c r="G3630" s="10" t="n">
        <x:f>SUM(D3630:F3630)</x:f>
        <x:v>560.287168019</x:v>
      </x:c>
    </x:row>
    <x:row r="3631" ht="24" customHeight="1">
      <x:c r="A3631" s="10" t="str">
        <x:v>S06-07</x:v>
      </x:c>
      <x:c r="B3631" s="10" t="str">
        <x:v>A</x:v>
      </x:c>
      <x:c r="C3631" s="18" t="n">
        <x:v>-1.639833433</x:v>
      </x:c>
      <x:c r="D3631" s="10" t="n">
        <x:v>560</x:v>
      </x:c>
      <x:c r="E3631" s="10" t="n">
        <x:v>0.336863981</x:v>
      </x:c>
      <x:c r="F3631" s="10" t="n">
        <x:v>0.004096</x:v>
      </x:c>
      <x:c r="G3631" s="10" t="n">
        <x:f>SUM(D3631:F3631)</x:f>
        <x:v>560.340959981</x:v>
      </x:c>
    </x:row>
    <x:row r="3632" ht="24" customHeight="1">
      <x:c r="A3632" s="10" t="str">
        <x:v>S06-07</x:v>
      </x:c>
      <x:c r="B3632" s="10" t="str">
        <x:v>A</x:v>
      </x:c>
      <x:c r="C3632" s="18" t="n">
        <x:v>-1.639833333</x:v>
      </x:c>
      <x:c r="D3632" s="10" t="n">
        <x:v>560</x:v>
      </x:c>
      <x:c r="E3632" s="10" t="n">
        <x:v>0.336864</x:v>
      </x:c>
      <x:c r="F3632" s="10" t="n">
        <x:v>0.004096</x:v>
      </x:c>
      <x:c r="G3632" s="10" t="n">
        <x:f>SUM(D3632:F3632)</x:f>
        <x:v>560.34096</x:v>
      </x:c>
    </x:row>
    <x:row r="3633" ht="24" customHeight="1">
      <x:c r="A3633" s="10" t="str">
        <x:v>S06-07</x:v>
      </x:c>
      <x:c r="B3633" s="10" t="str">
        <x:v>A</x:v>
      </x:c>
      <x:c r="C3633" s="18" t="n">
        <x:v>-1.639833233</x:v>
      </x:c>
      <x:c r="D3633" s="10" t="n">
        <x:v>560</x:v>
      </x:c>
      <x:c r="E3633" s="10" t="n">
        <x:v>0.336864</x:v>
      </x:c>
      <x:c r="F3633" s="10" t="n">
        <x:v>0.004096</x:v>
      </x:c>
      <x:c r="G3633" s="10" t="n">
        <x:f>SUM(D3633:F3633)</x:f>
        <x:v>560.34096</x:v>
      </x:c>
    </x:row>
    <x:row r="3634" ht="24" customHeight="1">
      <x:c r="A3634" s="10" t="str">
        <x:v>S06-07</x:v>
      </x:c>
      <x:c r="B3634" s="10" t="str">
        <x:v>A</x:v>
      </x:c>
      <x:c r="C3634" s="18" t="n">
        <x:v>-1e-7</x:v>
      </x:c>
      <x:c r="D3634" s="10" t="n">
        <x:v>560</x:v>
      </x:c>
      <x:c r="E3634" s="10" t="n">
        <x:v>0.336864</x:v>
      </x:c>
      <x:c r="F3634" s="10" t="n">
        <x:v>0.004096</x:v>
      </x:c>
      <x:c r="G3634" s="10" t="n">
        <x:f>SUM(D3634:F3634)</x:f>
        <x:v>560.34096</x:v>
      </x:c>
    </x:row>
    <x:row r="3635" ht="24" customHeight="1">
      <x:c r="A3635" s="10" t="str">
        <x:v>S06-07</x:v>
      </x:c>
      <x:c r="B3635" s="10" t="str">
        <x:v>A</x:v>
      </x:c>
      <x:c r="C3635" s="18" t="n">
        <x:v>0</x:v>
      </x:c>
      <x:c r="D3635" s="10" t="n">
        <x:v>560</x:v>
      </x:c>
      <x:c r="E3635" s="10" t="n">
        <x:v>0.336864</x:v>
      </x:c>
      <x:c r="F3635" s="10" t="n">
        <x:v>0.004096</x:v>
      </x:c>
      <x:c r="G3635" s="10" t="n">
        <x:f>SUM(D3635:F3635)</x:f>
        <x:v>560.34096</x:v>
      </x:c>
    </x:row>
    <x:row r="3636" ht="24" customHeight="1">
      <x:c r="A3636" s="10" t="str">
        <x:v>S06-07</x:v>
      </x:c>
      <x:c r="B3636" s="10" t="str">
        <x:v>A</x:v>
      </x:c>
      <x:c r="C3636" s="18" t="n">
        <x:v>1e-7</x:v>
      </x:c>
      <x:c r="D3636" s="10" t="n">
        <x:v>560</x:v>
      </x:c>
      <x:c r="E3636" s="10" t="n">
        <x:v>0.336864</x:v>
      </x:c>
      <x:c r="F3636" s="10" t="n">
        <x:v>0.004096</x:v>
      </x:c>
      <x:c r="G3636" s="10" t="n">
        <x:f>SUM(D3636:F3636)</x:f>
        <x:v>560.34096</x:v>
      </x:c>
    </x:row>
    <x:row r="3637" ht="24" customHeight="1">
      <x:c r="A3637" s="10" t="str">
        <x:v>S06-07</x:v>
      </x:c>
      <x:c r="B3637" s="10" t="str">
        <x:v>A</x:v>
      </x:c>
      <x:c r="C3637" s="18" t="n">
        <x:v>0.888333233</x:v>
      </x:c>
      <x:c r="D3637" s="10" t="n">
        <x:v>560</x:v>
      </x:c>
      <x:c r="E3637" s="10" t="n">
        <x:v>0.336864</x:v>
      </x:c>
      <x:c r="F3637" s="10" t="n">
        <x:v>0.004096</x:v>
      </x:c>
      <x:c r="G3637" s="10" t="n">
        <x:f>SUM(D3637:F3637)</x:f>
        <x:v>560.34096</x:v>
      </x:c>
    </x:row>
    <x:row r="3638" ht="24" customHeight="1">
      <x:c r="A3638" s="10" t="str">
        <x:v>S06-07</x:v>
      </x:c>
      <x:c r="B3638" s="10" t="str">
        <x:v>A</x:v>
      </x:c>
      <x:c r="C3638" s="18" t="n">
        <x:v>0.888333333</x:v>
      </x:c>
      <x:c r="D3638" s="10" t="n">
        <x:v>560</x:v>
      </x:c>
      <x:c r="E3638" s="10" t="n">
        <x:v>0.336864</x:v>
      </x:c>
      <x:c r="F3638" s="10" t="n">
        <x:v>0.004096</x:v>
      </x:c>
      <x:c r="G3638" s="10" t="n">
        <x:f>SUM(D3638:F3638)</x:f>
        <x:v>560.34096</x:v>
      </x:c>
    </x:row>
    <x:row r="3639" ht="24" customHeight="1">
      <x:c r="A3639" s="10" t="str">
        <x:v>S06-07</x:v>
      </x:c>
      <x:c r="B3639" s="10" t="str">
        <x:v>A</x:v>
      </x:c>
      <x:c r="C3639" s="18" t="n">
        <x:v>0.888333433</x:v>
      </x:c>
      <x:c r="D3639" s="10" t="n">
        <x:v>560</x:v>
      </x:c>
      <x:c r="E3639" s="10" t="n">
        <x:v>0.336864</x:v>
      </x:c>
      <x:c r="F3639" s="10" t="n">
        <x:v>0.004096</x:v>
      </x:c>
      <x:c r="G3639" s="10" t="n">
        <x:f>SUM(D3639:F3639)</x:f>
        <x:v>560.34096</x:v>
      </x:c>
    </x:row>
    <x:row r="3640" ht="24" customHeight="1">
      <x:c r="A3640" s="10" t="str">
        <x:v>S06-07</x:v>
      </x:c>
      <x:c r="B3640" s="10" t="str">
        <x:v>A</x:v>
      </x:c>
      <x:c r="C3640" s="18" t="n">
        <x:v>0.928333233</x:v>
      </x:c>
      <x:c r="D3640" s="10" t="n">
        <x:v>560</x:v>
      </x:c>
      <x:c r="E3640" s="10" t="n">
        <x:v>0.336864</x:v>
      </x:c>
      <x:c r="F3640" s="10" t="n">
        <x:v>0.004096</x:v>
      </x:c>
      <x:c r="G3640" s="10" t="n">
        <x:f>SUM(D3640:F3640)</x:f>
        <x:v>560.34096</x:v>
      </x:c>
    </x:row>
    <x:row r="3641" ht="24" customHeight="1">
      <x:c r="A3641" s="10" t="str">
        <x:v>S06-07</x:v>
      </x:c>
      <x:c r="B3641" s="10" t="str">
        <x:v>A</x:v>
      </x:c>
      <x:c r="C3641" s="18" t="n">
        <x:v>0.928333333</x:v>
      </x:c>
      <x:c r="D3641" s="10" t="n">
        <x:v>560</x:v>
      </x:c>
      <x:c r="E3641" s="10" t="n">
        <x:v>0.336864</x:v>
      </x:c>
      <x:c r="F3641" s="10" t="n">
        <x:v>0.004096</x:v>
      </x:c>
      <x:c r="G3641" s="10" t="n">
        <x:f>SUM(D3641:F3641)</x:f>
        <x:v>560.34096</x:v>
      </x:c>
    </x:row>
    <x:row r="3642" ht="24" customHeight="1">
      <x:c r="A3642" s="10" t="str">
        <x:v>S06-07</x:v>
      </x:c>
      <x:c r="B3642" s="10" t="str">
        <x:v>A</x:v>
      </x:c>
      <x:c r="C3642" s="18" t="n">
        <x:v>0.928333433</x:v>
      </x:c>
      <x:c r="D3642" s="10" t="n">
        <x:v>560</x:v>
      </x:c>
      <x:c r="E3642" s="10" t="n">
        <x:v>0.336863995</x:v>
      </x:c>
      <x:c r="F3642" s="10" t="n">
        <x:v>0.004096</x:v>
      </x:c>
      <x:c r="G3642" s="10" t="n">
        <x:f>SUM(D3642:F3642)</x:f>
        <x:v>560.340959995</x:v>
      </x:c>
    </x:row>
    <x:row r="3643" ht="24" customHeight="1">
      <x:c r="A3643" s="10" t="str">
        <x:v>S06-07</x:v>
      </x:c>
      <x:c r="B3643" s="10" t="str">
        <x:v>A</x:v>
      </x:c>
      <x:c r="C3643" s="18" t="n">
        <x:v>1.528333233</x:v>
      </x:c>
      <x:c r="D3643" s="10" t="n">
        <x:v>560</x:v>
      </x:c>
      <x:c r="E3643" s="10" t="n">
        <x:v>0.308064005</x:v>
      </x:c>
      <x:c r="F3643" s="10" t="n">
        <x:v>0.004096</x:v>
      </x:c>
      <x:c r="G3643" s="10" t="n">
        <x:f>SUM(D3643:F3643)</x:f>
        <x:v>560.312160005</x:v>
      </x:c>
    </x:row>
    <x:row r="3644" ht="24" customHeight="1">
      <x:c r="A3644" s="10" t="str">
        <x:v>S06-07</x:v>
      </x:c>
      <x:c r="B3644" s="10" t="str">
        <x:v>A</x:v>
      </x:c>
      <x:c r="C3644" s="18" t="n">
        <x:v>1.528333333</x:v>
      </x:c>
      <x:c r="D3644" s="10" t="n">
        <x:v>560</x:v>
      </x:c>
      <x:c r="E3644" s="10" t="n">
        <x:v>0.308064</x:v>
      </x:c>
      <x:c r="F3644" s="10" t="n">
        <x:v>0.004096</x:v>
      </x:c>
      <x:c r="G3644" s="10" t="n">
        <x:f>SUM(D3644:F3644)</x:f>
        <x:v>560.31216</x:v>
      </x:c>
    </x:row>
    <x:row r="3645" ht="24" customHeight="1">
      <x:c r="A3645" s="10" t="str">
        <x:v>S06-07</x:v>
      </x:c>
      <x:c r="B3645" s="10" t="str">
        <x:v>A</x:v>
      </x:c>
      <x:c r="C3645" s="18" t="n">
        <x:v>1.528333433</x:v>
      </x:c>
      <x:c r="D3645" s="10" t="n">
        <x:v>560</x:v>
      </x:c>
      <x:c r="E3645" s="10" t="n">
        <x:v>0.308064</x:v>
      </x:c>
      <x:c r="F3645" s="10" t="n">
        <x:v>0.004096</x:v>
      </x:c>
      <x:c r="G3645" s="10" t="n">
        <x:f>SUM(D3645:F3645)</x:f>
        <x:v>560.31216</x:v>
      </x:c>
    </x:row>
    <x:row r="3646" ht="24" customHeight="1">
      <x:c r="A3646" s="10" t="str">
        <x:v>S06-07</x:v>
      </x:c>
      <x:c r="B3646" s="10" t="str">
        <x:v>A</x:v>
      </x:c>
      <x:c r="C3646" s="18" t="n">
        <x:v>1.828333233</x:v>
      </x:c>
      <x:c r="D3646" s="10" t="n">
        <x:v>560</x:v>
      </x:c>
      <x:c r="E3646" s="10" t="n">
        <x:v>0.308064</x:v>
      </x:c>
      <x:c r="F3646" s="10" t="n">
        <x:v>0.004096</x:v>
      </x:c>
      <x:c r="G3646" s="10" t="n">
        <x:f>SUM(D3646:F3646)</x:f>
        <x:v>560.31216</x:v>
      </x:c>
    </x:row>
    <x:row r="3647" ht="24" customHeight="1">
      <x:c r="A3647" s="10" t="str">
        <x:v>S06-07</x:v>
      </x:c>
      <x:c r="B3647" s="10" t="str">
        <x:v>A</x:v>
      </x:c>
      <x:c r="C3647" s="18" t="n">
        <x:v>1.828333333</x:v>
      </x:c>
      <x:c r="D3647" s="10" t="n">
        <x:v>560</x:v>
      </x:c>
      <x:c r="E3647" s="10" t="n">
        <x:v>0.308064</x:v>
      </x:c>
      <x:c r="F3647" s="10" t="n">
        <x:v>0.004096</x:v>
      </x:c>
      <x:c r="G3647" s="10" t="n">
        <x:f>SUM(D3647:F3647)</x:f>
        <x:v>560.31216</x:v>
      </x:c>
    </x:row>
    <x:row r="3648" ht="24" customHeight="1">
      <x:c r="A3648" s="10" t="str">
        <x:v>S06-07</x:v>
      </x:c>
      <x:c r="B3648" s="10" t="str">
        <x:v>A</x:v>
      </x:c>
      <x:c r="C3648" s="18" t="n">
        <x:v>1.828333433</x:v>
      </x:c>
      <x:c r="D3648" s="10" t="n">
        <x:v>560</x:v>
      </x:c>
      <x:c r="E3648" s="10" t="n">
        <x:v>0.308063995</x:v>
      </x:c>
      <x:c r="F3648" s="10" t="n">
        <x:v>0.004096</x:v>
      </x:c>
      <x:c r="G3648" s="10" t="n">
        <x:f>SUM(D3648:F3648)</x:f>
        <x:v>560.312159995</x:v>
      </x:c>
    </x:row>
    <x:row r="3649" ht="24" customHeight="1">
      <x:c r="A3649" s="10" t="str">
        <x:v>S06-07</x:v>
      </x:c>
      <x:c r="B3649" s="10" t="str">
        <x:v>A</x:v>
      </x:c>
      <x:c r="C3649" s="18" t="n">
        <x:v>8.246333232</x:v>
      </x:c>
      <x:c r="D3649" s="10" t="n">
        <x:v>560</x:v>
      </x:c>
      <x:c r="E3649" s="10" t="n">
        <x:v>5e-9</x:v>
      </x:c>
      <x:c r="F3649" s="10" t="n">
        <x:v>0.004096</x:v>
      </x:c>
      <x:c r="G3649" s="10" t="n">
        <x:f>SUM(D3649:F3649)</x:f>
        <x:v>560.004096005</x:v>
      </x:c>
    </x:row>
    <x:row r="3650" ht="24" customHeight="1">
      <x:c r="A3650" s="10" t="str">
        <x:v>S06-07</x:v>
      </x:c>
      <x:c r="B3650" s="10" t="str">
        <x:v>A</x:v>
      </x:c>
      <x:c r="C3650" s="18" t="n">
        <x:v>8.246333332</x:v>
      </x:c>
      <x:c r="D3650" s="10" t="n">
        <x:v>560</x:v>
      </x:c>
      <x:c r="E3650" s="10" t="n">
        <x:v>0</x:v>
      </x:c>
      <x:c r="F3650" s="10" t="n">
        <x:v>0.004096</x:v>
      </x:c>
      <x:c r="G3650" s="10" t="n">
        <x:f>SUM(D3650:F3650)</x:f>
        <x:v>560.004096</x:v>
      </x:c>
    </x:row>
    <x:row r="3651" ht="24" customHeight="1">
      <x:c r="A3651" s="10" t="str">
        <x:v>S06-07</x:v>
      </x:c>
      <x:c r="B3651" s="10" t="str">
        <x:v>A</x:v>
      </x:c>
      <x:c r="C3651" s="18" t="n">
        <x:v>8.246333432</x:v>
      </x:c>
      <x:c r="D3651" s="10" t="n">
        <x:v>560</x:v>
      </x:c>
      <x:c r="E3651" s="10" t="n">
        <x:v>0</x:v>
      </x:c>
      <x:c r="F3651" s="10" t="n">
        <x:v>0</x:v>
      </x:c>
      <x:c r="G3651" s="10" t="n">
        <x:f>SUM(D3651:F3651)</x:f>
        <x:v>560</x:v>
      </x:c>
    </x:row>
    <x:row r="3652" ht="24" customHeight="1">
      <x:c r="A3652" s="10" t="str">
        <x:v>S06-07</x:v>
      </x:c>
      <x:c r="B3652" s="10" t="str">
        <x:v>B</x:v>
      </x:c>
      <x:c r="C3652" s="18" t="n">
        <x:v>-6.0000001</x:v>
      </x:c>
      <x:c r="D3652" s="10" t="n">
        <x:v>560</x:v>
      </x:c>
      <x:c r="E3652" s="10" t="n">
        <x:v>0</x:v>
      </x:c>
      <x:c r="F3652" s="10" t="n">
        <x:v>0</x:v>
      </x:c>
      <x:c r="G3652" s="10" t="n">
        <x:f>SUM(D3652:F3652)</x:f>
        <x:v>560</x:v>
      </x:c>
    </x:row>
    <x:row r="3653" ht="24" customHeight="1">
      <x:c r="A3653" s="10" t="str">
        <x:v>S06-07</x:v>
      </x:c>
      <x:c r="B3653" s="10" t="str">
        <x:v>B</x:v>
      </x:c>
      <x:c r="C3653" s="18" t="n">
        <x:v>-6</x:v>
      </x:c>
      <x:c r="D3653" s="10" t="n">
        <x:v>560</x:v>
      </x:c>
      <x:c r="E3653" s="10" t="n">
        <x:v>0</x:v>
      </x:c>
      <x:c r="F3653" s="10" t="n">
        <x:v>0</x:v>
      </x:c>
      <x:c r="G3653" s="10" t="n">
        <x:f>SUM(D3653:F3653)</x:f>
        <x:v>560</x:v>
      </x:c>
    </x:row>
    <x:row r="3654" ht="24" customHeight="1">
      <x:c r="A3654" s="10" t="str">
        <x:v>S06-07</x:v>
      </x:c>
      <x:c r="B3654" s="10" t="str">
        <x:v>B</x:v>
      </x:c>
      <x:c r="C3654" s="18" t="n">
        <x:v>-5.9999999</x:v>
      </x:c>
      <x:c r="D3654" s="10" t="n">
        <x:v>560</x:v>
      </x:c>
      <x:c r="E3654" s="10" t="n">
        <x:v>0</x:v>
      </x:c>
      <x:c r="F3654" s="10" t="n">
        <x:v>0</x:v>
      </x:c>
      <x:c r="G3654" s="10" t="n">
        <x:f>SUM(D3654:F3654)</x:f>
        <x:v>560</x:v>
      </x:c>
    </x:row>
    <x:row r="3655" ht="24" customHeight="1">
      <x:c r="A3655" s="10" t="str">
        <x:v>S06-07</x:v>
      </x:c>
      <x:c r="B3655" s="10" t="str">
        <x:v>B</x:v>
      </x:c>
      <x:c r="C3655" s="18" t="n">
        <x:v>-4.0000001</x:v>
      </x:c>
      <x:c r="D3655" s="10" t="n">
        <x:v>560</x:v>
      </x:c>
      <x:c r="E3655" s="10" t="n">
        <x:v>0</x:v>
      </x:c>
      <x:c r="F3655" s="10" t="n">
        <x:v>0</x:v>
      </x:c>
      <x:c r="G3655" s="10" t="n">
        <x:f>SUM(D3655:F3655)</x:f>
        <x:v>560</x:v>
      </x:c>
    </x:row>
    <x:row r="3656" ht="24" customHeight="1">
      <x:c r="A3656" s="10" t="str">
        <x:v>S06-07</x:v>
      </x:c>
      <x:c r="B3656" s="10" t="str">
        <x:v>B</x:v>
      </x:c>
      <x:c r="C3656" s="18" t="n">
        <x:v>-4</x:v>
      </x:c>
      <x:c r="D3656" s="10" t="n">
        <x:v>560</x:v>
      </x:c>
      <x:c r="E3656" s="10" t="n">
        <x:v>0</x:v>
      </x:c>
      <x:c r="F3656" s="10" t="n">
        <x:v>0.004096</x:v>
      </x:c>
      <x:c r="G3656" s="10" t="n">
        <x:f>SUM(D3656:F3656)</x:f>
        <x:v>560.004096</x:v>
      </x:c>
    </x:row>
    <x:row r="3657" ht="24" customHeight="1">
      <x:c r="A3657" s="10" t="str">
        <x:v>S06-07</x:v>
      </x:c>
      <x:c r="B3657" s="10" t="str">
        <x:v>B</x:v>
      </x:c>
      <x:c r="C3657" s="18" t="n">
        <x:v>-3.9999999</x:v>
      </x:c>
      <x:c r="D3657" s="10" t="n">
        <x:v>560</x:v>
      </x:c>
      <x:c r="E3657" s="10" t="n">
        <x:v>0</x:v>
      </x:c>
      <x:c r="F3657" s="10" t="n">
        <x:v>0.004096</x:v>
      </x:c>
      <x:c r="G3657" s="10" t="n">
        <x:f>SUM(D3657:F3657)</x:f>
        <x:v>560.004096</x:v>
      </x:c>
    </x:row>
    <x:row r="3658" ht="24" customHeight="1">
      <x:c r="A3658" s="10" t="str">
        <x:v>S06-07</x:v>
      </x:c>
      <x:c r="B3658" s="10" t="str">
        <x:v>B</x:v>
      </x:c>
      <x:c r="C3658" s="18" t="n">
        <x:v>-3.594333433</x:v>
      </x:c>
      <x:c r="D3658" s="10" t="n">
        <x:v>560</x:v>
      </x:c>
      <x:c r="E3658" s="10" t="n">
        <x:v>0</x:v>
      </x:c>
      <x:c r="F3658" s="10" t="n">
        <x:v>0.004096</x:v>
      </x:c>
      <x:c r="G3658" s="10" t="n">
        <x:f>SUM(D3658:F3658)</x:f>
        <x:v>560.004096</x:v>
      </x:c>
    </x:row>
    <x:row r="3659" ht="24" customHeight="1">
      <x:c r="A3659" s="10" t="str">
        <x:v>S06-07</x:v>
      </x:c>
      <x:c r="B3659" s="10" t="str">
        <x:v>B</x:v>
      </x:c>
      <x:c r="C3659" s="18" t="n">
        <x:v>-3.594333333</x:v>
      </x:c>
      <x:c r="D3659" s="10" t="n">
        <x:v>560</x:v>
      </x:c>
      <x:c r="E3659" s="10" t="n">
        <x:v>0.0096</x:v>
      </x:c>
      <x:c r="F3659" s="10" t="n">
        <x:v>0.004096</x:v>
      </x:c>
      <x:c r="G3659" s="10" t="n">
        <x:f>SUM(D3659:F3659)</x:f>
        <x:v>560.013696</x:v>
      </x:c>
    </x:row>
    <x:row r="3660" ht="24" customHeight="1">
      <x:c r="A3660" s="10" t="str">
        <x:v>S06-07</x:v>
      </x:c>
      <x:c r="B3660" s="10" t="str">
        <x:v>B</x:v>
      </x:c>
      <x:c r="C3660" s="18" t="n">
        <x:v>-3.594333233</x:v>
      </x:c>
      <x:c r="D3660" s="10" t="n">
        <x:v>560</x:v>
      </x:c>
      <x:c r="E3660" s="10" t="n">
        <x:v>0.009600019</x:v>
      </x:c>
      <x:c r="F3660" s="10" t="n">
        <x:v>0.004096</x:v>
      </x:c>
      <x:c r="G3660" s="10" t="n">
        <x:f>SUM(D3660:F3660)</x:f>
        <x:v>560.013696019</x:v>
      </x:c>
    </x:row>
    <x:row r="3661" ht="24" customHeight="1">
      <x:c r="A3661" s="10" t="str">
        <x:v>S06-07</x:v>
      </x:c>
      <x:c r="B3661" s="10" t="str">
        <x:v>B</x:v>
      </x:c>
      <x:c r="C3661" s="18" t="n">
        <x:v>-2.9200001</x:v>
      </x:c>
      <x:c r="D3661" s="10" t="n">
        <x:v>560</x:v>
      </x:c>
      <x:c r="E3661" s="10" t="n">
        <x:v>0.139071981</x:v>
      </x:c>
      <x:c r="F3661" s="10" t="n">
        <x:v>0.004096</x:v>
      </x:c>
      <x:c r="G3661" s="10" t="n">
        <x:f>SUM(D3661:F3661)</x:f>
        <x:v>560.143167981</x:v>
      </x:c>
    </x:row>
    <x:row r="3662" ht="24" customHeight="1">
      <x:c r="A3662" s="10" t="str">
        <x:v>S06-07</x:v>
      </x:c>
      <x:c r="B3662" s="10" t="str">
        <x:v>B</x:v>
      </x:c>
      <x:c r="C3662" s="18" t="n">
        <x:v>-2.92</x:v>
      </x:c>
      <x:c r="D3662" s="10" t="n">
        <x:v>560</x:v>
      </x:c>
      <x:c r="E3662" s="10" t="n">
        <x:v>0.139072</x:v>
      </x:c>
      <x:c r="F3662" s="10" t="n">
        <x:v>0.004096</x:v>
      </x:c>
      <x:c r="G3662" s="10" t="n">
        <x:f>SUM(D3662:F3662)</x:f>
        <x:v>560.1431680000001</x:v>
      </x:c>
    </x:row>
    <x:row r="3663" ht="24" customHeight="1">
      <x:c r="A3663" s="10" t="str">
        <x:v>S06-07</x:v>
      </x:c>
      <x:c r="B3663" s="10" t="str">
        <x:v>B</x:v>
      </x:c>
      <x:c r="C3663" s="18" t="n">
        <x:v>-2.9199999</x:v>
      </x:c>
      <x:c r="D3663" s="10" t="n">
        <x:v>560</x:v>
      </x:c>
      <x:c r="E3663" s="10" t="n">
        <x:v>0.139072014</x:v>
      </x:c>
      <x:c r="F3663" s="10" t="n">
        <x:v>0.004096</x:v>
      </x:c>
      <x:c r="G3663" s="10" t="n">
        <x:f>SUM(D3663:F3663)</x:f>
        <x:v>560.143168014</x:v>
      </x:c>
    </x:row>
    <x:row r="3664" ht="24" customHeight="1">
      <x:c r="A3664" s="10" t="str">
        <x:v>S06-07</x:v>
      </x:c>
      <x:c r="B3664" s="10" t="str">
        <x:v>B</x:v>
      </x:c>
      <x:c r="C3664" s="18" t="n">
        <x:v>-1.9200001</x:v>
      </x:c>
      <x:c r="D3664" s="10" t="n">
        <x:v>560</x:v>
      </x:c>
      <x:c r="E3664" s="10" t="n">
        <x:v>0.283071986</x:v>
      </x:c>
      <x:c r="F3664" s="10" t="n">
        <x:v>0.004096</x:v>
      </x:c>
      <x:c r="G3664" s="10" t="n">
        <x:f>SUM(D3664:F3664)</x:f>
        <x:v>560.287167986</x:v>
      </x:c>
    </x:row>
    <x:row r="3665" ht="24" customHeight="1">
      <x:c r="A3665" s="10" t="str">
        <x:v>S06-07</x:v>
      </x:c>
      <x:c r="B3665" s="10" t="str">
        <x:v>B</x:v>
      </x:c>
      <x:c r="C3665" s="18" t="n">
        <x:v>-1.92</x:v>
      </x:c>
      <x:c r="D3665" s="10" t="n">
        <x:v>560</x:v>
      </x:c>
      <x:c r="E3665" s="10" t="n">
        <x:v>0.283072</x:v>
      </x:c>
      <x:c r="F3665" s="10" t="n">
        <x:v>0.004096</x:v>
      </x:c>
      <x:c r="G3665" s="10" t="n">
        <x:f>SUM(D3665:F3665)</x:f>
        <x:v>560.287168</x:v>
      </x:c>
    </x:row>
    <x:row r="3666" ht="24" customHeight="1">
      <x:c r="A3666" s="10" t="str">
        <x:v>S06-07</x:v>
      </x:c>
      <x:c r="B3666" s="10" t="str">
        <x:v>B</x:v>
      </x:c>
      <x:c r="C3666" s="18" t="n">
        <x:v>-1.9199999</x:v>
      </x:c>
      <x:c r="D3666" s="10" t="n">
        <x:v>560</x:v>
      </x:c>
      <x:c r="E3666" s="10" t="n">
        <x:v>0.283072019</x:v>
      </x:c>
      <x:c r="F3666" s="10" t="n">
        <x:v>0.004096</x:v>
      </x:c>
      <x:c r="G3666" s="10" t="n">
        <x:f>SUM(D3666:F3666)</x:f>
        <x:v>560.287168019</x:v>
      </x:c>
    </x:row>
    <x:row r="3667" ht="24" customHeight="1">
      <x:c r="A3667" s="10" t="str">
        <x:v>S06-07</x:v>
      </x:c>
      <x:c r="B3667" s="10" t="str">
        <x:v>B</x:v>
      </x:c>
      <x:c r="C3667" s="18" t="n">
        <x:v>-1.639833433</x:v>
      </x:c>
      <x:c r="D3667" s="10" t="n">
        <x:v>560</x:v>
      </x:c>
      <x:c r="E3667" s="10" t="n">
        <x:v>0.336863981</x:v>
      </x:c>
      <x:c r="F3667" s="10" t="n">
        <x:v>0.004096</x:v>
      </x:c>
      <x:c r="G3667" s="10" t="n">
        <x:f>SUM(D3667:F3667)</x:f>
        <x:v>560.340959981</x:v>
      </x:c>
    </x:row>
    <x:row r="3668" ht="24" customHeight="1">
      <x:c r="A3668" s="10" t="str">
        <x:v>S06-07</x:v>
      </x:c>
      <x:c r="B3668" s="10" t="str">
        <x:v>B</x:v>
      </x:c>
      <x:c r="C3668" s="18" t="n">
        <x:v>-1.639833333</x:v>
      </x:c>
      <x:c r="D3668" s="10" t="n">
        <x:v>560</x:v>
      </x:c>
      <x:c r="E3668" s="10" t="n">
        <x:v>0.336864</x:v>
      </x:c>
      <x:c r="F3668" s="10" t="n">
        <x:v>0.004096</x:v>
      </x:c>
      <x:c r="G3668" s="10" t="n">
        <x:f>SUM(D3668:F3668)</x:f>
        <x:v>560.34096</x:v>
      </x:c>
    </x:row>
    <x:row r="3669" ht="24" customHeight="1">
      <x:c r="A3669" s="10" t="str">
        <x:v>S06-07</x:v>
      </x:c>
      <x:c r="B3669" s="10" t="str">
        <x:v>B</x:v>
      </x:c>
      <x:c r="C3669" s="18" t="n">
        <x:v>-1.639833233</x:v>
      </x:c>
      <x:c r="D3669" s="10" t="n">
        <x:v>560</x:v>
      </x:c>
      <x:c r="E3669" s="10" t="n">
        <x:v>0.336864</x:v>
      </x:c>
      <x:c r="F3669" s="10" t="n">
        <x:v>0.004096</x:v>
      </x:c>
      <x:c r="G3669" s="10" t="n">
        <x:f>SUM(D3669:F3669)</x:f>
        <x:v>560.34096</x:v>
      </x:c>
    </x:row>
    <x:row r="3670" ht="24" customHeight="1">
      <x:c r="A3670" s="10" t="str">
        <x:v>S06-07</x:v>
      </x:c>
      <x:c r="B3670" s="10" t="str">
        <x:v>B</x:v>
      </x:c>
      <x:c r="C3670" s="18" t="n">
        <x:v>-1e-7</x:v>
      </x:c>
      <x:c r="D3670" s="10" t="n">
        <x:v>560</x:v>
      </x:c>
      <x:c r="E3670" s="10" t="n">
        <x:v>0.336864</x:v>
      </x:c>
      <x:c r="F3670" s="10" t="n">
        <x:v>0.004096</x:v>
      </x:c>
      <x:c r="G3670" s="10" t="n">
        <x:f>SUM(D3670:F3670)</x:f>
        <x:v>560.34096</x:v>
      </x:c>
    </x:row>
    <x:row r="3671" ht="24" customHeight="1">
      <x:c r="A3671" s="10" t="str">
        <x:v>S06-07</x:v>
      </x:c>
      <x:c r="B3671" s="10" t="str">
        <x:v>B</x:v>
      </x:c>
      <x:c r="C3671" s="18" t="n">
        <x:v>0</x:v>
      </x:c>
      <x:c r="D3671" s="10" t="n">
        <x:v>560</x:v>
      </x:c>
      <x:c r="E3671" s="10" t="n">
        <x:v>0.336864</x:v>
      </x:c>
      <x:c r="F3671" s="10" t="n">
        <x:v>0.004096</x:v>
      </x:c>
      <x:c r="G3671" s="10" t="n">
        <x:f>SUM(D3671:F3671)</x:f>
        <x:v>560.34096</x:v>
      </x:c>
    </x:row>
    <x:row r="3672" ht="24" customHeight="1">
      <x:c r="A3672" s="10" t="str">
        <x:v>S06-07</x:v>
      </x:c>
      <x:c r="B3672" s="10" t="str">
        <x:v>B</x:v>
      </x:c>
      <x:c r="C3672" s="18" t="n">
        <x:v>1e-7</x:v>
      </x:c>
      <x:c r="D3672" s="10" t="n">
        <x:v>560</x:v>
      </x:c>
      <x:c r="E3672" s="10" t="n">
        <x:v>0.336864</x:v>
      </x:c>
      <x:c r="F3672" s="10" t="n">
        <x:v>0.004096</x:v>
      </x:c>
      <x:c r="G3672" s="10" t="n">
        <x:f>SUM(D3672:F3672)</x:f>
        <x:v>560.34096</x:v>
      </x:c>
    </x:row>
    <x:row r="3673" ht="24" customHeight="1">
      <x:c r="A3673" s="10" t="str">
        <x:v>S06-07</x:v>
      </x:c>
      <x:c r="B3673" s="10" t="str">
        <x:v>B</x:v>
      </x:c>
      <x:c r="C3673" s="18" t="n">
        <x:v>0.888333233</x:v>
      </x:c>
      <x:c r="D3673" s="10" t="n">
        <x:v>560</x:v>
      </x:c>
      <x:c r="E3673" s="10" t="n">
        <x:v>0.336864</x:v>
      </x:c>
      <x:c r="F3673" s="10" t="n">
        <x:v>0.004096</x:v>
      </x:c>
      <x:c r="G3673" s="10" t="n">
        <x:f>SUM(D3673:F3673)</x:f>
        <x:v>560.34096</x:v>
      </x:c>
    </x:row>
    <x:row r="3674" ht="24" customHeight="1">
      <x:c r="A3674" s="10" t="str">
        <x:v>S06-07</x:v>
      </x:c>
      <x:c r="B3674" s="10" t="str">
        <x:v>B</x:v>
      </x:c>
      <x:c r="C3674" s="18" t="n">
        <x:v>0.888333333</x:v>
      </x:c>
      <x:c r="D3674" s="10" t="n">
        <x:v>560</x:v>
      </x:c>
      <x:c r="E3674" s="10" t="n">
        <x:v>0.336864</x:v>
      </x:c>
      <x:c r="F3674" s="10" t="n">
        <x:v>0.004096</x:v>
      </x:c>
      <x:c r="G3674" s="10" t="n">
        <x:f>SUM(D3674:F3674)</x:f>
        <x:v>560.34096</x:v>
      </x:c>
    </x:row>
    <x:row r="3675" ht="24" customHeight="1">
      <x:c r="A3675" s="10" t="str">
        <x:v>S06-07</x:v>
      </x:c>
      <x:c r="B3675" s="10" t="str">
        <x:v>B</x:v>
      </x:c>
      <x:c r="C3675" s="18" t="n">
        <x:v>0.888333433</x:v>
      </x:c>
      <x:c r="D3675" s="10" t="n">
        <x:v>560</x:v>
      </x:c>
      <x:c r="E3675" s="10" t="n">
        <x:v>0.336864</x:v>
      </x:c>
      <x:c r="F3675" s="10" t="n">
        <x:v>0.004096</x:v>
      </x:c>
      <x:c r="G3675" s="10" t="n">
        <x:f>SUM(D3675:F3675)</x:f>
        <x:v>560.34096</x:v>
      </x:c>
    </x:row>
    <x:row r="3676" ht="24" customHeight="1">
      <x:c r="A3676" s="10" t="str">
        <x:v>S06-07</x:v>
      </x:c>
      <x:c r="B3676" s="10" t="str">
        <x:v>B</x:v>
      </x:c>
      <x:c r="C3676" s="18" t="n">
        <x:v>0.928333233</x:v>
      </x:c>
      <x:c r="D3676" s="10" t="n">
        <x:v>560</x:v>
      </x:c>
      <x:c r="E3676" s="10" t="n">
        <x:v>0.336864</x:v>
      </x:c>
      <x:c r="F3676" s="10" t="n">
        <x:v>0.004096</x:v>
      </x:c>
      <x:c r="G3676" s="10" t="n">
        <x:f>SUM(D3676:F3676)</x:f>
        <x:v>560.34096</x:v>
      </x:c>
    </x:row>
    <x:row r="3677" ht="24" customHeight="1">
      <x:c r="A3677" s="10" t="str">
        <x:v>S06-07</x:v>
      </x:c>
      <x:c r="B3677" s="10" t="str">
        <x:v>B</x:v>
      </x:c>
      <x:c r="C3677" s="18" t="n">
        <x:v>0.928333333</x:v>
      </x:c>
      <x:c r="D3677" s="10" t="n">
        <x:v>560</x:v>
      </x:c>
      <x:c r="E3677" s="10" t="n">
        <x:v>0.336864</x:v>
      </x:c>
      <x:c r="F3677" s="10" t="n">
        <x:v>0.004096</x:v>
      </x:c>
      <x:c r="G3677" s="10" t="n">
        <x:f>SUM(D3677:F3677)</x:f>
        <x:v>560.34096</x:v>
      </x:c>
    </x:row>
    <x:row r="3678" ht="24" customHeight="1">
      <x:c r="A3678" s="10" t="str">
        <x:v>S06-07</x:v>
      </x:c>
      <x:c r="B3678" s="10" t="str">
        <x:v>B</x:v>
      </x:c>
      <x:c r="C3678" s="18" t="n">
        <x:v>0.928333433</x:v>
      </x:c>
      <x:c r="D3678" s="10" t="n">
        <x:v>560</x:v>
      </x:c>
      <x:c r="E3678" s="10" t="n">
        <x:v>0.336863995</x:v>
      </x:c>
      <x:c r="F3678" s="10" t="n">
        <x:v>0.004096</x:v>
      </x:c>
      <x:c r="G3678" s="10" t="n">
        <x:f>SUM(D3678:F3678)</x:f>
        <x:v>560.340959995</x:v>
      </x:c>
    </x:row>
    <x:row r="3679" ht="24" customHeight="1">
      <x:c r="A3679" s="10" t="str">
        <x:v>S06-07</x:v>
      </x:c>
      <x:c r="B3679" s="10" t="str">
        <x:v>B</x:v>
      </x:c>
      <x:c r="C3679" s="18" t="n">
        <x:v>1.528333233</x:v>
      </x:c>
      <x:c r="D3679" s="10" t="n">
        <x:v>560</x:v>
      </x:c>
      <x:c r="E3679" s="10" t="n">
        <x:v>0.308064005</x:v>
      </x:c>
      <x:c r="F3679" s="10" t="n">
        <x:v>0.004096</x:v>
      </x:c>
      <x:c r="G3679" s="10" t="n">
        <x:f>SUM(D3679:F3679)</x:f>
        <x:v>560.312160005</x:v>
      </x:c>
    </x:row>
    <x:row r="3680" ht="24" customHeight="1">
      <x:c r="A3680" s="10" t="str">
        <x:v>S06-07</x:v>
      </x:c>
      <x:c r="B3680" s="10" t="str">
        <x:v>B</x:v>
      </x:c>
      <x:c r="C3680" s="18" t="n">
        <x:v>1.528333333</x:v>
      </x:c>
      <x:c r="D3680" s="10" t="n">
        <x:v>560</x:v>
      </x:c>
      <x:c r="E3680" s="10" t="n">
        <x:v>0.308064</x:v>
      </x:c>
      <x:c r="F3680" s="10" t="n">
        <x:v>0.004096</x:v>
      </x:c>
      <x:c r="G3680" s="10" t="n">
        <x:f>SUM(D3680:F3680)</x:f>
        <x:v>560.31216</x:v>
      </x:c>
    </x:row>
    <x:row r="3681" ht="24" customHeight="1">
      <x:c r="A3681" s="10" t="str">
        <x:v>S06-07</x:v>
      </x:c>
      <x:c r="B3681" s="10" t="str">
        <x:v>B</x:v>
      </x:c>
      <x:c r="C3681" s="18" t="n">
        <x:v>1.528333433</x:v>
      </x:c>
      <x:c r="D3681" s="10" t="n">
        <x:v>560</x:v>
      </x:c>
      <x:c r="E3681" s="10" t="n">
        <x:v>0.308064</x:v>
      </x:c>
      <x:c r="F3681" s="10" t="n">
        <x:v>0.004096</x:v>
      </x:c>
      <x:c r="G3681" s="10" t="n">
        <x:f>SUM(D3681:F3681)</x:f>
        <x:v>560.31216</x:v>
      </x:c>
    </x:row>
    <x:row r="3682" ht="24" customHeight="1">
      <x:c r="A3682" s="10" t="str">
        <x:v>S06-07</x:v>
      </x:c>
      <x:c r="B3682" s="10" t="str">
        <x:v>B</x:v>
      </x:c>
      <x:c r="C3682" s="18" t="n">
        <x:v>1.828333233</x:v>
      </x:c>
      <x:c r="D3682" s="10" t="n">
        <x:v>560</x:v>
      </x:c>
      <x:c r="E3682" s="10" t="n">
        <x:v>0.308064</x:v>
      </x:c>
      <x:c r="F3682" s="10" t="n">
        <x:v>0.004096</x:v>
      </x:c>
      <x:c r="G3682" s="10" t="n">
        <x:f>SUM(D3682:F3682)</x:f>
        <x:v>560.31216</x:v>
      </x:c>
    </x:row>
    <x:row r="3683" ht="24" customHeight="1">
      <x:c r="A3683" s="10" t="str">
        <x:v>S06-07</x:v>
      </x:c>
      <x:c r="B3683" s="10" t="str">
        <x:v>B</x:v>
      </x:c>
      <x:c r="C3683" s="18" t="n">
        <x:v>1.828333333</x:v>
      </x:c>
      <x:c r="D3683" s="10" t="n">
        <x:v>560</x:v>
      </x:c>
      <x:c r="E3683" s="10" t="n">
        <x:v>0.308064</x:v>
      </x:c>
      <x:c r="F3683" s="10" t="n">
        <x:v>0.004096</x:v>
      </x:c>
      <x:c r="G3683" s="10" t="n">
        <x:f>SUM(D3683:F3683)</x:f>
        <x:v>560.31216</x:v>
      </x:c>
    </x:row>
    <x:row r="3684" ht="24" customHeight="1">
      <x:c r="A3684" s="10" t="str">
        <x:v>S06-07</x:v>
      </x:c>
      <x:c r="B3684" s="10" t="str">
        <x:v>B</x:v>
      </x:c>
      <x:c r="C3684" s="18" t="n">
        <x:v>1.828333433</x:v>
      </x:c>
      <x:c r="D3684" s="10" t="n">
        <x:v>560</x:v>
      </x:c>
      <x:c r="E3684" s="10" t="n">
        <x:v>0.308063995</x:v>
      </x:c>
      <x:c r="F3684" s="10" t="n">
        <x:v>0.004096</x:v>
      </x:c>
      <x:c r="G3684" s="10" t="n">
        <x:f>SUM(D3684:F3684)</x:f>
        <x:v>560.312159995</x:v>
      </x:c>
    </x:row>
    <x:row r="3685" ht="24" customHeight="1">
      <x:c r="A3685" s="10" t="str">
        <x:v>S06-07</x:v>
      </x:c>
      <x:c r="B3685" s="10" t="str">
        <x:v>B</x:v>
      </x:c>
      <x:c r="C3685" s="18" t="n">
        <x:v>8.246333232</x:v>
      </x:c>
      <x:c r="D3685" s="10" t="n">
        <x:v>560</x:v>
      </x:c>
      <x:c r="E3685" s="10" t="n">
        <x:v>5e-9</x:v>
      </x:c>
      <x:c r="F3685" s="10" t="n">
        <x:v>0.004096</x:v>
      </x:c>
      <x:c r="G3685" s="10" t="n">
        <x:f>SUM(D3685:F3685)</x:f>
        <x:v>560.004096005</x:v>
      </x:c>
    </x:row>
    <x:row r="3686" ht="24" customHeight="1">
      <x:c r="A3686" s="10" t="str">
        <x:v>S06-07</x:v>
      </x:c>
      <x:c r="B3686" s="10" t="str">
        <x:v>B</x:v>
      </x:c>
      <x:c r="C3686" s="18" t="n">
        <x:v>8.246333332</x:v>
      </x:c>
      <x:c r="D3686" s="10" t="n">
        <x:v>560</x:v>
      </x:c>
      <x:c r="E3686" s="10" t="n">
        <x:v>0</x:v>
      </x:c>
      <x:c r="F3686" s="10" t="n">
        <x:v>0.004096</x:v>
      </x:c>
      <x:c r="G3686" s="10" t="n">
        <x:f>SUM(D3686:F3686)</x:f>
        <x:v>560.004096</x:v>
      </x:c>
    </x:row>
    <x:row r="3687" ht="24" customHeight="1">
      <x:c r="A3687" s="10" t="str">
        <x:v>S06-07</x:v>
      </x:c>
      <x:c r="B3687" s="10" t="str">
        <x:v>B</x:v>
      </x:c>
      <x:c r="C3687" s="18" t="n">
        <x:v>8.246333432</x:v>
      </x:c>
      <x:c r="D3687" s="10" t="n">
        <x:v>560</x:v>
      </x:c>
      <x:c r="E3687" s="10" t="n">
        <x:v>0</x:v>
      </x:c>
      <x:c r="F3687" s="10" t="n">
        <x:v>0</x:v>
      </x:c>
      <x:c r="G3687" s="10" t="n">
        <x:f>SUM(D3687:F3687)</x:f>
        <x:v>560</x:v>
      </x:c>
    </x:row>
    <x:row r="3688" ht="24" customHeight="1">
      <x:c r="A3688" s="10" t="str">
        <x:v>S06-08</x:v>
      </x:c>
      <x:c r="B3688" s="10" t="str">
        <x:v>A</x:v>
      </x:c>
      <x:c r="C3688" s="18" t="n">
        <x:v>-6.0000001</x:v>
      </x:c>
      <x:c r="D3688" s="10" t="n">
        <x:v>560</x:v>
      </x:c>
      <x:c r="E3688" s="10" t="n">
        <x:v>0</x:v>
      </x:c>
      <x:c r="F3688" s="10" t="n">
        <x:v>0</x:v>
      </x:c>
      <x:c r="G3688" s="10" t="n">
        <x:f>SUM(D3688:F3688)</x:f>
        <x:v>560</x:v>
      </x:c>
    </x:row>
    <x:row r="3689" ht="24" customHeight="1">
      <x:c r="A3689" s="10" t="str">
        <x:v>S06-08</x:v>
      </x:c>
      <x:c r="B3689" s="10" t="str">
        <x:v>A</x:v>
      </x:c>
      <x:c r="C3689" s="18" t="n">
        <x:v>-6</x:v>
      </x:c>
      <x:c r="D3689" s="10" t="n">
        <x:v>560</x:v>
      </x:c>
      <x:c r="E3689" s="10" t="n">
        <x:v>0</x:v>
      </x:c>
      <x:c r="F3689" s="10" t="n">
        <x:v>0</x:v>
      </x:c>
      <x:c r="G3689" s="10" t="n">
        <x:f>SUM(D3689:F3689)</x:f>
        <x:v>560</x:v>
      </x:c>
    </x:row>
    <x:row r="3690" ht="24" customHeight="1">
      <x:c r="A3690" s="10" t="str">
        <x:v>S06-08</x:v>
      </x:c>
      <x:c r="B3690" s="10" t="str">
        <x:v>A</x:v>
      </x:c>
      <x:c r="C3690" s="18" t="n">
        <x:v>-5.9999999</x:v>
      </x:c>
      <x:c r="D3690" s="10" t="n">
        <x:v>560</x:v>
      </x:c>
      <x:c r="E3690" s="10" t="n">
        <x:v>0</x:v>
      </x:c>
      <x:c r="F3690" s="10" t="n">
        <x:v>0</x:v>
      </x:c>
      <x:c r="G3690" s="10" t="n">
        <x:f>SUM(D3690:F3690)</x:f>
        <x:v>560</x:v>
      </x:c>
    </x:row>
    <x:row r="3691" ht="24" customHeight="1">
      <x:c r="A3691" s="10" t="str">
        <x:v>S06-08</x:v>
      </x:c>
      <x:c r="B3691" s="10" t="str">
        <x:v>A</x:v>
      </x:c>
      <x:c r="C3691" s="18" t="n">
        <x:v>-4.0000001</x:v>
      </x:c>
      <x:c r="D3691" s="10" t="n">
        <x:v>560</x:v>
      </x:c>
      <x:c r="E3691" s="10" t="n">
        <x:v>0</x:v>
      </x:c>
      <x:c r="F3691" s="10" t="n">
        <x:v>0</x:v>
      </x:c>
      <x:c r="G3691" s="10" t="n">
        <x:f>SUM(D3691:F3691)</x:f>
        <x:v>560</x:v>
      </x:c>
    </x:row>
    <x:row r="3692" ht="24" customHeight="1">
      <x:c r="A3692" s="10" t="str">
        <x:v>S06-08</x:v>
      </x:c>
      <x:c r="B3692" s="10" t="str">
        <x:v>A</x:v>
      </x:c>
      <x:c r="C3692" s="18" t="n">
        <x:v>-4</x:v>
      </x:c>
      <x:c r="D3692" s="10" t="n">
        <x:v>560</x:v>
      </x:c>
      <x:c r="E3692" s="10" t="n">
        <x:v>0</x:v>
      </x:c>
      <x:c r="F3692" s="10" t="n">
        <x:v>0.004096</x:v>
      </x:c>
      <x:c r="G3692" s="10" t="n">
        <x:f>SUM(D3692:F3692)</x:f>
        <x:v>560.004096</x:v>
      </x:c>
    </x:row>
    <x:row r="3693" ht="24" customHeight="1">
      <x:c r="A3693" s="10" t="str">
        <x:v>S06-08</x:v>
      </x:c>
      <x:c r="B3693" s="10" t="str">
        <x:v>A</x:v>
      </x:c>
      <x:c r="C3693" s="18" t="n">
        <x:v>-3.9999999</x:v>
      </x:c>
      <x:c r="D3693" s="10" t="n">
        <x:v>560</x:v>
      </x:c>
      <x:c r="E3693" s="10" t="n">
        <x:v>0</x:v>
      </x:c>
      <x:c r="F3693" s="10" t="n">
        <x:v>0.004096</x:v>
      </x:c>
      <x:c r="G3693" s="10" t="n">
        <x:f>SUM(D3693:F3693)</x:f>
        <x:v>560.004096</x:v>
      </x:c>
    </x:row>
    <x:row r="3694" ht="24" customHeight="1">
      <x:c r="A3694" s="10" t="str">
        <x:v>S06-08</x:v>
      </x:c>
      <x:c r="B3694" s="10" t="str">
        <x:v>A</x:v>
      </x:c>
      <x:c r="C3694" s="18" t="n">
        <x:v>-3.594333433</x:v>
      </x:c>
      <x:c r="D3694" s="10" t="n">
        <x:v>560</x:v>
      </x:c>
      <x:c r="E3694" s="10" t="n">
        <x:v>0</x:v>
      </x:c>
      <x:c r="F3694" s="10" t="n">
        <x:v>0.004096</x:v>
      </x:c>
      <x:c r="G3694" s="10" t="n">
        <x:f>SUM(D3694:F3694)</x:f>
        <x:v>560.004096</x:v>
      </x:c>
    </x:row>
    <x:row r="3695" ht="24" customHeight="1">
      <x:c r="A3695" s="10" t="str">
        <x:v>S06-08</x:v>
      </x:c>
      <x:c r="B3695" s="10" t="str">
        <x:v>A</x:v>
      </x:c>
      <x:c r="C3695" s="18" t="n">
        <x:v>-3.594333333</x:v>
      </x:c>
      <x:c r="D3695" s="10" t="n">
        <x:v>560</x:v>
      </x:c>
      <x:c r="E3695" s="10" t="n">
        <x:v>0.0096</x:v>
      </x:c>
      <x:c r="F3695" s="10" t="n">
        <x:v>0.004096</x:v>
      </x:c>
      <x:c r="G3695" s="10" t="n">
        <x:f>SUM(D3695:F3695)</x:f>
        <x:v>560.013696</x:v>
      </x:c>
    </x:row>
    <x:row r="3696" ht="24" customHeight="1">
      <x:c r="A3696" s="10" t="str">
        <x:v>S06-08</x:v>
      </x:c>
      <x:c r="B3696" s="10" t="str">
        <x:v>A</x:v>
      </x:c>
      <x:c r="C3696" s="18" t="n">
        <x:v>-3.594333233</x:v>
      </x:c>
      <x:c r="D3696" s="10" t="n">
        <x:v>560</x:v>
      </x:c>
      <x:c r="E3696" s="10" t="n">
        <x:v>0.009600019</x:v>
      </x:c>
      <x:c r="F3696" s="10" t="n">
        <x:v>0.004096</x:v>
      </x:c>
      <x:c r="G3696" s="10" t="n">
        <x:f>SUM(D3696:F3696)</x:f>
        <x:v>560.013696019</x:v>
      </x:c>
    </x:row>
    <x:row r="3697" ht="24" customHeight="1">
      <x:c r="A3697" s="10" t="str">
        <x:v>S06-08</x:v>
      </x:c>
      <x:c r="B3697" s="10" t="str">
        <x:v>A</x:v>
      </x:c>
      <x:c r="C3697" s="18" t="n">
        <x:v>-2.9200001</x:v>
      </x:c>
      <x:c r="D3697" s="10" t="n">
        <x:v>560</x:v>
      </x:c>
      <x:c r="E3697" s="10" t="n">
        <x:v>0.139071981</x:v>
      </x:c>
      <x:c r="F3697" s="10" t="n">
        <x:v>0.004096</x:v>
      </x:c>
      <x:c r="G3697" s="10" t="n">
        <x:f>SUM(D3697:F3697)</x:f>
        <x:v>560.143167981</x:v>
      </x:c>
    </x:row>
    <x:row r="3698" ht="24" customHeight="1">
      <x:c r="A3698" s="10" t="str">
        <x:v>S06-08</x:v>
      </x:c>
      <x:c r="B3698" s="10" t="str">
        <x:v>A</x:v>
      </x:c>
      <x:c r="C3698" s="18" t="n">
        <x:v>-2.92</x:v>
      </x:c>
      <x:c r="D3698" s="10" t="n">
        <x:v>560</x:v>
      </x:c>
      <x:c r="E3698" s="10" t="n">
        <x:v>0.139072</x:v>
      </x:c>
      <x:c r="F3698" s="10" t="n">
        <x:v>0.004096</x:v>
      </x:c>
      <x:c r="G3698" s="10" t="n">
        <x:f>SUM(D3698:F3698)</x:f>
        <x:v>560.1431680000001</x:v>
      </x:c>
    </x:row>
    <x:row r="3699" ht="24" customHeight="1">
      <x:c r="A3699" s="10" t="str">
        <x:v>S06-08</x:v>
      </x:c>
      <x:c r="B3699" s="10" t="str">
        <x:v>A</x:v>
      </x:c>
      <x:c r="C3699" s="18" t="n">
        <x:v>-2.9199999</x:v>
      </x:c>
      <x:c r="D3699" s="10" t="n">
        <x:v>560</x:v>
      </x:c>
      <x:c r="E3699" s="10" t="n">
        <x:v>0.139072014</x:v>
      </x:c>
      <x:c r="F3699" s="10" t="n">
        <x:v>0.004096</x:v>
      </x:c>
      <x:c r="G3699" s="10" t="n">
        <x:f>SUM(D3699:F3699)</x:f>
        <x:v>560.143168014</x:v>
      </x:c>
    </x:row>
    <x:row r="3700" ht="24" customHeight="1">
      <x:c r="A3700" s="10" t="str">
        <x:v>S06-08</x:v>
      </x:c>
      <x:c r="B3700" s="10" t="str">
        <x:v>A</x:v>
      </x:c>
      <x:c r="C3700" s="18" t="n">
        <x:v>-1.9200001</x:v>
      </x:c>
      <x:c r="D3700" s="10" t="n">
        <x:v>560</x:v>
      </x:c>
      <x:c r="E3700" s="10" t="n">
        <x:v>0.283071986</x:v>
      </x:c>
      <x:c r="F3700" s="10" t="n">
        <x:v>0.004096</x:v>
      </x:c>
      <x:c r="G3700" s="10" t="n">
        <x:f>SUM(D3700:F3700)</x:f>
        <x:v>560.287167986</x:v>
      </x:c>
    </x:row>
    <x:row r="3701" ht="24" customHeight="1">
      <x:c r="A3701" s="10" t="str">
        <x:v>S06-08</x:v>
      </x:c>
      <x:c r="B3701" s="10" t="str">
        <x:v>A</x:v>
      </x:c>
      <x:c r="C3701" s="18" t="n">
        <x:v>-1.92</x:v>
      </x:c>
      <x:c r="D3701" s="10" t="n">
        <x:v>560</x:v>
      </x:c>
      <x:c r="E3701" s="10" t="n">
        <x:v>0.283072</x:v>
      </x:c>
      <x:c r="F3701" s="10" t="n">
        <x:v>0.004096</x:v>
      </x:c>
      <x:c r="G3701" s="10" t="n">
        <x:f>SUM(D3701:F3701)</x:f>
        <x:v>560.287168</x:v>
      </x:c>
    </x:row>
    <x:row r="3702" ht="24" customHeight="1">
      <x:c r="A3702" s="10" t="str">
        <x:v>S06-08</x:v>
      </x:c>
      <x:c r="B3702" s="10" t="str">
        <x:v>A</x:v>
      </x:c>
      <x:c r="C3702" s="18" t="n">
        <x:v>-1.9199999</x:v>
      </x:c>
      <x:c r="D3702" s="10" t="n">
        <x:v>560</x:v>
      </x:c>
      <x:c r="E3702" s="10" t="n">
        <x:v>0.283072019</x:v>
      </x:c>
      <x:c r="F3702" s="10" t="n">
        <x:v>0.004096</x:v>
      </x:c>
      <x:c r="G3702" s="10" t="n">
        <x:f>SUM(D3702:F3702)</x:f>
        <x:v>560.287168019</x:v>
      </x:c>
    </x:row>
    <x:row r="3703" ht="24" customHeight="1">
      <x:c r="A3703" s="10" t="str">
        <x:v>S06-08</x:v>
      </x:c>
      <x:c r="B3703" s="10" t="str">
        <x:v>A</x:v>
      </x:c>
      <x:c r="C3703" s="18" t="n">
        <x:v>-1.636833433</x:v>
      </x:c>
      <x:c r="D3703" s="10" t="n">
        <x:v>560</x:v>
      </x:c>
      <x:c r="E3703" s="10" t="n">
        <x:v>0.337439981</x:v>
      </x:c>
      <x:c r="F3703" s="10" t="n">
        <x:v>0.004096</x:v>
      </x:c>
      <x:c r="G3703" s="10" t="n">
        <x:f>SUM(D3703:F3703)</x:f>
        <x:v>560.341535981</x:v>
      </x:c>
    </x:row>
    <x:row r="3704" ht="24" customHeight="1">
      <x:c r="A3704" s="10" t="str">
        <x:v>S06-08</x:v>
      </x:c>
      <x:c r="B3704" s="10" t="str">
        <x:v>A</x:v>
      </x:c>
      <x:c r="C3704" s="18" t="n">
        <x:v>-1.636833333</x:v>
      </x:c>
      <x:c r="D3704" s="10" t="n">
        <x:v>560</x:v>
      </x:c>
      <x:c r="E3704" s="10" t="n">
        <x:v>0.33744</x:v>
      </x:c>
      <x:c r="F3704" s="10" t="n">
        <x:v>0.004096</x:v>
      </x:c>
      <x:c r="G3704" s="10" t="n">
        <x:f>SUM(D3704:F3704)</x:f>
        <x:v>560.341536</x:v>
      </x:c>
    </x:row>
    <x:row r="3705" ht="24" customHeight="1">
      <x:c r="A3705" s="10" t="str">
        <x:v>S06-08</x:v>
      </x:c>
      <x:c r="B3705" s="10" t="str">
        <x:v>A</x:v>
      </x:c>
      <x:c r="C3705" s="18" t="n">
        <x:v>-1.636833233</x:v>
      </x:c>
      <x:c r="D3705" s="10" t="n">
        <x:v>560</x:v>
      </x:c>
      <x:c r="E3705" s="10" t="n">
        <x:v>0.33744</x:v>
      </x:c>
      <x:c r="F3705" s="10" t="n">
        <x:v>0.004096</x:v>
      </x:c>
      <x:c r="G3705" s="10" t="n">
        <x:f>SUM(D3705:F3705)</x:f>
        <x:v>560.341536</x:v>
      </x:c>
    </x:row>
    <x:row r="3706" ht="24" customHeight="1">
      <x:c r="A3706" s="10" t="str">
        <x:v>S06-08</x:v>
      </x:c>
      <x:c r="B3706" s="10" t="str">
        <x:v>A</x:v>
      </x:c>
      <x:c r="C3706" s="18" t="n">
        <x:v>-1e-7</x:v>
      </x:c>
      <x:c r="D3706" s="10" t="n">
        <x:v>560</x:v>
      </x:c>
      <x:c r="E3706" s="10" t="n">
        <x:v>0.33744</x:v>
      </x:c>
      <x:c r="F3706" s="10" t="n">
        <x:v>0.004096</x:v>
      </x:c>
      <x:c r="G3706" s="10" t="n">
        <x:f>SUM(D3706:F3706)</x:f>
        <x:v>560.341536</x:v>
      </x:c>
    </x:row>
    <x:row r="3707" ht="24" customHeight="1">
      <x:c r="A3707" s="10" t="str">
        <x:v>S06-08</x:v>
      </x:c>
      <x:c r="B3707" s="10" t="str">
        <x:v>A</x:v>
      </x:c>
      <x:c r="C3707" s="18" t="n">
        <x:v>0</x:v>
      </x:c>
      <x:c r="D3707" s="10" t="n">
        <x:v>560</x:v>
      </x:c>
      <x:c r="E3707" s="10" t="n">
        <x:v>0.33744</x:v>
      </x:c>
      <x:c r="F3707" s="10" t="n">
        <x:v>0.004096</x:v>
      </x:c>
      <x:c r="G3707" s="10" t="n">
        <x:f>SUM(D3707:F3707)</x:f>
        <x:v>560.341536</x:v>
      </x:c>
    </x:row>
    <x:row r="3708" ht="24" customHeight="1">
      <x:c r="A3708" s="10" t="str">
        <x:v>S06-08</x:v>
      </x:c>
      <x:c r="B3708" s="10" t="str">
        <x:v>A</x:v>
      </x:c>
      <x:c r="C3708" s="18" t="n">
        <x:v>1e-7</x:v>
      </x:c>
      <x:c r="D3708" s="10" t="n">
        <x:v>560</x:v>
      </x:c>
      <x:c r="E3708" s="10" t="n">
        <x:v>0.33744</x:v>
      </x:c>
      <x:c r="F3708" s="10" t="n">
        <x:v>0.004096</x:v>
      </x:c>
      <x:c r="G3708" s="10" t="n">
        <x:f>SUM(D3708:F3708)</x:f>
        <x:v>560.341536</x:v>
      </x:c>
    </x:row>
    <x:row r="3709" ht="24" customHeight="1">
      <x:c r="A3709" s="10" t="str">
        <x:v>S06-08</x:v>
      </x:c>
      <x:c r="B3709" s="10" t="str">
        <x:v>A</x:v>
      </x:c>
      <x:c r="C3709" s="18" t="n">
        <x:v>0.916666567</x:v>
      </x:c>
      <x:c r="D3709" s="10" t="n">
        <x:v>560</x:v>
      </x:c>
      <x:c r="E3709" s="10" t="n">
        <x:v>0.33744</x:v>
      </x:c>
      <x:c r="F3709" s="10" t="n">
        <x:v>0.004096</x:v>
      </x:c>
      <x:c r="G3709" s="10" t="n">
        <x:f>SUM(D3709:F3709)</x:f>
        <x:v>560.341536</x:v>
      </x:c>
    </x:row>
    <x:row r="3710" ht="24" customHeight="1">
      <x:c r="A3710" s="10" t="str">
        <x:v>S06-08</x:v>
      </x:c>
      <x:c r="B3710" s="10" t="str">
        <x:v>A</x:v>
      </x:c>
      <x:c r="C3710" s="18" t="n">
        <x:v>0.916666667</x:v>
      </x:c>
      <x:c r="D3710" s="10" t="n">
        <x:v>560</x:v>
      </x:c>
      <x:c r="E3710" s="10" t="n">
        <x:v>0.33744</x:v>
      </x:c>
      <x:c r="F3710" s="10" t="n">
        <x:v>0.004096</x:v>
      </x:c>
      <x:c r="G3710" s="10" t="n">
        <x:f>SUM(D3710:F3710)</x:f>
        <x:v>560.341536</x:v>
      </x:c>
    </x:row>
    <x:row r="3711" ht="24" customHeight="1">
      <x:c r="A3711" s="10" t="str">
        <x:v>S06-08</x:v>
      </x:c>
      <x:c r="B3711" s="10" t="str">
        <x:v>A</x:v>
      </x:c>
      <x:c r="C3711" s="18" t="n">
        <x:v>0.916666767</x:v>
      </x:c>
      <x:c r="D3711" s="10" t="n">
        <x:v>560</x:v>
      </x:c>
      <x:c r="E3711" s="10" t="n">
        <x:v>0.33744</x:v>
      </x:c>
      <x:c r="F3711" s="10" t="n">
        <x:v>0.004096</x:v>
      </x:c>
      <x:c r="G3711" s="10" t="n">
        <x:f>SUM(D3711:F3711)</x:f>
        <x:v>560.341536</x:v>
      </x:c>
    </x:row>
    <x:row r="3712" ht="24" customHeight="1">
      <x:c r="A3712" s="10" t="str">
        <x:v>S06-08</x:v>
      </x:c>
      <x:c r="B3712" s="10" t="str">
        <x:v>A</x:v>
      </x:c>
      <x:c r="C3712" s="18" t="n">
        <x:v>0.956666567</x:v>
      </x:c>
      <x:c r="D3712" s="10" t="n">
        <x:v>560</x:v>
      </x:c>
      <x:c r="E3712" s="10" t="n">
        <x:v>0.33744</x:v>
      </x:c>
      <x:c r="F3712" s="10" t="n">
        <x:v>0.004096</x:v>
      </x:c>
      <x:c r="G3712" s="10" t="n">
        <x:f>SUM(D3712:F3712)</x:f>
        <x:v>560.341536</x:v>
      </x:c>
    </x:row>
    <x:row r="3713" ht="24" customHeight="1">
      <x:c r="A3713" s="10" t="str">
        <x:v>S06-08</x:v>
      </x:c>
      <x:c r="B3713" s="10" t="str">
        <x:v>A</x:v>
      </x:c>
      <x:c r="C3713" s="18" t="n">
        <x:v>0.956666667</x:v>
      </x:c>
      <x:c r="D3713" s="10" t="n">
        <x:v>560</x:v>
      </x:c>
      <x:c r="E3713" s="10" t="n">
        <x:v>0.33744</x:v>
      </x:c>
      <x:c r="F3713" s="10" t="n">
        <x:v>0.004096</x:v>
      </x:c>
      <x:c r="G3713" s="10" t="n">
        <x:f>SUM(D3713:F3713)</x:f>
        <x:v>560.341536</x:v>
      </x:c>
    </x:row>
    <x:row r="3714" ht="24" customHeight="1">
      <x:c r="A3714" s="10" t="str">
        <x:v>S06-08</x:v>
      </x:c>
      <x:c r="B3714" s="10" t="str">
        <x:v>A</x:v>
      </x:c>
      <x:c r="C3714" s="18" t="n">
        <x:v>0.956666767</x:v>
      </x:c>
      <x:c r="D3714" s="10" t="n">
        <x:v>560</x:v>
      </x:c>
      <x:c r="E3714" s="10" t="n">
        <x:v>0.337439995</x:v>
      </x:c>
      <x:c r="F3714" s="10" t="n">
        <x:v>0.004096</x:v>
      </x:c>
      <x:c r="G3714" s="10" t="n">
        <x:f>SUM(D3714:F3714)</x:f>
        <x:v>560.341535995</x:v>
      </x:c>
    </x:row>
    <x:row r="3715" ht="24" customHeight="1">
      <x:c r="A3715" s="10" t="str">
        <x:v>S06-08</x:v>
      </x:c>
      <x:c r="B3715" s="10" t="str">
        <x:v>A</x:v>
      </x:c>
      <x:c r="C3715" s="18" t="n">
        <x:v>1.556666567</x:v>
      </x:c>
      <x:c r="D3715" s="10" t="n">
        <x:v>560</x:v>
      </x:c>
      <x:c r="E3715" s="10" t="n">
        <x:v>0.308640005</x:v>
      </x:c>
      <x:c r="F3715" s="10" t="n">
        <x:v>0.004096</x:v>
      </x:c>
      <x:c r="G3715" s="10" t="n">
        <x:f>SUM(D3715:F3715)</x:f>
        <x:v>560.312736005</x:v>
      </x:c>
    </x:row>
    <x:row r="3716" ht="24" customHeight="1">
      <x:c r="A3716" s="10" t="str">
        <x:v>S06-08</x:v>
      </x:c>
      <x:c r="B3716" s="10" t="str">
        <x:v>A</x:v>
      </x:c>
      <x:c r="C3716" s="18" t="n">
        <x:v>1.556666667</x:v>
      </x:c>
      <x:c r="D3716" s="10" t="n">
        <x:v>560</x:v>
      </x:c>
      <x:c r="E3716" s="10" t="n">
        <x:v>0.30864</x:v>
      </x:c>
      <x:c r="F3716" s="10" t="n">
        <x:v>0.004096</x:v>
      </x:c>
      <x:c r="G3716" s="10" t="n">
        <x:f>SUM(D3716:F3716)</x:f>
        <x:v>560.312736</x:v>
      </x:c>
    </x:row>
    <x:row r="3717" ht="24" customHeight="1">
      <x:c r="A3717" s="10" t="str">
        <x:v>S06-08</x:v>
      </x:c>
      <x:c r="B3717" s="10" t="str">
        <x:v>A</x:v>
      </x:c>
      <x:c r="C3717" s="18" t="n">
        <x:v>1.556666767</x:v>
      </x:c>
      <x:c r="D3717" s="10" t="n">
        <x:v>560</x:v>
      </x:c>
      <x:c r="E3717" s="10" t="n">
        <x:v>0.30864</x:v>
      </x:c>
      <x:c r="F3717" s="10" t="n">
        <x:v>0.004096</x:v>
      </x:c>
      <x:c r="G3717" s="10" t="n">
        <x:f>SUM(D3717:F3717)</x:f>
        <x:v>560.312736</x:v>
      </x:c>
    </x:row>
    <x:row r="3718" ht="24" customHeight="1">
      <x:c r="A3718" s="10" t="str">
        <x:v>S06-08</x:v>
      </x:c>
      <x:c r="B3718" s="10" t="str">
        <x:v>A</x:v>
      </x:c>
      <x:c r="C3718" s="18" t="n">
        <x:v>1.856666567</x:v>
      </x:c>
      <x:c r="D3718" s="10" t="n">
        <x:v>560</x:v>
      </x:c>
      <x:c r="E3718" s="10" t="n">
        <x:v>0.30864</x:v>
      </x:c>
      <x:c r="F3718" s="10" t="n">
        <x:v>0.004096</x:v>
      </x:c>
      <x:c r="G3718" s="10" t="n">
        <x:f>SUM(D3718:F3718)</x:f>
        <x:v>560.312736</x:v>
      </x:c>
    </x:row>
    <x:row r="3719" ht="24" customHeight="1">
      <x:c r="A3719" s="10" t="str">
        <x:v>S06-08</x:v>
      </x:c>
      <x:c r="B3719" s="10" t="str">
        <x:v>A</x:v>
      </x:c>
      <x:c r="C3719" s="18" t="n">
        <x:v>1.856666667</x:v>
      </x:c>
      <x:c r="D3719" s="10" t="n">
        <x:v>560</x:v>
      </x:c>
      <x:c r="E3719" s="10" t="n">
        <x:v>0.30864</x:v>
      </x:c>
      <x:c r="F3719" s="10" t="n">
        <x:v>0.004096</x:v>
      </x:c>
      <x:c r="G3719" s="10" t="n">
        <x:f>SUM(D3719:F3719)</x:f>
        <x:v>560.312736</x:v>
      </x:c>
    </x:row>
    <x:row r="3720" ht="24" customHeight="1">
      <x:c r="A3720" s="10" t="str">
        <x:v>S06-08</x:v>
      </x:c>
      <x:c r="B3720" s="10" t="str">
        <x:v>A</x:v>
      </x:c>
      <x:c r="C3720" s="18" t="n">
        <x:v>1.856666767</x:v>
      </x:c>
      <x:c r="D3720" s="10" t="n">
        <x:v>560</x:v>
      </x:c>
      <x:c r="E3720" s="10" t="n">
        <x:v>0.308639995</x:v>
      </x:c>
      <x:c r="F3720" s="10" t="n">
        <x:v>0.004096</x:v>
      </x:c>
      <x:c r="G3720" s="10" t="n">
        <x:f>SUM(D3720:F3720)</x:f>
        <x:v>560.312735995</x:v>
      </x:c>
    </x:row>
    <x:row r="3721" ht="24" customHeight="1">
      <x:c r="A3721" s="10" t="str">
        <x:v>S06-08</x:v>
      </x:c>
      <x:c r="B3721" s="10" t="str">
        <x:v>A</x:v>
      </x:c>
      <x:c r="C3721" s="18" t="n">
        <x:v>8.286666566</x:v>
      </x:c>
      <x:c r="D3721" s="10" t="n">
        <x:v>560</x:v>
      </x:c>
      <x:c r="E3721" s="10" t="n">
        <x:v>5e-9</x:v>
      </x:c>
      <x:c r="F3721" s="10" t="n">
        <x:v>0.004096</x:v>
      </x:c>
      <x:c r="G3721" s="10" t="n">
        <x:f>SUM(D3721:F3721)</x:f>
        <x:v>560.004096005</x:v>
      </x:c>
    </x:row>
    <x:row r="3722" ht="24" customHeight="1">
      <x:c r="A3722" s="10" t="str">
        <x:v>S06-08</x:v>
      </x:c>
      <x:c r="B3722" s="10" t="str">
        <x:v>A</x:v>
      </x:c>
      <x:c r="C3722" s="18" t="n">
        <x:v>8.286666666</x:v>
      </x:c>
      <x:c r="D3722" s="10" t="n">
        <x:v>560</x:v>
      </x:c>
      <x:c r="E3722" s="10" t="n">
        <x:v>0</x:v>
      </x:c>
      <x:c r="F3722" s="10" t="n">
        <x:v>0.004096</x:v>
      </x:c>
      <x:c r="G3722" s="10" t="n">
        <x:f>SUM(D3722:F3722)</x:f>
        <x:v>560.004096</x:v>
      </x:c>
    </x:row>
    <x:row r="3723" ht="24" customHeight="1">
      <x:c r="A3723" s="10" t="str">
        <x:v>S06-08</x:v>
      </x:c>
      <x:c r="B3723" s="10" t="str">
        <x:v>A</x:v>
      </x:c>
      <x:c r="C3723" s="18" t="n">
        <x:v>8.286666766</x:v>
      </x:c>
      <x:c r="D3723" s="10" t="n">
        <x:v>560</x:v>
      </x:c>
      <x:c r="E3723" s="10" t="n">
        <x:v>0</x:v>
      </x:c>
      <x:c r="F3723" s="10" t="n">
        <x:v>0</x:v>
      </x:c>
      <x:c r="G3723" s="10" t="n">
        <x:f>SUM(D3723:F3723)</x:f>
        <x:v>560</x:v>
      </x:c>
    </x:row>
    <x:row r="3724" ht="24" customHeight="1">
      <x:c r="A3724" s="10" t="str">
        <x:v>S06-08</x:v>
      </x:c>
      <x:c r="B3724" s="10" t="str">
        <x:v>B</x:v>
      </x:c>
      <x:c r="C3724" s="18" t="n">
        <x:v>-6.0000001</x:v>
      </x:c>
      <x:c r="D3724" s="10" t="n">
        <x:v>560</x:v>
      </x:c>
      <x:c r="E3724" s="10" t="n">
        <x:v>0</x:v>
      </x:c>
      <x:c r="F3724" s="10" t="n">
        <x:v>0</x:v>
      </x:c>
      <x:c r="G3724" s="10" t="n">
        <x:f>SUM(D3724:F3724)</x:f>
        <x:v>560</x:v>
      </x:c>
    </x:row>
    <x:row r="3725" ht="24" customHeight="1">
      <x:c r="A3725" s="10" t="str">
        <x:v>S06-08</x:v>
      </x:c>
      <x:c r="B3725" s="10" t="str">
        <x:v>B</x:v>
      </x:c>
      <x:c r="C3725" s="18" t="n">
        <x:v>-6</x:v>
      </x:c>
      <x:c r="D3725" s="10" t="n">
        <x:v>560</x:v>
      </x:c>
      <x:c r="E3725" s="10" t="n">
        <x:v>0</x:v>
      </x:c>
      <x:c r="F3725" s="10" t="n">
        <x:v>0</x:v>
      </x:c>
      <x:c r="G3725" s="10" t="n">
        <x:f>SUM(D3725:F3725)</x:f>
        <x:v>560</x:v>
      </x:c>
    </x:row>
    <x:row r="3726" ht="24" customHeight="1">
      <x:c r="A3726" s="10" t="str">
        <x:v>S06-08</x:v>
      </x:c>
      <x:c r="B3726" s="10" t="str">
        <x:v>B</x:v>
      </x:c>
      <x:c r="C3726" s="18" t="n">
        <x:v>-5.9999999</x:v>
      </x:c>
      <x:c r="D3726" s="10" t="n">
        <x:v>560</x:v>
      </x:c>
      <x:c r="E3726" s="10" t="n">
        <x:v>0</x:v>
      </x:c>
      <x:c r="F3726" s="10" t="n">
        <x:v>0</x:v>
      </x:c>
      <x:c r="G3726" s="10" t="n">
        <x:f>SUM(D3726:F3726)</x:f>
        <x:v>560</x:v>
      </x:c>
    </x:row>
    <x:row r="3727" ht="24" customHeight="1">
      <x:c r="A3727" s="10" t="str">
        <x:v>S06-08</x:v>
      </x:c>
      <x:c r="B3727" s="10" t="str">
        <x:v>B</x:v>
      </x:c>
      <x:c r="C3727" s="18" t="n">
        <x:v>-4.0000001</x:v>
      </x:c>
      <x:c r="D3727" s="10" t="n">
        <x:v>560</x:v>
      </x:c>
      <x:c r="E3727" s="10" t="n">
        <x:v>0</x:v>
      </x:c>
      <x:c r="F3727" s="10" t="n">
        <x:v>0</x:v>
      </x:c>
      <x:c r="G3727" s="10" t="n">
        <x:f>SUM(D3727:F3727)</x:f>
        <x:v>560</x:v>
      </x:c>
    </x:row>
    <x:row r="3728" ht="24" customHeight="1">
      <x:c r="A3728" s="10" t="str">
        <x:v>S06-08</x:v>
      </x:c>
      <x:c r="B3728" s="10" t="str">
        <x:v>B</x:v>
      </x:c>
      <x:c r="C3728" s="18" t="n">
        <x:v>-4</x:v>
      </x:c>
      <x:c r="D3728" s="10" t="n">
        <x:v>560</x:v>
      </x:c>
      <x:c r="E3728" s="10" t="n">
        <x:v>0</x:v>
      </x:c>
      <x:c r="F3728" s="10" t="n">
        <x:v>0.004096</x:v>
      </x:c>
      <x:c r="G3728" s="10" t="n">
        <x:f>SUM(D3728:F3728)</x:f>
        <x:v>560.004096</x:v>
      </x:c>
    </x:row>
    <x:row r="3729" ht="24" customHeight="1">
      <x:c r="A3729" s="10" t="str">
        <x:v>S06-08</x:v>
      </x:c>
      <x:c r="B3729" s="10" t="str">
        <x:v>B</x:v>
      </x:c>
      <x:c r="C3729" s="18" t="n">
        <x:v>-3.9999999</x:v>
      </x:c>
      <x:c r="D3729" s="10" t="n">
        <x:v>560</x:v>
      </x:c>
      <x:c r="E3729" s="10" t="n">
        <x:v>0</x:v>
      </x:c>
      <x:c r="F3729" s="10" t="n">
        <x:v>0.004096</x:v>
      </x:c>
      <x:c r="G3729" s="10" t="n">
        <x:f>SUM(D3729:F3729)</x:f>
        <x:v>560.004096</x:v>
      </x:c>
    </x:row>
    <x:row r="3730" ht="24" customHeight="1">
      <x:c r="A3730" s="10" t="str">
        <x:v>S06-08</x:v>
      </x:c>
      <x:c r="B3730" s="10" t="str">
        <x:v>B</x:v>
      </x:c>
      <x:c r="C3730" s="18" t="n">
        <x:v>-3.594333433</x:v>
      </x:c>
      <x:c r="D3730" s="10" t="n">
        <x:v>560</x:v>
      </x:c>
      <x:c r="E3730" s="10" t="n">
        <x:v>0</x:v>
      </x:c>
      <x:c r="F3730" s="10" t="n">
        <x:v>0.004096</x:v>
      </x:c>
      <x:c r="G3730" s="10" t="n">
        <x:f>SUM(D3730:F3730)</x:f>
        <x:v>560.004096</x:v>
      </x:c>
    </x:row>
    <x:row r="3731" ht="24" customHeight="1">
      <x:c r="A3731" s="10" t="str">
        <x:v>S06-08</x:v>
      </x:c>
      <x:c r="B3731" s="10" t="str">
        <x:v>B</x:v>
      </x:c>
      <x:c r="C3731" s="18" t="n">
        <x:v>-3.594333333</x:v>
      </x:c>
      <x:c r="D3731" s="10" t="n">
        <x:v>560</x:v>
      </x:c>
      <x:c r="E3731" s="10" t="n">
        <x:v>0.0096</x:v>
      </x:c>
      <x:c r="F3731" s="10" t="n">
        <x:v>0.004096</x:v>
      </x:c>
      <x:c r="G3731" s="10" t="n">
        <x:f>SUM(D3731:F3731)</x:f>
        <x:v>560.013696</x:v>
      </x:c>
    </x:row>
    <x:row r="3732" ht="24" customHeight="1">
      <x:c r="A3732" s="10" t="str">
        <x:v>S06-08</x:v>
      </x:c>
      <x:c r="B3732" s="10" t="str">
        <x:v>B</x:v>
      </x:c>
      <x:c r="C3732" s="18" t="n">
        <x:v>-3.594333233</x:v>
      </x:c>
      <x:c r="D3732" s="10" t="n">
        <x:v>560</x:v>
      </x:c>
      <x:c r="E3732" s="10" t="n">
        <x:v>0.009600019</x:v>
      </x:c>
      <x:c r="F3732" s="10" t="n">
        <x:v>0.004096</x:v>
      </x:c>
      <x:c r="G3732" s="10" t="n">
        <x:f>SUM(D3732:F3732)</x:f>
        <x:v>560.013696019</x:v>
      </x:c>
    </x:row>
    <x:row r="3733" ht="24" customHeight="1">
      <x:c r="A3733" s="10" t="str">
        <x:v>S06-08</x:v>
      </x:c>
      <x:c r="B3733" s="10" t="str">
        <x:v>B</x:v>
      </x:c>
      <x:c r="C3733" s="18" t="n">
        <x:v>-2.9200001</x:v>
      </x:c>
      <x:c r="D3733" s="10" t="n">
        <x:v>560</x:v>
      </x:c>
      <x:c r="E3733" s="10" t="n">
        <x:v>0.139071981</x:v>
      </x:c>
      <x:c r="F3733" s="10" t="n">
        <x:v>0.004096</x:v>
      </x:c>
      <x:c r="G3733" s="10" t="n">
        <x:f>SUM(D3733:F3733)</x:f>
        <x:v>560.143167981</x:v>
      </x:c>
    </x:row>
    <x:row r="3734" ht="24" customHeight="1">
      <x:c r="A3734" s="10" t="str">
        <x:v>S06-08</x:v>
      </x:c>
      <x:c r="B3734" s="10" t="str">
        <x:v>B</x:v>
      </x:c>
      <x:c r="C3734" s="18" t="n">
        <x:v>-2.92</x:v>
      </x:c>
      <x:c r="D3734" s="10" t="n">
        <x:v>560</x:v>
      </x:c>
      <x:c r="E3734" s="10" t="n">
        <x:v>0.139072</x:v>
      </x:c>
      <x:c r="F3734" s="10" t="n">
        <x:v>0.004096</x:v>
      </x:c>
      <x:c r="G3734" s="10" t="n">
        <x:f>SUM(D3734:F3734)</x:f>
        <x:v>560.1431680000001</x:v>
      </x:c>
    </x:row>
    <x:row r="3735" ht="24" customHeight="1">
      <x:c r="A3735" s="10" t="str">
        <x:v>S06-08</x:v>
      </x:c>
      <x:c r="B3735" s="10" t="str">
        <x:v>B</x:v>
      </x:c>
      <x:c r="C3735" s="18" t="n">
        <x:v>-2.9199999</x:v>
      </x:c>
      <x:c r="D3735" s="10" t="n">
        <x:v>560</x:v>
      </x:c>
      <x:c r="E3735" s="10" t="n">
        <x:v>0.139072014</x:v>
      </x:c>
      <x:c r="F3735" s="10" t="n">
        <x:v>0.004096</x:v>
      </x:c>
      <x:c r="G3735" s="10" t="n">
        <x:f>SUM(D3735:F3735)</x:f>
        <x:v>560.143168014</x:v>
      </x:c>
    </x:row>
    <x:row r="3736" ht="24" customHeight="1">
      <x:c r="A3736" s="10" t="str">
        <x:v>S06-08</x:v>
      </x:c>
      <x:c r="B3736" s="10" t="str">
        <x:v>B</x:v>
      </x:c>
      <x:c r="C3736" s="18" t="n">
        <x:v>-1.9200001</x:v>
      </x:c>
      <x:c r="D3736" s="10" t="n">
        <x:v>560</x:v>
      </x:c>
      <x:c r="E3736" s="10" t="n">
        <x:v>0.283071986</x:v>
      </x:c>
      <x:c r="F3736" s="10" t="n">
        <x:v>0.004096</x:v>
      </x:c>
      <x:c r="G3736" s="10" t="n">
        <x:f>SUM(D3736:F3736)</x:f>
        <x:v>560.287167986</x:v>
      </x:c>
    </x:row>
    <x:row r="3737" ht="24" customHeight="1">
      <x:c r="A3737" s="10" t="str">
        <x:v>S06-08</x:v>
      </x:c>
      <x:c r="B3737" s="10" t="str">
        <x:v>B</x:v>
      </x:c>
      <x:c r="C3737" s="18" t="n">
        <x:v>-1.92</x:v>
      </x:c>
      <x:c r="D3737" s="10" t="n">
        <x:v>560</x:v>
      </x:c>
      <x:c r="E3737" s="10" t="n">
        <x:v>0.283072</x:v>
      </x:c>
      <x:c r="F3737" s="10" t="n">
        <x:v>0.004096</x:v>
      </x:c>
      <x:c r="G3737" s="10" t="n">
        <x:f>SUM(D3737:F3737)</x:f>
        <x:v>560.287168</x:v>
      </x:c>
    </x:row>
    <x:row r="3738" ht="24" customHeight="1">
      <x:c r="A3738" s="10" t="str">
        <x:v>S06-08</x:v>
      </x:c>
      <x:c r="B3738" s="10" t="str">
        <x:v>B</x:v>
      </x:c>
      <x:c r="C3738" s="18" t="n">
        <x:v>-1.9199999</x:v>
      </x:c>
      <x:c r="D3738" s="10" t="n">
        <x:v>560</x:v>
      </x:c>
      <x:c r="E3738" s="10" t="n">
        <x:v>0.283072019</x:v>
      </x:c>
      <x:c r="F3738" s="10" t="n">
        <x:v>0.004096</x:v>
      </x:c>
      <x:c r="G3738" s="10" t="n">
        <x:f>SUM(D3738:F3738)</x:f>
        <x:v>560.287168019</x:v>
      </x:c>
    </x:row>
    <x:row r="3739" ht="24" customHeight="1">
      <x:c r="A3739" s="10" t="str">
        <x:v>S06-08</x:v>
      </x:c>
      <x:c r="B3739" s="10" t="str">
        <x:v>B</x:v>
      </x:c>
      <x:c r="C3739" s="18" t="n">
        <x:v>-1.636833433</x:v>
      </x:c>
      <x:c r="D3739" s="10" t="n">
        <x:v>560</x:v>
      </x:c>
      <x:c r="E3739" s="10" t="n">
        <x:v>0.337439981</x:v>
      </x:c>
      <x:c r="F3739" s="10" t="n">
        <x:v>0.004096</x:v>
      </x:c>
      <x:c r="G3739" s="10" t="n">
        <x:f>SUM(D3739:F3739)</x:f>
        <x:v>560.341535981</x:v>
      </x:c>
    </x:row>
    <x:row r="3740" ht="24" customHeight="1">
      <x:c r="A3740" s="10" t="str">
        <x:v>S06-08</x:v>
      </x:c>
      <x:c r="B3740" s="10" t="str">
        <x:v>B</x:v>
      </x:c>
      <x:c r="C3740" s="18" t="n">
        <x:v>-1.636833333</x:v>
      </x:c>
      <x:c r="D3740" s="10" t="n">
        <x:v>560</x:v>
      </x:c>
      <x:c r="E3740" s="10" t="n">
        <x:v>0.33744</x:v>
      </x:c>
      <x:c r="F3740" s="10" t="n">
        <x:v>0.004096</x:v>
      </x:c>
      <x:c r="G3740" s="10" t="n">
        <x:f>SUM(D3740:F3740)</x:f>
        <x:v>560.341536</x:v>
      </x:c>
    </x:row>
    <x:row r="3741" ht="24" customHeight="1">
      <x:c r="A3741" s="10" t="str">
        <x:v>S06-08</x:v>
      </x:c>
      <x:c r="B3741" s="10" t="str">
        <x:v>B</x:v>
      </x:c>
      <x:c r="C3741" s="18" t="n">
        <x:v>-1.636833233</x:v>
      </x:c>
      <x:c r="D3741" s="10" t="n">
        <x:v>560</x:v>
      </x:c>
      <x:c r="E3741" s="10" t="n">
        <x:v>0.33744</x:v>
      </x:c>
      <x:c r="F3741" s="10" t="n">
        <x:v>0.004096</x:v>
      </x:c>
      <x:c r="G3741" s="10" t="n">
        <x:f>SUM(D3741:F3741)</x:f>
        <x:v>560.341536</x:v>
      </x:c>
    </x:row>
    <x:row r="3742" ht="24" customHeight="1">
      <x:c r="A3742" s="10" t="str">
        <x:v>S06-08</x:v>
      </x:c>
      <x:c r="B3742" s="10" t="str">
        <x:v>B</x:v>
      </x:c>
      <x:c r="C3742" s="18" t="n">
        <x:v>-1e-7</x:v>
      </x:c>
      <x:c r="D3742" s="10" t="n">
        <x:v>560</x:v>
      </x:c>
      <x:c r="E3742" s="10" t="n">
        <x:v>0.33744</x:v>
      </x:c>
      <x:c r="F3742" s="10" t="n">
        <x:v>0.004096</x:v>
      </x:c>
      <x:c r="G3742" s="10" t="n">
        <x:f>SUM(D3742:F3742)</x:f>
        <x:v>560.341536</x:v>
      </x:c>
    </x:row>
    <x:row r="3743" ht="24" customHeight="1">
      <x:c r="A3743" s="10" t="str">
        <x:v>S06-08</x:v>
      </x:c>
      <x:c r="B3743" s="10" t="str">
        <x:v>B</x:v>
      </x:c>
      <x:c r="C3743" s="18" t="n">
        <x:v>0</x:v>
      </x:c>
      <x:c r="D3743" s="10" t="n">
        <x:v>560</x:v>
      </x:c>
      <x:c r="E3743" s="10" t="n">
        <x:v>0.33744</x:v>
      </x:c>
      <x:c r="F3743" s="10" t="n">
        <x:v>0.004096</x:v>
      </x:c>
      <x:c r="G3743" s="10" t="n">
        <x:f>SUM(D3743:F3743)</x:f>
        <x:v>560.341536</x:v>
      </x:c>
    </x:row>
    <x:row r="3744" ht="24" customHeight="1">
      <x:c r="A3744" s="10" t="str">
        <x:v>S06-08</x:v>
      </x:c>
      <x:c r="B3744" s="10" t="str">
        <x:v>B</x:v>
      </x:c>
      <x:c r="C3744" s="18" t="n">
        <x:v>1e-7</x:v>
      </x:c>
      <x:c r="D3744" s="10" t="n">
        <x:v>560</x:v>
      </x:c>
      <x:c r="E3744" s="10" t="n">
        <x:v>0.33744</x:v>
      </x:c>
      <x:c r="F3744" s="10" t="n">
        <x:v>0.004096</x:v>
      </x:c>
      <x:c r="G3744" s="10" t="n">
        <x:f>SUM(D3744:F3744)</x:f>
        <x:v>560.341536</x:v>
      </x:c>
    </x:row>
    <x:row r="3745" ht="24" customHeight="1">
      <x:c r="A3745" s="10" t="str">
        <x:v>S06-08</x:v>
      </x:c>
      <x:c r="B3745" s="10" t="str">
        <x:v>B</x:v>
      </x:c>
      <x:c r="C3745" s="18" t="n">
        <x:v>0.916666567</x:v>
      </x:c>
      <x:c r="D3745" s="10" t="n">
        <x:v>560</x:v>
      </x:c>
      <x:c r="E3745" s="10" t="n">
        <x:v>0.33744</x:v>
      </x:c>
      <x:c r="F3745" s="10" t="n">
        <x:v>0.004096</x:v>
      </x:c>
      <x:c r="G3745" s="10" t="n">
        <x:f>SUM(D3745:F3745)</x:f>
        <x:v>560.341536</x:v>
      </x:c>
    </x:row>
    <x:row r="3746" ht="24" customHeight="1">
      <x:c r="A3746" s="10" t="str">
        <x:v>S06-08</x:v>
      </x:c>
      <x:c r="B3746" s="10" t="str">
        <x:v>B</x:v>
      </x:c>
      <x:c r="C3746" s="18" t="n">
        <x:v>0.916666667</x:v>
      </x:c>
      <x:c r="D3746" s="10" t="n">
        <x:v>560</x:v>
      </x:c>
      <x:c r="E3746" s="10" t="n">
        <x:v>0.33744</x:v>
      </x:c>
      <x:c r="F3746" s="10" t="n">
        <x:v>0.004096</x:v>
      </x:c>
      <x:c r="G3746" s="10" t="n">
        <x:f>SUM(D3746:F3746)</x:f>
        <x:v>560.341536</x:v>
      </x:c>
    </x:row>
    <x:row r="3747" ht="24" customHeight="1">
      <x:c r="A3747" s="10" t="str">
        <x:v>S06-08</x:v>
      </x:c>
      <x:c r="B3747" s="10" t="str">
        <x:v>B</x:v>
      </x:c>
      <x:c r="C3747" s="18" t="n">
        <x:v>0.916666767</x:v>
      </x:c>
      <x:c r="D3747" s="10" t="n">
        <x:v>560</x:v>
      </x:c>
      <x:c r="E3747" s="10" t="n">
        <x:v>0.33744</x:v>
      </x:c>
      <x:c r="F3747" s="10" t="n">
        <x:v>0.004096</x:v>
      </x:c>
      <x:c r="G3747" s="10" t="n">
        <x:f>SUM(D3747:F3747)</x:f>
        <x:v>560.341536</x:v>
      </x:c>
    </x:row>
    <x:row r="3748" ht="24" customHeight="1">
      <x:c r="A3748" s="10" t="str">
        <x:v>S06-08</x:v>
      </x:c>
      <x:c r="B3748" s="10" t="str">
        <x:v>B</x:v>
      </x:c>
      <x:c r="C3748" s="18" t="n">
        <x:v>0.956666567</x:v>
      </x:c>
      <x:c r="D3748" s="10" t="n">
        <x:v>560</x:v>
      </x:c>
      <x:c r="E3748" s="10" t="n">
        <x:v>0.33744</x:v>
      </x:c>
      <x:c r="F3748" s="10" t="n">
        <x:v>0.004096</x:v>
      </x:c>
      <x:c r="G3748" s="10" t="n">
        <x:f>SUM(D3748:F3748)</x:f>
        <x:v>560.341536</x:v>
      </x:c>
    </x:row>
    <x:row r="3749" ht="24" customHeight="1">
      <x:c r="A3749" s="10" t="str">
        <x:v>S06-08</x:v>
      </x:c>
      <x:c r="B3749" s="10" t="str">
        <x:v>B</x:v>
      </x:c>
      <x:c r="C3749" s="18" t="n">
        <x:v>0.956666667</x:v>
      </x:c>
      <x:c r="D3749" s="10" t="n">
        <x:v>560</x:v>
      </x:c>
      <x:c r="E3749" s="10" t="n">
        <x:v>0.33744</x:v>
      </x:c>
      <x:c r="F3749" s="10" t="n">
        <x:v>0.004096</x:v>
      </x:c>
      <x:c r="G3749" s="10" t="n">
        <x:f>SUM(D3749:F3749)</x:f>
        <x:v>560.341536</x:v>
      </x:c>
    </x:row>
    <x:row r="3750" ht="24" customHeight="1">
      <x:c r="A3750" s="10" t="str">
        <x:v>S06-08</x:v>
      </x:c>
      <x:c r="B3750" s="10" t="str">
        <x:v>B</x:v>
      </x:c>
      <x:c r="C3750" s="18" t="n">
        <x:v>0.956666767</x:v>
      </x:c>
      <x:c r="D3750" s="10" t="n">
        <x:v>560</x:v>
      </x:c>
      <x:c r="E3750" s="10" t="n">
        <x:v>0.337439995</x:v>
      </x:c>
      <x:c r="F3750" s="10" t="n">
        <x:v>0.004096</x:v>
      </x:c>
      <x:c r="G3750" s="10" t="n">
        <x:f>SUM(D3750:F3750)</x:f>
        <x:v>560.341535995</x:v>
      </x:c>
    </x:row>
    <x:row r="3751" ht="24" customHeight="1">
      <x:c r="A3751" s="10" t="str">
        <x:v>S06-08</x:v>
      </x:c>
      <x:c r="B3751" s="10" t="str">
        <x:v>B</x:v>
      </x:c>
      <x:c r="C3751" s="18" t="n">
        <x:v>1.556666567</x:v>
      </x:c>
      <x:c r="D3751" s="10" t="n">
        <x:v>560</x:v>
      </x:c>
      <x:c r="E3751" s="10" t="n">
        <x:v>0.308640005</x:v>
      </x:c>
      <x:c r="F3751" s="10" t="n">
        <x:v>0.004096</x:v>
      </x:c>
      <x:c r="G3751" s="10" t="n">
        <x:f>SUM(D3751:F3751)</x:f>
        <x:v>560.312736005</x:v>
      </x:c>
    </x:row>
    <x:row r="3752" ht="24" customHeight="1">
      <x:c r="A3752" s="10" t="str">
        <x:v>S06-08</x:v>
      </x:c>
      <x:c r="B3752" s="10" t="str">
        <x:v>B</x:v>
      </x:c>
      <x:c r="C3752" s="18" t="n">
        <x:v>1.556666667</x:v>
      </x:c>
      <x:c r="D3752" s="10" t="n">
        <x:v>560</x:v>
      </x:c>
      <x:c r="E3752" s="10" t="n">
        <x:v>0.30864</x:v>
      </x:c>
      <x:c r="F3752" s="10" t="n">
        <x:v>0.004096</x:v>
      </x:c>
      <x:c r="G3752" s="10" t="n">
        <x:f>SUM(D3752:F3752)</x:f>
        <x:v>560.312736</x:v>
      </x:c>
    </x:row>
    <x:row r="3753" ht="24" customHeight="1">
      <x:c r="A3753" s="10" t="str">
        <x:v>S06-08</x:v>
      </x:c>
      <x:c r="B3753" s="10" t="str">
        <x:v>B</x:v>
      </x:c>
      <x:c r="C3753" s="18" t="n">
        <x:v>1.556666767</x:v>
      </x:c>
      <x:c r="D3753" s="10" t="n">
        <x:v>560</x:v>
      </x:c>
      <x:c r="E3753" s="10" t="n">
        <x:v>0.30864</x:v>
      </x:c>
      <x:c r="F3753" s="10" t="n">
        <x:v>0.004096</x:v>
      </x:c>
      <x:c r="G3753" s="10" t="n">
        <x:f>SUM(D3753:F3753)</x:f>
        <x:v>560.312736</x:v>
      </x:c>
    </x:row>
    <x:row r="3754" ht="24" customHeight="1">
      <x:c r="A3754" s="10" t="str">
        <x:v>S06-08</x:v>
      </x:c>
      <x:c r="B3754" s="10" t="str">
        <x:v>B</x:v>
      </x:c>
      <x:c r="C3754" s="18" t="n">
        <x:v>1.856666567</x:v>
      </x:c>
      <x:c r="D3754" s="10" t="n">
        <x:v>560</x:v>
      </x:c>
      <x:c r="E3754" s="10" t="n">
        <x:v>0.30864</x:v>
      </x:c>
      <x:c r="F3754" s="10" t="n">
        <x:v>0.004096</x:v>
      </x:c>
      <x:c r="G3754" s="10" t="n">
        <x:f>SUM(D3754:F3754)</x:f>
        <x:v>560.312736</x:v>
      </x:c>
    </x:row>
    <x:row r="3755" ht="24" customHeight="1">
      <x:c r="A3755" s="10" t="str">
        <x:v>S06-08</x:v>
      </x:c>
      <x:c r="B3755" s="10" t="str">
        <x:v>B</x:v>
      </x:c>
      <x:c r="C3755" s="18" t="n">
        <x:v>1.856666667</x:v>
      </x:c>
      <x:c r="D3755" s="10" t="n">
        <x:v>560</x:v>
      </x:c>
      <x:c r="E3755" s="10" t="n">
        <x:v>0.30864</x:v>
      </x:c>
      <x:c r="F3755" s="10" t="n">
        <x:v>0.004096</x:v>
      </x:c>
      <x:c r="G3755" s="10" t="n">
        <x:f>SUM(D3755:F3755)</x:f>
        <x:v>560.312736</x:v>
      </x:c>
    </x:row>
    <x:row r="3756" ht="24" customHeight="1">
      <x:c r="A3756" s="10" t="str">
        <x:v>S06-08</x:v>
      </x:c>
      <x:c r="B3756" s="10" t="str">
        <x:v>B</x:v>
      </x:c>
      <x:c r="C3756" s="18" t="n">
        <x:v>1.856666767</x:v>
      </x:c>
      <x:c r="D3756" s="10" t="n">
        <x:v>560</x:v>
      </x:c>
      <x:c r="E3756" s="10" t="n">
        <x:v>0.308639995</x:v>
      </x:c>
      <x:c r="F3756" s="10" t="n">
        <x:v>0.004096</x:v>
      </x:c>
      <x:c r="G3756" s="10" t="n">
        <x:f>SUM(D3756:F3756)</x:f>
        <x:v>560.312735995</x:v>
      </x:c>
    </x:row>
    <x:row r="3757" ht="24" customHeight="1">
      <x:c r="A3757" s="10" t="str">
        <x:v>S06-08</x:v>
      </x:c>
      <x:c r="B3757" s="10" t="str">
        <x:v>B</x:v>
      </x:c>
      <x:c r="C3757" s="18" t="n">
        <x:v>8.286666566</x:v>
      </x:c>
      <x:c r="D3757" s="10" t="n">
        <x:v>560</x:v>
      </x:c>
      <x:c r="E3757" s="10" t="n">
        <x:v>5e-9</x:v>
      </x:c>
      <x:c r="F3757" s="10" t="n">
        <x:v>0.004096</x:v>
      </x:c>
      <x:c r="G3757" s="10" t="n">
        <x:f>SUM(D3757:F3757)</x:f>
        <x:v>560.004096005</x:v>
      </x:c>
    </x:row>
    <x:row r="3758" ht="24" customHeight="1">
      <x:c r="A3758" s="10" t="str">
        <x:v>S06-08</x:v>
      </x:c>
      <x:c r="B3758" s="10" t="str">
        <x:v>B</x:v>
      </x:c>
      <x:c r="C3758" s="18" t="n">
        <x:v>8.286666666</x:v>
      </x:c>
      <x:c r="D3758" s="10" t="n">
        <x:v>560</x:v>
      </x:c>
      <x:c r="E3758" s="10" t="n">
        <x:v>0</x:v>
      </x:c>
      <x:c r="F3758" s="10" t="n">
        <x:v>0.004096</x:v>
      </x:c>
      <x:c r="G3758" s="10" t="n">
        <x:f>SUM(D3758:F3758)</x:f>
        <x:v>560.004096</x:v>
      </x:c>
    </x:row>
    <x:row r="3759" ht="24" customHeight="1">
      <x:c r="A3759" s="10" t="str">
        <x:v>S06-08</x:v>
      </x:c>
      <x:c r="B3759" s="10" t="str">
        <x:v>B</x:v>
      </x:c>
      <x:c r="C3759" s="18" t="n">
        <x:v>8.286666766</x:v>
      </x:c>
      <x:c r="D3759" s="10" t="n">
        <x:v>560</x:v>
      </x:c>
      <x:c r="E3759" s="10" t="n">
        <x:v>0</x:v>
      </x:c>
      <x:c r="F3759" s="10" t="n">
        <x:v>0</x:v>
      </x:c>
      <x:c r="G3759" s="10" t="n">
        <x:f>SUM(D3759:F3759)</x:f>
        <x:v>560</x:v>
      </x:c>
    </x:row>
    <x:row r="3760" ht="24" customHeight="1">
      <x:c r="A3760" s="10" t="str">
        <x:v>S06-09</x:v>
      </x:c>
      <x:c r="B3760" s="10" t="str">
        <x:v>A</x:v>
      </x:c>
      <x:c r="C3760" s="18" t="n">
        <x:v>-6.0000001</x:v>
      </x:c>
      <x:c r="D3760" s="10" t="n">
        <x:v>560</x:v>
      </x:c>
      <x:c r="E3760" s="10" t="n">
        <x:v>0</x:v>
      </x:c>
      <x:c r="F3760" s="10" t="n">
        <x:v>0</x:v>
      </x:c>
      <x:c r="G3760" s="10" t="n">
        <x:f>SUM(D3760:F3760)</x:f>
        <x:v>560</x:v>
      </x:c>
    </x:row>
    <x:row r="3761" ht="24" customHeight="1">
      <x:c r="A3761" s="10" t="str">
        <x:v>S06-09</x:v>
      </x:c>
      <x:c r="B3761" s="10" t="str">
        <x:v>A</x:v>
      </x:c>
      <x:c r="C3761" s="18" t="n">
        <x:v>-6</x:v>
      </x:c>
      <x:c r="D3761" s="10" t="n">
        <x:v>560</x:v>
      </x:c>
      <x:c r="E3761" s="10" t="n">
        <x:v>0</x:v>
      </x:c>
      <x:c r="F3761" s="10" t="n">
        <x:v>0</x:v>
      </x:c>
      <x:c r="G3761" s="10" t="n">
        <x:f>SUM(D3761:F3761)</x:f>
        <x:v>560</x:v>
      </x:c>
    </x:row>
    <x:row r="3762" ht="24" customHeight="1">
      <x:c r="A3762" s="10" t="str">
        <x:v>S06-09</x:v>
      </x:c>
      <x:c r="B3762" s="10" t="str">
        <x:v>A</x:v>
      </x:c>
      <x:c r="C3762" s="18" t="n">
        <x:v>-5.9999999</x:v>
      </x:c>
      <x:c r="D3762" s="10" t="n">
        <x:v>560</x:v>
      </x:c>
      <x:c r="E3762" s="10" t="n">
        <x:v>0</x:v>
      </x:c>
      <x:c r="F3762" s="10" t="n">
        <x:v>0</x:v>
      </x:c>
      <x:c r="G3762" s="10" t="n">
        <x:f>SUM(D3762:F3762)</x:f>
        <x:v>560</x:v>
      </x:c>
    </x:row>
    <x:row r="3763" ht="24" customHeight="1">
      <x:c r="A3763" s="10" t="str">
        <x:v>S06-09</x:v>
      </x:c>
      <x:c r="B3763" s="10" t="str">
        <x:v>A</x:v>
      </x:c>
      <x:c r="C3763" s="18" t="n">
        <x:v>-4.0000001</x:v>
      </x:c>
      <x:c r="D3763" s="10" t="n">
        <x:v>560</x:v>
      </x:c>
      <x:c r="E3763" s="10" t="n">
        <x:v>0</x:v>
      </x:c>
      <x:c r="F3763" s="10" t="n">
        <x:v>0</x:v>
      </x:c>
      <x:c r="G3763" s="10" t="n">
        <x:f>SUM(D3763:F3763)</x:f>
        <x:v>560</x:v>
      </x:c>
    </x:row>
    <x:row r="3764" ht="24" customHeight="1">
      <x:c r="A3764" s="10" t="str">
        <x:v>S06-09</x:v>
      </x:c>
      <x:c r="B3764" s="10" t="str">
        <x:v>A</x:v>
      </x:c>
      <x:c r="C3764" s="18" t="n">
        <x:v>-4</x:v>
      </x:c>
      <x:c r="D3764" s="10" t="n">
        <x:v>560</x:v>
      </x:c>
      <x:c r="E3764" s="10" t="n">
        <x:v>0</x:v>
      </x:c>
      <x:c r="F3764" s="10" t="n">
        <x:v>0.004096</x:v>
      </x:c>
      <x:c r="G3764" s="10" t="n">
        <x:f>SUM(D3764:F3764)</x:f>
        <x:v>560.004096</x:v>
      </x:c>
    </x:row>
    <x:row r="3765" ht="24" customHeight="1">
      <x:c r="A3765" s="10" t="str">
        <x:v>S06-09</x:v>
      </x:c>
      <x:c r="B3765" s="10" t="str">
        <x:v>A</x:v>
      </x:c>
      <x:c r="C3765" s="18" t="n">
        <x:v>-3.9999999</x:v>
      </x:c>
      <x:c r="D3765" s="10" t="n">
        <x:v>560</x:v>
      </x:c>
      <x:c r="E3765" s="10" t="n">
        <x:v>0</x:v>
      </x:c>
      <x:c r="F3765" s="10" t="n">
        <x:v>0.004096</x:v>
      </x:c>
      <x:c r="G3765" s="10" t="n">
        <x:f>SUM(D3765:F3765)</x:f>
        <x:v>560.004096</x:v>
      </x:c>
    </x:row>
    <x:row r="3766" ht="24" customHeight="1">
      <x:c r="A3766" s="10" t="str">
        <x:v>S06-09</x:v>
      </x:c>
      <x:c r="B3766" s="10" t="str">
        <x:v>A</x:v>
      </x:c>
      <x:c r="C3766" s="18" t="n">
        <x:v>-3.594333433</x:v>
      </x:c>
      <x:c r="D3766" s="10" t="n">
        <x:v>560</x:v>
      </x:c>
      <x:c r="E3766" s="10" t="n">
        <x:v>0</x:v>
      </x:c>
      <x:c r="F3766" s="10" t="n">
        <x:v>0.004096</x:v>
      </x:c>
      <x:c r="G3766" s="10" t="n">
        <x:f>SUM(D3766:F3766)</x:f>
        <x:v>560.004096</x:v>
      </x:c>
    </x:row>
    <x:row r="3767" ht="24" customHeight="1">
      <x:c r="A3767" s="10" t="str">
        <x:v>S06-09</x:v>
      </x:c>
      <x:c r="B3767" s="10" t="str">
        <x:v>A</x:v>
      </x:c>
      <x:c r="C3767" s="18" t="n">
        <x:v>-3.594333333</x:v>
      </x:c>
      <x:c r="D3767" s="10" t="n">
        <x:v>560</x:v>
      </x:c>
      <x:c r="E3767" s="10" t="n">
        <x:v>0.0096</x:v>
      </x:c>
      <x:c r="F3767" s="10" t="n">
        <x:v>0.004096</x:v>
      </x:c>
      <x:c r="G3767" s="10" t="n">
        <x:f>SUM(D3767:F3767)</x:f>
        <x:v>560.013696</x:v>
      </x:c>
    </x:row>
    <x:row r="3768" ht="24" customHeight="1">
      <x:c r="A3768" s="10" t="str">
        <x:v>S06-09</x:v>
      </x:c>
      <x:c r="B3768" s="10" t="str">
        <x:v>A</x:v>
      </x:c>
      <x:c r="C3768" s="18" t="n">
        <x:v>-3.594333233</x:v>
      </x:c>
      <x:c r="D3768" s="10" t="n">
        <x:v>560</x:v>
      </x:c>
      <x:c r="E3768" s="10" t="n">
        <x:v>0.009600019</x:v>
      </x:c>
      <x:c r="F3768" s="10" t="n">
        <x:v>0.004096</x:v>
      </x:c>
      <x:c r="G3768" s="10" t="n">
        <x:f>SUM(D3768:F3768)</x:f>
        <x:v>560.013696019</x:v>
      </x:c>
    </x:row>
    <x:row r="3769" ht="24" customHeight="1">
      <x:c r="A3769" s="10" t="str">
        <x:v>S06-09</x:v>
      </x:c>
      <x:c r="B3769" s="10" t="str">
        <x:v>A</x:v>
      </x:c>
      <x:c r="C3769" s="18" t="n">
        <x:v>-2.9200001</x:v>
      </x:c>
      <x:c r="D3769" s="10" t="n">
        <x:v>560</x:v>
      </x:c>
      <x:c r="E3769" s="10" t="n">
        <x:v>0.139071981</x:v>
      </x:c>
      <x:c r="F3769" s="10" t="n">
        <x:v>0.004096</x:v>
      </x:c>
      <x:c r="G3769" s="10" t="n">
        <x:f>SUM(D3769:F3769)</x:f>
        <x:v>560.143167981</x:v>
      </x:c>
    </x:row>
    <x:row r="3770" ht="24" customHeight="1">
      <x:c r="A3770" s="10" t="str">
        <x:v>S06-09</x:v>
      </x:c>
      <x:c r="B3770" s="10" t="str">
        <x:v>A</x:v>
      </x:c>
      <x:c r="C3770" s="18" t="n">
        <x:v>-2.92</x:v>
      </x:c>
      <x:c r="D3770" s="10" t="n">
        <x:v>560</x:v>
      </x:c>
      <x:c r="E3770" s="10" t="n">
        <x:v>0.139072</x:v>
      </x:c>
      <x:c r="F3770" s="10" t="n">
        <x:v>0.004096</x:v>
      </x:c>
      <x:c r="G3770" s="10" t="n">
        <x:f>SUM(D3770:F3770)</x:f>
        <x:v>560.1431680000001</x:v>
      </x:c>
    </x:row>
    <x:row r="3771" ht="24" customHeight="1">
      <x:c r="A3771" s="10" t="str">
        <x:v>S06-09</x:v>
      </x:c>
      <x:c r="B3771" s="10" t="str">
        <x:v>A</x:v>
      </x:c>
      <x:c r="C3771" s="18" t="n">
        <x:v>-2.9199999</x:v>
      </x:c>
      <x:c r="D3771" s="10" t="n">
        <x:v>560</x:v>
      </x:c>
      <x:c r="E3771" s="10" t="n">
        <x:v>0.139072014</x:v>
      </x:c>
      <x:c r="F3771" s="10" t="n">
        <x:v>0.004096</x:v>
      </x:c>
      <x:c r="G3771" s="10" t="n">
        <x:f>SUM(D3771:F3771)</x:f>
        <x:v>560.143168014</x:v>
      </x:c>
    </x:row>
    <x:row r="3772" ht="24" customHeight="1">
      <x:c r="A3772" s="10" t="str">
        <x:v>S06-09</x:v>
      </x:c>
      <x:c r="B3772" s="10" t="str">
        <x:v>A</x:v>
      </x:c>
      <x:c r="C3772" s="18" t="n">
        <x:v>-1.9200001</x:v>
      </x:c>
      <x:c r="D3772" s="10" t="n">
        <x:v>560</x:v>
      </x:c>
      <x:c r="E3772" s="10" t="n">
        <x:v>0.283071986</x:v>
      </x:c>
      <x:c r="F3772" s="10" t="n">
        <x:v>0.004096</x:v>
      </x:c>
      <x:c r="G3772" s="10" t="n">
        <x:f>SUM(D3772:F3772)</x:f>
        <x:v>560.287167986</x:v>
      </x:c>
    </x:row>
    <x:row r="3773" ht="24" customHeight="1">
      <x:c r="A3773" s="10" t="str">
        <x:v>S06-09</x:v>
      </x:c>
      <x:c r="B3773" s="10" t="str">
        <x:v>A</x:v>
      </x:c>
      <x:c r="C3773" s="18" t="n">
        <x:v>-1.92</x:v>
      </x:c>
      <x:c r="D3773" s="10" t="n">
        <x:v>560</x:v>
      </x:c>
      <x:c r="E3773" s="10" t="n">
        <x:v>0.283072</x:v>
      </x:c>
      <x:c r="F3773" s="10" t="n">
        <x:v>0.004096</x:v>
      </x:c>
      <x:c r="G3773" s="10" t="n">
        <x:f>SUM(D3773:F3773)</x:f>
        <x:v>560.287168</x:v>
      </x:c>
    </x:row>
    <x:row r="3774" ht="24" customHeight="1">
      <x:c r="A3774" s="10" t="str">
        <x:v>S06-09</x:v>
      </x:c>
      <x:c r="B3774" s="10" t="str">
        <x:v>A</x:v>
      </x:c>
      <x:c r="C3774" s="18" t="n">
        <x:v>-1.9199999</x:v>
      </x:c>
      <x:c r="D3774" s="10" t="n">
        <x:v>560</x:v>
      </x:c>
      <x:c r="E3774" s="10" t="n">
        <x:v>0.283072019</x:v>
      </x:c>
      <x:c r="F3774" s="10" t="n">
        <x:v>0.004096</x:v>
      </x:c>
      <x:c r="G3774" s="10" t="n">
        <x:f>SUM(D3774:F3774)</x:f>
        <x:v>560.287168019</x:v>
      </x:c>
    </x:row>
    <x:row r="3775" ht="24" customHeight="1">
      <x:c r="A3775" s="10" t="str">
        <x:v>S06-09</x:v>
      </x:c>
      <x:c r="B3775" s="10" t="str">
        <x:v>A</x:v>
      </x:c>
      <x:c r="C3775" s="18" t="n">
        <x:v>-1.633833433</x:v>
      </x:c>
      <x:c r="D3775" s="10" t="n">
        <x:v>560</x:v>
      </x:c>
      <x:c r="E3775" s="10" t="n">
        <x:v>0.338015981</x:v>
      </x:c>
      <x:c r="F3775" s="10" t="n">
        <x:v>0.004096</x:v>
      </x:c>
      <x:c r="G3775" s="10" t="n">
        <x:f>SUM(D3775:F3775)</x:f>
        <x:v>560.342111981</x:v>
      </x:c>
    </x:row>
    <x:row r="3776" ht="24" customHeight="1">
      <x:c r="A3776" s="10" t="str">
        <x:v>S06-09</x:v>
      </x:c>
      <x:c r="B3776" s="10" t="str">
        <x:v>A</x:v>
      </x:c>
      <x:c r="C3776" s="18" t="n">
        <x:v>-1.633833333</x:v>
      </x:c>
      <x:c r="D3776" s="10" t="n">
        <x:v>560</x:v>
      </x:c>
      <x:c r="E3776" s="10" t="n">
        <x:v>0.338016</x:v>
      </x:c>
      <x:c r="F3776" s="10" t="n">
        <x:v>0.004096</x:v>
      </x:c>
      <x:c r="G3776" s="10" t="n">
        <x:f>SUM(D3776:F3776)</x:f>
        <x:v>560.342112</x:v>
      </x:c>
    </x:row>
    <x:row r="3777" ht="24" customHeight="1">
      <x:c r="A3777" s="10" t="str">
        <x:v>S06-09</x:v>
      </x:c>
      <x:c r="B3777" s="10" t="str">
        <x:v>A</x:v>
      </x:c>
      <x:c r="C3777" s="18" t="n">
        <x:v>-1.633833233</x:v>
      </x:c>
      <x:c r="D3777" s="10" t="n">
        <x:v>560</x:v>
      </x:c>
      <x:c r="E3777" s="10" t="n">
        <x:v>0.338016</x:v>
      </x:c>
      <x:c r="F3777" s="10" t="n">
        <x:v>0.004096</x:v>
      </x:c>
      <x:c r="G3777" s="10" t="n">
        <x:f>SUM(D3777:F3777)</x:f>
        <x:v>560.342112</x:v>
      </x:c>
    </x:row>
    <x:row r="3778" ht="24" customHeight="1">
      <x:c r="A3778" s="10" t="str">
        <x:v>S06-09</x:v>
      </x:c>
      <x:c r="B3778" s="10" t="str">
        <x:v>A</x:v>
      </x:c>
      <x:c r="C3778" s="18" t="n">
        <x:v>-1e-7</x:v>
      </x:c>
      <x:c r="D3778" s="10" t="n">
        <x:v>560</x:v>
      </x:c>
      <x:c r="E3778" s="10" t="n">
        <x:v>0.338016</x:v>
      </x:c>
      <x:c r="F3778" s="10" t="n">
        <x:v>0.004096</x:v>
      </x:c>
      <x:c r="G3778" s="10" t="n">
        <x:f>SUM(D3778:F3778)</x:f>
        <x:v>560.342112</x:v>
      </x:c>
    </x:row>
    <x:row r="3779" ht="24" customHeight="1">
      <x:c r="A3779" s="10" t="str">
        <x:v>S06-09</x:v>
      </x:c>
      <x:c r="B3779" s="10" t="str">
        <x:v>A</x:v>
      </x:c>
      <x:c r="C3779" s="18" t="n">
        <x:v>0</x:v>
      </x:c>
      <x:c r="D3779" s="10" t="n">
        <x:v>560</x:v>
      </x:c>
      <x:c r="E3779" s="10" t="n">
        <x:v>0.338016</x:v>
      </x:c>
      <x:c r="F3779" s="10" t="n">
        <x:v>0.004096</x:v>
      </x:c>
      <x:c r="G3779" s="10" t="n">
        <x:f>SUM(D3779:F3779)</x:f>
        <x:v>560.342112</x:v>
      </x:c>
    </x:row>
    <x:row r="3780" ht="24" customHeight="1">
      <x:c r="A3780" s="10" t="str">
        <x:v>S06-09</x:v>
      </x:c>
      <x:c r="B3780" s="10" t="str">
        <x:v>A</x:v>
      </x:c>
      <x:c r="C3780" s="18" t="n">
        <x:v>1e-7</x:v>
      </x:c>
      <x:c r="D3780" s="10" t="n">
        <x:v>560</x:v>
      </x:c>
      <x:c r="E3780" s="10" t="n">
        <x:v>0.338016</x:v>
      </x:c>
      <x:c r="F3780" s="10" t="n">
        <x:v>0.004096</x:v>
      </x:c>
      <x:c r="G3780" s="10" t="n">
        <x:f>SUM(D3780:F3780)</x:f>
        <x:v>560.342112</x:v>
      </x:c>
    </x:row>
    <x:row r="3781" ht="24" customHeight="1">
      <x:c r="A3781" s="10" t="str">
        <x:v>S06-09</x:v>
      </x:c>
      <x:c r="B3781" s="10" t="str">
        <x:v>A</x:v>
      </x:c>
      <x:c r="C3781" s="18" t="n">
        <x:v>0.8699999</x:v>
      </x:c>
      <x:c r="D3781" s="10" t="n">
        <x:v>560</x:v>
      </x:c>
      <x:c r="E3781" s="10" t="n">
        <x:v>0.338016</x:v>
      </x:c>
      <x:c r="F3781" s="10" t="n">
        <x:v>0.004096</x:v>
      </x:c>
      <x:c r="G3781" s="10" t="n">
        <x:f>SUM(D3781:F3781)</x:f>
        <x:v>560.342112</x:v>
      </x:c>
    </x:row>
    <x:row r="3782" ht="24" customHeight="1">
      <x:c r="A3782" s="10" t="str">
        <x:v>S06-09</x:v>
      </x:c>
      <x:c r="B3782" s="10" t="str">
        <x:v>A</x:v>
      </x:c>
      <x:c r="C3782" s="18" t="n">
        <x:v>0.87</x:v>
      </x:c>
      <x:c r="D3782" s="10" t="n">
        <x:v>560</x:v>
      </x:c>
      <x:c r="E3782" s="10" t="n">
        <x:v>0.338016</x:v>
      </x:c>
      <x:c r="F3782" s="10" t="n">
        <x:v>0.004096</x:v>
      </x:c>
      <x:c r="G3782" s="10" t="n">
        <x:f>SUM(D3782:F3782)</x:f>
        <x:v>560.342112</x:v>
      </x:c>
    </x:row>
    <x:row r="3783" ht="24" customHeight="1">
      <x:c r="A3783" s="10" t="str">
        <x:v>S06-09</x:v>
      </x:c>
      <x:c r="B3783" s="10" t="str">
        <x:v>A</x:v>
      </x:c>
      <x:c r="C3783" s="18" t="n">
        <x:v>0.8700001</x:v>
      </x:c>
      <x:c r="D3783" s="10" t="n">
        <x:v>560</x:v>
      </x:c>
      <x:c r="E3783" s="10" t="n">
        <x:v>0.338016</x:v>
      </x:c>
      <x:c r="F3783" s="10" t="n">
        <x:v>0.004096</x:v>
      </x:c>
      <x:c r="G3783" s="10" t="n">
        <x:f>SUM(D3783:F3783)</x:f>
        <x:v>560.342112</x:v>
      </x:c>
    </x:row>
    <x:row r="3784" ht="24" customHeight="1">
      <x:c r="A3784" s="10" t="str">
        <x:v>S06-09</x:v>
      </x:c>
      <x:c r="B3784" s="10" t="str">
        <x:v>A</x:v>
      </x:c>
      <x:c r="C3784" s="18" t="n">
        <x:v>0.9099999</x:v>
      </x:c>
      <x:c r="D3784" s="10" t="n">
        <x:v>560</x:v>
      </x:c>
      <x:c r="E3784" s="10" t="n">
        <x:v>0.338016</x:v>
      </x:c>
      <x:c r="F3784" s="10" t="n">
        <x:v>0.004096</x:v>
      </x:c>
      <x:c r="G3784" s="10" t="n">
        <x:f>SUM(D3784:F3784)</x:f>
        <x:v>560.342112</x:v>
      </x:c>
    </x:row>
    <x:row r="3785" ht="24" customHeight="1">
      <x:c r="A3785" s="10" t="str">
        <x:v>S06-09</x:v>
      </x:c>
      <x:c r="B3785" s="10" t="str">
        <x:v>A</x:v>
      </x:c>
      <x:c r="C3785" s="18" t="n">
        <x:v>0.91</x:v>
      </x:c>
      <x:c r="D3785" s="10" t="n">
        <x:v>560</x:v>
      </x:c>
      <x:c r="E3785" s="10" t="n">
        <x:v>0.338016</x:v>
      </x:c>
      <x:c r="F3785" s="10" t="n">
        <x:v>0.004096</x:v>
      </x:c>
      <x:c r="G3785" s="10" t="n">
        <x:f>SUM(D3785:F3785)</x:f>
        <x:v>560.342112</x:v>
      </x:c>
    </x:row>
    <x:row r="3786" ht="24" customHeight="1">
      <x:c r="A3786" s="10" t="str">
        <x:v>S06-09</x:v>
      </x:c>
      <x:c r="B3786" s="10" t="str">
        <x:v>A</x:v>
      </x:c>
      <x:c r="C3786" s="18" t="n">
        <x:v>0.9100001</x:v>
      </x:c>
      <x:c r="D3786" s="10" t="n">
        <x:v>560</x:v>
      </x:c>
      <x:c r="E3786" s="10" t="n">
        <x:v>0.338015995</x:v>
      </x:c>
      <x:c r="F3786" s="10" t="n">
        <x:v>0.004096</x:v>
      </x:c>
      <x:c r="G3786" s="10" t="n">
        <x:f>SUM(D3786:F3786)</x:f>
        <x:v>560.342111995</x:v>
      </x:c>
    </x:row>
    <x:row r="3787" ht="24" customHeight="1">
      <x:c r="A3787" s="10" t="str">
        <x:v>S06-09</x:v>
      </x:c>
      <x:c r="B3787" s="10" t="str">
        <x:v>A</x:v>
      </x:c>
      <x:c r="C3787" s="18" t="n">
        <x:v>1.5099999</x:v>
      </x:c>
      <x:c r="D3787" s="10" t="n">
        <x:v>560</x:v>
      </x:c>
      <x:c r="E3787" s="10" t="n">
        <x:v>0.309216005</x:v>
      </x:c>
      <x:c r="F3787" s="10" t="n">
        <x:v>0.004096</x:v>
      </x:c>
      <x:c r="G3787" s="10" t="n">
        <x:f>SUM(D3787:F3787)</x:f>
        <x:v>560.3133120050001</x:v>
      </x:c>
    </x:row>
    <x:row r="3788" ht="24" customHeight="1">
      <x:c r="A3788" s="10" t="str">
        <x:v>S06-09</x:v>
      </x:c>
      <x:c r="B3788" s="10" t="str">
        <x:v>A</x:v>
      </x:c>
      <x:c r="C3788" s="18" t="n">
        <x:v>1.51</x:v>
      </x:c>
      <x:c r="D3788" s="10" t="n">
        <x:v>560</x:v>
      </x:c>
      <x:c r="E3788" s="10" t="n">
        <x:v>0.309216</x:v>
      </x:c>
      <x:c r="F3788" s="10" t="n">
        <x:v>0.004096</x:v>
      </x:c>
      <x:c r="G3788" s="10" t="n">
        <x:f>SUM(D3788:F3788)</x:f>
        <x:v>560.313312</x:v>
      </x:c>
    </x:row>
    <x:row r="3789" ht="24" customHeight="1">
      <x:c r="A3789" s="10" t="str">
        <x:v>S06-09</x:v>
      </x:c>
      <x:c r="B3789" s="10" t="str">
        <x:v>A</x:v>
      </x:c>
      <x:c r="C3789" s="18" t="n">
        <x:v>1.5100001</x:v>
      </x:c>
      <x:c r="D3789" s="10" t="n">
        <x:v>560</x:v>
      </x:c>
      <x:c r="E3789" s="10" t="n">
        <x:v>0.309216</x:v>
      </x:c>
      <x:c r="F3789" s="10" t="n">
        <x:v>0.004096</x:v>
      </x:c>
      <x:c r="G3789" s="10" t="n">
        <x:f>SUM(D3789:F3789)</x:f>
        <x:v>560.313312</x:v>
      </x:c>
    </x:row>
    <x:row r="3790" ht="24" customHeight="1">
      <x:c r="A3790" s="10" t="str">
        <x:v>S06-09</x:v>
      </x:c>
      <x:c r="B3790" s="10" t="str">
        <x:v>A</x:v>
      </x:c>
      <x:c r="C3790" s="18" t="n">
        <x:v>1.8099999</x:v>
      </x:c>
      <x:c r="D3790" s="10" t="n">
        <x:v>560</x:v>
      </x:c>
      <x:c r="E3790" s="10" t="n">
        <x:v>0.309216</x:v>
      </x:c>
      <x:c r="F3790" s="10" t="n">
        <x:v>0.004096</x:v>
      </x:c>
      <x:c r="G3790" s="10" t="n">
        <x:f>SUM(D3790:F3790)</x:f>
        <x:v>560.313312</x:v>
      </x:c>
    </x:row>
    <x:row r="3791" ht="24" customHeight="1">
      <x:c r="A3791" s="10" t="str">
        <x:v>S06-09</x:v>
      </x:c>
      <x:c r="B3791" s="10" t="str">
        <x:v>A</x:v>
      </x:c>
      <x:c r="C3791" s="18" t="n">
        <x:v>1.81</x:v>
      </x:c>
      <x:c r="D3791" s="10" t="n">
        <x:v>560</x:v>
      </x:c>
      <x:c r="E3791" s="10" t="n">
        <x:v>0.309216</x:v>
      </x:c>
      <x:c r="F3791" s="10" t="n">
        <x:v>0.004096</x:v>
      </x:c>
      <x:c r="G3791" s="10" t="n">
        <x:f>SUM(D3791:F3791)</x:f>
        <x:v>560.313312</x:v>
      </x:c>
    </x:row>
    <x:row r="3792" ht="24" customHeight="1">
      <x:c r="A3792" s="10" t="str">
        <x:v>S06-09</x:v>
      </x:c>
      <x:c r="B3792" s="10" t="str">
        <x:v>A</x:v>
      </x:c>
      <x:c r="C3792" s="18" t="n">
        <x:v>1.8100001</x:v>
      </x:c>
      <x:c r="D3792" s="10" t="n">
        <x:v>560</x:v>
      </x:c>
      <x:c r="E3792" s="10" t="n">
        <x:v>0.309215995</x:v>
      </x:c>
      <x:c r="F3792" s="10" t="n">
        <x:v>0.004096</x:v>
      </x:c>
      <x:c r="G3792" s="10" t="n">
        <x:f>SUM(D3792:F3792)</x:f>
        <x:v>560.313311995</x:v>
      </x:c>
    </x:row>
    <x:row r="3793" ht="24" customHeight="1">
      <x:c r="A3793" s="10" t="str">
        <x:v>S06-09</x:v>
      </x:c>
      <x:c r="B3793" s="10" t="str">
        <x:v>A</x:v>
      </x:c>
      <x:c r="C3793" s="18" t="n">
        <x:v>8.251999899</x:v>
      </x:c>
      <x:c r="D3793" s="10" t="n">
        <x:v>560</x:v>
      </x:c>
      <x:c r="E3793" s="10" t="n">
        <x:v>5e-9</x:v>
      </x:c>
      <x:c r="F3793" s="10" t="n">
        <x:v>0.004096</x:v>
      </x:c>
      <x:c r="G3793" s="10" t="n">
        <x:f>SUM(D3793:F3793)</x:f>
        <x:v>560.004096005</x:v>
      </x:c>
    </x:row>
    <x:row r="3794" ht="24" customHeight="1">
      <x:c r="A3794" s="10" t="str">
        <x:v>S06-09</x:v>
      </x:c>
      <x:c r="B3794" s="10" t="str">
        <x:v>A</x:v>
      </x:c>
      <x:c r="C3794" s="18" t="n">
        <x:v>8.251999999</x:v>
      </x:c>
      <x:c r="D3794" s="10" t="n">
        <x:v>560</x:v>
      </x:c>
      <x:c r="E3794" s="10" t="n">
        <x:v>0</x:v>
      </x:c>
      <x:c r="F3794" s="10" t="n">
        <x:v>0.004096</x:v>
      </x:c>
      <x:c r="G3794" s="10" t="n">
        <x:f>SUM(D3794:F3794)</x:f>
        <x:v>560.004096</x:v>
      </x:c>
    </x:row>
    <x:row r="3795" ht="24" customHeight="1">
      <x:c r="A3795" s="10" t="str">
        <x:v>S06-09</x:v>
      </x:c>
      <x:c r="B3795" s="10" t="str">
        <x:v>A</x:v>
      </x:c>
      <x:c r="C3795" s="18" t="n">
        <x:v>8.252000099</x:v>
      </x:c>
      <x:c r="D3795" s="10" t="n">
        <x:v>560</x:v>
      </x:c>
      <x:c r="E3795" s="10" t="n">
        <x:v>0</x:v>
      </x:c>
      <x:c r="F3795" s="10" t="n">
        <x:v>0</x:v>
      </x:c>
      <x:c r="G3795" s="10" t="n">
        <x:f>SUM(D3795:F3795)</x:f>
        <x:v>560</x:v>
      </x:c>
    </x:row>
    <x:row r="3796" ht="24" customHeight="1">
      <x:c r="A3796" s="10" t="str">
        <x:v>S06-09</x:v>
      </x:c>
      <x:c r="B3796" s="10" t="str">
        <x:v>B</x:v>
      </x:c>
      <x:c r="C3796" s="18" t="n">
        <x:v>-6.0000001</x:v>
      </x:c>
      <x:c r="D3796" s="10" t="n">
        <x:v>560</x:v>
      </x:c>
      <x:c r="E3796" s="10" t="n">
        <x:v>0</x:v>
      </x:c>
      <x:c r="F3796" s="10" t="n">
        <x:v>0</x:v>
      </x:c>
      <x:c r="G3796" s="10" t="n">
        <x:f>SUM(D3796:F3796)</x:f>
        <x:v>560</x:v>
      </x:c>
    </x:row>
    <x:row r="3797" ht="24" customHeight="1">
      <x:c r="A3797" s="10" t="str">
        <x:v>S06-09</x:v>
      </x:c>
      <x:c r="B3797" s="10" t="str">
        <x:v>B</x:v>
      </x:c>
      <x:c r="C3797" s="18" t="n">
        <x:v>-6</x:v>
      </x:c>
      <x:c r="D3797" s="10" t="n">
        <x:v>560</x:v>
      </x:c>
      <x:c r="E3797" s="10" t="n">
        <x:v>0</x:v>
      </x:c>
      <x:c r="F3797" s="10" t="n">
        <x:v>0</x:v>
      </x:c>
      <x:c r="G3797" s="10" t="n">
        <x:f>SUM(D3797:F3797)</x:f>
        <x:v>560</x:v>
      </x:c>
    </x:row>
    <x:row r="3798" ht="24" customHeight="1">
      <x:c r="A3798" s="10" t="str">
        <x:v>S06-09</x:v>
      </x:c>
      <x:c r="B3798" s="10" t="str">
        <x:v>B</x:v>
      </x:c>
      <x:c r="C3798" s="18" t="n">
        <x:v>-5.9999999</x:v>
      </x:c>
      <x:c r="D3798" s="10" t="n">
        <x:v>560</x:v>
      </x:c>
      <x:c r="E3798" s="10" t="n">
        <x:v>0</x:v>
      </x:c>
      <x:c r="F3798" s="10" t="n">
        <x:v>0</x:v>
      </x:c>
      <x:c r="G3798" s="10" t="n">
        <x:f>SUM(D3798:F3798)</x:f>
        <x:v>560</x:v>
      </x:c>
    </x:row>
    <x:row r="3799" ht="24" customHeight="1">
      <x:c r="A3799" s="10" t="str">
        <x:v>S06-09</x:v>
      </x:c>
      <x:c r="B3799" s="10" t="str">
        <x:v>B</x:v>
      </x:c>
      <x:c r="C3799" s="18" t="n">
        <x:v>-4.0000001</x:v>
      </x:c>
      <x:c r="D3799" s="10" t="n">
        <x:v>560</x:v>
      </x:c>
      <x:c r="E3799" s="10" t="n">
        <x:v>0</x:v>
      </x:c>
      <x:c r="F3799" s="10" t="n">
        <x:v>0</x:v>
      </x:c>
      <x:c r="G3799" s="10" t="n">
        <x:f>SUM(D3799:F3799)</x:f>
        <x:v>560</x:v>
      </x:c>
    </x:row>
    <x:row r="3800" ht="24" customHeight="1">
      <x:c r="A3800" s="10" t="str">
        <x:v>S06-09</x:v>
      </x:c>
      <x:c r="B3800" s="10" t="str">
        <x:v>B</x:v>
      </x:c>
      <x:c r="C3800" s="18" t="n">
        <x:v>-4</x:v>
      </x:c>
      <x:c r="D3800" s="10" t="n">
        <x:v>560</x:v>
      </x:c>
      <x:c r="E3800" s="10" t="n">
        <x:v>0</x:v>
      </x:c>
      <x:c r="F3800" s="10" t="n">
        <x:v>0.004096</x:v>
      </x:c>
      <x:c r="G3800" s="10" t="n">
        <x:f>SUM(D3800:F3800)</x:f>
        <x:v>560.004096</x:v>
      </x:c>
    </x:row>
    <x:row r="3801" ht="24" customHeight="1">
      <x:c r="A3801" s="10" t="str">
        <x:v>S06-09</x:v>
      </x:c>
      <x:c r="B3801" s="10" t="str">
        <x:v>B</x:v>
      </x:c>
      <x:c r="C3801" s="18" t="n">
        <x:v>-3.9999999</x:v>
      </x:c>
      <x:c r="D3801" s="10" t="n">
        <x:v>560</x:v>
      </x:c>
      <x:c r="E3801" s="10" t="n">
        <x:v>0</x:v>
      </x:c>
      <x:c r="F3801" s="10" t="n">
        <x:v>0.004096</x:v>
      </x:c>
      <x:c r="G3801" s="10" t="n">
        <x:f>SUM(D3801:F3801)</x:f>
        <x:v>560.004096</x:v>
      </x:c>
    </x:row>
    <x:row r="3802" ht="24" customHeight="1">
      <x:c r="A3802" s="10" t="str">
        <x:v>S06-09</x:v>
      </x:c>
      <x:c r="B3802" s="10" t="str">
        <x:v>B</x:v>
      </x:c>
      <x:c r="C3802" s="18" t="n">
        <x:v>-3.594333433</x:v>
      </x:c>
      <x:c r="D3802" s="10" t="n">
        <x:v>560</x:v>
      </x:c>
      <x:c r="E3802" s="10" t="n">
        <x:v>0</x:v>
      </x:c>
      <x:c r="F3802" s="10" t="n">
        <x:v>0.004096</x:v>
      </x:c>
      <x:c r="G3802" s="10" t="n">
        <x:f>SUM(D3802:F3802)</x:f>
        <x:v>560.004096</x:v>
      </x:c>
    </x:row>
    <x:row r="3803" ht="24" customHeight="1">
      <x:c r="A3803" s="10" t="str">
        <x:v>S06-09</x:v>
      </x:c>
      <x:c r="B3803" s="10" t="str">
        <x:v>B</x:v>
      </x:c>
      <x:c r="C3803" s="18" t="n">
        <x:v>-3.594333333</x:v>
      </x:c>
      <x:c r="D3803" s="10" t="n">
        <x:v>560</x:v>
      </x:c>
      <x:c r="E3803" s="10" t="n">
        <x:v>0.0096</x:v>
      </x:c>
      <x:c r="F3803" s="10" t="n">
        <x:v>0.004096</x:v>
      </x:c>
      <x:c r="G3803" s="10" t="n">
        <x:f>SUM(D3803:F3803)</x:f>
        <x:v>560.013696</x:v>
      </x:c>
    </x:row>
    <x:row r="3804" ht="24" customHeight="1">
      <x:c r="A3804" s="10" t="str">
        <x:v>S06-09</x:v>
      </x:c>
      <x:c r="B3804" s="10" t="str">
        <x:v>B</x:v>
      </x:c>
      <x:c r="C3804" s="18" t="n">
        <x:v>-3.594333233</x:v>
      </x:c>
      <x:c r="D3804" s="10" t="n">
        <x:v>560</x:v>
      </x:c>
      <x:c r="E3804" s="10" t="n">
        <x:v>0.009600019</x:v>
      </x:c>
      <x:c r="F3804" s="10" t="n">
        <x:v>0.004096</x:v>
      </x:c>
      <x:c r="G3804" s="10" t="n">
        <x:f>SUM(D3804:F3804)</x:f>
        <x:v>560.013696019</x:v>
      </x:c>
    </x:row>
    <x:row r="3805" ht="24" customHeight="1">
      <x:c r="A3805" s="10" t="str">
        <x:v>S06-09</x:v>
      </x:c>
      <x:c r="B3805" s="10" t="str">
        <x:v>B</x:v>
      </x:c>
      <x:c r="C3805" s="18" t="n">
        <x:v>-2.9200001</x:v>
      </x:c>
      <x:c r="D3805" s="10" t="n">
        <x:v>560</x:v>
      </x:c>
      <x:c r="E3805" s="10" t="n">
        <x:v>0.139071981</x:v>
      </x:c>
      <x:c r="F3805" s="10" t="n">
        <x:v>0.004096</x:v>
      </x:c>
      <x:c r="G3805" s="10" t="n">
        <x:f>SUM(D3805:F3805)</x:f>
        <x:v>560.143167981</x:v>
      </x:c>
    </x:row>
    <x:row r="3806" ht="24" customHeight="1">
      <x:c r="A3806" s="10" t="str">
        <x:v>S06-09</x:v>
      </x:c>
      <x:c r="B3806" s="10" t="str">
        <x:v>B</x:v>
      </x:c>
      <x:c r="C3806" s="18" t="n">
        <x:v>-2.92</x:v>
      </x:c>
      <x:c r="D3806" s="10" t="n">
        <x:v>560</x:v>
      </x:c>
      <x:c r="E3806" s="10" t="n">
        <x:v>0.139072</x:v>
      </x:c>
      <x:c r="F3806" s="10" t="n">
        <x:v>0.004096</x:v>
      </x:c>
      <x:c r="G3806" s="10" t="n">
        <x:f>SUM(D3806:F3806)</x:f>
        <x:v>560.1431680000001</x:v>
      </x:c>
    </x:row>
    <x:row r="3807" ht="24" customHeight="1">
      <x:c r="A3807" s="10" t="str">
        <x:v>S06-09</x:v>
      </x:c>
      <x:c r="B3807" s="10" t="str">
        <x:v>B</x:v>
      </x:c>
      <x:c r="C3807" s="18" t="n">
        <x:v>-2.9199999</x:v>
      </x:c>
      <x:c r="D3807" s="10" t="n">
        <x:v>560</x:v>
      </x:c>
      <x:c r="E3807" s="10" t="n">
        <x:v>0.139072014</x:v>
      </x:c>
      <x:c r="F3807" s="10" t="n">
        <x:v>0.004096</x:v>
      </x:c>
      <x:c r="G3807" s="10" t="n">
        <x:f>SUM(D3807:F3807)</x:f>
        <x:v>560.143168014</x:v>
      </x:c>
    </x:row>
    <x:row r="3808" ht="24" customHeight="1">
      <x:c r="A3808" s="10" t="str">
        <x:v>S06-09</x:v>
      </x:c>
      <x:c r="B3808" s="10" t="str">
        <x:v>B</x:v>
      </x:c>
      <x:c r="C3808" s="18" t="n">
        <x:v>-1.9200001</x:v>
      </x:c>
      <x:c r="D3808" s="10" t="n">
        <x:v>560</x:v>
      </x:c>
      <x:c r="E3808" s="10" t="n">
        <x:v>0.283071986</x:v>
      </x:c>
      <x:c r="F3808" s="10" t="n">
        <x:v>0.004096</x:v>
      </x:c>
      <x:c r="G3808" s="10" t="n">
        <x:f>SUM(D3808:F3808)</x:f>
        <x:v>560.287167986</x:v>
      </x:c>
    </x:row>
    <x:row r="3809" ht="24" customHeight="1">
      <x:c r="A3809" s="10" t="str">
        <x:v>S06-09</x:v>
      </x:c>
      <x:c r="B3809" s="10" t="str">
        <x:v>B</x:v>
      </x:c>
      <x:c r="C3809" s="18" t="n">
        <x:v>-1.92</x:v>
      </x:c>
      <x:c r="D3809" s="10" t="n">
        <x:v>560</x:v>
      </x:c>
      <x:c r="E3809" s="10" t="n">
        <x:v>0.283072</x:v>
      </x:c>
      <x:c r="F3809" s="10" t="n">
        <x:v>0.004096</x:v>
      </x:c>
      <x:c r="G3809" s="10" t="n">
        <x:f>SUM(D3809:F3809)</x:f>
        <x:v>560.287168</x:v>
      </x:c>
    </x:row>
    <x:row r="3810" ht="24" customHeight="1">
      <x:c r="A3810" s="10" t="str">
        <x:v>S06-09</x:v>
      </x:c>
      <x:c r="B3810" s="10" t="str">
        <x:v>B</x:v>
      </x:c>
      <x:c r="C3810" s="18" t="n">
        <x:v>-1.9199999</x:v>
      </x:c>
      <x:c r="D3810" s="10" t="n">
        <x:v>560</x:v>
      </x:c>
      <x:c r="E3810" s="10" t="n">
        <x:v>0.283072019</x:v>
      </x:c>
      <x:c r="F3810" s="10" t="n">
        <x:v>0.004096</x:v>
      </x:c>
      <x:c r="G3810" s="10" t="n">
        <x:f>SUM(D3810:F3810)</x:f>
        <x:v>560.287168019</x:v>
      </x:c>
    </x:row>
    <x:row r="3811" ht="24" customHeight="1">
      <x:c r="A3811" s="10" t="str">
        <x:v>S06-09</x:v>
      </x:c>
      <x:c r="B3811" s="10" t="str">
        <x:v>B</x:v>
      </x:c>
      <x:c r="C3811" s="18" t="n">
        <x:v>-1.633833433</x:v>
      </x:c>
      <x:c r="D3811" s="10" t="n">
        <x:v>560</x:v>
      </x:c>
      <x:c r="E3811" s="10" t="n">
        <x:v>0.338015981</x:v>
      </x:c>
      <x:c r="F3811" s="10" t="n">
        <x:v>0.004096</x:v>
      </x:c>
      <x:c r="G3811" s="10" t="n">
        <x:f>SUM(D3811:F3811)</x:f>
        <x:v>560.342111981</x:v>
      </x:c>
    </x:row>
    <x:row r="3812" ht="24" customHeight="1">
      <x:c r="A3812" s="10" t="str">
        <x:v>S06-09</x:v>
      </x:c>
      <x:c r="B3812" s="10" t="str">
        <x:v>B</x:v>
      </x:c>
      <x:c r="C3812" s="18" t="n">
        <x:v>-1.633833333</x:v>
      </x:c>
      <x:c r="D3812" s="10" t="n">
        <x:v>560</x:v>
      </x:c>
      <x:c r="E3812" s="10" t="n">
        <x:v>0.338016</x:v>
      </x:c>
      <x:c r="F3812" s="10" t="n">
        <x:v>0.004096</x:v>
      </x:c>
      <x:c r="G3812" s="10" t="n">
        <x:f>SUM(D3812:F3812)</x:f>
        <x:v>560.342112</x:v>
      </x:c>
    </x:row>
    <x:row r="3813" ht="24" customHeight="1">
      <x:c r="A3813" s="10" t="str">
        <x:v>S06-09</x:v>
      </x:c>
      <x:c r="B3813" s="10" t="str">
        <x:v>B</x:v>
      </x:c>
      <x:c r="C3813" s="18" t="n">
        <x:v>-1.633833233</x:v>
      </x:c>
      <x:c r="D3813" s="10" t="n">
        <x:v>560</x:v>
      </x:c>
      <x:c r="E3813" s="10" t="n">
        <x:v>0.338016</x:v>
      </x:c>
      <x:c r="F3813" s="10" t="n">
        <x:v>0.004096</x:v>
      </x:c>
      <x:c r="G3813" s="10" t="n">
        <x:f>SUM(D3813:F3813)</x:f>
        <x:v>560.342112</x:v>
      </x:c>
    </x:row>
    <x:row r="3814" ht="24" customHeight="1">
      <x:c r="A3814" s="10" t="str">
        <x:v>S06-09</x:v>
      </x:c>
      <x:c r="B3814" s="10" t="str">
        <x:v>B</x:v>
      </x:c>
      <x:c r="C3814" s="18" t="n">
        <x:v>-1e-7</x:v>
      </x:c>
      <x:c r="D3814" s="10" t="n">
        <x:v>560</x:v>
      </x:c>
      <x:c r="E3814" s="10" t="n">
        <x:v>0.338016</x:v>
      </x:c>
      <x:c r="F3814" s="10" t="n">
        <x:v>0.004096</x:v>
      </x:c>
      <x:c r="G3814" s="10" t="n">
        <x:f>SUM(D3814:F3814)</x:f>
        <x:v>560.342112</x:v>
      </x:c>
    </x:row>
    <x:row r="3815" ht="24" customHeight="1">
      <x:c r="A3815" s="10" t="str">
        <x:v>S06-09</x:v>
      </x:c>
      <x:c r="B3815" s="10" t="str">
        <x:v>B</x:v>
      </x:c>
      <x:c r="C3815" s="18" t="n">
        <x:v>0</x:v>
      </x:c>
      <x:c r="D3815" s="10" t="n">
        <x:v>560</x:v>
      </x:c>
      <x:c r="E3815" s="10" t="n">
        <x:v>0.338016</x:v>
      </x:c>
      <x:c r="F3815" s="10" t="n">
        <x:v>0.004096</x:v>
      </x:c>
      <x:c r="G3815" s="10" t="n">
        <x:f>SUM(D3815:F3815)</x:f>
        <x:v>560.342112</x:v>
      </x:c>
    </x:row>
    <x:row r="3816" ht="24" customHeight="1">
      <x:c r="A3816" s="10" t="str">
        <x:v>S06-09</x:v>
      </x:c>
      <x:c r="B3816" s="10" t="str">
        <x:v>B</x:v>
      </x:c>
      <x:c r="C3816" s="18" t="n">
        <x:v>1e-7</x:v>
      </x:c>
      <x:c r="D3816" s="10" t="n">
        <x:v>560</x:v>
      </x:c>
      <x:c r="E3816" s="10" t="n">
        <x:v>0.338016</x:v>
      </x:c>
      <x:c r="F3816" s="10" t="n">
        <x:v>0.004096</x:v>
      </x:c>
      <x:c r="G3816" s="10" t="n">
        <x:f>SUM(D3816:F3816)</x:f>
        <x:v>560.342112</x:v>
      </x:c>
    </x:row>
    <x:row r="3817" ht="24" customHeight="1">
      <x:c r="A3817" s="10" t="str">
        <x:v>S06-09</x:v>
      </x:c>
      <x:c r="B3817" s="10" t="str">
        <x:v>B</x:v>
      </x:c>
      <x:c r="C3817" s="18" t="n">
        <x:v>0.8699999</x:v>
      </x:c>
      <x:c r="D3817" s="10" t="n">
        <x:v>560</x:v>
      </x:c>
      <x:c r="E3817" s="10" t="n">
        <x:v>0.338016</x:v>
      </x:c>
      <x:c r="F3817" s="10" t="n">
        <x:v>0.004096</x:v>
      </x:c>
      <x:c r="G3817" s="10" t="n">
        <x:f>SUM(D3817:F3817)</x:f>
        <x:v>560.342112</x:v>
      </x:c>
    </x:row>
    <x:row r="3818" ht="24" customHeight="1">
      <x:c r="A3818" s="10" t="str">
        <x:v>S06-09</x:v>
      </x:c>
      <x:c r="B3818" s="10" t="str">
        <x:v>B</x:v>
      </x:c>
      <x:c r="C3818" s="18" t="n">
        <x:v>0.87</x:v>
      </x:c>
      <x:c r="D3818" s="10" t="n">
        <x:v>560</x:v>
      </x:c>
      <x:c r="E3818" s="10" t="n">
        <x:v>0.338016</x:v>
      </x:c>
      <x:c r="F3818" s="10" t="n">
        <x:v>0.004096</x:v>
      </x:c>
      <x:c r="G3818" s="10" t="n">
        <x:f>SUM(D3818:F3818)</x:f>
        <x:v>560.342112</x:v>
      </x:c>
    </x:row>
    <x:row r="3819" ht="24" customHeight="1">
      <x:c r="A3819" s="10" t="str">
        <x:v>S06-09</x:v>
      </x:c>
      <x:c r="B3819" s="10" t="str">
        <x:v>B</x:v>
      </x:c>
      <x:c r="C3819" s="18" t="n">
        <x:v>0.8700001</x:v>
      </x:c>
      <x:c r="D3819" s="10" t="n">
        <x:v>560</x:v>
      </x:c>
      <x:c r="E3819" s="10" t="n">
        <x:v>0.338016</x:v>
      </x:c>
      <x:c r="F3819" s="10" t="n">
        <x:v>0.004096</x:v>
      </x:c>
      <x:c r="G3819" s="10" t="n">
        <x:f>SUM(D3819:F3819)</x:f>
        <x:v>560.342112</x:v>
      </x:c>
    </x:row>
    <x:row r="3820" ht="24" customHeight="1">
      <x:c r="A3820" s="10" t="str">
        <x:v>S06-09</x:v>
      </x:c>
      <x:c r="B3820" s="10" t="str">
        <x:v>B</x:v>
      </x:c>
      <x:c r="C3820" s="18" t="n">
        <x:v>0.9099999</x:v>
      </x:c>
      <x:c r="D3820" s="10" t="n">
        <x:v>560</x:v>
      </x:c>
      <x:c r="E3820" s="10" t="n">
        <x:v>0.338016</x:v>
      </x:c>
      <x:c r="F3820" s="10" t="n">
        <x:v>0.004096</x:v>
      </x:c>
      <x:c r="G3820" s="10" t="n">
        <x:f>SUM(D3820:F3820)</x:f>
        <x:v>560.342112</x:v>
      </x:c>
    </x:row>
    <x:row r="3821" ht="24" customHeight="1">
      <x:c r="A3821" s="10" t="str">
        <x:v>S06-09</x:v>
      </x:c>
      <x:c r="B3821" s="10" t="str">
        <x:v>B</x:v>
      </x:c>
      <x:c r="C3821" s="18" t="n">
        <x:v>0.91</x:v>
      </x:c>
      <x:c r="D3821" s="10" t="n">
        <x:v>560</x:v>
      </x:c>
      <x:c r="E3821" s="10" t="n">
        <x:v>0.338016</x:v>
      </x:c>
      <x:c r="F3821" s="10" t="n">
        <x:v>0.004096</x:v>
      </x:c>
      <x:c r="G3821" s="10" t="n">
        <x:f>SUM(D3821:F3821)</x:f>
        <x:v>560.342112</x:v>
      </x:c>
    </x:row>
    <x:row r="3822" ht="24" customHeight="1">
      <x:c r="A3822" s="10" t="str">
        <x:v>S06-09</x:v>
      </x:c>
      <x:c r="B3822" s="10" t="str">
        <x:v>B</x:v>
      </x:c>
      <x:c r="C3822" s="18" t="n">
        <x:v>0.9100001</x:v>
      </x:c>
      <x:c r="D3822" s="10" t="n">
        <x:v>560</x:v>
      </x:c>
      <x:c r="E3822" s="10" t="n">
        <x:v>0.338015995</x:v>
      </x:c>
      <x:c r="F3822" s="10" t="n">
        <x:v>0.004096</x:v>
      </x:c>
      <x:c r="G3822" s="10" t="n">
        <x:f>SUM(D3822:F3822)</x:f>
        <x:v>560.342111995</x:v>
      </x:c>
    </x:row>
    <x:row r="3823" ht="24" customHeight="1">
      <x:c r="A3823" s="10" t="str">
        <x:v>S06-09</x:v>
      </x:c>
      <x:c r="B3823" s="10" t="str">
        <x:v>B</x:v>
      </x:c>
      <x:c r="C3823" s="18" t="n">
        <x:v>1.5099999</x:v>
      </x:c>
      <x:c r="D3823" s="10" t="n">
        <x:v>560</x:v>
      </x:c>
      <x:c r="E3823" s="10" t="n">
        <x:v>0.309216005</x:v>
      </x:c>
      <x:c r="F3823" s="10" t="n">
        <x:v>0.004096</x:v>
      </x:c>
      <x:c r="G3823" s="10" t="n">
        <x:f>SUM(D3823:F3823)</x:f>
        <x:v>560.3133120050001</x:v>
      </x:c>
    </x:row>
    <x:row r="3824" ht="24" customHeight="1">
      <x:c r="A3824" s="10" t="str">
        <x:v>S06-09</x:v>
      </x:c>
      <x:c r="B3824" s="10" t="str">
        <x:v>B</x:v>
      </x:c>
      <x:c r="C3824" s="18" t="n">
        <x:v>1.51</x:v>
      </x:c>
      <x:c r="D3824" s="10" t="n">
        <x:v>560</x:v>
      </x:c>
      <x:c r="E3824" s="10" t="n">
        <x:v>0.309216</x:v>
      </x:c>
      <x:c r="F3824" s="10" t="n">
        <x:v>0.004096</x:v>
      </x:c>
      <x:c r="G3824" s="10" t="n">
        <x:f>SUM(D3824:F3824)</x:f>
        <x:v>560.313312</x:v>
      </x:c>
    </x:row>
    <x:row r="3825" ht="24" customHeight="1">
      <x:c r="A3825" s="10" t="str">
        <x:v>S06-09</x:v>
      </x:c>
      <x:c r="B3825" s="10" t="str">
        <x:v>B</x:v>
      </x:c>
      <x:c r="C3825" s="18" t="n">
        <x:v>1.5100001</x:v>
      </x:c>
      <x:c r="D3825" s="10" t="n">
        <x:v>560</x:v>
      </x:c>
      <x:c r="E3825" s="10" t="n">
        <x:v>0.309216</x:v>
      </x:c>
      <x:c r="F3825" s="10" t="n">
        <x:v>0.004096</x:v>
      </x:c>
      <x:c r="G3825" s="10" t="n">
        <x:f>SUM(D3825:F3825)</x:f>
        <x:v>560.313312</x:v>
      </x:c>
    </x:row>
    <x:row r="3826" ht="24" customHeight="1">
      <x:c r="A3826" s="10" t="str">
        <x:v>S06-09</x:v>
      </x:c>
      <x:c r="B3826" s="10" t="str">
        <x:v>B</x:v>
      </x:c>
      <x:c r="C3826" s="18" t="n">
        <x:v>1.8099999</x:v>
      </x:c>
      <x:c r="D3826" s="10" t="n">
        <x:v>560</x:v>
      </x:c>
      <x:c r="E3826" s="10" t="n">
        <x:v>0.309216</x:v>
      </x:c>
      <x:c r="F3826" s="10" t="n">
        <x:v>0.004096</x:v>
      </x:c>
      <x:c r="G3826" s="10" t="n">
        <x:f>SUM(D3826:F3826)</x:f>
        <x:v>560.313312</x:v>
      </x:c>
    </x:row>
    <x:row r="3827" ht="24" customHeight="1">
      <x:c r="A3827" s="10" t="str">
        <x:v>S06-09</x:v>
      </x:c>
      <x:c r="B3827" s="10" t="str">
        <x:v>B</x:v>
      </x:c>
      <x:c r="C3827" s="18" t="n">
        <x:v>1.81</x:v>
      </x:c>
      <x:c r="D3827" s="10" t="n">
        <x:v>560</x:v>
      </x:c>
      <x:c r="E3827" s="10" t="n">
        <x:v>0.309216</x:v>
      </x:c>
      <x:c r="F3827" s="10" t="n">
        <x:v>0.004096</x:v>
      </x:c>
      <x:c r="G3827" s="10" t="n">
        <x:f>SUM(D3827:F3827)</x:f>
        <x:v>560.313312</x:v>
      </x:c>
    </x:row>
    <x:row r="3828" ht="24" customHeight="1">
      <x:c r="A3828" s="10" t="str">
        <x:v>S06-09</x:v>
      </x:c>
      <x:c r="B3828" s="10" t="str">
        <x:v>B</x:v>
      </x:c>
      <x:c r="C3828" s="18" t="n">
        <x:v>1.8100001</x:v>
      </x:c>
      <x:c r="D3828" s="10" t="n">
        <x:v>560</x:v>
      </x:c>
      <x:c r="E3828" s="10" t="n">
        <x:v>0.309215995</x:v>
      </x:c>
      <x:c r="F3828" s="10" t="n">
        <x:v>0.004096</x:v>
      </x:c>
      <x:c r="G3828" s="10" t="n">
        <x:f>SUM(D3828:F3828)</x:f>
        <x:v>560.313311995</x:v>
      </x:c>
    </x:row>
    <x:row r="3829" ht="24" customHeight="1">
      <x:c r="A3829" s="10" t="str">
        <x:v>S06-09</x:v>
      </x:c>
      <x:c r="B3829" s="10" t="str">
        <x:v>B</x:v>
      </x:c>
      <x:c r="C3829" s="18" t="n">
        <x:v>8.251999899</x:v>
      </x:c>
      <x:c r="D3829" s="10" t="n">
        <x:v>560</x:v>
      </x:c>
      <x:c r="E3829" s="10" t="n">
        <x:v>5e-9</x:v>
      </x:c>
      <x:c r="F3829" s="10" t="n">
        <x:v>0.004096</x:v>
      </x:c>
      <x:c r="G3829" s="10" t="n">
        <x:f>SUM(D3829:F3829)</x:f>
        <x:v>560.004096005</x:v>
      </x:c>
    </x:row>
    <x:row r="3830" ht="24" customHeight="1">
      <x:c r="A3830" s="10" t="str">
        <x:v>S06-09</x:v>
      </x:c>
      <x:c r="B3830" s="10" t="str">
        <x:v>B</x:v>
      </x:c>
      <x:c r="C3830" s="18" t="n">
        <x:v>8.251999999</x:v>
      </x:c>
      <x:c r="D3830" s="10" t="n">
        <x:v>560</x:v>
      </x:c>
      <x:c r="E3830" s="10" t="n">
        <x:v>0</x:v>
      </x:c>
      <x:c r="F3830" s="10" t="n">
        <x:v>0.004096</x:v>
      </x:c>
      <x:c r="G3830" s="10" t="n">
        <x:f>SUM(D3830:F3830)</x:f>
        <x:v>560.004096</x:v>
      </x:c>
    </x:row>
    <x:row r="3831" ht="24" customHeight="1">
      <x:c r="A3831" s="10" t="str">
        <x:v>S06-09</x:v>
      </x:c>
      <x:c r="B3831" s="10" t="str">
        <x:v>B</x:v>
      </x:c>
      <x:c r="C3831" s="18" t="n">
        <x:v>8.252000099</x:v>
      </x:c>
      <x:c r="D3831" s="10" t="n">
        <x:v>560</x:v>
      </x:c>
      <x:c r="E3831" s="10" t="n">
        <x:v>0</x:v>
      </x:c>
      <x:c r="F3831" s="10" t="n">
        <x:v>0</x:v>
      </x:c>
      <x:c r="G3831" s="10" t="n">
        <x:f>SUM(D3831:F3831)</x:f>
        <x:v>560</x:v>
      </x:c>
    </x:row>
    <x:row r="3832" ht="24" customHeight="1">
      <x:c r="A3832" s="10" t="str">
        <x:v>S06-10</x:v>
      </x:c>
      <x:c r="B3832" s="10" t="str">
        <x:v>A</x:v>
      </x:c>
      <x:c r="C3832" s="18" t="n">
        <x:v>-6.0000001</x:v>
      </x:c>
      <x:c r="D3832" s="10" t="n">
        <x:v>560</x:v>
      </x:c>
      <x:c r="E3832" s="10" t="n">
        <x:v>0</x:v>
      </x:c>
      <x:c r="F3832" s="10" t="n">
        <x:v>0</x:v>
      </x:c>
      <x:c r="G3832" s="10" t="n">
        <x:f>SUM(D3832:F3832)</x:f>
        <x:v>560</x:v>
      </x:c>
    </x:row>
    <x:row r="3833" ht="24" customHeight="1">
      <x:c r="A3833" s="10" t="str">
        <x:v>S06-10</x:v>
      </x:c>
      <x:c r="B3833" s="10" t="str">
        <x:v>A</x:v>
      </x:c>
      <x:c r="C3833" s="18" t="n">
        <x:v>-6</x:v>
      </x:c>
      <x:c r="D3833" s="10" t="n">
        <x:v>560</x:v>
      </x:c>
      <x:c r="E3833" s="10" t="n">
        <x:v>0</x:v>
      </x:c>
      <x:c r="F3833" s="10" t="n">
        <x:v>0</x:v>
      </x:c>
      <x:c r="G3833" s="10" t="n">
        <x:f>SUM(D3833:F3833)</x:f>
        <x:v>560</x:v>
      </x:c>
    </x:row>
    <x:row r="3834" ht="24" customHeight="1">
      <x:c r="A3834" s="10" t="str">
        <x:v>S06-10</x:v>
      </x:c>
      <x:c r="B3834" s="10" t="str">
        <x:v>A</x:v>
      </x:c>
      <x:c r="C3834" s="18" t="n">
        <x:v>-5.9999999</x:v>
      </x:c>
      <x:c r="D3834" s="10" t="n">
        <x:v>560</x:v>
      </x:c>
      <x:c r="E3834" s="10" t="n">
        <x:v>0</x:v>
      </x:c>
      <x:c r="F3834" s="10" t="n">
        <x:v>0</x:v>
      </x:c>
      <x:c r="G3834" s="10" t="n">
        <x:f>SUM(D3834:F3834)</x:f>
        <x:v>560</x:v>
      </x:c>
    </x:row>
    <x:row r="3835" ht="24" customHeight="1">
      <x:c r="A3835" s="10" t="str">
        <x:v>S06-10</x:v>
      </x:c>
      <x:c r="B3835" s="10" t="str">
        <x:v>A</x:v>
      </x:c>
      <x:c r="C3835" s="18" t="n">
        <x:v>-4.0000001</x:v>
      </x:c>
      <x:c r="D3835" s="10" t="n">
        <x:v>560</x:v>
      </x:c>
      <x:c r="E3835" s="10" t="n">
        <x:v>0</x:v>
      </x:c>
      <x:c r="F3835" s="10" t="n">
        <x:v>0</x:v>
      </x:c>
      <x:c r="G3835" s="10" t="n">
        <x:f>SUM(D3835:F3835)</x:f>
        <x:v>560</x:v>
      </x:c>
    </x:row>
    <x:row r="3836" ht="24" customHeight="1">
      <x:c r="A3836" s="10" t="str">
        <x:v>S06-10</x:v>
      </x:c>
      <x:c r="B3836" s="10" t="str">
        <x:v>A</x:v>
      </x:c>
      <x:c r="C3836" s="18" t="n">
        <x:v>-4</x:v>
      </x:c>
      <x:c r="D3836" s="10" t="n">
        <x:v>560</x:v>
      </x:c>
      <x:c r="E3836" s="10" t="n">
        <x:v>0</x:v>
      </x:c>
      <x:c r="F3836" s="10" t="n">
        <x:v>0.004096</x:v>
      </x:c>
      <x:c r="G3836" s="10" t="n">
        <x:f>SUM(D3836:F3836)</x:f>
        <x:v>560.004096</x:v>
      </x:c>
    </x:row>
    <x:row r="3837" ht="24" customHeight="1">
      <x:c r="A3837" s="10" t="str">
        <x:v>S06-10</x:v>
      </x:c>
      <x:c r="B3837" s="10" t="str">
        <x:v>A</x:v>
      </x:c>
      <x:c r="C3837" s="18" t="n">
        <x:v>-3.9999999</x:v>
      </x:c>
      <x:c r="D3837" s="10" t="n">
        <x:v>560</x:v>
      </x:c>
      <x:c r="E3837" s="10" t="n">
        <x:v>0</x:v>
      </x:c>
      <x:c r="F3837" s="10" t="n">
        <x:v>0.004096</x:v>
      </x:c>
      <x:c r="G3837" s="10" t="n">
        <x:f>SUM(D3837:F3837)</x:f>
        <x:v>560.004096</x:v>
      </x:c>
    </x:row>
    <x:row r="3838" ht="24" customHeight="1">
      <x:c r="A3838" s="10" t="str">
        <x:v>S06-10</x:v>
      </x:c>
      <x:c r="B3838" s="10" t="str">
        <x:v>A</x:v>
      </x:c>
      <x:c r="C3838" s="18" t="n">
        <x:v>-3.594333433</x:v>
      </x:c>
      <x:c r="D3838" s="10" t="n">
        <x:v>560</x:v>
      </x:c>
      <x:c r="E3838" s="10" t="n">
        <x:v>0</x:v>
      </x:c>
      <x:c r="F3838" s="10" t="n">
        <x:v>0.004096</x:v>
      </x:c>
      <x:c r="G3838" s="10" t="n">
        <x:f>SUM(D3838:F3838)</x:f>
        <x:v>560.004096</x:v>
      </x:c>
    </x:row>
    <x:row r="3839" ht="24" customHeight="1">
      <x:c r="A3839" s="10" t="str">
        <x:v>S06-10</x:v>
      </x:c>
      <x:c r="B3839" s="10" t="str">
        <x:v>A</x:v>
      </x:c>
      <x:c r="C3839" s="18" t="n">
        <x:v>-3.594333333</x:v>
      </x:c>
      <x:c r="D3839" s="10" t="n">
        <x:v>560</x:v>
      </x:c>
      <x:c r="E3839" s="10" t="n">
        <x:v>0.0096</x:v>
      </x:c>
      <x:c r="F3839" s="10" t="n">
        <x:v>0.004096</x:v>
      </x:c>
      <x:c r="G3839" s="10" t="n">
        <x:f>SUM(D3839:F3839)</x:f>
        <x:v>560.013696</x:v>
      </x:c>
    </x:row>
    <x:row r="3840" ht="24" customHeight="1">
      <x:c r="A3840" s="10" t="str">
        <x:v>S06-10</x:v>
      </x:c>
      <x:c r="B3840" s="10" t="str">
        <x:v>A</x:v>
      </x:c>
      <x:c r="C3840" s="18" t="n">
        <x:v>-3.594333233</x:v>
      </x:c>
      <x:c r="D3840" s="10" t="n">
        <x:v>560</x:v>
      </x:c>
      <x:c r="E3840" s="10" t="n">
        <x:v>0.009600019</x:v>
      </x:c>
      <x:c r="F3840" s="10" t="n">
        <x:v>0.004096</x:v>
      </x:c>
      <x:c r="G3840" s="10" t="n">
        <x:f>SUM(D3840:F3840)</x:f>
        <x:v>560.013696019</x:v>
      </x:c>
    </x:row>
    <x:row r="3841" ht="24" customHeight="1">
      <x:c r="A3841" s="10" t="str">
        <x:v>S06-10</x:v>
      </x:c>
      <x:c r="B3841" s="10" t="str">
        <x:v>A</x:v>
      </x:c>
      <x:c r="C3841" s="18" t="n">
        <x:v>-2.9200001</x:v>
      </x:c>
      <x:c r="D3841" s="10" t="n">
        <x:v>560</x:v>
      </x:c>
      <x:c r="E3841" s="10" t="n">
        <x:v>0.139071981</x:v>
      </x:c>
      <x:c r="F3841" s="10" t="n">
        <x:v>0.004096</x:v>
      </x:c>
      <x:c r="G3841" s="10" t="n">
        <x:f>SUM(D3841:F3841)</x:f>
        <x:v>560.143167981</x:v>
      </x:c>
    </x:row>
    <x:row r="3842" ht="24" customHeight="1">
      <x:c r="A3842" s="10" t="str">
        <x:v>S06-10</x:v>
      </x:c>
      <x:c r="B3842" s="10" t="str">
        <x:v>A</x:v>
      </x:c>
      <x:c r="C3842" s="18" t="n">
        <x:v>-2.92</x:v>
      </x:c>
      <x:c r="D3842" s="10" t="n">
        <x:v>560</x:v>
      </x:c>
      <x:c r="E3842" s="10" t="n">
        <x:v>0.139072</x:v>
      </x:c>
      <x:c r="F3842" s="10" t="n">
        <x:v>0.004096</x:v>
      </x:c>
      <x:c r="G3842" s="10" t="n">
        <x:f>SUM(D3842:F3842)</x:f>
        <x:v>560.1431680000001</x:v>
      </x:c>
    </x:row>
    <x:row r="3843" ht="24" customHeight="1">
      <x:c r="A3843" s="10" t="str">
        <x:v>S06-10</x:v>
      </x:c>
      <x:c r="B3843" s="10" t="str">
        <x:v>A</x:v>
      </x:c>
      <x:c r="C3843" s="18" t="n">
        <x:v>-2.9199999</x:v>
      </x:c>
      <x:c r="D3843" s="10" t="n">
        <x:v>560</x:v>
      </x:c>
      <x:c r="E3843" s="10" t="n">
        <x:v>0.139072014</x:v>
      </x:c>
      <x:c r="F3843" s="10" t="n">
        <x:v>0.004096</x:v>
      </x:c>
      <x:c r="G3843" s="10" t="n">
        <x:f>SUM(D3843:F3843)</x:f>
        <x:v>560.143168014</x:v>
      </x:c>
    </x:row>
    <x:row r="3844" ht="24" customHeight="1">
      <x:c r="A3844" s="10" t="str">
        <x:v>S06-10</x:v>
      </x:c>
      <x:c r="B3844" s="10" t="str">
        <x:v>A</x:v>
      </x:c>
      <x:c r="C3844" s="18" t="n">
        <x:v>-1.9200001</x:v>
      </x:c>
      <x:c r="D3844" s="10" t="n">
        <x:v>560</x:v>
      </x:c>
      <x:c r="E3844" s="10" t="n">
        <x:v>0.283071986</x:v>
      </x:c>
      <x:c r="F3844" s="10" t="n">
        <x:v>0.004096</x:v>
      </x:c>
      <x:c r="G3844" s="10" t="n">
        <x:f>SUM(D3844:F3844)</x:f>
        <x:v>560.287167986</x:v>
      </x:c>
    </x:row>
    <x:row r="3845" ht="24" customHeight="1">
      <x:c r="A3845" s="10" t="str">
        <x:v>S06-10</x:v>
      </x:c>
      <x:c r="B3845" s="10" t="str">
        <x:v>A</x:v>
      </x:c>
      <x:c r="C3845" s="18" t="n">
        <x:v>-1.92</x:v>
      </x:c>
      <x:c r="D3845" s="10" t="n">
        <x:v>560</x:v>
      </x:c>
      <x:c r="E3845" s="10" t="n">
        <x:v>0.283072</x:v>
      </x:c>
      <x:c r="F3845" s="10" t="n">
        <x:v>0.004096</x:v>
      </x:c>
      <x:c r="G3845" s="10" t="n">
        <x:f>SUM(D3845:F3845)</x:f>
        <x:v>560.287168</x:v>
      </x:c>
    </x:row>
    <x:row r="3846" ht="24" customHeight="1">
      <x:c r="A3846" s="10" t="str">
        <x:v>S06-10</x:v>
      </x:c>
      <x:c r="B3846" s="10" t="str">
        <x:v>A</x:v>
      </x:c>
      <x:c r="C3846" s="18" t="n">
        <x:v>-1.9199999</x:v>
      </x:c>
      <x:c r="D3846" s="10" t="n">
        <x:v>560</x:v>
      </x:c>
      <x:c r="E3846" s="10" t="n">
        <x:v>0.283072019</x:v>
      </x:c>
      <x:c r="F3846" s="10" t="n">
        <x:v>0.004096</x:v>
      </x:c>
      <x:c r="G3846" s="10" t="n">
        <x:f>SUM(D3846:F3846)</x:f>
        <x:v>560.287168019</x:v>
      </x:c>
    </x:row>
    <x:row r="3847" ht="24" customHeight="1">
      <x:c r="A3847" s="10" t="str">
        <x:v>S06-10</x:v>
      </x:c>
      <x:c r="B3847" s="10" t="str">
        <x:v>A</x:v>
      </x:c>
      <x:c r="C3847" s="18" t="n">
        <x:v>-1.630833433</x:v>
      </x:c>
      <x:c r="D3847" s="10" t="n">
        <x:v>560</x:v>
      </x:c>
      <x:c r="E3847" s="10" t="n">
        <x:v>0.338591981</x:v>
      </x:c>
      <x:c r="F3847" s="10" t="n">
        <x:v>0.004096</x:v>
      </x:c>
      <x:c r="G3847" s="10" t="n">
        <x:f>SUM(D3847:F3847)</x:f>
        <x:v>560.342687981</x:v>
      </x:c>
    </x:row>
    <x:row r="3848" ht="24" customHeight="1">
      <x:c r="A3848" s="10" t="str">
        <x:v>S06-10</x:v>
      </x:c>
      <x:c r="B3848" s="10" t="str">
        <x:v>A</x:v>
      </x:c>
      <x:c r="C3848" s="18" t="n">
        <x:v>-1.630833333</x:v>
      </x:c>
      <x:c r="D3848" s="10" t="n">
        <x:v>560</x:v>
      </x:c>
      <x:c r="E3848" s="10" t="n">
        <x:v>0.338592</x:v>
      </x:c>
      <x:c r="F3848" s="10" t="n">
        <x:v>0.004096</x:v>
      </x:c>
      <x:c r="G3848" s="10" t="n">
        <x:f>SUM(D3848:F3848)</x:f>
        <x:v>560.342688</x:v>
      </x:c>
    </x:row>
    <x:row r="3849" ht="24" customHeight="1">
      <x:c r="A3849" s="10" t="str">
        <x:v>S06-10</x:v>
      </x:c>
      <x:c r="B3849" s="10" t="str">
        <x:v>A</x:v>
      </x:c>
      <x:c r="C3849" s="18" t="n">
        <x:v>-1.630833233</x:v>
      </x:c>
      <x:c r="D3849" s="10" t="n">
        <x:v>560</x:v>
      </x:c>
      <x:c r="E3849" s="10" t="n">
        <x:v>0.338592</x:v>
      </x:c>
      <x:c r="F3849" s="10" t="n">
        <x:v>0.004096</x:v>
      </x:c>
      <x:c r="G3849" s="10" t="n">
        <x:f>SUM(D3849:F3849)</x:f>
        <x:v>560.342688</x:v>
      </x:c>
    </x:row>
    <x:row r="3850" ht="24" customHeight="1">
      <x:c r="A3850" s="10" t="str">
        <x:v>S06-10</x:v>
      </x:c>
      <x:c r="B3850" s="10" t="str">
        <x:v>A</x:v>
      </x:c>
      <x:c r="C3850" s="18" t="n">
        <x:v>-1e-7</x:v>
      </x:c>
      <x:c r="D3850" s="10" t="n">
        <x:v>560</x:v>
      </x:c>
      <x:c r="E3850" s="10" t="n">
        <x:v>0.338592</x:v>
      </x:c>
      <x:c r="F3850" s="10" t="n">
        <x:v>0.004096</x:v>
      </x:c>
      <x:c r="G3850" s="10" t="n">
        <x:f>SUM(D3850:F3850)</x:f>
        <x:v>560.342688</x:v>
      </x:c>
    </x:row>
    <x:row r="3851" ht="24" customHeight="1">
      <x:c r="A3851" s="10" t="str">
        <x:v>S06-10</x:v>
      </x:c>
      <x:c r="B3851" s="10" t="str">
        <x:v>A</x:v>
      </x:c>
      <x:c r="C3851" s="18" t="n">
        <x:v>0</x:v>
      </x:c>
      <x:c r="D3851" s="10" t="n">
        <x:v>560</x:v>
      </x:c>
      <x:c r="E3851" s="10" t="n">
        <x:v>0.338592</x:v>
      </x:c>
      <x:c r="F3851" s="10" t="n">
        <x:v>0.004096</x:v>
      </x:c>
      <x:c r="G3851" s="10" t="n">
        <x:f>SUM(D3851:F3851)</x:f>
        <x:v>560.342688</x:v>
      </x:c>
    </x:row>
    <x:row r="3852" ht="24" customHeight="1">
      <x:c r="A3852" s="10" t="str">
        <x:v>S06-10</x:v>
      </x:c>
      <x:c r="B3852" s="10" t="str">
        <x:v>A</x:v>
      </x:c>
      <x:c r="C3852" s="18" t="n">
        <x:v>1e-7</x:v>
      </x:c>
      <x:c r="D3852" s="10" t="n">
        <x:v>560</x:v>
      </x:c>
      <x:c r="E3852" s="10" t="n">
        <x:v>0.338592</x:v>
      </x:c>
      <x:c r="F3852" s="10" t="n">
        <x:v>0.004096</x:v>
      </x:c>
      <x:c r="G3852" s="10" t="n">
        <x:f>SUM(D3852:F3852)</x:f>
        <x:v>560.342688</x:v>
      </x:c>
    </x:row>
    <x:row r="3853" ht="24" customHeight="1">
      <x:c r="A3853" s="10" t="str">
        <x:v>S06-10</x:v>
      </x:c>
      <x:c r="B3853" s="10" t="str">
        <x:v>A</x:v>
      </x:c>
      <x:c r="C3853" s="18" t="n">
        <x:v>0.898333233</x:v>
      </x:c>
      <x:c r="D3853" s="10" t="n">
        <x:v>560</x:v>
      </x:c>
      <x:c r="E3853" s="10" t="n">
        <x:v>0.338592</x:v>
      </x:c>
      <x:c r="F3853" s="10" t="n">
        <x:v>0.004096</x:v>
      </x:c>
      <x:c r="G3853" s="10" t="n">
        <x:f>SUM(D3853:F3853)</x:f>
        <x:v>560.342688</x:v>
      </x:c>
    </x:row>
    <x:row r="3854" ht="24" customHeight="1">
      <x:c r="A3854" s="10" t="str">
        <x:v>S06-10</x:v>
      </x:c>
      <x:c r="B3854" s="10" t="str">
        <x:v>A</x:v>
      </x:c>
      <x:c r="C3854" s="18" t="n">
        <x:v>0.898333333</x:v>
      </x:c>
      <x:c r="D3854" s="10" t="n">
        <x:v>560</x:v>
      </x:c>
      <x:c r="E3854" s="10" t="n">
        <x:v>0.338592</x:v>
      </x:c>
      <x:c r="F3854" s="10" t="n">
        <x:v>0.004096</x:v>
      </x:c>
      <x:c r="G3854" s="10" t="n">
        <x:f>SUM(D3854:F3854)</x:f>
        <x:v>560.342688</x:v>
      </x:c>
    </x:row>
    <x:row r="3855" ht="24" customHeight="1">
      <x:c r="A3855" s="10" t="str">
        <x:v>S06-10</x:v>
      </x:c>
      <x:c r="B3855" s="10" t="str">
        <x:v>A</x:v>
      </x:c>
      <x:c r="C3855" s="18" t="n">
        <x:v>0.898333433</x:v>
      </x:c>
      <x:c r="D3855" s="10" t="n">
        <x:v>560</x:v>
      </x:c>
      <x:c r="E3855" s="10" t="n">
        <x:v>0.338592</x:v>
      </x:c>
      <x:c r="F3855" s="10" t="n">
        <x:v>0.004096</x:v>
      </x:c>
      <x:c r="G3855" s="10" t="n">
        <x:f>SUM(D3855:F3855)</x:f>
        <x:v>560.342688</x:v>
      </x:c>
    </x:row>
    <x:row r="3856" ht="24" customHeight="1">
      <x:c r="A3856" s="10" t="str">
        <x:v>S06-10</x:v>
      </x:c>
      <x:c r="B3856" s="10" t="str">
        <x:v>A</x:v>
      </x:c>
      <x:c r="C3856" s="18" t="n">
        <x:v>0.938333233</x:v>
      </x:c>
      <x:c r="D3856" s="10" t="n">
        <x:v>560</x:v>
      </x:c>
      <x:c r="E3856" s="10" t="n">
        <x:v>0.338592</x:v>
      </x:c>
      <x:c r="F3856" s="10" t="n">
        <x:v>0.004096</x:v>
      </x:c>
      <x:c r="G3856" s="10" t="n">
        <x:f>SUM(D3856:F3856)</x:f>
        <x:v>560.342688</x:v>
      </x:c>
    </x:row>
    <x:row r="3857" ht="24" customHeight="1">
      <x:c r="A3857" s="10" t="str">
        <x:v>S06-10</x:v>
      </x:c>
      <x:c r="B3857" s="10" t="str">
        <x:v>A</x:v>
      </x:c>
      <x:c r="C3857" s="18" t="n">
        <x:v>0.938333333</x:v>
      </x:c>
      <x:c r="D3857" s="10" t="n">
        <x:v>560</x:v>
      </x:c>
      <x:c r="E3857" s="10" t="n">
        <x:v>0.338592</x:v>
      </x:c>
      <x:c r="F3857" s="10" t="n">
        <x:v>0.004096</x:v>
      </x:c>
      <x:c r="G3857" s="10" t="n">
        <x:f>SUM(D3857:F3857)</x:f>
        <x:v>560.342688</x:v>
      </x:c>
    </x:row>
    <x:row r="3858" ht="24" customHeight="1">
      <x:c r="A3858" s="10" t="str">
        <x:v>S06-10</x:v>
      </x:c>
      <x:c r="B3858" s="10" t="str">
        <x:v>A</x:v>
      </x:c>
      <x:c r="C3858" s="18" t="n">
        <x:v>0.938333433</x:v>
      </x:c>
      <x:c r="D3858" s="10" t="n">
        <x:v>560</x:v>
      </x:c>
      <x:c r="E3858" s="10" t="n">
        <x:v>0.338591995</x:v>
      </x:c>
      <x:c r="F3858" s="10" t="n">
        <x:v>0.004096</x:v>
      </x:c>
      <x:c r="G3858" s="10" t="n">
        <x:f>SUM(D3858:F3858)</x:f>
        <x:v>560.342687995</x:v>
      </x:c>
    </x:row>
    <x:row r="3859" ht="24" customHeight="1">
      <x:c r="A3859" s="10" t="str">
        <x:v>S06-10</x:v>
      </x:c>
      <x:c r="B3859" s="10" t="str">
        <x:v>A</x:v>
      </x:c>
      <x:c r="C3859" s="18" t="n">
        <x:v>1.538333233</x:v>
      </x:c>
      <x:c r="D3859" s="10" t="n">
        <x:v>560</x:v>
      </x:c>
      <x:c r="E3859" s="10" t="n">
        <x:v>0.309792005</x:v>
      </x:c>
      <x:c r="F3859" s="10" t="n">
        <x:v>0.004096</x:v>
      </x:c>
      <x:c r="G3859" s="10" t="n">
        <x:f>SUM(D3859:F3859)</x:f>
        <x:v>560.313888005</x:v>
      </x:c>
    </x:row>
    <x:row r="3860" ht="24" customHeight="1">
      <x:c r="A3860" s="10" t="str">
        <x:v>S06-10</x:v>
      </x:c>
      <x:c r="B3860" s="10" t="str">
        <x:v>A</x:v>
      </x:c>
      <x:c r="C3860" s="18" t="n">
        <x:v>1.538333333</x:v>
      </x:c>
      <x:c r="D3860" s="10" t="n">
        <x:v>560</x:v>
      </x:c>
      <x:c r="E3860" s="10" t="n">
        <x:v>0.309792</x:v>
      </x:c>
      <x:c r="F3860" s="10" t="n">
        <x:v>0.004096</x:v>
      </x:c>
      <x:c r="G3860" s="10" t="n">
        <x:f>SUM(D3860:F3860)</x:f>
        <x:v>560.313888</x:v>
      </x:c>
    </x:row>
    <x:row r="3861" ht="24" customHeight="1">
      <x:c r="A3861" s="10" t="str">
        <x:v>S06-10</x:v>
      </x:c>
      <x:c r="B3861" s="10" t="str">
        <x:v>A</x:v>
      </x:c>
      <x:c r="C3861" s="18" t="n">
        <x:v>1.538333433</x:v>
      </x:c>
      <x:c r="D3861" s="10" t="n">
        <x:v>560</x:v>
      </x:c>
      <x:c r="E3861" s="10" t="n">
        <x:v>0.309792</x:v>
      </x:c>
      <x:c r="F3861" s="10" t="n">
        <x:v>0.004096</x:v>
      </x:c>
      <x:c r="G3861" s="10" t="n">
        <x:f>SUM(D3861:F3861)</x:f>
        <x:v>560.313888</x:v>
      </x:c>
    </x:row>
    <x:row r="3862" ht="24" customHeight="1">
      <x:c r="A3862" s="10" t="str">
        <x:v>S06-10</x:v>
      </x:c>
      <x:c r="B3862" s="10" t="str">
        <x:v>A</x:v>
      </x:c>
      <x:c r="C3862" s="18" t="n">
        <x:v>1.838333233</x:v>
      </x:c>
      <x:c r="D3862" s="10" t="n">
        <x:v>560</x:v>
      </x:c>
      <x:c r="E3862" s="10" t="n">
        <x:v>0.309792</x:v>
      </x:c>
      <x:c r="F3862" s="10" t="n">
        <x:v>0.004096</x:v>
      </x:c>
      <x:c r="G3862" s="10" t="n">
        <x:f>SUM(D3862:F3862)</x:f>
        <x:v>560.313888</x:v>
      </x:c>
    </x:row>
    <x:row r="3863" ht="24" customHeight="1">
      <x:c r="A3863" s="10" t="str">
        <x:v>S06-10</x:v>
      </x:c>
      <x:c r="B3863" s="10" t="str">
        <x:v>A</x:v>
      </x:c>
      <x:c r="C3863" s="18" t="n">
        <x:v>1.838333333</x:v>
      </x:c>
      <x:c r="D3863" s="10" t="n">
        <x:v>560</x:v>
      </x:c>
      <x:c r="E3863" s="10" t="n">
        <x:v>0.309792</x:v>
      </x:c>
      <x:c r="F3863" s="10" t="n">
        <x:v>0.004096</x:v>
      </x:c>
      <x:c r="G3863" s="10" t="n">
        <x:f>SUM(D3863:F3863)</x:f>
        <x:v>560.313888</x:v>
      </x:c>
    </x:row>
    <x:row r="3864" ht="24" customHeight="1">
      <x:c r="A3864" s="10" t="str">
        <x:v>S06-10</x:v>
      </x:c>
      <x:c r="B3864" s="10" t="str">
        <x:v>A</x:v>
      </x:c>
      <x:c r="C3864" s="18" t="n">
        <x:v>1.838333433</x:v>
      </x:c>
      <x:c r="D3864" s="10" t="n">
        <x:v>560</x:v>
      </x:c>
      <x:c r="E3864" s="10" t="n">
        <x:v>0.309791995</x:v>
      </x:c>
      <x:c r="F3864" s="10" t="n">
        <x:v>0.004096</x:v>
      </x:c>
      <x:c r="G3864" s="10" t="n">
        <x:f>SUM(D3864:F3864)</x:f>
        <x:v>560.313887995</x:v>
      </x:c>
    </x:row>
    <x:row r="3865" ht="24" customHeight="1">
      <x:c r="A3865" s="10" t="str">
        <x:v>S06-10</x:v>
      </x:c>
      <x:c r="B3865" s="10" t="str">
        <x:v>A</x:v>
      </x:c>
      <x:c r="C3865" s="18" t="n">
        <x:v>8.292333232</x:v>
      </x:c>
      <x:c r="D3865" s="10" t="n">
        <x:v>560</x:v>
      </x:c>
      <x:c r="E3865" s="10" t="n">
        <x:v>5e-9</x:v>
      </x:c>
      <x:c r="F3865" s="10" t="n">
        <x:v>0.004096</x:v>
      </x:c>
      <x:c r="G3865" s="10" t="n">
        <x:f>SUM(D3865:F3865)</x:f>
        <x:v>560.004096005</x:v>
      </x:c>
    </x:row>
    <x:row r="3866" ht="24" customHeight="1">
      <x:c r="A3866" s="10" t="str">
        <x:v>S06-10</x:v>
      </x:c>
      <x:c r="B3866" s="10" t="str">
        <x:v>A</x:v>
      </x:c>
      <x:c r="C3866" s="18" t="n">
        <x:v>8.292333332</x:v>
      </x:c>
      <x:c r="D3866" s="10" t="n">
        <x:v>560</x:v>
      </x:c>
      <x:c r="E3866" s="10" t="n">
        <x:v>0</x:v>
      </x:c>
      <x:c r="F3866" s="10" t="n">
        <x:v>0.004096</x:v>
      </x:c>
      <x:c r="G3866" s="10" t="n">
        <x:f>SUM(D3866:F3866)</x:f>
        <x:v>560.004096</x:v>
      </x:c>
    </x:row>
    <x:row r="3867" ht="24" customHeight="1">
      <x:c r="A3867" s="10" t="str">
        <x:v>S06-10</x:v>
      </x:c>
      <x:c r="B3867" s="10" t="str">
        <x:v>A</x:v>
      </x:c>
      <x:c r="C3867" s="18" t="n">
        <x:v>8.292333432</x:v>
      </x:c>
      <x:c r="D3867" s="10" t="n">
        <x:v>560</x:v>
      </x:c>
      <x:c r="E3867" s="10" t="n">
        <x:v>0</x:v>
      </x:c>
      <x:c r="F3867" s="10" t="n">
        <x:v>0</x:v>
      </x:c>
      <x:c r="G3867" s="10" t="n">
        <x:f>SUM(D3867:F3867)</x:f>
        <x:v>560</x:v>
      </x:c>
    </x:row>
    <x:row r="3868" ht="24" customHeight="1">
      <x:c r="A3868" s="10" t="str">
        <x:v>S06-10</x:v>
      </x:c>
      <x:c r="B3868" s="10" t="str">
        <x:v>B</x:v>
      </x:c>
      <x:c r="C3868" s="18" t="n">
        <x:v>-6.0000001</x:v>
      </x:c>
      <x:c r="D3868" s="10" t="n">
        <x:v>560</x:v>
      </x:c>
      <x:c r="E3868" s="10" t="n">
        <x:v>0</x:v>
      </x:c>
      <x:c r="F3868" s="10" t="n">
        <x:v>0</x:v>
      </x:c>
      <x:c r="G3868" s="10" t="n">
        <x:f>SUM(D3868:F3868)</x:f>
        <x:v>560</x:v>
      </x:c>
    </x:row>
    <x:row r="3869" ht="24" customHeight="1">
      <x:c r="A3869" s="10" t="str">
        <x:v>S06-10</x:v>
      </x:c>
      <x:c r="B3869" s="10" t="str">
        <x:v>B</x:v>
      </x:c>
      <x:c r="C3869" s="18" t="n">
        <x:v>-6</x:v>
      </x:c>
      <x:c r="D3869" s="10" t="n">
        <x:v>560</x:v>
      </x:c>
      <x:c r="E3869" s="10" t="n">
        <x:v>0</x:v>
      </x:c>
      <x:c r="F3869" s="10" t="n">
        <x:v>0</x:v>
      </x:c>
      <x:c r="G3869" s="10" t="n">
        <x:f>SUM(D3869:F3869)</x:f>
        <x:v>560</x:v>
      </x:c>
    </x:row>
    <x:row r="3870" ht="24" customHeight="1">
      <x:c r="A3870" s="10" t="str">
        <x:v>S06-10</x:v>
      </x:c>
      <x:c r="B3870" s="10" t="str">
        <x:v>B</x:v>
      </x:c>
      <x:c r="C3870" s="18" t="n">
        <x:v>-5.9999999</x:v>
      </x:c>
      <x:c r="D3870" s="10" t="n">
        <x:v>560</x:v>
      </x:c>
      <x:c r="E3870" s="10" t="n">
        <x:v>0</x:v>
      </x:c>
      <x:c r="F3870" s="10" t="n">
        <x:v>0</x:v>
      </x:c>
      <x:c r="G3870" s="10" t="n">
        <x:f>SUM(D3870:F3870)</x:f>
        <x:v>560</x:v>
      </x:c>
    </x:row>
    <x:row r="3871" ht="24" customHeight="1">
      <x:c r="A3871" s="10" t="str">
        <x:v>S06-10</x:v>
      </x:c>
      <x:c r="B3871" s="10" t="str">
        <x:v>B</x:v>
      </x:c>
      <x:c r="C3871" s="18" t="n">
        <x:v>-4.0000001</x:v>
      </x:c>
      <x:c r="D3871" s="10" t="n">
        <x:v>560</x:v>
      </x:c>
      <x:c r="E3871" s="10" t="n">
        <x:v>0</x:v>
      </x:c>
      <x:c r="F3871" s="10" t="n">
        <x:v>0</x:v>
      </x:c>
      <x:c r="G3871" s="10" t="n">
        <x:f>SUM(D3871:F3871)</x:f>
        <x:v>560</x:v>
      </x:c>
    </x:row>
    <x:row r="3872" ht="24" customHeight="1">
      <x:c r="A3872" s="10" t="str">
        <x:v>S06-10</x:v>
      </x:c>
      <x:c r="B3872" s="10" t="str">
        <x:v>B</x:v>
      </x:c>
      <x:c r="C3872" s="18" t="n">
        <x:v>-4</x:v>
      </x:c>
      <x:c r="D3872" s="10" t="n">
        <x:v>560</x:v>
      </x:c>
      <x:c r="E3872" s="10" t="n">
        <x:v>0</x:v>
      </x:c>
      <x:c r="F3872" s="10" t="n">
        <x:v>0.004096</x:v>
      </x:c>
      <x:c r="G3872" s="10" t="n">
        <x:f>SUM(D3872:F3872)</x:f>
        <x:v>560.004096</x:v>
      </x:c>
    </x:row>
    <x:row r="3873" ht="24" customHeight="1">
      <x:c r="A3873" s="10" t="str">
        <x:v>S06-10</x:v>
      </x:c>
      <x:c r="B3873" s="10" t="str">
        <x:v>B</x:v>
      </x:c>
      <x:c r="C3873" s="18" t="n">
        <x:v>-3.9999999</x:v>
      </x:c>
      <x:c r="D3873" s="10" t="n">
        <x:v>560</x:v>
      </x:c>
      <x:c r="E3873" s="10" t="n">
        <x:v>0</x:v>
      </x:c>
      <x:c r="F3873" s="10" t="n">
        <x:v>0.004096</x:v>
      </x:c>
      <x:c r="G3873" s="10" t="n">
        <x:f>SUM(D3873:F3873)</x:f>
        <x:v>560.004096</x:v>
      </x:c>
    </x:row>
    <x:row r="3874" ht="24" customHeight="1">
      <x:c r="A3874" s="10" t="str">
        <x:v>S06-10</x:v>
      </x:c>
      <x:c r="B3874" s="10" t="str">
        <x:v>B</x:v>
      </x:c>
      <x:c r="C3874" s="18" t="n">
        <x:v>-3.594333433</x:v>
      </x:c>
      <x:c r="D3874" s="10" t="n">
        <x:v>560</x:v>
      </x:c>
      <x:c r="E3874" s="10" t="n">
        <x:v>0</x:v>
      </x:c>
      <x:c r="F3874" s="10" t="n">
        <x:v>0.004096</x:v>
      </x:c>
      <x:c r="G3874" s="10" t="n">
        <x:f>SUM(D3874:F3874)</x:f>
        <x:v>560.004096</x:v>
      </x:c>
    </x:row>
    <x:row r="3875" ht="24" customHeight="1">
      <x:c r="A3875" s="10" t="str">
        <x:v>S06-10</x:v>
      </x:c>
      <x:c r="B3875" s="10" t="str">
        <x:v>B</x:v>
      </x:c>
      <x:c r="C3875" s="18" t="n">
        <x:v>-3.594333333</x:v>
      </x:c>
      <x:c r="D3875" s="10" t="n">
        <x:v>560</x:v>
      </x:c>
      <x:c r="E3875" s="10" t="n">
        <x:v>0.0096</x:v>
      </x:c>
      <x:c r="F3875" s="10" t="n">
        <x:v>0.004096</x:v>
      </x:c>
      <x:c r="G3875" s="10" t="n">
        <x:f>SUM(D3875:F3875)</x:f>
        <x:v>560.013696</x:v>
      </x:c>
    </x:row>
    <x:row r="3876" ht="24" customHeight="1">
      <x:c r="A3876" s="10" t="str">
        <x:v>S06-10</x:v>
      </x:c>
      <x:c r="B3876" s="10" t="str">
        <x:v>B</x:v>
      </x:c>
      <x:c r="C3876" s="18" t="n">
        <x:v>-3.594333233</x:v>
      </x:c>
      <x:c r="D3876" s="10" t="n">
        <x:v>560</x:v>
      </x:c>
      <x:c r="E3876" s="10" t="n">
        <x:v>0.009600019</x:v>
      </x:c>
      <x:c r="F3876" s="10" t="n">
        <x:v>0.004096</x:v>
      </x:c>
      <x:c r="G3876" s="10" t="n">
        <x:f>SUM(D3876:F3876)</x:f>
        <x:v>560.013696019</x:v>
      </x:c>
    </x:row>
    <x:row r="3877" ht="24" customHeight="1">
      <x:c r="A3877" s="10" t="str">
        <x:v>S06-10</x:v>
      </x:c>
      <x:c r="B3877" s="10" t="str">
        <x:v>B</x:v>
      </x:c>
      <x:c r="C3877" s="18" t="n">
        <x:v>-2.9200001</x:v>
      </x:c>
      <x:c r="D3877" s="10" t="n">
        <x:v>560</x:v>
      </x:c>
      <x:c r="E3877" s="10" t="n">
        <x:v>0.139071981</x:v>
      </x:c>
      <x:c r="F3877" s="10" t="n">
        <x:v>0.004096</x:v>
      </x:c>
      <x:c r="G3877" s="10" t="n">
        <x:f>SUM(D3877:F3877)</x:f>
        <x:v>560.143167981</x:v>
      </x:c>
    </x:row>
    <x:row r="3878" ht="24" customHeight="1">
      <x:c r="A3878" s="10" t="str">
        <x:v>S06-10</x:v>
      </x:c>
      <x:c r="B3878" s="10" t="str">
        <x:v>B</x:v>
      </x:c>
      <x:c r="C3878" s="18" t="n">
        <x:v>-2.92</x:v>
      </x:c>
      <x:c r="D3878" s="10" t="n">
        <x:v>560</x:v>
      </x:c>
      <x:c r="E3878" s="10" t="n">
        <x:v>0.139072</x:v>
      </x:c>
      <x:c r="F3878" s="10" t="n">
        <x:v>0.004096</x:v>
      </x:c>
      <x:c r="G3878" s="10" t="n">
        <x:f>SUM(D3878:F3878)</x:f>
        <x:v>560.1431680000001</x:v>
      </x:c>
    </x:row>
    <x:row r="3879" ht="24" customHeight="1">
      <x:c r="A3879" s="10" t="str">
        <x:v>S06-10</x:v>
      </x:c>
      <x:c r="B3879" s="10" t="str">
        <x:v>B</x:v>
      </x:c>
      <x:c r="C3879" s="18" t="n">
        <x:v>-2.9199999</x:v>
      </x:c>
      <x:c r="D3879" s="10" t="n">
        <x:v>560</x:v>
      </x:c>
      <x:c r="E3879" s="10" t="n">
        <x:v>0.139072014</x:v>
      </x:c>
      <x:c r="F3879" s="10" t="n">
        <x:v>0.004096</x:v>
      </x:c>
      <x:c r="G3879" s="10" t="n">
        <x:f>SUM(D3879:F3879)</x:f>
        <x:v>560.143168014</x:v>
      </x:c>
    </x:row>
    <x:row r="3880" ht="24" customHeight="1">
      <x:c r="A3880" s="10" t="str">
        <x:v>S06-10</x:v>
      </x:c>
      <x:c r="B3880" s="10" t="str">
        <x:v>B</x:v>
      </x:c>
      <x:c r="C3880" s="18" t="n">
        <x:v>-1.9200001</x:v>
      </x:c>
      <x:c r="D3880" s="10" t="n">
        <x:v>560</x:v>
      </x:c>
      <x:c r="E3880" s="10" t="n">
        <x:v>0.283071986</x:v>
      </x:c>
      <x:c r="F3880" s="10" t="n">
        <x:v>0.004096</x:v>
      </x:c>
      <x:c r="G3880" s="10" t="n">
        <x:f>SUM(D3880:F3880)</x:f>
        <x:v>560.287167986</x:v>
      </x:c>
    </x:row>
    <x:row r="3881" ht="24" customHeight="1">
      <x:c r="A3881" s="10" t="str">
        <x:v>S06-10</x:v>
      </x:c>
      <x:c r="B3881" s="10" t="str">
        <x:v>B</x:v>
      </x:c>
      <x:c r="C3881" s="18" t="n">
        <x:v>-1.92</x:v>
      </x:c>
      <x:c r="D3881" s="10" t="n">
        <x:v>560</x:v>
      </x:c>
      <x:c r="E3881" s="10" t="n">
        <x:v>0.283072</x:v>
      </x:c>
      <x:c r="F3881" s="10" t="n">
        <x:v>0.004096</x:v>
      </x:c>
      <x:c r="G3881" s="10" t="n">
        <x:f>SUM(D3881:F3881)</x:f>
        <x:v>560.287168</x:v>
      </x:c>
    </x:row>
    <x:row r="3882" ht="24" customHeight="1">
      <x:c r="A3882" s="10" t="str">
        <x:v>S06-10</x:v>
      </x:c>
      <x:c r="B3882" s="10" t="str">
        <x:v>B</x:v>
      </x:c>
      <x:c r="C3882" s="18" t="n">
        <x:v>-1.9199999</x:v>
      </x:c>
      <x:c r="D3882" s="10" t="n">
        <x:v>560</x:v>
      </x:c>
      <x:c r="E3882" s="10" t="n">
        <x:v>0.283072019</x:v>
      </x:c>
      <x:c r="F3882" s="10" t="n">
        <x:v>0.004096</x:v>
      </x:c>
      <x:c r="G3882" s="10" t="n">
        <x:f>SUM(D3882:F3882)</x:f>
        <x:v>560.287168019</x:v>
      </x:c>
    </x:row>
    <x:row r="3883" ht="24" customHeight="1">
      <x:c r="A3883" s="10" t="str">
        <x:v>S06-10</x:v>
      </x:c>
      <x:c r="B3883" s="10" t="str">
        <x:v>B</x:v>
      </x:c>
      <x:c r="C3883" s="18" t="n">
        <x:v>-1.630833433</x:v>
      </x:c>
      <x:c r="D3883" s="10" t="n">
        <x:v>560</x:v>
      </x:c>
      <x:c r="E3883" s="10" t="n">
        <x:v>0.338591981</x:v>
      </x:c>
      <x:c r="F3883" s="10" t="n">
        <x:v>0.004096</x:v>
      </x:c>
      <x:c r="G3883" s="10" t="n">
        <x:f>SUM(D3883:F3883)</x:f>
        <x:v>560.342687981</x:v>
      </x:c>
    </x:row>
    <x:row r="3884" ht="24" customHeight="1">
      <x:c r="A3884" s="10" t="str">
        <x:v>S06-10</x:v>
      </x:c>
      <x:c r="B3884" s="10" t="str">
        <x:v>B</x:v>
      </x:c>
      <x:c r="C3884" s="18" t="n">
        <x:v>-1.630833333</x:v>
      </x:c>
      <x:c r="D3884" s="10" t="n">
        <x:v>560</x:v>
      </x:c>
      <x:c r="E3884" s="10" t="n">
        <x:v>0.338592</x:v>
      </x:c>
      <x:c r="F3884" s="10" t="n">
        <x:v>0.004096</x:v>
      </x:c>
      <x:c r="G3884" s="10" t="n">
        <x:f>SUM(D3884:F3884)</x:f>
        <x:v>560.342688</x:v>
      </x:c>
    </x:row>
    <x:row r="3885" ht="24" customHeight="1">
      <x:c r="A3885" s="10" t="str">
        <x:v>S06-10</x:v>
      </x:c>
      <x:c r="B3885" s="10" t="str">
        <x:v>B</x:v>
      </x:c>
      <x:c r="C3885" s="18" t="n">
        <x:v>-1.630833233</x:v>
      </x:c>
      <x:c r="D3885" s="10" t="n">
        <x:v>560</x:v>
      </x:c>
      <x:c r="E3885" s="10" t="n">
        <x:v>0.338592</x:v>
      </x:c>
      <x:c r="F3885" s="10" t="n">
        <x:v>0.004096</x:v>
      </x:c>
      <x:c r="G3885" s="10" t="n">
        <x:f>SUM(D3885:F3885)</x:f>
        <x:v>560.342688</x:v>
      </x:c>
    </x:row>
    <x:row r="3886" ht="24" customHeight="1">
      <x:c r="A3886" s="10" t="str">
        <x:v>S06-10</x:v>
      </x:c>
      <x:c r="B3886" s="10" t="str">
        <x:v>B</x:v>
      </x:c>
      <x:c r="C3886" s="18" t="n">
        <x:v>-1e-7</x:v>
      </x:c>
      <x:c r="D3886" s="10" t="n">
        <x:v>560</x:v>
      </x:c>
      <x:c r="E3886" s="10" t="n">
        <x:v>0.338592</x:v>
      </x:c>
      <x:c r="F3886" s="10" t="n">
        <x:v>0.004096</x:v>
      </x:c>
      <x:c r="G3886" s="10" t="n">
        <x:f>SUM(D3886:F3886)</x:f>
        <x:v>560.342688</x:v>
      </x:c>
    </x:row>
    <x:row r="3887" ht="24" customHeight="1">
      <x:c r="A3887" s="10" t="str">
        <x:v>S06-10</x:v>
      </x:c>
      <x:c r="B3887" s="10" t="str">
        <x:v>B</x:v>
      </x:c>
      <x:c r="C3887" s="18" t="n">
        <x:v>0</x:v>
      </x:c>
      <x:c r="D3887" s="10" t="n">
        <x:v>560</x:v>
      </x:c>
      <x:c r="E3887" s="10" t="n">
        <x:v>0.338592</x:v>
      </x:c>
      <x:c r="F3887" s="10" t="n">
        <x:v>0.004096</x:v>
      </x:c>
      <x:c r="G3887" s="10" t="n">
        <x:f>SUM(D3887:F3887)</x:f>
        <x:v>560.342688</x:v>
      </x:c>
    </x:row>
    <x:row r="3888" ht="24" customHeight="1">
      <x:c r="A3888" s="10" t="str">
        <x:v>S06-10</x:v>
      </x:c>
      <x:c r="B3888" s="10" t="str">
        <x:v>B</x:v>
      </x:c>
      <x:c r="C3888" s="18" t="n">
        <x:v>1e-7</x:v>
      </x:c>
      <x:c r="D3888" s="10" t="n">
        <x:v>560</x:v>
      </x:c>
      <x:c r="E3888" s="10" t="n">
        <x:v>0.338592</x:v>
      </x:c>
      <x:c r="F3888" s="10" t="n">
        <x:v>0.004096</x:v>
      </x:c>
      <x:c r="G3888" s="10" t="n">
        <x:f>SUM(D3888:F3888)</x:f>
        <x:v>560.342688</x:v>
      </x:c>
    </x:row>
    <x:row r="3889" ht="24" customHeight="1">
      <x:c r="A3889" s="10" t="str">
        <x:v>S06-10</x:v>
      </x:c>
      <x:c r="B3889" s="10" t="str">
        <x:v>B</x:v>
      </x:c>
      <x:c r="C3889" s="18" t="n">
        <x:v>0.898333233</x:v>
      </x:c>
      <x:c r="D3889" s="10" t="n">
        <x:v>560</x:v>
      </x:c>
      <x:c r="E3889" s="10" t="n">
        <x:v>0.338592</x:v>
      </x:c>
      <x:c r="F3889" s="10" t="n">
        <x:v>0.004096</x:v>
      </x:c>
      <x:c r="G3889" s="10" t="n">
        <x:f>SUM(D3889:F3889)</x:f>
        <x:v>560.342688</x:v>
      </x:c>
    </x:row>
    <x:row r="3890" ht="24" customHeight="1">
      <x:c r="A3890" s="10" t="str">
        <x:v>S06-10</x:v>
      </x:c>
      <x:c r="B3890" s="10" t="str">
        <x:v>B</x:v>
      </x:c>
      <x:c r="C3890" s="18" t="n">
        <x:v>0.898333333</x:v>
      </x:c>
      <x:c r="D3890" s="10" t="n">
        <x:v>560</x:v>
      </x:c>
      <x:c r="E3890" s="10" t="n">
        <x:v>0.338592</x:v>
      </x:c>
      <x:c r="F3890" s="10" t="n">
        <x:v>0.004096</x:v>
      </x:c>
      <x:c r="G3890" s="10" t="n">
        <x:f>SUM(D3890:F3890)</x:f>
        <x:v>560.342688</x:v>
      </x:c>
    </x:row>
    <x:row r="3891" ht="24" customHeight="1">
      <x:c r="A3891" s="10" t="str">
        <x:v>S06-10</x:v>
      </x:c>
      <x:c r="B3891" s="10" t="str">
        <x:v>B</x:v>
      </x:c>
      <x:c r="C3891" s="18" t="n">
        <x:v>0.898333433</x:v>
      </x:c>
      <x:c r="D3891" s="10" t="n">
        <x:v>560</x:v>
      </x:c>
      <x:c r="E3891" s="10" t="n">
        <x:v>0.338592</x:v>
      </x:c>
      <x:c r="F3891" s="10" t="n">
        <x:v>0.004096</x:v>
      </x:c>
      <x:c r="G3891" s="10" t="n">
        <x:f>SUM(D3891:F3891)</x:f>
        <x:v>560.342688</x:v>
      </x:c>
    </x:row>
    <x:row r="3892" ht="24" customHeight="1">
      <x:c r="A3892" s="10" t="str">
        <x:v>S06-10</x:v>
      </x:c>
      <x:c r="B3892" s="10" t="str">
        <x:v>B</x:v>
      </x:c>
      <x:c r="C3892" s="18" t="n">
        <x:v>0.938333233</x:v>
      </x:c>
      <x:c r="D3892" s="10" t="n">
        <x:v>560</x:v>
      </x:c>
      <x:c r="E3892" s="10" t="n">
        <x:v>0.338592</x:v>
      </x:c>
      <x:c r="F3892" s="10" t="n">
        <x:v>0.004096</x:v>
      </x:c>
      <x:c r="G3892" s="10" t="n">
        <x:f>SUM(D3892:F3892)</x:f>
        <x:v>560.342688</x:v>
      </x:c>
    </x:row>
    <x:row r="3893" ht="24" customHeight="1">
      <x:c r="A3893" s="10" t="str">
        <x:v>S06-10</x:v>
      </x:c>
      <x:c r="B3893" s="10" t="str">
        <x:v>B</x:v>
      </x:c>
      <x:c r="C3893" s="18" t="n">
        <x:v>0.938333333</x:v>
      </x:c>
      <x:c r="D3893" s="10" t="n">
        <x:v>560</x:v>
      </x:c>
      <x:c r="E3893" s="10" t="n">
        <x:v>0.338592</x:v>
      </x:c>
      <x:c r="F3893" s="10" t="n">
        <x:v>0.004096</x:v>
      </x:c>
      <x:c r="G3893" s="10" t="n">
        <x:f>SUM(D3893:F3893)</x:f>
        <x:v>560.342688</x:v>
      </x:c>
    </x:row>
    <x:row r="3894" ht="24" customHeight="1">
      <x:c r="A3894" s="10" t="str">
        <x:v>S06-10</x:v>
      </x:c>
      <x:c r="B3894" s="10" t="str">
        <x:v>B</x:v>
      </x:c>
      <x:c r="C3894" s="18" t="n">
        <x:v>0.938333433</x:v>
      </x:c>
      <x:c r="D3894" s="10" t="n">
        <x:v>560</x:v>
      </x:c>
      <x:c r="E3894" s="10" t="n">
        <x:v>0.338591995</x:v>
      </x:c>
      <x:c r="F3894" s="10" t="n">
        <x:v>0.004096</x:v>
      </x:c>
      <x:c r="G3894" s="10" t="n">
        <x:f>SUM(D3894:F3894)</x:f>
        <x:v>560.342687995</x:v>
      </x:c>
    </x:row>
    <x:row r="3895" ht="24" customHeight="1">
      <x:c r="A3895" s="10" t="str">
        <x:v>S06-10</x:v>
      </x:c>
      <x:c r="B3895" s="10" t="str">
        <x:v>B</x:v>
      </x:c>
      <x:c r="C3895" s="18" t="n">
        <x:v>1.538333233</x:v>
      </x:c>
      <x:c r="D3895" s="10" t="n">
        <x:v>560</x:v>
      </x:c>
      <x:c r="E3895" s="10" t="n">
        <x:v>0.309792005</x:v>
      </x:c>
      <x:c r="F3895" s="10" t="n">
        <x:v>0.004096</x:v>
      </x:c>
      <x:c r="G3895" s="10" t="n">
        <x:f>SUM(D3895:F3895)</x:f>
        <x:v>560.313888005</x:v>
      </x:c>
    </x:row>
    <x:row r="3896" ht="24" customHeight="1">
      <x:c r="A3896" s="10" t="str">
        <x:v>S06-10</x:v>
      </x:c>
      <x:c r="B3896" s="10" t="str">
        <x:v>B</x:v>
      </x:c>
      <x:c r="C3896" s="18" t="n">
        <x:v>1.538333333</x:v>
      </x:c>
      <x:c r="D3896" s="10" t="n">
        <x:v>560</x:v>
      </x:c>
      <x:c r="E3896" s="10" t="n">
        <x:v>0.309792</x:v>
      </x:c>
      <x:c r="F3896" s="10" t="n">
        <x:v>0.004096</x:v>
      </x:c>
      <x:c r="G3896" s="10" t="n">
        <x:f>SUM(D3896:F3896)</x:f>
        <x:v>560.313888</x:v>
      </x:c>
    </x:row>
    <x:row r="3897" ht="24" customHeight="1">
      <x:c r="A3897" s="10" t="str">
        <x:v>S06-10</x:v>
      </x:c>
      <x:c r="B3897" s="10" t="str">
        <x:v>B</x:v>
      </x:c>
      <x:c r="C3897" s="18" t="n">
        <x:v>1.538333433</x:v>
      </x:c>
      <x:c r="D3897" s="10" t="n">
        <x:v>560</x:v>
      </x:c>
      <x:c r="E3897" s="10" t="n">
        <x:v>0.309792</x:v>
      </x:c>
      <x:c r="F3897" s="10" t="n">
        <x:v>0.004096</x:v>
      </x:c>
      <x:c r="G3897" s="10" t="n">
        <x:f>SUM(D3897:F3897)</x:f>
        <x:v>560.313888</x:v>
      </x:c>
    </x:row>
    <x:row r="3898" ht="24" customHeight="1">
      <x:c r="A3898" s="10" t="str">
        <x:v>S06-10</x:v>
      </x:c>
      <x:c r="B3898" s="10" t="str">
        <x:v>B</x:v>
      </x:c>
      <x:c r="C3898" s="18" t="n">
        <x:v>1.838333233</x:v>
      </x:c>
      <x:c r="D3898" s="10" t="n">
        <x:v>560</x:v>
      </x:c>
      <x:c r="E3898" s="10" t="n">
        <x:v>0.309792</x:v>
      </x:c>
      <x:c r="F3898" s="10" t="n">
        <x:v>0.004096</x:v>
      </x:c>
      <x:c r="G3898" s="10" t="n">
        <x:f>SUM(D3898:F3898)</x:f>
        <x:v>560.313888</x:v>
      </x:c>
    </x:row>
    <x:row r="3899" ht="24" customHeight="1">
      <x:c r="A3899" s="10" t="str">
        <x:v>S06-10</x:v>
      </x:c>
      <x:c r="B3899" s="10" t="str">
        <x:v>B</x:v>
      </x:c>
      <x:c r="C3899" s="18" t="n">
        <x:v>1.838333333</x:v>
      </x:c>
      <x:c r="D3899" s="10" t="n">
        <x:v>560</x:v>
      </x:c>
      <x:c r="E3899" s="10" t="n">
        <x:v>0.309792</x:v>
      </x:c>
      <x:c r="F3899" s="10" t="n">
        <x:v>0.004096</x:v>
      </x:c>
      <x:c r="G3899" s="10" t="n">
        <x:f>SUM(D3899:F3899)</x:f>
        <x:v>560.313888</x:v>
      </x:c>
    </x:row>
    <x:row r="3900" ht="24" customHeight="1">
      <x:c r="A3900" s="10" t="str">
        <x:v>S06-10</x:v>
      </x:c>
      <x:c r="B3900" s="10" t="str">
        <x:v>B</x:v>
      </x:c>
      <x:c r="C3900" s="18" t="n">
        <x:v>1.838333433</x:v>
      </x:c>
      <x:c r="D3900" s="10" t="n">
        <x:v>560</x:v>
      </x:c>
      <x:c r="E3900" s="10" t="n">
        <x:v>0.309791995</x:v>
      </x:c>
      <x:c r="F3900" s="10" t="n">
        <x:v>0.004096</x:v>
      </x:c>
      <x:c r="G3900" s="10" t="n">
        <x:f>SUM(D3900:F3900)</x:f>
        <x:v>560.313887995</x:v>
      </x:c>
    </x:row>
    <x:row r="3901" ht="24" customHeight="1">
      <x:c r="A3901" s="10" t="str">
        <x:v>S06-10</x:v>
      </x:c>
      <x:c r="B3901" s="10" t="str">
        <x:v>B</x:v>
      </x:c>
      <x:c r="C3901" s="18" t="n">
        <x:v>8.292333232</x:v>
      </x:c>
      <x:c r="D3901" s="10" t="n">
        <x:v>560</x:v>
      </x:c>
      <x:c r="E3901" s="10" t="n">
        <x:v>5e-9</x:v>
      </x:c>
      <x:c r="F3901" s="10" t="n">
        <x:v>0.004096</x:v>
      </x:c>
      <x:c r="G3901" s="10" t="n">
        <x:f>SUM(D3901:F3901)</x:f>
        <x:v>560.004096005</x:v>
      </x:c>
    </x:row>
    <x:row r="3902" ht="24" customHeight="1">
      <x:c r="A3902" s="10" t="str">
        <x:v>S06-10</x:v>
      </x:c>
      <x:c r="B3902" s="10" t="str">
        <x:v>B</x:v>
      </x:c>
      <x:c r="C3902" s="18" t="n">
        <x:v>8.292333332</x:v>
      </x:c>
      <x:c r="D3902" s="10" t="n">
        <x:v>560</x:v>
      </x:c>
      <x:c r="E3902" s="10" t="n">
        <x:v>0</x:v>
      </x:c>
      <x:c r="F3902" s="10" t="n">
        <x:v>0.004096</x:v>
      </x:c>
      <x:c r="G3902" s="10" t="n">
        <x:f>SUM(D3902:F3902)</x:f>
        <x:v>560.004096</x:v>
      </x:c>
    </x:row>
    <x:row r="3903" ht="24" customHeight="1">
      <x:c r="A3903" s="10" t="str">
        <x:v>S06-10</x:v>
      </x:c>
      <x:c r="B3903" s="10" t="str">
        <x:v>B</x:v>
      </x:c>
      <x:c r="C3903" s="18" t="n">
        <x:v>8.292333432</x:v>
      </x:c>
      <x:c r="D3903" s="10" t="n">
        <x:v>560</x:v>
      </x:c>
      <x:c r="E3903" s="10" t="n">
        <x:v>0</x:v>
      </x:c>
      <x:c r="F3903" s="10" t="n">
        <x:v>0</x:v>
      </x:c>
      <x:c r="G3903" s="10" t="n">
        <x:f>SUM(D3903:F3903)</x:f>
        <x:v>560</x:v>
      </x:c>
    </x:row>
    <x:row r="3904" ht="24" customHeight="1">
      <x:c r="A3904" s="10" t="str">
        <x:v>S07-01</x:v>
      </x:c>
      <x:c r="B3904" s="10" t="str">
        <x:v>A</x:v>
      </x:c>
      <x:c r="C3904" s="18" t="n">
        <x:v>-6.0000001</x:v>
      </x:c>
      <x:c r="D3904" s="10" t="n">
        <x:v>560</x:v>
      </x:c>
      <x:c r="E3904" s="10" t="n">
        <x:v>0</x:v>
      </x:c>
      <x:c r="F3904" s="10" t="n">
        <x:v>0</x:v>
      </x:c>
      <x:c r="G3904" s="10" t="n">
        <x:f>SUM(D3904:F3904)</x:f>
        <x:v>560</x:v>
      </x:c>
    </x:row>
    <x:row r="3905" ht="24" customHeight="1">
      <x:c r="A3905" s="10" t="str">
        <x:v>S07-01</x:v>
      </x:c>
      <x:c r="B3905" s="10" t="str">
        <x:v>A</x:v>
      </x:c>
      <x:c r="C3905" s="18" t="n">
        <x:v>-6</x:v>
      </x:c>
      <x:c r="D3905" s="10" t="n">
        <x:v>560</x:v>
      </x:c>
      <x:c r="E3905" s="10" t="n">
        <x:v>0</x:v>
      </x:c>
      <x:c r="F3905" s="10" t="n">
        <x:v>0</x:v>
      </x:c>
      <x:c r="G3905" s="10" t="n">
        <x:f>SUM(D3905:F3905)</x:f>
        <x:v>560</x:v>
      </x:c>
    </x:row>
    <x:row r="3906" ht="24" customHeight="1">
      <x:c r="A3906" s="10" t="str">
        <x:v>S07-01</x:v>
      </x:c>
      <x:c r="B3906" s="10" t="str">
        <x:v>A</x:v>
      </x:c>
      <x:c r="C3906" s="18" t="n">
        <x:v>-5.9999999</x:v>
      </x:c>
      <x:c r="D3906" s="10" t="n">
        <x:v>560</x:v>
      </x:c>
      <x:c r="E3906" s="10" t="n">
        <x:v>0</x:v>
      </x:c>
      <x:c r="F3906" s="10" t="n">
        <x:v>0</x:v>
      </x:c>
      <x:c r="G3906" s="10" t="n">
        <x:f>SUM(D3906:F3906)</x:f>
        <x:v>560</x:v>
      </x:c>
    </x:row>
    <x:row r="3907" ht="24" customHeight="1">
      <x:c r="A3907" s="10" t="str">
        <x:v>S07-01</x:v>
      </x:c>
      <x:c r="B3907" s="10" t="str">
        <x:v>A</x:v>
      </x:c>
      <x:c r="C3907" s="18" t="n">
        <x:v>-1.4000001</x:v>
      </x:c>
      <x:c r="D3907" s="10" t="n">
        <x:v>560</x:v>
      </x:c>
      <x:c r="E3907" s="10" t="n">
        <x:v>0</x:v>
      </x:c>
      <x:c r="F3907" s="10" t="n">
        <x:v>0</x:v>
      </x:c>
      <x:c r="G3907" s="10" t="n">
        <x:f>SUM(D3907:F3907)</x:f>
        <x:v>560</x:v>
      </x:c>
    </x:row>
    <x:row r="3908" ht="24" customHeight="1">
      <x:c r="A3908" s="10" t="str">
        <x:v>S07-01</x:v>
      </x:c>
      <x:c r="B3908" s="10" t="str">
        <x:v>A</x:v>
      </x:c>
      <x:c r="C3908" s="18" t="n">
        <x:v>-1.4</x:v>
      </x:c>
      <x:c r="D3908" s="10" t="n">
        <x:v>560</x:v>
      </x:c>
      <x:c r="E3908" s="10" t="n">
        <x:v>0</x:v>
      </x:c>
      <x:c r="F3908" s="10" t="n">
        <x:v>0.004096</x:v>
      </x:c>
      <x:c r="G3908" s="10" t="n">
        <x:f>SUM(D3908:F3908)</x:f>
        <x:v>560.004096</x:v>
      </x:c>
    </x:row>
    <x:row r="3909" ht="24" customHeight="1">
      <x:c r="A3909" s="10" t="str">
        <x:v>S07-01</x:v>
      </x:c>
      <x:c r="B3909" s="10" t="str">
        <x:v>A</x:v>
      </x:c>
      <x:c r="C3909" s="18" t="n">
        <x:v>-1.3999999</x:v>
      </x:c>
      <x:c r="D3909" s="10" t="n">
        <x:v>560</x:v>
      </x:c>
      <x:c r="E3909" s="10" t="n">
        <x:v>0</x:v>
      </x:c>
      <x:c r="F3909" s="10" t="n">
        <x:v>0.004096</x:v>
      </x:c>
      <x:c r="G3909" s="10" t="n">
        <x:f>SUM(D3909:F3909)</x:f>
        <x:v>560.004096</x:v>
      </x:c>
    </x:row>
    <x:row r="3910" ht="24" customHeight="1">
      <x:c r="A3910" s="10" t="str">
        <x:v>S07-01</x:v>
      </x:c>
      <x:c r="B3910" s="10" t="str">
        <x:v>A</x:v>
      </x:c>
      <x:c r="C3910" s="18" t="n">
        <x:v>-1.2000001</x:v>
      </x:c>
      <x:c r="D3910" s="10" t="n">
        <x:v>560</x:v>
      </x:c>
      <x:c r="E3910" s="10" t="n">
        <x:v>0</x:v>
      </x:c>
      <x:c r="F3910" s="10" t="n">
        <x:v>0.004096</x:v>
      </x:c>
      <x:c r="G3910" s="10" t="n">
        <x:f>SUM(D3910:F3910)</x:f>
        <x:v>560.004096</x:v>
      </x:c>
    </x:row>
    <x:row r="3911" ht="24" customHeight="1">
      <x:c r="A3911" s="10" t="str">
        <x:v>S07-01</x:v>
      </x:c>
      <x:c r="B3911" s="10" t="str">
        <x:v>A</x:v>
      </x:c>
      <x:c r="C3911" s="18" t="n">
        <x:v>-1.2</x:v>
      </x:c>
      <x:c r="D3911" s="10" t="n">
        <x:v>560</x:v>
      </x:c>
      <x:c r="E3911" s="10" t="n">
        <x:v>0</x:v>
      </x:c>
      <x:c r="F3911" s="10" t="n">
        <x:v>0.008192</x:v>
      </x:c>
      <x:c r="G3911" s="10" t="n">
        <x:f>SUM(D3911:F3911)</x:f>
        <x:v>560.008192</x:v>
      </x:c>
    </x:row>
    <x:row r="3912" ht="24" customHeight="1">
      <x:c r="A3912" s="10" t="str">
        <x:v>S07-01</x:v>
      </x:c>
      <x:c r="B3912" s="10" t="str">
        <x:v>A</x:v>
      </x:c>
      <x:c r="C3912" s="18" t="n">
        <x:v>-1.1999999</x:v>
      </x:c>
      <x:c r="D3912" s="10" t="n">
        <x:v>560</x:v>
      </x:c>
      <x:c r="E3912" s="10" t="n">
        <x:v>0</x:v>
      </x:c>
      <x:c r="F3912" s="10" t="n">
        <x:v>0.008192</x:v>
      </x:c>
      <x:c r="G3912" s="10" t="n">
        <x:f>SUM(D3912:F3912)</x:f>
        <x:v>560.008192</x:v>
      </x:c>
    </x:row>
    <x:row r="3913" ht="24" customHeight="1">
      <x:c r="A3913" s="10" t="str">
        <x:v>S07-01</x:v>
      </x:c>
      <x:c r="B3913" s="10" t="str">
        <x:v>A</x:v>
      </x:c>
      <x:c r="C3913" s="18" t="n">
        <x:v>-0.997666767</x:v>
      </x:c>
      <x:c r="D3913" s="10" t="n">
        <x:v>560</x:v>
      </x:c>
      <x:c r="E3913" s="10" t="n">
        <x:v>0</x:v>
      </x:c>
      <x:c r="F3913" s="10" t="n">
        <x:v>0.008192</x:v>
      </x:c>
      <x:c r="G3913" s="10" t="n">
        <x:f>SUM(D3913:F3913)</x:f>
        <x:v>560.008192</x:v>
      </x:c>
    </x:row>
    <x:row r="3914" ht="24" customHeight="1">
      <x:c r="A3914" s="10" t="str">
        <x:v>S07-01</x:v>
      </x:c>
      <x:c r="B3914" s="10" t="str">
        <x:v>A</x:v>
      </x:c>
      <x:c r="C3914" s="18" t="n">
        <x:v>-0.997666667</x:v>
      </x:c>
      <x:c r="D3914" s="10" t="n">
        <x:v>560</x:v>
      </x:c>
      <x:c r="E3914" s="10" t="n">
        <x:v>0.0096</x:v>
      </x:c>
      <x:c r="F3914" s="10" t="n">
        <x:v>0.008192</x:v>
      </x:c>
      <x:c r="G3914" s="10" t="n">
        <x:f>SUM(D3914:F3914)</x:f>
        <x:v>560.017792</x:v>
      </x:c>
    </x:row>
    <x:row r="3915" ht="24" customHeight="1">
      <x:c r="A3915" s="10" t="str">
        <x:v>S07-01</x:v>
      </x:c>
      <x:c r="B3915" s="10" t="str">
        <x:v>A</x:v>
      </x:c>
      <x:c r="C3915" s="18" t="n">
        <x:v>-0.997666567</x:v>
      </x:c>
      <x:c r="D3915" s="10" t="n">
        <x:v>560</x:v>
      </x:c>
      <x:c r="E3915" s="10" t="n">
        <x:v>0.009600019</x:v>
      </x:c>
      <x:c r="F3915" s="10" t="n">
        <x:v>0.008192</x:v>
      </x:c>
      <x:c r="G3915" s="10" t="n">
        <x:f>SUM(D3915:F3915)</x:f>
        <x:v>560.017792019</x:v>
      </x:c>
    </x:row>
    <x:row r="3916" ht="24" customHeight="1">
      <x:c r="A3916" s="10" t="str">
        <x:v>S07-01</x:v>
      </x:c>
      <x:c r="B3916" s="10" t="str">
        <x:v>A</x:v>
      </x:c>
      <x:c r="C3916" s="18" t="n">
        <x:v>-0.9000001</x:v>
      </x:c>
      <x:c r="D3916" s="10" t="n">
        <x:v>560</x:v>
      </x:c>
      <x:c r="E3916" s="10" t="n">
        <x:v>0.028351981</x:v>
      </x:c>
      <x:c r="F3916" s="10" t="n">
        <x:v>0.008192</x:v>
      </x:c>
      <x:c r="G3916" s="10" t="n">
        <x:f>SUM(D3916:F3916)</x:f>
        <x:v>560.036543981</x:v>
      </x:c>
    </x:row>
    <x:row r="3917" ht="24" customHeight="1">
      <x:c r="A3917" s="10" t="str">
        <x:v>S07-01</x:v>
      </x:c>
      <x:c r="B3917" s="10" t="str">
        <x:v>A</x:v>
      </x:c>
      <x:c r="C3917" s="18" t="n">
        <x:v>-0.9</x:v>
      </x:c>
      <x:c r="D3917" s="10" t="n">
        <x:v>560</x:v>
      </x:c>
      <x:c r="E3917" s="10" t="n">
        <x:v>0.028352</x:v>
      </x:c>
      <x:c r="F3917" s="10" t="n">
        <x:v>0.012288</x:v>
      </x:c>
      <x:c r="G3917" s="10" t="n">
        <x:f>SUM(D3917:F3917)</x:f>
        <x:v>560.04064</x:v>
      </x:c>
    </x:row>
    <x:row r="3918" ht="24" customHeight="1">
      <x:c r="A3918" s="10" t="str">
        <x:v>S07-01</x:v>
      </x:c>
      <x:c r="B3918" s="10" t="str">
        <x:v>A</x:v>
      </x:c>
      <x:c r="C3918" s="18" t="n">
        <x:v>-0.8999999</x:v>
      </x:c>
      <x:c r="D3918" s="10" t="n">
        <x:v>560</x:v>
      </x:c>
      <x:c r="E3918" s="10" t="n">
        <x:v>0.028352019</x:v>
      </x:c>
      <x:c r="F3918" s="10" t="n">
        <x:v>0.012288</x:v>
      </x:c>
      <x:c r="G3918" s="10" t="n">
        <x:f>SUM(D3918:F3918)</x:f>
        <x:v>560.040640019</x:v>
      </x:c>
    </x:row>
    <x:row r="3919" ht="24" customHeight="1">
      <x:c r="A3919" s="10" t="str">
        <x:v>S07-01</x:v>
      </x:c>
      <x:c r="B3919" s="10" t="str">
        <x:v>A</x:v>
      </x:c>
      <x:c r="C3919" s="18" t="n">
        <x:v>-0.7940001</x:v>
      </x:c>
      <x:c r="D3919" s="10" t="n">
        <x:v>560</x:v>
      </x:c>
      <x:c r="E3919" s="10" t="n">
        <x:v>0.048703981</x:v>
      </x:c>
      <x:c r="F3919" s="10" t="n">
        <x:v>0.012288</x:v>
      </x:c>
      <x:c r="G3919" s="10" t="n">
        <x:f>SUM(D3919:F3919)</x:f>
        <x:v>560.060991981</x:v>
      </x:c>
    </x:row>
    <x:row r="3920" ht="24" customHeight="1">
      <x:c r="A3920" s="10" t="str">
        <x:v>S07-01</x:v>
      </x:c>
      <x:c r="B3920" s="10" t="str">
        <x:v>A</x:v>
      </x:c>
      <x:c r="C3920" s="18" t="n">
        <x:v>-0.794</x:v>
      </x:c>
      <x:c r="D3920" s="10" t="n">
        <x:v>560</x:v>
      </x:c>
      <x:c r="E3920" s="10" t="n">
        <x:v>0.058304</x:v>
      </x:c>
      <x:c r="F3920" s="10" t="n">
        <x:v>0.012288</x:v>
      </x:c>
      <x:c r="G3920" s="10" t="n">
        <x:f>SUM(D3920:F3920)</x:f>
        <x:v>560.070592</x:v>
      </x:c>
    </x:row>
    <x:row r="3921" ht="24" customHeight="1">
      <x:c r="A3921" s="10" t="str">
        <x:v>S07-01</x:v>
      </x:c>
      <x:c r="B3921" s="10" t="str">
        <x:v>A</x:v>
      </x:c>
      <x:c r="C3921" s="18" t="n">
        <x:v>-0.7939999</x:v>
      </x:c>
      <x:c r="D3921" s="10" t="n">
        <x:v>560</x:v>
      </x:c>
      <x:c r="E3921" s="10" t="n">
        <x:v>0.058304038</x:v>
      </x:c>
      <x:c r="F3921" s="10" t="n">
        <x:v>0.012288</x:v>
      </x:c>
      <x:c r="G3921" s="10" t="n">
        <x:f>SUM(D3921:F3921)</x:f>
        <x:v>560.070592038</x:v>
      </x:c>
    </x:row>
    <x:row r="3922" ht="24" customHeight="1">
      <x:c r="A3922" s="10" t="str">
        <x:v>S07-01</x:v>
      </x:c>
      <x:c r="B3922" s="10" t="str">
        <x:v>A</x:v>
      </x:c>
      <x:c r="C3922" s="18" t="n">
        <x:v>-0.4900001</x:v>
      </x:c>
      <x:c r="D3922" s="10" t="n">
        <x:v>560</x:v>
      </x:c>
      <x:c r="E3922" s="10" t="n">
        <x:v>0.175039962</x:v>
      </x:c>
      <x:c r="F3922" s="10" t="n">
        <x:v>0.012288</x:v>
      </x:c>
      <x:c r="G3922" s="10" t="n">
        <x:f>SUM(D3922:F3922)</x:f>
        <x:v>560.187327962</x:v>
      </x:c>
    </x:row>
    <x:row r="3923" ht="24" customHeight="1">
      <x:c r="A3923" s="10" t="str">
        <x:v>S07-01</x:v>
      </x:c>
      <x:c r="B3923" s="10" t="str">
        <x:v>A</x:v>
      </x:c>
      <x:c r="C3923" s="18" t="n">
        <x:v>-0.49</x:v>
      </x:c>
      <x:c r="D3923" s="10" t="n">
        <x:v>560</x:v>
      </x:c>
      <x:c r="E3923" s="10" t="n">
        <x:v>0.18464</x:v>
      </x:c>
      <x:c r="F3923" s="10" t="n">
        <x:v>0.012288</x:v>
      </x:c>
      <x:c r="G3923" s="10" t="n">
        <x:f>SUM(D3923:F3923)</x:f>
        <x:v>560.196928</x:v>
      </x:c>
    </x:row>
    <x:row r="3924" ht="24" customHeight="1">
      <x:c r="A3924" s="10" t="str">
        <x:v>S07-01</x:v>
      </x:c>
      <x:c r="B3924" s="10" t="str">
        <x:v>A</x:v>
      </x:c>
      <x:c r="C3924" s="18" t="n">
        <x:v>-0.4899999</x:v>
      </x:c>
      <x:c r="D3924" s="10" t="n">
        <x:v>560</x:v>
      </x:c>
      <x:c r="E3924" s="10" t="n">
        <x:v>0.184640058</x:v>
      </x:c>
      <x:c r="F3924" s="10" t="n">
        <x:v>0.012288</x:v>
      </x:c>
      <x:c r="G3924" s="10" t="n">
        <x:f>SUM(D3924:F3924)</x:f>
        <x:v>560.196928058</x:v>
      </x:c>
    </x:row>
    <x:row r="3925" ht="24" customHeight="1">
      <x:c r="A3925" s="10" t="str">
        <x:v>S07-01</x:v>
      </x:c>
      <x:c r="B3925" s="10" t="str">
        <x:v>A</x:v>
      </x:c>
      <x:c r="C3925" s="18" t="n">
        <x:v>-0.311166767</x:v>
      </x:c>
      <x:c r="D3925" s="10" t="n">
        <x:v>560</x:v>
      </x:c>
      <x:c r="E3925" s="10" t="n">
        <x:v>0.287647942</x:v>
      </x:c>
      <x:c r="F3925" s="10" t="n">
        <x:v>0.012288</x:v>
      </x:c>
      <x:c r="G3925" s="10" t="n">
        <x:f>SUM(D3925:F3925)</x:f>
        <x:v>560.299935942</x:v>
      </x:c>
    </x:row>
    <x:row r="3926" ht="24" customHeight="1">
      <x:c r="A3926" s="10" t="str">
        <x:v>S07-01</x:v>
      </x:c>
      <x:c r="B3926" s="10" t="str">
        <x:v>A</x:v>
      </x:c>
      <x:c r="C3926" s="18" t="n">
        <x:v>-0.311166667</x:v>
      </x:c>
      <x:c r="D3926" s="10" t="n">
        <x:v>560</x:v>
      </x:c>
      <x:c r="E3926" s="10" t="n">
        <x:v>0.287648</x:v>
      </x:c>
      <x:c r="F3926" s="10" t="n">
        <x:v>0.012288</x:v>
      </x:c>
      <x:c r="G3926" s="10" t="n">
        <x:f>SUM(D3926:F3926)</x:f>
        <x:v>560.299936</x:v>
      </x:c>
    </x:row>
    <x:row r="3927" ht="24" customHeight="1">
      <x:c r="A3927" s="10" t="str">
        <x:v>S07-01</x:v>
      </x:c>
      <x:c r="B3927" s="10" t="str">
        <x:v>A</x:v>
      </x:c>
      <x:c r="C3927" s="18" t="n">
        <x:v>-0.311166567</x:v>
      </x:c>
      <x:c r="D3927" s="10" t="n">
        <x:v>560</x:v>
      </x:c>
      <x:c r="E3927" s="10" t="n">
        <x:v>0.287648038</x:v>
      </x:c>
      <x:c r="F3927" s="10" t="n">
        <x:v>0.012288</x:v>
      </x:c>
      <x:c r="G3927" s="10" t="n">
        <x:f>SUM(D3927:F3927)</x:f>
        <x:v>560.299936038</x:v>
      </x:c>
    </x:row>
    <x:row r="3928" ht="24" customHeight="1">
      <x:c r="A3928" s="10" t="str">
        <x:v>S07-01</x:v>
      </x:c>
      <x:c r="B3928" s="10" t="str">
        <x:v>A</x:v>
      </x:c>
      <x:c r="C3928" s="18" t="n">
        <x:v>-1e-7</x:v>
      </x:c>
      <x:c r="D3928" s="10" t="n">
        <x:v>560</x:v>
      </x:c>
      <x:c r="E3928" s="10" t="n">
        <x:v>0.407135962</x:v>
      </x:c>
      <x:c r="F3928" s="10" t="n">
        <x:v>0.012288</x:v>
      </x:c>
      <x:c r="G3928" s="10" t="n">
        <x:f>SUM(D3928:F3928)</x:f>
        <x:v>560.419423962</x:v>
      </x:c>
    </x:row>
    <x:row r="3929" ht="24" customHeight="1">
      <x:c r="A3929" s="10" t="str">
        <x:v>S07-01</x:v>
      </x:c>
      <x:c r="B3929" s="10" t="str">
        <x:v>A</x:v>
      </x:c>
      <x:c r="C3929" s="18" t="n">
        <x:v>0</x:v>
      </x:c>
      <x:c r="D3929" s="10" t="n">
        <x:v>560</x:v>
      </x:c>
      <x:c r="E3929" s="10" t="n">
        <x:v>0.407136</x:v>
      </x:c>
      <x:c r="F3929" s="10" t="n">
        <x:v>0.012288</x:v>
      </x:c>
      <x:c r="G3929" s="10" t="n">
        <x:f>SUM(D3929:F3929)</x:f>
        <x:v>560.419424</x:v>
      </x:c>
    </x:row>
    <x:row r="3930" ht="24" customHeight="1">
      <x:c r="A3930" s="10" t="str">
        <x:v>S07-01</x:v>
      </x:c>
      <x:c r="B3930" s="10" t="str">
        <x:v>A</x:v>
      </x:c>
      <x:c r="C3930" s="18" t="n">
        <x:v>1e-7</x:v>
      </x:c>
      <x:c r="D3930" s="10" t="n">
        <x:v>560</x:v>
      </x:c>
      <x:c r="E3930" s="10" t="n">
        <x:v>0.407136038</x:v>
      </x:c>
      <x:c r="F3930" s="10" t="n">
        <x:v>0.012288</x:v>
      </x:c>
      <x:c r="G3930" s="10" t="n">
        <x:f>SUM(D3930:F3930)</x:f>
        <x:v>560.419424038</x:v>
      </x:c>
    </x:row>
    <x:row r="3931" ht="24" customHeight="1">
      <x:c r="A3931" s="10" t="str">
        <x:v>S07-01</x:v>
      </x:c>
      <x:c r="B3931" s="10" t="str">
        <x:v>A</x:v>
      </x:c>
      <x:c r="C3931" s="18" t="n">
        <x:v>0.1424999</x:v>
      </x:c>
      <x:c r="D3931" s="10" t="n">
        <x:v>560</x:v>
      </x:c>
      <x:c r="E3931" s="10" t="n">
        <x:v>0.461855962</x:v>
      </x:c>
      <x:c r="F3931" s="10" t="n">
        <x:v>0.012288</x:v>
      </x:c>
      <x:c r="G3931" s="10" t="n">
        <x:f>SUM(D3931:F3931)</x:f>
        <x:v>560.474143962</x:v>
      </x:c>
    </x:row>
    <x:row r="3932" ht="24" customHeight="1">
      <x:c r="A3932" s="10" t="str">
        <x:v>S07-01</x:v>
      </x:c>
      <x:c r="B3932" s="10" t="str">
        <x:v>A</x:v>
      </x:c>
      <x:c r="C3932" s="18" t="n">
        <x:v>0.1425</x:v>
      </x:c>
      <x:c r="D3932" s="10" t="n">
        <x:v>560</x:v>
      </x:c>
      <x:c r="E3932" s="10" t="n">
        <x:v>0.461856</x:v>
      </x:c>
      <x:c r="F3932" s="10" t="n">
        <x:v>0.012288</x:v>
      </x:c>
      <x:c r="G3932" s="10" t="n">
        <x:f>SUM(D3932:F3932)</x:f>
        <x:v>560.474144</x:v>
      </x:c>
    </x:row>
    <x:row r="3933" ht="24" customHeight="1">
      <x:c r="A3933" s="10" t="str">
        <x:v>S07-01</x:v>
      </x:c>
      <x:c r="B3933" s="10" t="str">
        <x:v>A</x:v>
      </x:c>
      <x:c r="C3933" s="18" t="n">
        <x:v>0.1425001</x:v>
      </x:c>
      <x:c r="D3933" s="10" t="n">
        <x:v>560</x:v>
      </x:c>
      <x:c r="E3933" s="10" t="n">
        <x:v>0.461856019</x:v>
      </x:c>
      <x:c r="F3933" s="10" t="n">
        <x:v>0.012288</x:v>
      </x:c>
      <x:c r="G3933" s="10" t="n">
        <x:f>SUM(D3933:F3933)</x:f>
        <x:v>560.474144019</x:v>
      </x:c>
    </x:row>
    <x:row r="3934" ht="24" customHeight="1">
      <x:c r="A3934" s="10" t="str">
        <x:v>S07-01</x:v>
      </x:c>
      <x:c r="B3934" s="10" t="str">
        <x:v>A</x:v>
      </x:c>
      <x:c r="C3934" s="18" t="n">
        <x:v>0.868333233</x:v>
      </x:c>
      <x:c r="D3934" s="10" t="n">
        <x:v>560</x:v>
      </x:c>
      <x:c r="E3934" s="10" t="n">
        <x:v>0.601215981</x:v>
      </x:c>
      <x:c r="F3934" s="10" t="n">
        <x:v>0.012288</x:v>
      </x:c>
      <x:c r="G3934" s="10" t="n">
        <x:f>SUM(D3934:F3934)</x:f>
        <x:v>560.613503981</x:v>
      </x:c>
    </x:row>
    <x:row r="3935" ht="24" customHeight="1">
      <x:c r="A3935" s="10" t="str">
        <x:v>S07-01</x:v>
      </x:c>
      <x:c r="B3935" s="10" t="str">
        <x:v>A</x:v>
      </x:c>
      <x:c r="C3935" s="18" t="n">
        <x:v>0.868333333</x:v>
      </x:c>
      <x:c r="D3935" s="10" t="n">
        <x:v>560</x:v>
      </x:c>
      <x:c r="E3935" s="10" t="n">
        <x:v>0.601216</x:v>
      </x:c>
      <x:c r="F3935" s="10" t="n">
        <x:v>0.012288</x:v>
      </x:c>
      <x:c r="G3935" s="10" t="n">
        <x:f>SUM(D3935:F3935)</x:f>
        <x:v>560.613504</x:v>
      </x:c>
    </x:row>
    <x:row r="3936" ht="24" customHeight="1">
      <x:c r="A3936" s="10" t="str">
        <x:v>S07-01</x:v>
      </x:c>
      <x:c r="B3936" s="10" t="str">
        <x:v>A</x:v>
      </x:c>
      <x:c r="C3936" s="18" t="n">
        <x:v>0.868333433</x:v>
      </x:c>
      <x:c r="D3936" s="10" t="n">
        <x:v>560</x:v>
      </x:c>
      <x:c r="E3936" s="10" t="n">
        <x:v>0.601216019</x:v>
      </x:c>
      <x:c r="F3936" s="10" t="n">
        <x:v>0.012288</x:v>
      </x:c>
      <x:c r="G3936" s="10" t="n">
        <x:f>SUM(D3936:F3936)</x:f>
        <x:v>560.6135040190001</x:v>
      </x:c>
    </x:row>
    <x:row r="3937" ht="24" customHeight="1">
      <x:c r="A3937" s="10" t="str">
        <x:v>S07-01</x:v>
      </x:c>
      <x:c r="B3937" s="10" t="str">
        <x:v>A</x:v>
      </x:c>
      <x:c r="C3937" s="18" t="n">
        <x:v>0.908333233</x:v>
      </x:c>
      <x:c r="D3937" s="10" t="n">
        <x:v>560</x:v>
      </x:c>
      <x:c r="E3937" s="10" t="n">
        <x:v>0.608895981</x:v>
      </x:c>
      <x:c r="F3937" s="10" t="n">
        <x:v>0.012288</x:v>
      </x:c>
      <x:c r="G3937" s="10" t="n">
        <x:f>SUM(D3937:F3937)</x:f>
        <x:v>560.6211839810001</x:v>
      </x:c>
    </x:row>
    <x:row r="3938" ht="24" customHeight="1">
      <x:c r="A3938" s="10" t="str">
        <x:v>S07-01</x:v>
      </x:c>
      <x:c r="B3938" s="10" t="str">
        <x:v>A</x:v>
      </x:c>
      <x:c r="C3938" s="18" t="n">
        <x:v>0.908333333</x:v>
      </x:c>
      <x:c r="D3938" s="10" t="n">
        <x:v>560</x:v>
      </x:c>
      <x:c r="E3938" s="10" t="n">
        <x:v>0.608896</x:v>
      </x:c>
      <x:c r="F3938" s="10" t="n">
        <x:v>0.012288</x:v>
      </x:c>
      <x:c r="G3938" s="10" t="n">
        <x:f>SUM(D3938:F3938)</x:f>
        <x:v>560.621184</x:v>
      </x:c>
    </x:row>
    <x:row r="3939" ht="24" customHeight="1">
      <x:c r="A3939" s="10" t="str">
        <x:v>S07-01</x:v>
      </x:c>
      <x:c r="B3939" s="10" t="str">
        <x:v>A</x:v>
      </x:c>
      <x:c r="C3939" s="18" t="n">
        <x:v>0.908333433</x:v>
      </x:c>
      <x:c r="D3939" s="10" t="n">
        <x:v>560</x:v>
      </x:c>
      <x:c r="E3939" s="10" t="n">
        <x:v>0.608896014</x:v>
      </x:c>
      <x:c r="F3939" s="10" t="n">
        <x:v>0.012288</x:v>
      </x:c>
      <x:c r="G3939" s="10" t="n">
        <x:f>SUM(D3939:F3939)</x:f>
        <x:v>560.621184014</x:v>
      </x:c>
    </x:row>
    <x:row r="3940" ht="24" customHeight="1">
      <x:c r="A3940" s="10" t="str">
        <x:v>S07-01</x:v>
      </x:c>
      <x:c r="B3940" s="10" t="str">
        <x:v>A</x:v>
      </x:c>
      <x:c r="C3940" s="18" t="n">
        <x:v>1.1964999</x:v>
      </x:c>
      <x:c r="D3940" s="10" t="n">
        <x:v>560</x:v>
      </x:c>
      <x:c r="E3940" s="10" t="n">
        <x:v>0.650391986</x:v>
      </x:c>
      <x:c r="F3940" s="10" t="n">
        <x:v>0.012288</x:v>
      </x:c>
      <x:c r="G3940" s="10" t="n">
        <x:f>SUM(D3940:F3940)</x:f>
        <x:v>560.6626799860001</x:v>
      </x:c>
    </x:row>
    <x:row r="3941" ht="24" customHeight="1">
      <x:c r="A3941" s="10" t="str">
        <x:v>S07-01</x:v>
      </x:c>
      <x:c r="B3941" s="10" t="str">
        <x:v>A</x:v>
      </x:c>
      <x:c r="C3941" s="18" t="n">
        <x:v>1.1965</x:v>
      </x:c>
      <x:c r="D3941" s="10" t="n">
        <x:v>560</x:v>
      </x:c>
      <x:c r="E3941" s="10" t="n">
        <x:v>0.650392</x:v>
      </x:c>
      <x:c r="F3941" s="10" t="n">
        <x:v>0.012288</x:v>
      </x:c>
      <x:c r="G3941" s="10" t="n">
        <x:f>SUM(D3941:F3941)</x:f>
        <x:v>560.66268</x:v>
      </x:c>
    </x:row>
    <x:row r="3942" ht="24" customHeight="1">
      <x:c r="A3942" s="10" t="str">
        <x:v>S07-01</x:v>
      </x:c>
      <x:c r="B3942" s="10" t="str">
        <x:v>A</x:v>
      </x:c>
      <x:c r="C3942" s="18" t="n">
        <x:v>1.1965001</x:v>
      </x:c>
      <x:c r="D3942" s="10" t="n">
        <x:v>560</x:v>
      </x:c>
      <x:c r="E3942" s="10" t="n">
        <x:v>0.650391995</x:v>
      </x:c>
      <x:c r="F3942" s="10" t="n">
        <x:v>0.012288</x:v>
      </x:c>
      <x:c r="G3942" s="10" t="n">
        <x:f>SUM(D3942:F3942)</x:f>
        <x:v>560.662679995</x:v>
      </x:c>
    </x:row>
    <x:row r="3943" ht="24" customHeight="1">
      <x:c r="A3943" s="10" t="str">
        <x:v>S07-01</x:v>
      </x:c>
      <x:c r="B3943" s="10" t="str">
        <x:v>A</x:v>
      </x:c>
      <x:c r="C3943" s="18" t="n">
        <x:v>3.854333233</x:v>
      </x:c>
      <x:c r="D3943" s="10" t="n">
        <x:v>560</x:v>
      </x:c>
      <x:c r="E3943" s="10" t="n">
        <x:v>0.522816005</x:v>
      </x:c>
      <x:c r="F3943" s="10" t="n">
        <x:v>0.012288</x:v>
      </x:c>
      <x:c r="G3943" s="10" t="n">
        <x:f>SUM(D3943:F3943)</x:f>
        <x:v>560.535104005</x:v>
      </x:c>
    </x:row>
    <x:row r="3944" ht="24" customHeight="1">
      <x:c r="A3944" s="10" t="str">
        <x:v>S07-01</x:v>
      </x:c>
      <x:c r="B3944" s="10" t="str">
        <x:v>A</x:v>
      </x:c>
      <x:c r="C3944" s="18" t="n">
        <x:v>3.854333333</x:v>
      </x:c>
      <x:c r="D3944" s="10" t="n">
        <x:v>560</x:v>
      </x:c>
      <x:c r="E3944" s="10" t="n">
        <x:v>0.522816</x:v>
      </x:c>
      <x:c r="F3944" s="10" t="n">
        <x:v>0.012288</x:v>
      </x:c>
      <x:c r="G3944" s="10" t="n">
        <x:f>SUM(D3944:F3944)</x:f>
        <x:v>560.535104</x:v>
      </x:c>
    </x:row>
    <x:row r="3945" ht="24" customHeight="1">
      <x:c r="A3945" s="10" t="str">
        <x:v>S07-01</x:v>
      </x:c>
      <x:c r="B3945" s="10" t="str">
        <x:v>A</x:v>
      </x:c>
      <x:c r="C3945" s="18" t="n">
        <x:v>3.854333433</x:v>
      </x:c>
      <x:c r="D3945" s="10" t="n">
        <x:v>560</x:v>
      </x:c>
      <x:c r="E3945" s="10" t="n">
        <x:v>0.522816</x:v>
      </x:c>
      <x:c r="F3945" s="10" t="n">
        <x:v>0.008192</x:v>
      </x:c>
      <x:c r="G3945" s="10" t="n">
        <x:f>SUM(D3945:F3945)</x:f>
        <x:v>560.531008</x:v>
      </x:c>
    </x:row>
    <x:row r="3946" ht="24" customHeight="1">
      <x:c r="A3946" s="10" t="str">
        <x:v>S07-01</x:v>
      </x:c>
      <x:c r="B3946" s="10" t="str">
        <x:v>A</x:v>
      </x:c>
      <x:c r="C3946" s="18" t="n">
        <x:v>3.894333233</x:v>
      </x:c>
      <x:c r="D3946" s="10" t="n">
        <x:v>560</x:v>
      </x:c>
      <x:c r="E3946" s="10" t="n">
        <x:v>0.522816</x:v>
      </x:c>
      <x:c r="F3946" s="10" t="n">
        <x:v>0.008192</x:v>
      </x:c>
      <x:c r="G3946" s="10" t="n">
        <x:f>SUM(D3946:F3946)</x:f>
        <x:v>560.531008</x:v>
      </x:c>
    </x:row>
    <x:row r="3947" ht="24" customHeight="1">
      <x:c r="A3947" s="10" t="str">
        <x:v>S07-01</x:v>
      </x:c>
      <x:c r="B3947" s="10" t="str">
        <x:v>A</x:v>
      </x:c>
      <x:c r="C3947" s="18" t="n">
        <x:v>3.894333333</x:v>
      </x:c>
      <x:c r="D3947" s="10" t="n">
        <x:v>560</x:v>
      </x:c>
      <x:c r="E3947" s="10" t="n">
        <x:v>0.522816</x:v>
      </x:c>
      <x:c r="F3947" s="10" t="n">
        <x:v>0.008192</x:v>
      </x:c>
      <x:c r="G3947" s="10" t="n">
        <x:f>SUM(D3947:F3947)</x:f>
        <x:v>560.531008</x:v>
      </x:c>
    </x:row>
    <x:row r="3948" ht="24" customHeight="1">
      <x:c r="A3948" s="10" t="str">
        <x:v>S07-01</x:v>
      </x:c>
      <x:c r="B3948" s="10" t="str">
        <x:v>A</x:v>
      </x:c>
      <x:c r="C3948" s="18" t="n">
        <x:v>3.894333433</x:v>
      </x:c>
      <x:c r="D3948" s="10" t="n">
        <x:v>560</x:v>
      </x:c>
      <x:c r="E3948" s="10" t="n">
        <x:v>0.522815995</x:v>
      </x:c>
      <x:c r="F3948" s="10" t="n">
        <x:v>0.008192</x:v>
      </x:c>
      <x:c r="G3948" s="10" t="n">
        <x:f>SUM(D3948:F3948)</x:f>
        <x:v>560.531007995</x:v>
      </x:c>
    </x:row>
    <x:row r="3949" ht="24" customHeight="1">
      <x:c r="A3949" s="10" t="str">
        <x:v>S07-01</x:v>
      </x:c>
      <x:c r="B3949" s="10" t="str">
        <x:v>A</x:v>
      </x:c>
      <x:c r="C3949" s="18" t="n">
        <x:v>7.840333233</x:v>
      </x:c>
      <x:c r="D3949" s="10" t="n">
        <x:v>560</x:v>
      </x:c>
      <x:c r="E3949" s="10" t="n">
        <x:v>0.333408005</x:v>
      </x:c>
      <x:c r="F3949" s="10" t="n">
        <x:v>0.008192</x:v>
      </x:c>
      <x:c r="G3949" s="10" t="n">
        <x:f>SUM(D3949:F3949)</x:f>
        <x:v>560.341600005</x:v>
      </x:c>
    </x:row>
    <x:row r="3950" ht="24" customHeight="1">
      <x:c r="A3950" s="10" t="str">
        <x:v>S07-01</x:v>
      </x:c>
      <x:c r="B3950" s="10" t="str">
        <x:v>A</x:v>
      </x:c>
      <x:c r="C3950" s="18" t="n">
        <x:v>7.840333333</x:v>
      </x:c>
      <x:c r="D3950" s="10" t="n">
        <x:v>560</x:v>
      </x:c>
      <x:c r="E3950" s="10" t="n">
        <x:v>0.333408</x:v>
      </x:c>
      <x:c r="F3950" s="10" t="n">
        <x:v>0.008192</x:v>
      </x:c>
      <x:c r="G3950" s="10" t="n">
        <x:f>SUM(D3950:F3950)</x:f>
        <x:v>560.3416</x:v>
      </x:c>
    </x:row>
    <x:row r="3951" ht="24" customHeight="1">
      <x:c r="A3951" s="10" t="str">
        <x:v>S07-01</x:v>
      </x:c>
      <x:c r="B3951" s="10" t="str">
        <x:v>A</x:v>
      </x:c>
      <x:c r="C3951" s="18" t="n">
        <x:v>7.840333433</x:v>
      </x:c>
      <x:c r="D3951" s="10" t="n">
        <x:v>560</x:v>
      </x:c>
      <x:c r="E3951" s="10" t="n">
        <x:v>0.333408</x:v>
      </x:c>
      <x:c r="F3951" s="10" t="n">
        <x:v>0.004096</x:v>
      </x:c>
      <x:c r="G3951" s="10" t="n">
        <x:f>SUM(D3951:F3951)</x:f>
        <x:v>560.337504</x:v>
      </x:c>
    </x:row>
    <x:row r="3952" ht="24" customHeight="1">
      <x:c r="A3952" s="10" t="str">
        <x:v>S07-01</x:v>
      </x:c>
      <x:c r="B3952" s="10" t="str">
        <x:v>A</x:v>
      </x:c>
      <x:c r="C3952" s="18" t="n">
        <x:v>7.880333233</x:v>
      </x:c>
      <x:c r="D3952" s="10" t="n">
        <x:v>560</x:v>
      </x:c>
      <x:c r="E3952" s="10" t="n">
        <x:v>0.333408</x:v>
      </x:c>
      <x:c r="F3952" s="10" t="n">
        <x:v>0.004096</x:v>
      </x:c>
      <x:c r="G3952" s="10" t="n">
        <x:f>SUM(D3952:F3952)</x:f>
        <x:v>560.337504</x:v>
      </x:c>
    </x:row>
    <x:row r="3953" ht="24" customHeight="1">
      <x:c r="A3953" s="10" t="str">
        <x:v>S07-01</x:v>
      </x:c>
      <x:c r="B3953" s="10" t="str">
        <x:v>A</x:v>
      </x:c>
      <x:c r="C3953" s="18" t="n">
        <x:v>7.880333333</x:v>
      </x:c>
      <x:c r="D3953" s="10" t="n">
        <x:v>560</x:v>
      </x:c>
      <x:c r="E3953" s="10" t="n">
        <x:v>0.333408</x:v>
      </x:c>
      <x:c r="F3953" s="10" t="n">
        <x:v>0.004096</x:v>
      </x:c>
      <x:c r="G3953" s="10" t="n">
        <x:f>SUM(D3953:F3953)</x:f>
        <x:v>560.337504</x:v>
      </x:c>
    </x:row>
    <x:row r="3954" ht="24" customHeight="1">
      <x:c r="A3954" s="10" t="str">
        <x:v>S07-01</x:v>
      </x:c>
      <x:c r="B3954" s="10" t="str">
        <x:v>A</x:v>
      </x:c>
      <x:c r="C3954" s="18" t="n">
        <x:v>7.880333433</x:v>
      </x:c>
      <x:c r="D3954" s="10" t="n">
        <x:v>560</x:v>
      </x:c>
      <x:c r="E3954" s="10" t="n">
        <x:v>0.333407995</x:v>
      </x:c>
      <x:c r="F3954" s="10" t="n">
        <x:v>0.004096</x:v>
      </x:c>
      <x:c r="G3954" s="10" t="n">
        <x:f>SUM(D3954:F3954)</x:f>
        <x:v>560.337503995</x:v>
      </x:c>
    </x:row>
    <x:row r="3955" ht="24" customHeight="1">
      <x:c r="A3955" s="10" t="str">
        <x:v>S07-01</x:v>
      </x:c>
      <x:c r="B3955" s="10" t="str">
        <x:v>A</x:v>
      </x:c>
      <x:c r="C3955" s="18" t="n">
        <x:v>14.826333233</x:v>
      </x:c>
      <x:c r="D3955" s="10" t="n">
        <x:v>560</x:v>
      </x:c>
      <x:c r="E3955" s="10" t="n">
        <x:v>5e-9</x:v>
      </x:c>
      <x:c r="F3955" s="10" t="n">
        <x:v>0.004096</x:v>
      </x:c>
      <x:c r="G3955" s="10" t="n">
        <x:f>SUM(D3955:F3955)</x:f>
        <x:v>560.004096005</x:v>
      </x:c>
    </x:row>
    <x:row r="3956" ht="24" customHeight="1">
      <x:c r="A3956" s="10" t="str">
        <x:v>S07-01</x:v>
      </x:c>
      <x:c r="B3956" s="10" t="str">
        <x:v>A</x:v>
      </x:c>
      <x:c r="C3956" s="18" t="n">
        <x:v>14.826333333</x:v>
      </x:c>
      <x:c r="D3956" s="10" t="n">
        <x:v>560</x:v>
      </x:c>
      <x:c r="E3956" s="10" t="n">
        <x:v>0</x:v>
      </x:c>
      <x:c r="F3956" s="10" t="n">
        <x:v>0.004096</x:v>
      </x:c>
      <x:c r="G3956" s="10" t="n">
        <x:f>SUM(D3956:F3956)</x:f>
        <x:v>560.004096</x:v>
      </x:c>
    </x:row>
    <x:row r="3957" ht="24" customHeight="1">
      <x:c r="A3957" s="10" t="str">
        <x:v>S07-01</x:v>
      </x:c>
      <x:c r="B3957" s="10" t="str">
        <x:v>A</x:v>
      </x:c>
      <x:c r="C3957" s="18" t="n">
        <x:v>14.826333433</x:v>
      </x:c>
      <x:c r="D3957" s="10" t="n">
        <x:v>560</x:v>
      </x:c>
      <x:c r="E3957" s="10" t="n">
        <x:v>0</x:v>
      </x:c>
      <x:c r="F3957" s="10" t="n">
        <x:v>0</x:v>
      </x:c>
      <x:c r="G3957" s="10" t="n">
        <x:f>SUM(D3957:F3957)</x:f>
        <x:v>560</x:v>
      </x:c>
    </x:row>
    <x:row r="3958" ht="24" customHeight="1">
      <x:c r="A3958" s="10" t="str">
        <x:v>S07-01</x:v>
      </x:c>
      <x:c r="B3958" s="10" t="str">
        <x:v>B</x:v>
      </x:c>
      <x:c r="C3958" s="18" t="n">
        <x:v>-6.0000001</x:v>
      </x:c>
      <x:c r="D3958" s="10" t="n">
        <x:v>560</x:v>
      </x:c>
      <x:c r="E3958" s="10" t="n">
        <x:v>0</x:v>
      </x:c>
      <x:c r="F3958" s="10" t="n">
        <x:v>0</x:v>
      </x:c>
      <x:c r="G3958" s="10" t="n">
        <x:f>SUM(D3958:F3958)</x:f>
        <x:v>560</x:v>
      </x:c>
    </x:row>
    <x:row r="3959" ht="24" customHeight="1">
      <x:c r="A3959" s="10" t="str">
        <x:v>S07-01</x:v>
      </x:c>
      <x:c r="B3959" s="10" t="str">
        <x:v>B</x:v>
      </x:c>
      <x:c r="C3959" s="18" t="n">
        <x:v>-6</x:v>
      </x:c>
      <x:c r="D3959" s="10" t="n">
        <x:v>560</x:v>
      </x:c>
      <x:c r="E3959" s="10" t="n">
        <x:v>0</x:v>
      </x:c>
      <x:c r="F3959" s="10" t="n">
        <x:v>0</x:v>
      </x:c>
      <x:c r="G3959" s="10" t="n">
        <x:f>SUM(D3959:F3959)</x:f>
        <x:v>560</x:v>
      </x:c>
    </x:row>
    <x:row r="3960" ht="24" customHeight="1">
      <x:c r="A3960" s="10" t="str">
        <x:v>S07-01</x:v>
      </x:c>
      <x:c r="B3960" s="10" t="str">
        <x:v>B</x:v>
      </x:c>
      <x:c r="C3960" s="18" t="n">
        <x:v>-5.9999999</x:v>
      </x:c>
      <x:c r="D3960" s="10" t="n">
        <x:v>560</x:v>
      </x:c>
      <x:c r="E3960" s="10" t="n">
        <x:v>0</x:v>
      </x:c>
      <x:c r="F3960" s="10" t="n">
        <x:v>0</x:v>
      </x:c>
      <x:c r="G3960" s="10" t="n">
        <x:f>SUM(D3960:F3960)</x:f>
        <x:v>560</x:v>
      </x:c>
    </x:row>
    <x:row r="3961" ht="24" customHeight="1">
      <x:c r="A3961" s="10" t="str">
        <x:v>S07-01</x:v>
      </x:c>
      <x:c r="B3961" s="10" t="str">
        <x:v>B</x:v>
      </x:c>
      <x:c r="C3961" s="18" t="n">
        <x:v>-1e-7</x:v>
      </x:c>
      <x:c r="D3961" s="10" t="n">
        <x:v>560</x:v>
      </x:c>
      <x:c r="E3961" s="10" t="n">
        <x:v>0</x:v>
      </x:c>
      <x:c r="F3961" s="10" t="n">
        <x:v>0</x:v>
      </x:c>
      <x:c r="G3961" s="10" t="n">
        <x:f>SUM(D3961:F3961)</x:f>
        <x:v>560</x:v>
      </x:c>
    </x:row>
    <x:row r="3962" ht="24" customHeight="1">
      <x:c r="A3962" s="10" t="str">
        <x:v>S07-01</x:v>
      </x:c>
      <x:c r="B3962" s="10" t="str">
        <x:v>B</x:v>
      </x:c>
      <x:c r="C3962" s="18" t="n">
        <x:v>0</x:v>
      </x:c>
      <x:c r="D3962" s="10" t="n">
        <x:v>560</x:v>
      </x:c>
      <x:c r="E3962" s="10" t="n">
        <x:v>0</x:v>
      </x:c>
      <x:c r="F3962" s="10" t="n">
        <x:v>0</x:v>
      </x:c>
      <x:c r="G3962" s="10" t="n">
        <x:f>SUM(D3962:F3962)</x:f>
        <x:v>560</x:v>
      </x:c>
    </x:row>
    <x:row r="3963" ht="24" customHeight="1">
      <x:c r="A3963" s="10" t="str">
        <x:v>S07-01</x:v>
      </x:c>
      <x:c r="B3963" s="10" t="str">
        <x:v>B</x:v>
      </x:c>
      <x:c r="C3963" s="18" t="n">
        <x:v>1e-7</x:v>
      </x:c>
      <x:c r="D3963" s="10" t="n">
        <x:v>560</x:v>
      </x:c>
      <x:c r="E3963" s="10" t="n">
        <x:v>0</x:v>
      </x:c>
      <x:c r="F3963" s="10" t="n">
        <x:v>0</x:v>
      </x:c>
      <x:c r="G3963" s="10" t="n">
        <x:f>SUM(D3963:F3963)</x:f>
        <x:v>560</x:v>
      </x:c>
    </x:row>
    <x:row r="3964" ht="24" customHeight="1">
      <x:c r="A3964" s="10" t="str">
        <x:v>S07-01</x:v>
      </x:c>
      <x:c r="B3964" s="10" t="str">
        <x:v>B</x:v>
      </x:c>
      <x:c r="C3964" s="18" t="n">
        <x:v>0.868333233</x:v>
      </x:c>
      <x:c r="D3964" s="10" t="n">
        <x:v>560</x:v>
      </x:c>
      <x:c r="E3964" s="10" t="n">
        <x:v>0</x:v>
      </x:c>
      <x:c r="F3964" s="10" t="n">
        <x:v>0</x:v>
      </x:c>
      <x:c r="G3964" s="10" t="n">
        <x:f>SUM(D3964:F3964)</x:f>
        <x:v>560</x:v>
      </x:c>
    </x:row>
    <x:row r="3965" ht="24" customHeight="1">
      <x:c r="A3965" s="10" t="str">
        <x:v>S07-01</x:v>
      </x:c>
      <x:c r="B3965" s="10" t="str">
        <x:v>B</x:v>
      </x:c>
      <x:c r="C3965" s="18" t="n">
        <x:v>0.868333333</x:v>
      </x:c>
      <x:c r="D3965" s="10" t="n">
        <x:v>560</x:v>
      </x:c>
      <x:c r="E3965" s="10" t="n">
        <x:v>0</x:v>
      </x:c>
      <x:c r="F3965" s="10" t="n">
        <x:v>0.004096</x:v>
      </x:c>
      <x:c r="G3965" s="10" t="n">
        <x:f>SUM(D3965:F3965)</x:f>
        <x:v>560.004096</x:v>
      </x:c>
    </x:row>
    <x:row r="3966" ht="24" customHeight="1">
      <x:c r="A3966" s="10" t="str">
        <x:v>S07-01</x:v>
      </x:c>
      <x:c r="B3966" s="10" t="str">
        <x:v>B</x:v>
      </x:c>
      <x:c r="C3966" s="18" t="n">
        <x:v>0.868333433</x:v>
      </x:c>
      <x:c r="D3966" s="10" t="n">
        <x:v>560</x:v>
      </x:c>
      <x:c r="E3966" s="10" t="n">
        <x:v>0</x:v>
      </x:c>
      <x:c r="F3966" s="10" t="n">
        <x:v>0.004096</x:v>
      </x:c>
      <x:c r="G3966" s="10" t="n">
        <x:f>SUM(D3966:F3966)</x:f>
        <x:v>560.004096</x:v>
      </x:c>
    </x:row>
    <x:row r="3967" ht="24" customHeight="1">
      <x:c r="A3967" s="10" t="str">
        <x:v>S07-01</x:v>
      </x:c>
      <x:c r="B3967" s="10" t="str">
        <x:v>B</x:v>
      </x:c>
      <x:c r="C3967" s="18" t="n">
        <x:v>1.270666566</x:v>
      </x:c>
      <x:c r="D3967" s="10" t="n">
        <x:v>560</x:v>
      </x:c>
      <x:c r="E3967" s="10" t="n">
        <x:v>0</x:v>
      </x:c>
      <x:c r="F3967" s="10" t="n">
        <x:v>0.004096</x:v>
      </x:c>
      <x:c r="G3967" s="10" t="n">
        <x:f>SUM(D3967:F3967)</x:f>
        <x:v>560.004096</x:v>
      </x:c>
    </x:row>
    <x:row r="3968" ht="24" customHeight="1">
      <x:c r="A3968" s="10" t="str">
        <x:v>S07-01</x:v>
      </x:c>
      <x:c r="B3968" s="10" t="str">
        <x:v>B</x:v>
      </x:c>
      <x:c r="C3968" s="18" t="n">
        <x:v>1.270666666</x:v>
      </x:c>
      <x:c r="D3968" s="10" t="n">
        <x:v>560</x:v>
      </x:c>
      <x:c r="E3968" s="10" t="n">
        <x:v>0.0096</x:v>
      </x:c>
      <x:c r="F3968" s="10" t="n">
        <x:v>0.004096</x:v>
      </x:c>
      <x:c r="G3968" s="10" t="n">
        <x:f>SUM(D3968:F3968)</x:f>
        <x:v>560.013696</x:v>
      </x:c>
    </x:row>
    <x:row r="3969" ht="24" customHeight="1">
      <x:c r="A3969" s="10" t="str">
        <x:v>S07-01</x:v>
      </x:c>
      <x:c r="B3969" s="10" t="str">
        <x:v>B</x:v>
      </x:c>
      <x:c r="C3969" s="18" t="n">
        <x:v>1.270666766</x:v>
      </x:c>
      <x:c r="D3969" s="10" t="n">
        <x:v>560</x:v>
      </x:c>
      <x:c r="E3969" s="10" t="n">
        <x:v>0.009600019</x:v>
      </x:c>
      <x:c r="F3969" s="10" t="n">
        <x:v>0.004096</x:v>
      </x:c>
      <x:c r="G3969" s="10" t="n">
        <x:f>SUM(D3969:F3969)</x:f>
        <x:v>560.013696019</x:v>
      </x:c>
    </x:row>
    <x:row r="3970" ht="24" customHeight="1">
      <x:c r="A3970" s="10" t="str">
        <x:v>S07-01</x:v>
      </x:c>
      <x:c r="B3970" s="10" t="str">
        <x:v>B</x:v>
      </x:c>
      <x:c r="C3970" s="18" t="n">
        <x:v>1.310666566</x:v>
      </x:c>
      <x:c r="D3970" s="10" t="n">
        <x:v>560</x:v>
      </x:c>
      <x:c r="E3970" s="10" t="n">
        <x:v>0.017279981</x:v>
      </x:c>
      <x:c r="F3970" s="10" t="n">
        <x:v>0.004096</x:v>
      </x:c>
      <x:c r="G3970" s="10" t="n">
        <x:f>SUM(D3970:F3970)</x:f>
        <x:v>560.021375981</x:v>
      </x:c>
    </x:row>
    <x:row r="3971" ht="24" customHeight="1">
      <x:c r="A3971" s="10" t="str">
        <x:v>S07-01</x:v>
      </x:c>
      <x:c r="B3971" s="10" t="str">
        <x:v>B</x:v>
      </x:c>
      <x:c r="C3971" s="18" t="n">
        <x:v>1.310666666</x:v>
      </x:c>
      <x:c r="D3971" s="10" t="n">
        <x:v>560</x:v>
      </x:c>
      <x:c r="E3971" s="10" t="n">
        <x:v>0.01728</x:v>
      </x:c>
      <x:c r="F3971" s="10" t="n">
        <x:v>0.004096</x:v>
      </x:c>
      <x:c r="G3971" s="10" t="n">
        <x:f>SUM(D3971:F3971)</x:f>
        <x:v>560.021376</x:v>
      </x:c>
    </x:row>
    <x:row r="3972" ht="24" customHeight="1">
      <x:c r="A3972" s="10" t="str">
        <x:v>S07-01</x:v>
      </x:c>
      <x:c r="B3972" s="10" t="str">
        <x:v>B</x:v>
      </x:c>
      <x:c r="C3972" s="18" t="n">
        <x:v>1.310666766</x:v>
      </x:c>
      <x:c r="D3972" s="10" t="n">
        <x:v>560</x:v>
      </x:c>
      <x:c r="E3972" s="10" t="n">
        <x:v>0.017280014</x:v>
      </x:c>
      <x:c r="F3972" s="10" t="n">
        <x:v>0.004096</x:v>
      </x:c>
      <x:c r="G3972" s="10" t="n">
        <x:f>SUM(D3972:F3972)</x:f>
        <x:v>560.021376014</x:v>
      </x:c>
    </x:row>
    <x:row r="3973" ht="24" customHeight="1">
      <x:c r="A3973" s="10" t="str">
        <x:v>S07-01</x:v>
      </x:c>
      <x:c r="B3973" s="10" t="str">
        <x:v>B</x:v>
      </x:c>
      <x:c r="C3973" s="18" t="n">
        <x:v>1.957166566</x:v>
      </x:c>
      <x:c r="D3973" s="10" t="n">
        <x:v>560</x:v>
      </x:c>
      <x:c r="E3973" s="10" t="n">
        <x:v>0.110375986</x:v>
      </x:c>
      <x:c r="F3973" s="10" t="n">
        <x:v>0.004096</x:v>
      </x:c>
      <x:c r="G3973" s="10" t="n">
        <x:f>SUM(D3973:F3973)</x:f>
        <x:v>560.114471986</x:v>
      </x:c>
    </x:row>
    <x:row r="3974" ht="24" customHeight="1">
      <x:c r="A3974" s="10" t="str">
        <x:v>S07-01</x:v>
      </x:c>
      <x:c r="B3974" s="10" t="str">
        <x:v>B</x:v>
      </x:c>
      <x:c r="C3974" s="18" t="n">
        <x:v>1.957166666</x:v>
      </x:c>
      <x:c r="D3974" s="10" t="n">
        <x:v>560</x:v>
      </x:c>
      <x:c r="E3974" s="10" t="n">
        <x:v>0.110376</x:v>
      </x:c>
      <x:c r="F3974" s="10" t="n">
        <x:v>0.004096</x:v>
      </x:c>
      <x:c r="G3974" s="10" t="n">
        <x:f>SUM(D3974:F3974)</x:f>
        <x:v>560.114472</x:v>
      </x:c>
    </x:row>
    <x:row r="3975" ht="24" customHeight="1">
      <x:c r="A3975" s="10" t="str">
        <x:v>S07-01</x:v>
      </x:c>
      <x:c r="B3975" s="10" t="str">
        <x:v>B</x:v>
      </x:c>
      <x:c r="C3975" s="18" t="n">
        <x:v>1.957166766</x:v>
      </x:c>
      <x:c r="D3975" s="10" t="n">
        <x:v>560</x:v>
      </x:c>
      <x:c r="E3975" s="10" t="n">
        <x:v>0.110375995</x:v>
      </x:c>
      <x:c r="F3975" s="10" t="n">
        <x:v>0.004096</x:v>
      </x:c>
      <x:c r="G3975" s="10" t="n">
        <x:f>SUM(D3975:F3975)</x:f>
        <x:v>560.114471995</x:v>
      </x:c>
    </x:row>
    <x:row r="3976" ht="24" customHeight="1">
      <x:c r="A3976" s="10" t="str">
        <x:v>S07-01</x:v>
      </x:c>
      <x:c r="B3976" s="10" t="str">
        <x:v>B</x:v>
      </x:c>
      <x:c r="C3976" s="18" t="n">
        <x:v>4.256666566</x:v>
      </x:c>
      <x:c r="D3976" s="10" t="n">
        <x:v>560</x:v>
      </x:c>
      <x:c r="E3976" s="10" t="n">
        <x:v>5e-9</x:v>
      </x:c>
      <x:c r="F3976" s="10" t="n">
        <x:v>0.004096</x:v>
      </x:c>
      <x:c r="G3976" s="10" t="n">
        <x:f>SUM(D3976:F3976)</x:f>
        <x:v>560.004096005</x:v>
      </x:c>
    </x:row>
    <x:row r="3977" ht="24" customHeight="1">
      <x:c r="A3977" s="10" t="str">
        <x:v>S07-01</x:v>
      </x:c>
      <x:c r="B3977" s="10" t="str">
        <x:v>B</x:v>
      </x:c>
      <x:c r="C3977" s="18" t="n">
        <x:v>4.256666666</x:v>
      </x:c>
      <x:c r="D3977" s="10" t="n">
        <x:v>560</x:v>
      </x:c>
      <x:c r="E3977" s="10" t="n">
        <x:v>0</x:v>
      </x:c>
      <x:c r="F3977" s="10" t="n">
        <x:v>0.008192</x:v>
      </x:c>
      <x:c r="G3977" s="10" t="n">
        <x:f>SUM(D3977:F3977)</x:f>
        <x:v>560.008192</x:v>
      </x:c>
    </x:row>
    <x:row r="3978" ht="24" customHeight="1">
      <x:c r="A3978" s="10" t="str">
        <x:v>S07-01</x:v>
      </x:c>
      <x:c r="B3978" s="10" t="str">
        <x:v>B</x:v>
      </x:c>
      <x:c r="C3978" s="18" t="n">
        <x:v>4.256666766</x:v>
      </x:c>
      <x:c r="D3978" s="10" t="n">
        <x:v>560</x:v>
      </x:c>
      <x:c r="E3978" s="10" t="n">
        <x:v>0</x:v>
      </x:c>
      <x:c r="F3978" s="10" t="n">
        <x:v>0.004096</x:v>
      </x:c>
      <x:c r="G3978" s="10" t="n">
        <x:f>SUM(D3978:F3978)</x:f>
        <x:v>560.004096</x:v>
      </x:c>
    </x:row>
    <x:row r="3979" ht="24" customHeight="1">
      <x:c r="A3979" s="10" t="str">
        <x:v>S07-01</x:v>
      </x:c>
      <x:c r="B3979" s="10" t="str">
        <x:v>B</x:v>
      </x:c>
      <x:c r="C3979" s="18" t="n">
        <x:v>4.662666566</x:v>
      </x:c>
      <x:c r="D3979" s="10" t="n">
        <x:v>560</x:v>
      </x:c>
      <x:c r="E3979" s="10" t="n">
        <x:v>0</x:v>
      </x:c>
      <x:c r="F3979" s="10" t="n">
        <x:v>0.004096</x:v>
      </x:c>
      <x:c r="G3979" s="10" t="n">
        <x:f>SUM(D3979:F3979)</x:f>
        <x:v>560.004096</x:v>
      </x:c>
    </x:row>
    <x:row r="3980" ht="24" customHeight="1">
      <x:c r="A3980" s="10" t="str">
        <x:v>S07-01</x:v>
      </x:c>
      <x:c r="B3980" s="10" t="str">
        <x:v>B</x:v>
      </x:c>
      <x:c r="C3980" s="18" t="n">
        <x:v>4.662666666</x:v>
      </x:c>
      <x:c r="D3980" s="10" t="n">
        <x:v>560</x:v>
      </x:c>
      <x:c r="E3980" s="10" t="n">
        <x:v>0.0096</x:v>
      </x:c>
      <x:c r="F3980" s="10" t="n">
        <x:v>0.004096</x:v>
      </x:c>
      <x:c r="G3980" s="10" t="n">
        <x:f>SUM(D3980:F3980)</x:f>
        <x:v>560.013696</x:v>
      </x:c>
    </x:row>
    <x:row r="3981" ht="24" customHeight="1">
      <x:c r="A3981" s="10" t="str">
        <x:v>S07-01</x:v>
      </x:c>
      <x:c r="B3981" s="10" t="str">
        <x:v>B</x:v>
      </x:c>
      <x:c r="C3981" s="18" t="n">
        <x:v>4.662666766</x:v>
      </x:c>
      <x:c r="D3981" s="10" t="n">
        <x:v>560</x:v>
      </x:c>
      <x:c r="E3981" s="10" t="n">
        <x:v>0.009600019</x:v>
      </x:c>
      <x:c r="F3981" s="10" t="n">
        <x:v>0.004096</x:v>
      </x:c>
      <x:c r="G3981" s="10" t="n">
        <x:f>SUM(D3981:F3981)</x:f>
        <x:v>560.013696019</x:v>
      </x:c>
    </x:row>
    <x:row r="3982" ht="24" customHeight="1">
      <x:c r="A3982" s="10" t="str">
        <x:v>S07-01</x:v>
      </x:c>
      <x:c r="B3982" s="10" t="str">
        <x:v>B</x:v>
      </x:c>
      <x:c r="C3982" s="18" t="n">
        <x:v>4.702666566</x:v>
      </x:c>
      <x:c r="D3982" s="10" t="n">
        <x:v>560</x:v>
      </x:c>
      <x:c r="E3982" s="10" t="n">
        <x:v>0.017279981</x:v>
      </x:c>
      <x:c r="F3982" s="10" t="n">
        <x:v>0.004096</x:v>
      </x:c>
      <x:c r="G3982" s="10" t="n">
        <x:f>SUM(D3982:F3982)</x:f>
        <x:v>560.021375981</x:v>
      </x:c>
    </x:row>
    <x:row r="3983" ht="24" customHeight="1">
      <x:c r="A3983" s="10" t="str">
        <x:v>S07-01</x:v>
      </x:c>
      <x:c r="B3983" s="10" t="str">
        <x:v>B</x:v>
      </x:c>
      <x:c r="C3983" s="18" t="n">
        <x:v>4.702666666</x:v>
      </x:c>
      <x:c r="D3983" s="10" t="n">
        <x:v>560</x:v>
      </x:c>
      <x:c r="E3983" s="10" t="n">
        <x:v>0.01728</x:v>
      </x:c>
      <x:c r="F3983" s="10" t="n">
        <x:v>0.004096</x:v>
      </x:c>
      <x:c r="G3983" s="10" t="n">
        <x:f>SUM(D3983:F3983)</x:f>
        <x:v>560.021376</x:v>
      </x:c>
    </x:row>
    <x:row r="3984" ht="24" customHeight="1">
      <x:c r="A3984" s="10" t="str">
        <x:v>S07-01</x:v>
      </x:c>
      <x:c r="B3984" s="10" t="str">
        <x:v>B</x:v>
      </x:c>
      <x:c r="C3984" s="18" t="n">
        <x:v>4.702666766</x:v>
      </x:c>
      <x:c r="D3984" s="10" t="n">
        <x:v>560</x:v>
      </x:c>
      <x:c r="E3984" s="10" t="n">
        <x:v>0.017280014</x:v>
      </x:c>
      <x:c r="F3984" s="10" t="n">
        <x:v>0.004096</x:v>
      </x:c>
      <x:c r="G3984" s="10" t="n">
        <x:f>SUM(D3984:F3984)</x:f>
        <x:v>560.021376014</x:v>
      </x:c>
    </x:row>
    <x:row r="3985" ht="24" customHeight="1">
      <x:c r="A3985" s="10" t="str">
        <x:v>S07-01</x:v>
      </x:c>
      <x:c r="B3985" s="10" t="str">
        <x:v>B</x:v>
      </x:c>
      <x:c r="C3985" s="18" t="n">
        <x:v>5.599166566</x:v>
      </x:c>
      <x:c r="D3985" s="10" t="n">
        <x:v>560</x:v>
      </x:c>
      <x:c r="E3985" s="10" t="n">
        <x:v>0.146375986</x:v>
      </x:c>
      <x:c r="F3985" s="10" t="n">
        <x:v>0.004096</x:v>
      </x:c>
      <x:c r="G3985" s="10" t="n">
        <x:f>SUM(D3985:F3985)</x:f>
        <x:v>560.150471986</x:v>
      </x:c>
    </x:row>
    <x:row r="3986" ht="24" customHeight="1">
      <x:c r="A3986" s="10" t="str">
        <x:v>S07-01</x:v>
      </x:c>
      <x:c r="B3986" s="10" t="str">
        <x:v>B</x:v>
      </x:c>
      <x:c r="C3986" s="18" t="n">
        <x:v>5.599166666</x:v>
      </x:c>
      <x:c r="D3986" s="10" t="n">
        <x:v>560</x:v>
      </x:c>
      <x:c r="E3986" s="10" t="n">
        <x:v>0.146376</x:v>
      </x:c>
      <x:c r="F3986" s="10" t="n">
        <x:v>0.004096</x:v>
      </x:c>
      <x:c r="G3986" s="10" t="n">
        <x:f>SUM(D3986:F3986)</x:f>
        <x:v>560.150472</x:v>
      </x:c>
    </x:row>
    <x:row r="3987" ht="24" customHeight="1">
      <x:c r="A3987" s="10" t="str">
        <x:v>S07-01</x:v>
      </x:c>
      <x:c r="B3987" s="10" t="str">
        <x:v>B</x:v>
      </x:c>
      <x:c r="C3987" s="18" t="n">
        <x:v>5.599166766</x:v>
      </x:c>
      <x:c r="D3987" s="10" t="n">
        <x:v>560</x:v>
      </x:c>
      <x:c r="E3987" s="10" t="n">
        <x:v>0.146375995</x:v>
      </x:c>
      <x:c r="F3987" s="10" t="n">
        <x:v>0.004096</x:v>
      </x:c>
      <x:c r="G3987" s="10" t="n">
        <x:f>SUM(D3987:F3987)</x:f>
        <x:v>560.150471995</x:v>
      </x:c>
    </x:row>
    <x:row r="3988" ht="24" customHeight="1">
      <x:c r="A3988" s="10" t="str">
        <x:v>S07-01</x:v>
      </x:c>
      <x:c r="B3988" s="10" t="str">
        <x:v>B</x:v>
      </x:c>
      <x:c r="C3988" s="18" t="n">
        <x:v>8.648666566</x:v>
      </x:c>
      <x:c r="D3988" s="10" t="n">
        <x:v>560</x:v>
      </x:c>
      <x:c r="E3988" s="10" t="n">
        <x:v>5e-9</x:v>
      </x:c>
      <x:c r="F3988" s="10" t="n">
        <x:v>0.004096</x:v>
      </x:c>
      <x:c r="G3988" s="10" t="n">
        <x:f>SUM(D3988:F3988)</x:f>
        <x:v>560.004096005</x:v>
      </x:c>
    </x:row>
    <x:row r="3989" ht="24" customHeight="1">
      <x:c r="A3989" s="10" t="str">
        <x:v>S07-01</x:v>
      </x:c>
      <x:c r="B3989" s="10" t="str">
        <x:v>B</x:v>
      </x:c>
      <x:c r="C3989" s="18" t="n">
        <x:v>8.648666666</x:v>
      </x:c>
      <x:c r="D3989" s="10" t="n">
        <x:v>560</x:v>
      </x:c>
      <x:c r="E3989" s="10" t="n">
        <x:v>0</x:v>
      </x:c>
      <x:c r="F3989" s="10" t="n">
        <x:v>0.008192</x:v>
      </x:c>
      <x:c r="G3989" s="10" t="n">
        <x:f>SUM(D3989:F3989)</x:f>
        <x:v>560.008192</x:v>
      </x:c>
    </x:row>
    <x:row r="3990" ht="24" customHeight="1">
      <x:c r="A3990" s="10" t="str">
        <x:v>S07-01</x:v>
      </x:c>
      <x:c r="B3990" s="10" t="str">
        <x:v>B</x:v>
      </x:c>
      <x:c r="C3990" s="18" t="n">
        <x:v>8.648666766</x:v>
      </x:c>
      <x:c r="D3990" s="10" t="n">
        <x:v>560</x:v>
      </x:c>
      <x:c r="E3990" s="10" t="n">
        <x:v>0</x:v>
      </x:c>
      <x:c r="F3990" s="10" t="n">
        <x:v>0.004096</x:v>
      </x:c>
      <x:c r="G3990" s="10" t="n">
        <x:f>SUM(D3990:F3990)</x:f>
        <x:v>560.004096</x:v>
      </x:c>
    </x:row>
    <x:row r="3991" ht="24" customHeight="1">
      <x:c r="A3991" s="10" t="str">
        <x:v>S07-01</x:v>
      </x:c>
      <x:c r="B3991" s="10" t="str">
        <x:v>B</x:v>
      </x:c>
      <x:c r="C3991" s="18" t="n">
        <x:v>9.058666566</x:v>
      </x:c>
      <x:c r="D3991" s="10" t="n">
        <x:v>560</x:v>
      </x:c>
      <x:c r="E3991" s="10" t="n">
        <x:v>0</x:v>
      </x:c>
      <x:c r="F3991" s="10" t="n">
        <x:v>0.004096</x:v>
      </x:c>
      <x:c r="G3991" s="10" t="n">
        <x:f>SUM(D3991:F3991)</x:f>
        <x:v>560.004096</x:v>
      </x:c>
    </x:row>
    <x:row r="3992" ht="24" customHeight="1">
      <x:c r="A3992" s="10" t="str">
        <x:v>S07-01</x:v>
      </x:c>
      <x:c r="B3992" s="10" t="str">
        <x:v>B</x:v>
      </x:c>
      <x:c r="C3992" s="18" t="n">
        <x:v>9.058666666</x:v>
      </x:c>
      <x:c r="D3992" s="10" t="n">
        <x:v>560</x:v>
      </x:c>
      <x:c r="E3992" s="10" t="n">
        <x:v>0.0096</x:v>
      </x:c>
      <x:c r="F3992" s="10" t="n">
        <x:v>0.004096</x:v>
      </x:c>
      <x:c r="G3992" s="10" t="n">
        <x:f>SUM(D3992:F3992)</x:f>
        <x:v>560.013696</x:v>
      </x:c>
    </x:row>
    <x:row r="3993" ht="24" customHeight="1">
      <x:c r="A3993" s="10" t="str">
        <x:v>S07-01</x:v>
      </x:c>
      <x:c r="B3993" s="10" t="str">
        <x:v>B</x:v>
      </x:c>
      <x:c r="C3993" s="18" t="n">
        <x:v>9.058666766</x:v>
      </x:c>
      <x:c r="D3993" s="10" t="n">
        <x:v>560</x:v>
      </x:c>
      <x:c r="E3993" s="10" t="n">
        <x:v>0.009600019</x:v>
      </x:c>
      <x:c r="F3993" s="10" t="n">
        <x:v>0.004096</x:v>
      </x:c>
      <x:c r="G3993" s="10" t="n">
        <x:f>SUM(D3993:F3993)</x:f>
        <x:v>560.013696019</x:v>
      </x:c>
    </x:row>
    <x:row r="3994" ht="24" customHeight="1">
      <x:c r="A3994" s="10" t="str">
        <x:v>S07-01</x:v>
      </x:c>
      <x:c r="B3994" s="10" t="str">
        <x:v>B</x:v>
      </x:c>
      <x:c r="C3994" s="18" t="n">
        <x:v>9.098666566</x:v>
      </x:c>
      <x:c r="D3994" s="10" t="n">
        <x:v>560</x:v>
      </x:c>
      <x:c r="E3994" s="10" t="n">
        <x:v>0.017279981</x:v>
      </x:c>
      <x:c r="F3994" s="10" t="n">
        <x:v>0.004096</x:v>
      </x:c>
      <x:c r="G3994" s="10" t="n">
        <x:f>SUM(D3994:F3994)</x:f>
        <x:v>560.021375981</x:v>
      </x:c>
    </x:row>
    <x:row r="3995" ht="24" customHeight="1">
      <x:c r="A3995" s="10" t="str">
        <x:v>S07-01</x:v>
      </x:c>
      <x:c r="B3995" s="10" t="str">
        <x:v>B</x:v>
      </x:c>
      <x:c r="C3995" s="18" t="n">
        <x:v>9.098666666</x:v>
      </x:c>
      <x:c r="D3995" s="10" t="n">
        <x:v>560</x:v>
      </x:c>
      <x:c r="E3995" s="10" t="n">
        <x:v>0.01728</x:v>
      </x:c>
      <x:c r="F3995" s="10" t="n">
        <x:v>0.004096</x:v>
      </x:c>
      <x:c r="G3995" s="10" t="n">
        <x:f>SUM(D3995:F3995)</x:f>
        <x:v>560.021376</x:v>
      </x:c>
    </x:row>
    <x:row r="3996" ht="24" customHeight="1">
      <x:c r="A3996" s="10" t="str">
        <x:v>S07-01</x:v>
      </x:c>
      <x:c r="B3996" s="10" t="str">
        <x:v>B</x:v>
      </x:c>
      <x:c r="C3996" s="18" t="n">
        <x:v>9.098666766</x:v>
      </x:c>
      <x:c r="D3996" s="10" t="n">
        <x:v>560</x:v>
      </x:c>
      <x:c r="E3996" s="10" t="n">
        <x:v>0.017280014</x:v>
      </x:c>
      <x:c r="F3996" s="10" t="n">
        <x:v>0.004096</x:v>
      </x:c>
      <x:c r="G3996" s="10" t="n">
        <x:f>SUM(D3996:F3996)</x:f>
        <x:v>560.021376014</x:v>
      </x:c>
    </x:row>
    <x:row r="3997" ht="24" customHeight="1">
      <x:c r="A3997" s="10" t="str">
        <x:v>S07-01</x:v>
      </x:c>
      <x:c r="B3997" s="10" t="str">
        <x:v>B</x:v>
      </x:c>
      <x:c r="C3997" s="18" t="n">
        <x:v>10.745166566</x:v>
      </x:c>
      <x:c r="D3997" s="10" t="n">
        <x:v>560</x:v>
      </x:c>
      <x:c r="E3997" s="10" t="n">
        <x:v>0.254375986</x:v>
      </x:c>
      <x:c r="F3997" s="10" t="n">
        <x:v>0.004096</x:v>
      </x:c>
      <x:c r="G3997" s="10" t="n">
        <x:f>SUM(D3997:F3997)</x:f>
        <x:v>560.258471986</x:v>
      </x:c>
    </x:row>
    <x:row r="3998" ht="24" customHeight="1">
      <x:c r="A3998" s="10" t="str">
        <x:v>S07-01</x:v>
      </x:c>
      <x:c r="B3998" s="10" t="str">
        <x:v>B</x:v>
      </x:c>
      <x:c r="C3998" s="18" t="n">
        <x:v>10.745166666</x:v>
      </x:c>
      <x:c r="D3998" s="10" t="n">
        <x:v>560</x:v>
      </x:c>
      <x:c r="E3998" s="10" t="n">
        <x:v>0.254376</x:v>
      </x:c>
      <x:c r="F3998" s="10" t="n">
        <x:v>0.004096</x:v>
      </x:c>
      <x:c r="G3998" s="10" t="n">
        <x:f>SUM(D3998:F3998)</x:f>
        <x:v>560.258472</x:v>
      </x:c>
    </x:row>
    <x:row r="3999" ht="24" customHeight="1">
      <x:c r="A3999" s="10" t="str">
        <x:v>S07-01</x:v>
      </x:c>
      <x:c r="B3999" s="10" t="str">
        <x:v>B</x:v>
      </x:c>
      <x:c r="C3999" s="18" t="n">
        <x:v>10.745166766</x:v>
      </x:c>
      <x:c r="D3999" s="10" t="n">
        <x:v>560</x:v>
      </x:c>
      <x:c r="E3999" s="10" t="n">
        <x:v>0.254375995</x:v>
      </x:c>
      <x:c r="F3999" s="10" t="n">
        <x:v>0.004096</x:v>
      </x:c>
      <x:c r="G3999" s="10" t="n">
        <x:f>SUM(D3999:F3999)</x:f>
        <x:v>560.258471995</x:v>
      </x:c>
    </x:row>
    <x:row r="4000" ht="24" customHeight="1">
      <x:c r="A4000" s="10" t="str">
        <x:v>S07-01</x:v>
      </x:c>
      <x:c r="B4000" s="10" t="str">
        <x:v>B</x:v>
      </x:c>
      <x:c r="C4000" s="18" t="n">
        <x:v>16.044666566</x:v>
      </x:c>
      <x:c r="D4000" s="10" t="n">
        <x:v>560</x:v>
      </x:c>
      <x:c r="E4000" s="10" t="n">
        <x:v>5e-9</x:v>
      </x:c>
      <x:c r="F4000" s="10" t="n">
        <x:v>0.004096</x:v>
      </x:c>
      <x:c r="G4000" s="10" t="n">
        <x:f>SUM(D4000:F4000)</x:f>
        <x:v>560.004096005</x:v>
      </x:c>
    </x:row>
    <x:row r="4001" ht="24" customHeight="1">
      <x:c r="A4001" s="10" t="str">
        <x:v>S07-01</x:v>
      </x:c>
      <x:c r="B4001" s="10" t="str">
        <x:v>B</x:v>
      </x:c>
      <x:c r="C4001" s="18" t="n">
        <x:v>16.044666666</x:v>
      </x:c>
      <x:c r="D4001" s="10" t="n">
        <x:v>560</x:v>
      </x:c>
      <x:c r="E4001" s="10" t="n">
        <x:v>0</x:v>
      </x:c>
      <x:c r="F4001" s="10" t="n">
        <x:v>0.004096</x:v>
      </x:c>
      <x:c r="G4001" s="10" t="n">
        <x:f>SUM(D4001:F4001)</x:f>
        <x:v>560.004096</x:v>
      </x:c>
    </x:row>
    <x:row r="4002" ht="24" customHeight="1">
      <x:c r="A4002" s="10" t="str">
        <x:v>S07-01</x:v>
      </x:c>
      <x:c r="B4002" s="10" t="str">
        <x:v>B</x:v>
      </x:c>
      <x:c r="C4002" s="18" t="n">
        <x:v>16.044666766</x:v>
      </x:c>
      <x:c r="D4002" s="10" t="n">
        <x:v>560</x:v>
      </x:c>
      <x:c r="E4002" s="10" t="n">
        <x:v>0</x:v>
      </x:c>
      <x:c r="F4002" s="10" t="n">
        <x:v>0</x:v>
      </x:c>
      <x:c r="G4002" s="10" t="n">
        <x:f>SUM(D4002:F4002)</x:f>
        <x:v>560</x:v>
      </x:c>
    </x:row>
    <x:row r="4003" ht="24" customHeight="1">
      <x:c r="A4003" s="10" t="str">
        <x:v>S07-02</x:v>
      </x:c>
      <x:c r="B4003" s="10" t="str">
        <x:v>A</x:v>
      </x:c>
      <x:c r="C4003" s="18" t="n">
        <x:v>-6.0000001</x:v>
      </x:c>
      <x:c r="D4003" s="10" t="n">
        <x:v>560</x:v>
      </x:c>
      <x:c r="E4003" s="10" t="n">
        <x:v>0</x:v>
      </x:c>
      <x:c r="F4003" s="10" t="n">
        <x:v>0</x:v>
      </x:c>
      <x:c r="G4003" s="10" t="n">
        <x:f>SUM(D4003:F4003)</x:f>
        <x:v>560</x:v>
      </x:c>
    </x:row>
    <x:row r="4004" ht="24" customHeight="1">
      <x:c r="A4004" s="10" t="str">
        <x:v>S07-02</x:v>
      </x:c>
      <x:c r="B4004" s="10" t="str">
        <x:v>A</x:v>
      </x:c>
      <x:c r="C4004" s="18" t="n">
        <x:v>-6</x:v>
      </x:c>
      <x:c r="D4004" s="10" t="n">
        <x:v>560</x:v>
      </x:c>
      <x:c r="E4004" s="10" t="n">
        <x:v>0</x:v>
      </x:c>
      <x:c r="F4004" s="10" t="n">
        <x:v>0</x:v>
      </x:c>
      <x:c r="G4004" s="10" t="n">
        <x:f>SUM(D4004:F4004)</x:f>
        <x:v>560</x:v>
      </x:c>
    </x:row>
    <x:row r="4005" ht="24" customHeight="1">
      <x:c r="A4005" s="10" t="str">
        <x:v>S07-02</x:v>
      </x:c>
      <x:c r="B4005" s="10" t="str">
        <x:v>A</x:v>
      </x:c>
      <x:c r="C4005" s="18" t="n">
        <x:v>-5.9999999</x:v>
      </x:c>
      <x:c r="D4005" s="10" t="n">
        <x:v>560</x:v>
      </x:c>
      <x:c r="E4005" s="10" t="n">
        <x:v>0</x:v>
      </x:c>
      <x:c r="F4005" s="10" t="n">
        <x:v>0</x:v>
      </x:c>
      <x:c r="G4005" s="10" t="n">
        <x:f>SUM(D4005:F4005)</x:f>
        <x:v>560</x:v>
      </x:c>
    </x:row>
    <x:row r="4006" ht="24" customHeight="1">
      <x:c r="A4006" s="10" t="str">
        <x:v>S07-02</x:v>
      </x:c>
      <x:c r="B4006" s="10" t="str">
        <x:v>A</x:v>
      </x:c>
      <x:c r="C4006" s="18" t="n">
        <x:v>-1.4000001</x:v>
      </x:c>
      <x:c r="D4006" s="10" t="n">
        <x:v>560</x:v>
      </x:c>
      <x:c r="E4006" s="10" t="n">
        <x:v>0</x:v>
      </x:c>
      <x:c r="F4006" s="10" t="n">
        <x:v>0</x:v>
      </x:c>
      <x:c r="G4006" s="10" t="n">
        <x:f>SUM(D4006:F4006)</x:f>
        <x:v>560</x:v>
      </x:c>
    </x:row>
    <x:row r="4007" ht="24" customHeight="1">
      <x:c r="A4007" s="10" t="str">
        <x:v>S07-02</x:v>
      </x:c>
      <x:c r="B4007" s="10" t="str">
        <x:v>A</x:v>
      </x:c>
      <x:c r="C4007" s="18" t="n">
        <x:v>-1.4</x:v>
      </x:c>
      <x:c r="D4007" s="10" t="n">
        <x:v>560</x:v>
      </x:c>
      <x:c r="E4007" s="10" t="n">
        <x:v>0</x:v>
      </x:c>
      <x:c r="F4007" s="10" t="n">
        <x:v>0.004096</x:v>
      </x:c>
      <x:c r="G4007" s="10" t="n">
        <x:f>SUM(D4007:F4007)</x:f>
        <x:v>560.004096</x:v>
      </x:c>
    </x:row>
    <x:row r="4008" ht="24" customHeight="1">
      <x:c r="A4008" s="10" t="str">
        <x:v>S07-02</x:v>
      </x:c>
      <x:c r="B4008" s="10" t="str">
        <x:v>A</x:v>
      </x:c>
      <x:c r="C4008" s="18" t="n">
        <x:v>-1.3999999</x:v>
      </x:c>
      <x:c r="D4008" s="10" t="n">
        <x:v>560</x:v>
      </x:c>
      <x:c r="E4008" s="10" t="n">
        <x:v>0</x:v>
      </x:c>
      <x:c r="F4008" s="10" t="n">
        <x:v>0.004096</x:v>
      </x:c>
      <x:c r="G4008" s="10" t="n">
        <x:f>SUM(D4008:F4008)</x:f>
        <x:v>560.004096</x:v>
      </x:c>
    </x:row>
    <x:row r="4009" ht="24" customHeight="1">
      <x:c r="A4009" s="10" t="str">
        <x:v>S07-02</x:v>
      </x:c>
      <x:c r="B4009" s="10" t="str">
        <x:v>A</x:v>
      </x:c>
      <x:c r="C4009" s="18" t="n">
        <x:v>-1.2000001</x:v>
      </x:c>
      <x:c r="D4009" s="10" t="n">
        <x:v>560</x:v>
      </x:c>
      <x:c r="E4009" s="10" t="n">
        <x:v>0</x:v>
      </x:c>
      <x:c r="F4009" s="10" t="n">
        <x:v>0.004096</x:v>
      </x:c>
      <x:c r="G4009" s="10" t="n">
        <x:f>SUM(D4009:F4009)</x:f>
        <x:v>560.004096</x:v>
      </x:c>
    </x:row>
    <x:row r="4010" ht="24" customHeight="1">
      <x:c r="A4010" s="10" t="str">
        <x:v>S07-02</x:v>
      </x:c>
      <x:c r="B4010" s="10" t="str">
        <x:v>A</x:v>
      </x:c>
      <x:c r="C4010" s="18" t="n">
        <x:v>-1.2</x:v>
      </x:c>
      <x:c r="D4010" s="10" t="n">
        <x:v>560</x:v>
      </x:c>
      <x:c r="E4010" s="10" t="n">
        <x:v>0</x:v>
      </x:c>
      <x:c r="F4010" s="10" t="n">
        <x:v>0.008192</x:v>
      </x:c>
      <x:c r="G4010" s="10" t="n">
        <x:f>SUM(D4010:F4010)</x:f>
        <x:v>560.008192</x:v>
      </x:c>
    </x:row>
    <x:row r="4011" ht="24" customHeight="1">
      <x:c r="A4011" s="10" t="str">
        <x:v>S07-02</x:v>
      </x:c>
      <x:c r="B4011" s="10" t="str">
        <x:v>A</x:v>
      </x:c>
      <x:c r="C4011" s="18" t="n">
        <x:v>-1.1999999</x:v>
      </x:c>
      <x:c r="D4011" s="10" t="n">
        <x:v>560</x:v>
      </x:c>
      <x:c r="E4011" s="10" t="n">
        <x:v>0</x:v>
      </x:c>
      <x:c r="F4011" s="10" t="n">
        <x:v>0.008192</x:v>
      </x:c>
      <x:c r="G4011" s="10" t="n">
        <x:f>SUM(D4011:F4011)</x:f>
        <x:v>560.008192</x:v>
      </x:c>
    </x:row>
    <x:row r="4012" ht="24" customHeight="1">
      <x:c r="A4012" s="10" t="str">
        <x:v>S07-02</x:v>
      </x:c>
      <x:c r="B4012" s="10" t="str">
        <x:v>A</x:v>
      </x:c>
      <x:c r="C4012" s="18" t="n">
        <x:v>-0.997666767</x:v>
      </x:c>
      <x:c r="D4012" s="10" t="n">
        <x:v>560</x:v>
      </x:c>
      <x:c r="E4012" s="10" t="n">
        <x:v>0</x:v>
      </x:c>
      <x:c r="F4012" s="10" t="n">
        <x:v>0.008192</x:v>
      </x:c>
      <x:c r="G4012" s="10" t="n">
        <x:f>SUM(D4012:F4012)</x:f>
        <x:v>560.008192</x:v>
      </x:c>
    </x:row>
    <x:row r="4013" ht="24" customHeight="1">
      <x:c r="A4013" s="10" t="str">
        <x:v>S07-02</x:v>
      </x:c>
      <x:c r="B4013" s="10" t="str">
        <x:v>A</x:v>
      </x:c>
      <x:c r="C4013" s="18" t="n">
        <x:v>-0.997666667</x:v>
      </x:c>
      <x:c r="D4013" s="10" t="n">
        <x:v>560</x:v>
      </x:c>
      <x:c r="E4013" s="10" t="n">
        <x:v>0.0096</x:v>
      </x:c>
      <x:c r="F4013" s="10" t="n">
        <x:v>0.008192</x:v>
      </x:c>
      <x:c r="G4013" s="10" t="n">
        <x:f>SUM(D4013:F4013)</x:f>
        <x:v>560.017792</x:v>
      </x:c>
    </x:row>
    <x:row r="4014" ht="24" customHeight="1">
      <x:c r="A4014" s="10" t="str">
        <x:v>S07-02</x:v>
      </x:c>
      <x:c r="B4014" s="10" t="str">
        <x:v>A</x:v>
      </x:c>
      <x:c r="C4014" s="18" t="n">
        <x:v>-0.997666567</x:v>
      </x:c>
      <x:c r="D4014" s="10" t="n">
        <x:v>560</x:v>
      </x:c>
      <x:c r="E4014" s="10" t="n">
        <x:v>0.009600019</x:v>
      </x:c>
      <x:c r="F4014" s="10" t="n">
        <x:v>0.008192</x:v>
      </x:c>
      <x:c r="G4014" s="10" t="n">
        <x:f>SUM(D4014:F4014)</x:f>
        <x:v>560.017792019</x:v>
      </x:c>
    </x:row>
    <x:row r="4015" ht="24" customHeight="1">
      <x:c r="A4015" s="10" t="str">
        <x:v>S07-02</x:v>
      </x:c>
      <x:c r="B4015" s="10" t="str">
        <x:v>A</x:v>
      </x:c>
      <x:c r="C4015" s="18" t="n">
        <x:v>-0.9000001</x:v>
      </x:c>
      <x:c r="D4015" s="10" t="n">
        <x:v>560</x:v>
      </x:c>
      <x:c r="E4015" s="10" t="n">
        <x:v>0.028351981</x:v>
      </x:c>
      <x:c r="F4015" s="10" t="n">
        <x:v>0.008192</x:v>
      </x:c>
      <x:c r="G4015" s="10" t="n">
        <x:f>SUM(D4015:F4015)</x:f>
        <x:v>560.036543981</x:v>
      </x:c>
    </x:row>
    <x:row r="4016" ht="24" customHeight="1">
      <x:c r="A4016" s="10" t="str">
        <x:v>S07-02</x:v>
      </x:c>
      <x:c r="B4016" s="10" t="str">
        <x:v>A</x:v>
      </x:c>
      <x:c r="C4016" s="18" t="n">
        <x:v>-0.9</x:v>
      </x:c>
      <x:c r="D4016" s="10" t="n">
        <x:v>560</x:v>
      </x:c>
      <x:c r="E4016" s="10" t="n">
        <x:v>0.028352</x:v>
      </x:c>
      <x:c r="F4016" s="10" t="n">
        <x:v>0.012288</x:v>
      </x:c>
      <x:c r="G4016" s="10" t="n">
        <x:f>SUM(D4016:F4016)</x:f>
        <x:v>560.04064</x:v>
      </x:c>
    </x:row>
    <x:row r="4017" ht="24" customHeight="1">
      <x:c r="A4017" s="10" t="str">
        <x:v>S07-02</x:v>
      </x:c>
      <x:c r="B4017" s="10" t="str">
        <x:v>A</x:v>
      </x:c>
      <x:c r="C4017" s="18" t="n">
        <x:v>-0.8999999</x:v>
      </x:c>
      <x:c r="D4017" s="10" t="n">
        <x:v>560</x:v>
      </x:c>
      <x:c r="E4017" s="10" t="n">
        <x:v>0.028352019</x:v>
      </x:c>
      <x:c r="F4017" s="10" t="n">
        <x:v>0.012288</x:v>
      </x:c>
      <x:c r="G4017" s="10" t="n">
        <x:f>SUM(D4017:F4017)</x:f>
        <x:v>560.040640019</x:v>
      </x:c>
    </x:row>
    <x:row r="4018" ht="24" customHeight="1">
      <x:c r="A4018" s="10" t="str">
        <x:v>S07-02</x:v>
      </x:c>
      <x:c r="B4018" s="10" t="str">
        <x:v>A</x:v>
      </x:c>
      <x:c r="C4018" s="18" t="n">
        <x:v>-0.7940001</x:v>
      </x:c>
      <x:c r="D4018" s="10" t="n">
        <x:v>560</x:v>
      </x:c>
      <x:c r="E4018" s="10" t="n">
        <x:v>0.048703981</x:v>
      </x:c>
      <x:c r="F4018" s="10" t="n">
        <x:v>0.012288</x:v>
      </x:c>
      <x:c r="G4018" s="10" t="n">
        <x:f>SUM(D4018:F4018)</x:f>
        <x:v>560.060991981</x:v>
      </x:c>
    </x:row>
    <x:row r="4019" ht="24" customHeight="1">
      <x:c r="A4019" s="10" t="str">
        <x:v>S07-02</x:v>
      </x:c>
      <x:c r="B4019" s="10" t="str">
        <x:v>A</x:v>
      </x:c>
      <x:c r="C4019" s="18" t="n">
        <x:v>-0.794</x:v>
      </x:c>
      <x:c r="D4019" s="10" t="n">
        <x:v>560</x:v>
      </x:c>
      <x:c r="E4019" s="10" t="n">
        <x:v>0.058304</x:v>
      </x:c>
      <x:c r="F4019" s="10" t="n">
        <x:v>0.012288</x:v>
      </x:c>
      <x:c r="G4019" s="10" t="n">
        <x:f>SUM(D4019:F4019)</x:f>
        <x:v>560.070592</x:v>
      </x:c>
    </x:row>
    <x:row r="4020" ht="24" customHeight="1">
      <x:c r="A4020" s="10" t="str">
        <x:v>S07-02</x:v>
      </x:c>
      <x:c r="B4020" s="10" t="str">
        <x:v>A</x:v>
      </x:c>
      <x:c r="C4020" s="18" t="n">
        <x:v>-0.7939999</x:v>
      </x:c>
      <x:c r="D4020" s="10" t="n">
        <x:v>560</x:v>
      </x:c>
      <x:c r="E4020" s="10" t="n">
        <x:v>0.058304038</x:v>
      </x:c>
      <x:c r="F4020" s="10" t="n">
        <x:v>0.012288</x:v>
      </x:c>
      <x:c r="G4020" s="10" t="n">
        <x:f>SUM(D4020:F4020)</x:f>
        <x:v>560.070592038</x:v>
      </x:c>
    </x:row>
    <x:row r="4021" ht="24" customHeight="1">
      <x:c r="A4021" s="10" t="str">
        <x:v>S07-02</x:v>
      </x:c>
      <x:c r="B4021" s="10" t="str">
        <x:v>A</x:v>
      </x:c>
      <x:c r="C4021" s="18" t="n">
        <x:v>-0.4900001</x:v>
      </x:c>
      <x:c r="D4021" s="10" t="n">
        <x:v>560</x:v>
      </x:c>
      <x:c r="E4021" s="10" t="n">
        <x:v>0.175039962</x:v>
      </x:c>
      <x:c r="F4021" s="10" t="n">
        <x:v>0.012288</x:v>
      </x:c>
      <x:c r="G4021" s="10" t="n">
        <x:f>SUM(D4021:F4021)</x:f>
        <x:v>560.187327962</x:v>
      </x:c>
    </x:row>
    <x:row r="4022" ht="24" customHeight="1">
      <x:c r="A4022" s="10" t="str">
        <x:v>S07-02</x:v>
      </x:c>
      <x:c r="B4022" s="10" t="str">
        <x:v>A</x:v>
      </x:c>
      <x:c r="C4022" s="18" t="n">
        <x:v>-0.49</x:v>
      </x:c>
      <x:c r="D4022" s="10" t="n">
        <x:v>560</x:v>
      </x:c>
      <x:c r="E4022" s="10" t="n">
        <x:v>0.18464</x:v>
      </x:c>
      <x:c r="F4022" s="10" t="n">
        <x:v>0.012288</x:v>
      </x:c>
      <x:c r="G4022" s="10" t="n">
        <x:f>SUM(D4022:F4022)</x:f>
        <x:v>560.196928</x:v>
      </x:c>
    </x:row>
    <x:row r="4023" ht="24" customHeight="1">
      <x:c r="A4023" s="10" t="str">
        <x:v>S07-02</x:v>
      </x:c>
      <x:c r="B4023" s="10" t="str">
        <x:v>A</x:v>
      </x:c>
      <x:c r="C4023" s="18" t="n">
        <x:v>-0.4899999</x:v>
      </x:c>
      <x:c r="D4023" s="10" t="n">
        <x:v>560</x:v>
      </x:c>
      <x:c r="E4023" s="10" t="n">
        <x:v>0.184640058</x:v>
      </x:c>
      <x:c r="F4023" s="10" t="n">
        <x:v>0.012288</x:v>
      </x:c>
      <x:c r="G4023" s="10" t="n">
        <x:f>SUM(D4023:F4023)</x:f>
        <x:v>560.196928058</x:v>
      </x:c>
    </x:row>
    <x:row r="4024" ht="24" customHeight="1">
      <x:c r="A4024" s="10" t="str">
        <x:v>S07-02</x:v>
      </x:c>
      <x:c r="B4024" s="10" t="str">
        <x:v>A</x:v>
      </x:c>
      <x:c r="C4024" s="18" t="n">
        <x:v>-0.308166767</x:v>
      </x:c>
      <x:c r="D4024" s="10" t="n">
        <x:v>560</x:v>
      </x:c>
      <x:c r="E4024" s="10" t="n">
        <x:v>0.289375942</x:v>
      </x:c>
      <x:c r="F4024" s="10" t="n">
        <x:v>0.012288</x:v>
      </x:c>
      <x:c r="G4024" s="10" t="n">
        <x:f>SUM(D4024:F4024)</x:f>
        <x:v>560.301663942</x:v>
      </x:c>
    </x:row>
    <x:row r="4025" ht="24" customHeight="1">
      <x:c r="A4025" s="10" t="str">
        <x:v>S07-02</x:v>
      </x:c>
      <x:c r="B4025" s="10" t="str">
        <x:v>A</x:v>
      </x:c>
      <x:c r="C4025" s="18" t="n">
        <x:v>-0.308166667</x:v>
      </x:c>
      <x:c r="D4025" s="10" t="n">
        <x:v>560</x:v>
      </x:c>
      <x:c r="E4025" s="10" t="n">
        <x:v>0.289376</x:v>
      </x:c>
      <x:c r="F4025" s="10" t="n">
        <x:v>0.012288</x:v>
      </x:c>
      <x:c r="G4025" s="10" t="n">
        <x:f>SUM(D4025:F4025)</x:f>
        <x:v>560.301664</x:v>
      </x:c>
    </x:row>
    <x:row r="4026" ht="24" customHeight="1">
      <x:c r="A4026" s="10" t="str">
        <x:v>S07-02</x:v>
      </x:c>
      <x:c r="B4026" s="10" t="str">
        <x:v>A</x:v>
      </x:c>
      <x:c r="C4026" s="18" t="n">
        <x:v>-0.308166567</x:v>
      </x:c>
      <x:c r="D4026" s="10" t="n">
        <x:v>560</x:v>
      </x:c>
      <x:c r="E4026" s="10" t="n">
        <x:v>0.289376038</x:v>
      </x:c>
      <x:c r="F4026" s="10" t="n">
        <x:v>0.012288</x:v>
      </x:c>
      <x:c r="G4026" s="10" t="n">
        <x:f>SUM(D4026:F4026)</x:f>
        <x:v>560.301664038</x:v>
      </x:c>
    </x:row>
    <x:row r="4027" ht="24" customHeight="1">
      <x:c r="A4027" s="10" t="str">
        <x:v>S07-02</x:v>
      </x:c>
      <x:c r="B4027" s="10" t="str">
        <x:v>A</x:v>
      </x:c>
      <x:c r="C4027" s="18" t="n">
        <x:v>-1e-7</x:v>
      </x:c>
      <x:c r="D4027" s="10" t="n">
        <x:v>560</x:v>
      </x:c>
      <x:c r="E4027" s="10" t="n">
        <x:v>0.407711962</x:v>
      </x:c>
      <x:c r="F4027" s="10" t="n">
        <x:v>0.012288</x:v>
      </x:c>
      <x:c r="G4027" s="10" t="n">
        <x:f>SUM(D4027:F4027)</x:f>
        <x:v>560.419999962</x:v>
      </x:c>
    </x:row>
    <x:row r="4028" ht="24" customHeight="1">
      <x:c r="A4028" s="10" t="str">
        <x:v>S07-02</x:v>
      </x:c>
      <x:c r="B4028" s="10" t="str">
        <x:v>A</x:v>
      </x:c>
      <x:c r="C4028" s="18" t="n">
        <x:v>0</x:v>
      </x:c>
      <x:c r="D4028" s="10" t="n">
        <x:v>560</x:v>
      </x:c>
      <x:c r="E4028" s="10" t="n">
        <x:v>0.407712</x:v>
      </x:c>
      <x:c r="F4028" s="10" t="n">
        <x:v>0.012288</x:v>
      </x:c>
      <x:c r="G4028" s="10" t="n">
        <x:f>SUM(D4028:F4028)</x:f>
        <x:v>560.42</x:v>
      </x:c>
    </x:row>
    <x:row r="4029" ht="24" customHeight="1">
      <x:c r="A4029" s="10" t="str">
        <x:v>S07-02</x:v>
      </x:c>
      <x:c r="B4029" s="10" t="str">
        <x:v>A</x:v>
      </x:c>
      <x:c r="C4029" s="18" t="n">
        <x:v>1e-7</x:v>
      </x:c>
      <x:c r="D4029" s="10" t="n">
        <x:v>560</x:v>
      </x:c>
      <x:c r="E4029" s="10" t="n">
        <x:v>0.407712038</x:v>
      </x:c>
      <x:c r="F4029" s="10" t="n">
        <x:v>0.012288</x:v>
      </x:c>
      <x:c r="G4029" s="10" t="n">
        <x:f>SUM(D4029:F4029)</x:f>
        <x:v>560.420000038</x:v>
      </x:c>
    </x:row>
    <x:row r="4030" ht="24" customHeight="1">
      <x:c r="A4030" s="10" t="str">
        <x:v>S07-02</x:v>
      </x:c>
      <x:c r="B4030" s="10" t="str">
        <x:v>A</x:v>
      </x:c>
      <x:c r="C4030" s="18" t="n">
        <x:v>0.1454999</x:v>
      </x:c>
      <x:c r="D4030" s="10" t="n">
        <x:v>560</x:v>
      </x:c>
      <x:c r="E4030" s="10" t="n">
        <x:v>0.463583962</x:v>
      </x:c>
      <x:c r="F4030" s="10" t="n">
        <x:v>0.012288</x:v>
      </x:c>
      <x:c r="G4030" s="10" t="n">
        <x:f>SUM(D4030:F4030)</x:f>
        <x:v>560.475871962</x:v>
      </x:c>
    </x:row>
    <x:row r="4031" ht="24" customHeight="1">
      <x:c r="A4031" s="10" t="str">
        <x:v>S07-02</x:v>
      </x:c>
      <x:c r="B4031" s="10" t="str">
        <x:v>A</x:v>
      </x:c>
      <x:c r="C4031" s="18" t="n">
        <x:v>0.1455</x:v>
      </x:c>
      <x:c r="D4031" s="10" t="n">
        <x:v>560</x:v>
      </x:c>
      <x:c r="E4031" s="10" t="n">
        <x:v>0.463584</x:v>
      </x:c>
      <x:c r="F4031" s="10" t="n">
        <x:v>0.012288</x:v>
      </x:c>
      <x:c r="G4031" s="10" t="n">
        <x:f>SUM(D4031:F4031)</x:f>
        <x:v>560.475872</x:v>
      </x:c>
    </x:row>
    <x:row r="4032" ht="24" customHeight="1">
      <x:c r="A4032" s="10" t="str">
        <x:v>S07-02</x:v>
      </x:c>
      <x:c r="B4032" s="10" t="str">
        <x:v>A</x:v>
      </x:c>
      <x:c r="C4032" s="18" t="n">
        <x:v>0.1455001</x:v>
      </x:c>
      <x:c r="D4032" s="10" t="n">
        <x:v>560</x:v>
      </x:c>
      <x:c r="E4032" s="10" t="n">
        <x:v>0.463584019</x:v>
      </x:c>
      <x:c r="F4032" s="10" t="n">
        <x:v>0.012288</x:v>
      </x:c>
      <x:c r="G4032" s="10" t="n">
        <x:f>SUM(D4032:F4032)</x:f>
        <x:v>560.475872019</x:v>
      </x:c>
    </x:row>
    <x:row r="4033" ht="24" customHeight="1">
      <x:c r="A4033" s="10" t="str">
        <x:v>S07-02</x:v>
      </x:c>
      <x:c r="B4033" s="10" t="str">
        <x:v>A</x:v>
      </x:c>
      <x:c r="C4033" s="18" t="n">
        <x:v>0.896666567</x:v>
      </x:c>
      <x:c r="D4033" s="10" t="n">
        <x:v>560</x:v>
      </x:c>
      <x:c r="E4033" s="10" t="n">
        <x:v>0.607807981</x:v>
      </x:c>
      <x:c r="F4033" s="10" t="n">
        <x:v>0.012288</x:v>
      </x:c>
      <x:c r="G4033" s="10" t="n">
        <x:f>SUM(D4033:F4033)</x:f>
        <x:v>560.620095981</x:v>
      </x:c>
    </x:row>
    <x:row r="4034" ht="24" customHeight="1">
      <x:c r="A4034" s="10" t="str">
        <x:v>S07-02</x:v>
      </x:c>
      <x:c r="B4034" s="10" t="str">
        <x:v>A</x:v>
      </x:c>
      <x:c r="C4034" s="18" t="n">
        <x:v>0.896666667</x:v>
      </x:c>
      <x:c r="D4034" s="10" t="n">
        <x:v>560</x:v>
      </x:c>
      <x:c r="E4034" s="10" t="n">
        <x:v>0.607808</x:v>
      </x:c>
      <x:c r="F4034" s="10" t="n">
        <x:v>0.012288</x:v>
      </x:c>
      <x:c r="G4034" s="10" t="n">
        <x:f>SUM(D4034:F4034)</x:f>
        <x:v>560.620096</x:v>
      </x:c>
    </x:row>
    <x:row r="4035" ht="24" customHeight="1">
      <x:c r="A4035" s="10" t="str">
        <x:v>S07-02</x:v>
      </x:c>
      <x:c r="B4035" s="10" t="str">
        <x:v>A</x:v>
      </x:c>
      <x:c r="C4035" s="18" t="n">
        <x:v>0.896666767</x:v>
      </x:c>
      <x:c r="D4035" s="10" t="n">
        <x:v>560</x:v>
      </x:c>
      <x:c r="E4035" s="10" t="n">
        <x:v>0.607808019</x:v>
      </x:c>
      <x:c r="F4035" s="10" t="n">
        <x:v>0.012288</x:v>
      </x:c>
      <x:c r="G4035" s="10" t="n">
        <x:f>SUM(D4035:F4035)</x:f>
        <x:v>560.620096019</x:v>
      </x:c>
    </x:row>
    <x:row r="4036" ht="24" customHeight="1">
      <x:c r="A4036" s="10" t="str">
        <x:v>S07-02</x:v>
      </x:c>
      <x:c r="B4036" s="10" t="str">
        <x:v>A</x:v>
      </x:c>
      <x:c r="C4036" s="18" t="n">
        <x:v>0.936666567</x:v>
      </x:c>
      <x:c r="D4036" s="10" t="n">
        <x:v>560</x:v>
      </x:c>
      <x:c r="E4036" s="10" t="n">
        <x:v>0.615487981</x:v>
      </x:c>
      <x:c r="F4036" s="10" t="n">
        <x:v>0.012288</x:v>
      </x:c>
      <x:c r="G4036" s="10" t="n">
        <x:f>SUM(D4036:F4036)</x:f>
        <x:v>560.627775981</x:v>
      </x:c>
    </x:row>
    <x:row r="4037" ht="24" customHeight="1">
      <x:c r="A4037" s="10" t="str">
        <x:v>S07-02</x:v>
      </x:c>
      <x:c r="B4037" s="10" t="str">
        <x:v>A</x:v>
      </x:c>
      <x:c r="C4037" s="18" t="n">
        <x:v>0.936666667</x:v>
      </x:c>
      <x:c r="D4037" s="10" t="n">
        <x:v>560</x:v>
      </x:c>
      <x:c r="E4037" s="10" t="n">
        <x:v>0.615488</x:v>
      </x:c>
      <x:c r="F4037" s="10" t="n">
        <x:v>0.012288</x:v>
      </x:c>
      <x:c r="G4037" s="10" t="n">
        <x:f>SUM(D4037:F4037)</x:f>
        <x:v>560.627776</x:v>
      </x:c>
    </x:row>
    <x:row r="4038" ht="24" customHeight="1">
      <x:c r="A4038" s="10" t="str">
        <x:v>S07-02</x:v>
      </x:c>
      <x:c r="B4038" s="10" t="str">
        <x:v>A</x:v>
      </x:c>
      <x:c r="C4038" s="18" t="n">
        <x:v>0.936666767</x:v>
      </x:c>
      <x:c r="D4038" s="10" t="n">
        <x:v>560</x:v>
      </x:c>
      <x:c r="E4038" s="10" t="n">
        <x:v>0.615488014</x:v>
      </x:c>
      <x:c r="F4038" s="10" t="n">
        <x:v>0.012288</x:v>
      </x:c>
      <x:c r="G4038" s="10" t="n">
        <x:f>SUM(D4038:F4038)</x:f>
        <x:v>560.627776014</x:v>
      </x:c>
    </x:row>
    <x:row r="4039" ht="24" customHeight="1">
      <x:c r="A4039" s="10" t="str">
        <x:v>S07-02</x:v>
      </x:c>
      <x:c r="B4039" s="10" t="str">
        <x:v>A</x:v>
      </x:c>
      <x:c r="C4039" s="18" t="n">
        <x:v>1.1994999</x:v>
      </x:c>
      <x:c r="D4039" s="10" t="n">
        <x:v>560</x:v>
      </x:c>
      <x:c r="E4039" s="10" t="n">
        <x:v>0.653335986</x:v>
      </x:c>
      <x:c r="F4039" s="10" t="n">
        <x:v>0.012288</x:v>
      </x:c>
      <x:c r="G4039" s="10" t="n">
        <x:f>SUM(D4039:F4039)</x:f>
        <x:v>560.665623986</x:v>
      </x:c>
    </x:row>
    <x:row r="4040" ht="24" customHeight="1">
      <x:c r="A4040" s="10" t="str">
        <x:v>S07-02</x:v>
      </x:c>
      <x:c r="B4040" s="10" t="str">
        <x:v>A</x:v>
      </x:c>
      <x:c r="C4040" s="18" t="n">
        <x:v>1.1995</x:v>
      </x:c>
      <x:c r="D4040" s="10" t="n">
        <x:v>560</x:v>
      </x:c>
      <x:c r="E4040" s="10" t="n">
        <x:v>0.653336</x:v>
      </x:c>
      <x:c r="F4040" s="10" t="n">
        <x:v>0.012288</x:v>
      </x:c>
      <x:c r="G4040" s="10" t="n">
        <x:f>SUM(D4040:F4040)</x:f>
        <x:v>560.665624</x:v>
      </x:c>
    </x:row>
    <x:row r="4041" ht="24" customHeight="1">
      <x:c r="A4041" s="10" t="str">
        <x:v>S07-02</x:v>
      </x:c>
      <x:c r="B4041" s="10" t="str">
        <x:v>A</x:v>
      </x:c>
      <x:c r="C4041" s="18" t="n">
        <x:v>1.1995001</x:v>
      </x:c>
      <x:c r="D4041" s="10" t="n">
        <x:v>560</x:v>
      </x:c>
      <x:c r="E4041" s="10" t="n">
        <x:v>0.653335995</x:v>
      </x:c>
      <x:c r="F4041" s="10" t="n">
        <x:v>0.012288</x:v>
      </x:c>
      <x:c r="G4041" s="10" t="n">
        <x:f>SUM(D4041:F4041)</x:f>
        <x:v>560.665623995</x:v>
      </x:c>
    </x:row>
    <x:row r="4042" ht="24" customHeight="1">
      <x:c r="A4042" s="10" t="str">
        <x:v>S07-02</x:v>
      </x:c>
      <x:c r="B4042" s="10" t="str">
        <x:v>A</x:v>
      </x:c>
      <x:c r="C4042" s="18" t="n">
        <x:v>3.894666567</x:v>
      </x:c>
      <x:c r="D4042" s="10" t="n">
        <x:v>560</x:v>
      </x:c>
      <x:c r="E4042" s="10" t="n">
        <x:v>0.523968005</x:v>
      </x:c>
      <x:c r="F4042" s="10" t="n">
        <x:v>0.012288</x:v>
      </x:c>
      <x:c r="G4042" s="10" t="n">
        <x:f>SUM(D4042:F4042)</x:f>
        <x:v>560.536256005</x:v>
      </x:c>
    </x:row>
    <x:row r="4043" ht="24" customHeight="1">
      <x:c r="A4043" s="10" t="str">
        <x:v>S07-02</x:v>
      </x:c>
      <x:c r="B4043" s="10" t="str">
        <x:v>A</x:v>
      </x:c>
      <x:c r="C4043" s="18" t="n">
        <x:v>3.894666667</x:v>
      </x:c>
      <x:c r="D4043" s="10" t="n">
        <x:v>560</x:v>
      </x:c>
      <x:c r="E4043" s="10" t="n">
        <x:v>0.523968</x:v>
      </x:c>
      <x:c r="F4043" s="10" t="n">
        <x:v>0.012288</x:v>
      </x:c>
      <x:c r="G4043" s="10" t="n">
        <x:f>SUM(D4043:F4043)</x:f>
        <x:v>560.536256</x:v>
      </x:c>
    </x:row>
    <x:row r="4044" ht="24" customHeight="1">
      <x:c r="A4044" s="10" t="str">
        <x:v>S07-02</x:v>
      </x:c>
      <x:c r="B4044" s="10" t="str">
        <x:v>A</x:v>
      </x:c>
      <x:c r="C4044" s="18" t="n">
        <x:v>3.894666767</x:v>
      </x:c>
      <x:c r="D4044" s="10" t="n">
        <x:v>560</x:v>
      </x:c>
      <x:c r="E4044" s="10" t="n">
        <x:v>0.523968</x:v>
      </x:c>
      <x:c r="F4044" s="10" t="n">
        <x:v>0.008192</x:v>
      </x:c>
      <x:c r="G4044" s="10" t="n">
        <x:f>SUM(D4044:F4044)</x:f>
        <x:v>560.53216</x:v>
      </x:c>
    </x:row>
    <x:row r="4045" ht="24" customHeight="1">
      <x:c r="A4045" s="10" t="str">
        <x:v>S07-02</x:v>
      </x:c>
      <x:c r="B4045" s="10" t="str">
        <x:v>A</x:v>
      </x:c>
      <x:c r="C4045" s="18" t="n">
        <x:v>3.934666567</x:v>
      </x:c>
      <x:c r="D4045" s="10" t="n">
        <x:v>560</x:v>
      </x:c>
      <x:c r="E4045" s="10" t="n">
        <x:v>0.523968</x:v>
      </x:c>
      <x:c r="F4045" s="10" t="n">
        <x:v>0.008192</x:v>
      </x:c>
      <x:c r="G4045" s="10" t="n">
        <x:f>SUM(D4045:F4045)</x:f>
        <x:v>560.53216</x:v>
      </x:c>
    </x:row>
    <x:row r="4046" ht="24" customHeight="1">
      <x:c r="A4046" s="10" t="str">
        <x:v>S07-02</x:v>
      </x:c>
      <x:c r="B4046" s="10" t="str">
        <x:v>A</x:v>
      </x:c>
      <x:c r="C4046" s="18" t="n">
        <x:v>3.934666667</x:v>
      </x:c>
      <x:c r="D4046" s="10" t="n">
        <x:v>560</x:v>
      </x:c>
      <x:c r="E4046" s="10" t="n">
        <x:v>0.523968</x:v>
      </x:c>
      <x:c r="F4046" s="10" t="n">
        <x:v>0.008192</x:v>
      </x:c>
      <x:c r="G4046" s="10" t="n">
        <x:f>SUM(D4046:F4046)</x:f>
        <x:v>560.53216</x:v>
      </x:c>
    </x:row>
    <x:row r="4047" ht="24" customHeight="1">
      <x:c r="A4047" s="10" t="str">
        <x:v>S07-02</x:v>
      </x:c>
      <x:c r="B4047" s="10" t="str">
        <x:v>A</x:v>
      </x:c>
      <x:c r="C4047" s="18" t="n">
        <x:v>3.934666767</x:v>
      </x:c>
      <x:c r="D4047" s="10" t="n">
        <x:v>560</x:v>
      </x:c>
      <x:c r="E4047" s="10" t="n">
        <x:v>0.523967995</x:v>
      </x:c>
      <x:c r="F4047" s="10" t="n">
        <x:v>0.008192</x:v>
      </x:c>
      <x:c r="G4047" s="10" t="n">
        <x:f>SUM(D4047:F4047)</x:f>
        <x:v>560.532159995</x:v>
      </x:c>
    </x:row>
    <x:row r="4048" ht="24" customHeight="1">
      <x:c r="A4048" s="10" t="str">
        <x:v>S07-02</x:v>
      </x:c>
      <x:c r="B4048" s="10" t="str">
        <x:v>A</x:v>
      </x:c>
      <x:c r="C4048" s="18" t="n">
        <x:v>7.892666567</x:v>
      </x:c>
      <x:c r="D4048" s="10" t="n">
        <x:v>560</x:v>
      </x:c>
      <x:c r="E4048" s="10" t="n">
        <x:v>0.333984005</x:v>
      </x:c>
      <x:c r="F4048" s="10" t="n">
        <x:v>0.008192</x:v>
      </x:c>
      <x:c r="G4048" s="10" t="n">
        <x:f>SUM(D4048:F4048)</x:f>
        <x:v>560.342176005</x:v>
      </x:c>
    </x:row>
    <x:row r="4049" ht="24" customHeight="1">
      <x:c r="A4049" s="10" t="str">
        <x:v>S07-02</x:v>
      </x:c>
      <x:c r="B4049" s="10" t="str">
        <x:v>A</x:v>
      </x:c>
      <x:c r="C4049" s="18" t="n">
        <x:v>7.892666667</x:v>
      </x:c>
      <x:c r="D4049" s="10" t="n">
        <x:v>560</x:v>
      </x:c>
      <x:c r="E4049" s="10" t="n">
        <x:v>0.333984</x:v>
      </x:c>
      <x:c r="F4049" s="10" t="n">
        <x:v>0.008192</x:v>
      </x:c>
      <x:c r="G4049" s="10" t="n">
        <x:f>SUM(D4049:F4049)</x:f>
        <x:v>560.342176</x:v>
      </x:c>
    </x:row>
    <x:row r="4050" ht="24" customHeight="1">
      <x:c r="A4050" s="10" t="str">
        <x:v>S07-02</x:v>
      </x:c>
      <x:c r="B4050" s="10" t="str">
        <x:v>A</x:v>
      </x:c>
      <x:c r="C4050" s="18" t="n">
        <x:v>7.892666767</x:v>
      </x:c>
      <x:c r="D4050" s="10" t="n">
        <x:v>560</x:v>
      </x:c>
      <x:c r="E4050" s="10" t="n">
        <x:v>0.333984</x:v>
      </x:c>
      <x:c r="F4050" s="10" t="n">
        <x:v>0.004096</x:v>
      </x:c>
      <x:c r="G4050" s="10" t="n">
        <x:f>SUM(D4050:F4050)</x:f>
        <x:v>560.33808</x:v>
      </x:c>
    </x:row>
    <x:row r="4051" ht="24" customHeight="1">
      <x:c r="A4051" s="10" t="str">
        <x:v>S07-02</x:v>
      </x:c>
      <x:c r="B4051" s="10" t="str">
        <x:v>A</x:v>
      </x:c>
      <x:c r="C4051" s="18" t="n">
        <x:v>7.932666567</x:v>
      </x:c>
      <x:c r="D4051" s="10" t="n">
        <x:v>560</x:v>
      </x:c>
      <x:c r="E4051" s="10" t="n">
        <x:v>0.333984</x:v>
      </x:c>
      <x:c r="F4051" s="10" t="n">
        <x:v>0.004096</x:v>
      </x:c>
      <x:c r="G4051" s="10" t="n">
        <x:f>SUM(D4051:F4051)</x:f>
        <x:v>560.33808</x:v>
      </x:c>
    </x:row>
    <x:row r="4052" ht="24" customHeight="1">
      <x:c r="A4052" s="10" t="str">
        <x:v>S07-02</x:v>
      </x:c>
      <x:c r="B4052" s="10" t="str">
        <x:v>A</x:v>
      </x:c>
      <x:c r="C4052" s="18" t="n">
        <x:v>7.932666667</x:v>
      </x:c>
      <x:c r="D4052" s="10" t="n">
        <x:v>560</x:v>
      </x:c>
      <x:c r="E4052" s="10" t="n">
        <x:v>0.333984</x:v>
      </x:c>
      <x:c r="F4052" s="10" t="n">
        <x:v>0.004096</x:v>
      </x:c>
      <x:c r="G4052" s="10" t="n">
        <x:f>SUM(D4052:F4052)</x:f>
        <x:v>560.33808</x:v>
      </x:c>
    </x:row>
    <x:row r="4053" ht="24" customHeight="1">
      <x:c r="A4053" s="10" t="str">
        <x:v>S07-02</x:v>
      </x:c>
      <x:c r="B4053" s="10" t="str">
        <x:v>A</x:v>
      </x:c>
      <x:c r="C4053" s="18" t="n">
        <x:v>7.932666767</x:v>
      </x:c>
      <x:c r="D4053" s="10" t="n">
        <x:v>560</x:v>
      </x:c>
      <x:c r="E4053" s="10" t="n">
        <x:v>0.333983995</x:v>
      </x:c>
      <x:c r="F4053" s="10" t="n">
        <x:v>0.004096</x:v>
      </x:c>
      <x:c r="G4053" s="10" t="n">
        <x:f>SUM(D4053:F4053)</x:f>
        <x:v>560.338079995</x:v>
      </x:c>
    </x:row>
    <x:row r="4054" ht="24" customHeight="1">
      <x:c r="A4054" s="10" t="str">
        <x:v>S07-02</x:v>
      </x:c>
      <x:c r="B4054" s="10" t="str">
        <x:v>A</x:v>
      </x:c>
      <x:c r="C4054" s="18" t="n">
        <x:v>14.890666567</x:v>
      </x:c>
      <x:c r="D4054" s="10" t="n">
        <x:v>560</x:v>
      </x:c>
      <x:c r="E4054" s="10" t="n">
        <x:v>5e-9</x:v>
      </x:c>
      <x:c r="F4054" s="10" t="n">
        <x:v>0.004096</x:v>
      </x:c>
      <x:c r="G4054" s="10" t="n">
        <x:f>SUM(D4054:F4054)</x:f>
        <x:v>560.004096005</x:v>
      </x:c>
    </x:row>
    <x:row r="4055" ht="24" customHeight="1">
      <x:c r="A4055" s="10" t="str">
        <x:v>S07-02</x:v>
      </x:c>
      <x:c r="B4055" s="10" t="str">
        <x:v>A</x:v>
      </x:c>
      <x:c r="C4055" s="18" t="n">
        <x:v>14.890666667</x:v>
      </x:c>
      <x:c r="D4055" s="10" t="n">
        <x:v>560</x:v>
      </x:c>
      <x:c r="E4055" s="10" t="n">
        <x:v>0</x:v>
      </x:c>
      <x:c r="F4055" s="10" t="n">
        <x:v>0.004096</x:v>
      </x:c>
      <x:c r="G4055" s="10" t="n">
        <x:f>SUM(D4055:F4055)</x:f>
        <x:v>560.004096</x:v>
      </x:c>
    </x:row>
    <x:row r="4056" ht="24" customHeight="1">
      <x:c r="A4056" s="10" t="str">
        <x:v>S07-02</x:v>
      </x:c>
      <x:c r="B4056" s="10" t="str">
        <x:v>A</x:v>
      </x:c>
      <x:c r="C4056" s="18" t="n">
        <x:v>14.890666767</x:v>
      </x:c>
      <x:c r="D4056" s="10" t="n">
        <x:v>560</x:v>
      </x:c>
      <x:c r="E4056" s="10" t="n">
        <x:v>0</x:v>
      </x:c>
      <x:c r="F4056" s="10" t="n">
        <x:v>0</x:v>
      </x:c>
      <x:c r="G4056" s="10" t="n">
        <x:f>SUM(D4056:F4056)</x:f>
        <x:v>560</x:v>
      </x:c>
    </x:row>
    <x:row r="4057" ht="24" customHeight="1">
      <x:c r="A4057" s="10" t="str">
        <x:v>S07-02</x:v>
      </x:c>
      <x:c r="B4057" s="10" t="str">
        <x:v>B</x:v>
      </x:c>
      <x:c r="C4057" s="18" t="n">
        <x:v>-6.0000001</x:v>
      </x:c>
      <x:c r="D4057" s="10" t="n">
        <x:v>560</x:v>
      </x:c>
      <x:c r="E4057" s="10" t="n">
        <x:v>0</x:v>
      </x:c>
      <x:c r="F4057" s="10" t="n">
        <x:v>0</x:v>
      </x:c>
      <x:c r="G4057" s="10" t="n">
        <x:f>SUM(D4057:F4057)</x:f>
        <x:v>560</x:v>
      </x:c>
    </x:row>
    <x:row r="4058" ht="24" customHeight="1">
      <x:c r="A4058" s="10" t="str">
        <x:v>S07-02</x:v>
      </x:c>
      <x:c r="B4058" s="10" t="str">
        <x:v>B</x:v>
      </x:c>
      <x:c r="C4058" s="18" t="n">
        <x:v>-6</x:v>
      </x:c>
      <x:c r="D4058" s="10" t="n">
        <x:v>560</x:v>
      </x:c>
      <x:c r="E4058" s="10" t="n">
        <x:v>0</x:v>
      </x:c>
      <x:c r="F4058" s="10" t="n">
        <x:v>0</x:v>
      </x:c>
      <x:c r="G4058" s="10" t="n">
        <x:f>SUM(D4058:F4058)</x:f>
        <x:v>560</x:v>
      </x:c>
    </x:row>
    <x:row r="4059" ht="24" customHeight="1">
      <x:c r="A4059" s="10" t="str">
        <x:v>S07-02</x:v>
      </x:c>
      <x:c r="B4059" s="10" t="str">
        <x:v>B</x:v>
      </x:c>
      <x:c r="C4059" s="18" t="n">
        <x:v>-5.9999999</x:v>
      </x:c>
      <x:c r="D4059" s="10" t="n">
        <x:v>560</x:v>
      </x:c>
      <x:c r="E4059" s="10" t="n">
        <x:v>0</x:v>
      </x:c>
      <x:c r="F4059" s="10" t="n">
        <x:v>0</x:v>
      </x:c>
      <x:c r="G4059" s="10" t="n">
        <x:f>SUM(D4059:F4059)</x:f>
        <x:v>560</x:v>
      </x:c>
    </x:row>
    <x:row r="4060" ht="24" customHeight="1">
      <x:c r="A4060" s="10" t="str">
        <x:v>S07-02</x:v>
      </x:c>
      <x:c r="B4060" s="10" t="str">
        <x:v>B</x:v>
      </x:c>
      <x:c r="C4060" s="18" t="n">
        <x:v>-1e-7</x:v>
      </x:c>
      <x:c r="D4060" s="10" t="n">
        <x:v>560</x:v>
      </x:c>
      <x:c r="E4060" s="10" t="n">
        <x:v>0</x:v>
      </x:c>
      <x:c r="F4060" s="10" t="n">
        <x:v>0</x:v>
      </x:c>
      <x:c r="G4060" s="10" t="n">
        <x:f>SUM(D4060:F4060)</x:f>
        <x:v>560</x:v>
      </x:c>
    </x:row>
    <x:row r="4061" ht="24" customHeight="1">
      <x:c r="A4061" s="10" t="str">
        <x:v>S07-02</x:v>
      </x:c>
      <x:c r="B4061" s="10" t="str">
        <x:v>B</x:v>
      </x:c>
      <x:c r="C4061" s="18" t="n">
        <x:v>0</x:v>
      </x:c>
      <x:c r="D4061" s="10" t="n">
        <x:v>560</x:v>
      </x:c>
      <x:c r="E4061" s="10" t="n">
        <x:v>0</x:v>
      </x:c>
      <x:c r="F4061" s="10" t="n">
        <x:v>0</x:v>
      </x:c>
      <x:c r="G4061" s="10" t="n">
        <x:f>SUM(D4061:F4061)</x:f>
        <x:v>560</x:v>
      </x:c>
    </x:row>
    <x:row r="4062" ht="24" customHeight="1">
      <x:c r="A4062" s="10" t="str">
        <x:v>S07-02</x:v>
      </x:c>
      <x:c r="B4062" s="10" t="str">
        <x:v>B</x:v>
      </x:c>
      <x:c r="C4062" s="18" t="n">
        <x:v>1e-7</x:v>
      </x:c>
      <x:c r="D4062" s="10" t="n">
        <x:v>560</x:v>
      </x:c>
      <x:c r="E4062" s="10" t="n">
        <x:v>0</x:v>
      </x:c>
      <x:c r="F4062" s="10" t="n">
        <x:v>0</x:v>
      </x:c>
      <x:c r="G4062" s="10" t="n">
        <x:f>SUM(D4062:F4062)</x:f>
        <x:v>560</x:v>
      </x:c>
    </x:row>
    <x:row r="4063" ht="24" customHeight="1">
      <x:c r="A4063" s="10" t="str">
        <x:v>S07-02</x:v>
      </x:c>
      <x:c r="B4063" s="10" t="str">
        <x:v>B</x:v>
      </x:c>
      <x:c r="C4063" s="18" t="n">
        <x:v>0.896666567</x:v>
      </x:c>
      <x:c r="D4063" s="10" t="n">
        <x:v>560</x:v>
      </x:c>
      <x:c r="E4063" s="10" t="n">
        <x:v>0</x:v>
      </x:c>
      <x:c r="F4063" s="10" t="n">
        <x:v>0</x:v>
      </x:c>
      <x:c r="G4063" s="10" t="n">
        <x:f>SUM(D4063:F4063)</x:f>
        <x:v>560</x:v>
      </x:c>
    </x:row>
    <x:row r="4064" ht="24" customHeight="1">
      <x:c r="A4064" s="10" t="str">
        <x:v>S07-02</x:v>
      </x:c>
      <x:c r="B4064" s="10" t="str">
        <x:v>B</x:v>
      </x:c>
      <x:c r="C4064" s="18" t="n">
        <x:v>0.896666667</x:v>
      </x:c>
      <x:c r="D4064" s="10" t="n">
        <x:v>560</x:v>
      </x:c>
      <x:c r="E4064" s="10" t="n">
        <x:v>0</x:v>
      </x:c>
      <x:c r="F4064" s="10" t="n">
        <x:v>0.004096</x:v>
      </x:c>
      <x:c r="G4064" s="10" t="n">
        <x:f>SUM(D4064:F4064)</x:f>
        <x:v>560.004096</x:v>
      </x:c>
    </x:row>
    <x:row r="4065" ht="24" customHeight="1">
      <x:c r="A4065" s="10" t="str">
        <x:v>S07-02</x:v>
      </x:c>
      <x:c r="B4065" s="10" t="str">
        <x:v>B</x:v>
      </x:c>
      <x:c r="C4065" s="18" t="n">
        <x:v>0.896666767</x:v>
      </x:c>
      <x:c r="D4065" s="10" t="n">
        <x:v>560</x:v>
      </x:c>
      <x:c r="E4065" s="10" t="n">
        <x:v>0</x:v>
      </x:c>
      <x:c r="F4065" s="10" t="n">
        <x:v>0.004096</x:v>
      </x:c>
      <x:c r="G4065" s="10" t="n">
        <x:f>SUM(D4065:F4065)</x:f>
        <x:v>560.004096</x:v>
      </x:c>
    </x:row>
    <x:row r="4066" ht="24" customHeight="1">
      <x:c r="A4066" s="10" t="str">
        <x:v>S07-02</x:v>
      </x:c>
      <x:c r="B4066" s="10" t="str">
        <x:v>B</x:v>
      </x:c>
      <x:c r="C4066" s="18" t="n">
        <x:v>1.2989999</x:v>
      </x:c>
      <x:c r="D4066" s="10" t="n">
        <x:v>560</x:v>
      </x:c>
      <x:c r="E4066" s="10" t="n">
        <x:v>0</x:v>
      </x:c>
      <x:c r="F4066" s="10" t="n">
        <x:v>0.004096</x:v>
      </x:c>
      <x:c r="G4066" s="10" t="n">
        <x:f>SUM(D4066:F4066)</x:f>
        <x:v>560.004096</x:v>
      </x:c>
    </x:row>
    <x:row r="4067" ht="24" customHeight="1">
      <x:c r="A4067" s="10" t="str">
        <x:v>S07-02</x:v>
      </x:c>
      <x:c r="B4067" s="10" t="str">
        <x:v>B</x:v>
      </x:c>
      <x:c r="C4067" s="18" t="n">
        <x:v>1.299</x:v>
      </x:c>
      <x:c r="D4067" s="10" t="n">
        <x:v>560</x:v>
      </x:c>
      <x:c r="E4067" s="10" t="n">
        <x:v>0.0096</x:v>
      </x:c>
      <x:c r="F4067" s="10" t="n">
        <x:v>0.004096</x:v>
      </x:c>
      <x:c r="G4067" s="10" t="n">
        <x:f>SUM(D4067:F4067)</x:f>
        <x:v>560.013696</x:v>
      </x:c>
    </x:row>
    <x:row r="4068" ht="24" customHeight="1">
      <x:c r="A4068" s="10" t="str">
        <x:v>S07-02</x:v>
      </x:c>
      <x:c r="B4068" s="10" t="str">
        <x:v>B</x:v>
      </x:c>
      <x:c r="C4068" s="18" t="n">
        <x:v>1.2990001</x:v>
      </x:c>
      <x:c r="D4068" s="10" t="n">
        <x:v>560</x:v>
      </x:c>
      <x:c r="E4068" s="10" t="n">
        <x:v>0.009600019</x:v>
      </x:c>
      <x:c r="F4068" s="10" t="n">
        <x:v>0.004096</x:v>
      </x:c>
      <x:c r="G4068" s="10" t="n">
        <x:f>SUM(D4068:F4068)</x:f>
        <x:v>560.013696019</x:v>
      </x:c>
    </x:row>
    <x:row r="4069" ht="24" customHeight="1">
      <x:c r="A4069" s="10" t="str">
        <x:v>S07-02</x:v>
      </x:c>
      <x:c r="B4069" s="10" t="str">
        <x:v>B</x:v>
      </x:c>
      <x:c r="C4069" s="18" t="n">
        <x:v>1.3389999</x:v>
      </x:c>
      <x:c r="D4069" s="10" t="n">
        <x:v>560</x:v>
      </x:c>
      <x:c r="E4069" s="10" t="n">
        <x:v>0.017279981</x:v>
      </x:c>
      <x:c r="F4069" s="10" t="n">
        <x:v>0.004096</x:v>
      </x:c>
      <x:c r="G4069" s="10" t="n">
        <x:f>SUM(D4069:F4069)</x:f>
        <x:v>560.021375981</x:v>
      </x:c>
    </x:row>
    <x:row r="4070" ht="24" customHeight="1">
      <x:c r="A4070" s="10" t="str">
        <x:v>S07-02</x:v>
      </x:c>
      <x:c r="B4070" s="10" t="str">
        <x:v>B</x:v>
      </x:c>
      <x:c r="C4070" s="18" t="n">
        <x:v>1.339</x:v>
      </x:c>
      <x:c r="D4070" s="10" t="n">
        <x:v>560</x:v>
      </x:c>
      <x:c r="E4070" s="10" t="n">
        <x:v>0.01728</x:v>
      </x:c>
      <x:c r="F4070" s="10" t="n">
        <x:v>0.004096</x:v>
      </x:c>
      <x:c r="G4070" s="10" t="n">
        <x:f>SUM(D4070:F4070)</x:f>
        <x:v>560.021376</x:v>
      </x:c>
    </x:row>
    <x:row r="4071" ht="24" customHeight="1">
      <x:c r="A4071" s="10" t="str">
        <x:v>S07-02</x:v>
      </x:c>
      <x:c r="B4071" s="10" t="str">
        <x:v>B</x:v>
      </x:c>
      <x:c r="C4071" s="18" t="n">
        <x:v>1.3390001</x:v>
      </x:c>
      <x:c r="D4071" s="10" t="n">
        <x:v>560</x:v>
      </x:c>
      <x:c r="E4071" s="10" t="n">
        <x:v>0.017280014</x:v>
      </x:c>
      <x:c r="F4071" s="10" t="n">
        <x:v>0.004096</x:v>
      </x:c>
      <x:c r="G4071" s="10" t="n">
        <x:f>SUM(D4071:F4071)</x:f>
        <x:v>560.021376014</x:v>
      </x:c>
    </x:row>
    <x:row r="4072" ht="24" customHeight="1">
      <x:c r="A4072" s="10" t="str">
        <x:v>S07-02</x:v>
      </x:c>
      <x:c r="B4072" s="10" t="str">
        <x:v>B</x:v>
      </x:c>
      <x:c r="C4072" s="18" t="n">
        <x:v>1.9884999</x:v>
      </x:c>
      <x:c r="D4072" s="10" t="n">
        <x:v>560</x:v>
      </x:c>
      <x:c r="E4072" s="10" t="n">
        <x:v>0.110807986</x:v>
      </x:c>
      <x:c r="F4072" s="10" t="n">
        <x:v>0.004096</x:v>
      </x:c>
      <x:c r="G4072" s="10" t="n">
        <x:f>SUM(D4072:F4072)</x:f>
        <x:v>560.1149039860001</x:v>
      </x:c>
    </x:row>
    <x:row r="4073" ht="24" customHeight="1">
      <x:c r="A4073" s="10" t="str">
        <x:v>S07-02</x:v>
      </x:c>
      <x:c r="B4073" s="10" t="str">
        <x:v>B</x:v>
      </x:c>
      <x:c r="C4073" s="18" t="n">
        <x:v>1.9885</x:v>
      </x:c>
      <x:c r="D4073" s="10" t="n">
        <x:v>560</x:v>
      </x:c>
      <x:c r="E4073" s="10" t="n">
        <x:v>0.110808</x:v>
      </x:c>
      <x:c r="F4073" s="10" t="n">
        <x:v>0.004096</x:v>
      </x:c>
      <x:c r="G4073" s="10" t="n">
        <x:f>SUM(D4073:F4073)</x:f>
        <x:v>560.114904</x:v>
      </x:c>
    </x:row>
    <x:row r="4074" ht="24" customHeight="1">
      <x:c r="A4074" s="10" t="str">
        <x:v>S07-02</x:v>
      </x:c>
      <x:c r="B4074" s="10" t="str">
        <x:v>B</x:v>
      </x:c>
      <x:c r="C4074" s="18" t="n">
        <x:v>1.9885001</x:v>
      </x:c>
      <x:c r="D4074" s="10" t="n">
        <x:v>560</x:v>
      </x:c>
      <x:c r="E4074" s="10" t="n">
        <x:v>0.110807995</x:v>
      </x:c>
      <x:c r="F4074" s="10" t="n">
        <x:v>0.004096</x:v>
      </x:c>
      <x:c r="G4074" s="10" t="n">
        <x:f>SUM(D4074:F4074)</x:f>
        <x:v>560.114903995</x:v>
      </x:c>
    </x:row>
    <x:row r="4075" ht="24" customHeight="1">
      <x:c r="A4075" s="10" t="str">
        <x:v>S07-02</x:v>
      </x:c>
      <x:c r="B4075" s="10" t="str">
        <x:v>B</x:v>
      </x:c>
      <x:c r="C4075" s="18" t="n">
        <x:v>4.2969999</x:v>
      </x:c>
      <x:c r="D4075" s="10" t="n">
        <x:v>560</x:v>
      </x:c>
      <x:c r="E4075" s="10" t="n">
        <x:v>5e-9</x:v>
      </x:c>
      <x:c r="F4075" s="10" t="n">
        <x:v>0.004096</x:v>
      </x:c>
      <x:c r="G4075" s="10" t="n">
        <x:f>SUM(D4075:F4075)</x:f>
        <x:v>560.004096005</x:v>
      </x:c>
    </x:row>
    <x:row r="4076" ht="24" customHeight="1">
      <x:c r="A4076" s="10" t="str">
        <x:v>S07-02</x:v>
      </x:c>
      <x:c r="B4076" s="10" t="str">
        <x:v>B</x:v>
      </x:c>
      <x:c r="C4076" s="18" t="n">
        <x:v>4.297</x:v>
      </x:c>
      <x:c r="D4076" s="10" t="n">
        <x:v>560</x:v>
      </x:c>
      <x:c r="E4076" s="10" t="n">
        <x:v>0</x:v>
      </x:c>
      <x:c r="F4076" s="10" t="n">
        <x:v>0.008192</x:v>
      </x:c>
      <x:c r="G4076" s="10" t="n">
        <x:f>SUM(D4076:F4076)</x:f>
        <x:v>560.008192</x:v>
      </x:c>
    </x:row>
    <x:row r="4077" ht="24" customHeight="1">
      <x:c r="A4077" s="10" t="str">
        <x:v>S07-02</x:v>
      </x:c>
      <x:c r="B4077" s="10" t="str">
        <x:v>B</x:v>
      </x:c>
      <x:c r="C4077" s="18" t="n">
        <x:v>4.2970001</x:v>
      </x:c>
      <x:c r="D4077" s="10" t="n">
        <x:v>560</x:v>
      </x:c>
      <x:c r="E4077" s="10" t="n">
        <x:v>0</x:v>
      </x:c>
      <x:c r="F4077" s="10" t="n">
        <x:v>0.004096</x:v>
      </x:c>
      <x:c r="G4077" s="10" t="n">
        <x:f>SUM(D4077:F4077)</x:f>
        <x:v>560.004096</x:v>
      </x:c>
    </x:row>
    <x:row r="4078" ht="24" customHeight="1">
      <x:c r="A4078" s="10" t="str">
        <x:v>S07-02</x:v>
      </x:c>
      <x:c r="B4078" s="10" t="str">
        <x:v>B</x:v>
      </x:c>
      <x:c r="C4078" s="18" t="n">
        <x:v>4.7029999</x:v>
      </x:c>
      <x:c r="D4078" s="10" t="n">
        <x:v>560</x:v>
      </x:c>
      <x:c r="E4078" s="10" t="n">
        <x:v>0</x:v>
      </x:c>
      <x:c r="F4078" s="10" t="n">
        <x:v>0.004096</x:v>
      </x:c>
      <x:c r="G4078" s="10" t="n">
        <x:f>SUM(D4078:F4078)</x:f>
        <x:v>560.004096</x:v>
      </x:c>
    </x:row>
    <x:row r="4079" ht="24" customHeight="1">
      <x:c r="A4079" s="10" t="str">
        <x:v>S07-02</x:v>
      </x:c>
      <x:c r="B4079" s="10" t="str">
        <x:v>B</x:v>
      </x:c>
      <x:c r="C4079" s="18" t="n">
        <x:v>4.703</x:v>
      </x:c>
      <x:c r="D4079" s="10" t="n">
        <x:v>560</x:v>
      </x:c>
      <x:c r="E4079" s="10" t="n">
        <x:v>0.0096</x:v>
      </x:c>
      <x:c r="F4079" s="10" t="n">
        <x:v>0.004096</x:v>
      </x:c>
      <x:c r="G4079" s="10" t="n">
        <x:f>SUM(D4079:F4079)</x:f>
        <x:v>560.013696</x:v>
      </x:c>
    </x:row>
    <x:row r="4080" ht="24" customHeight="1">
      <x:c r="A4080" s="10" t="str">
        <x:v>S07-02</x:v>
      </x:c>
      <x:c r="B4080" s="10" t="str">
        <x:v>B</x:v>
      </x:c>
      <x:c r="C4080" s="18" t="n">
        <x:v>4.7030001</x:v>
      </x:c>
      <x:c r="D4080" s="10" t="n">
        <x:v>560</x:v>
      </x:c>
      <x:c r="E4080" s="10" t="n">
        <x:v>0.009600019</x:v>
      </x:c>
      <x:c r="F4080" s="10" t="n">
        <x:v>0.004096</x:v>
      </x:c>
      <x:c r="G4080" s="10" t="n">
        <x:f>SUM(D4080:F4080)</x:f>
        <x:v>560.013696019</x:v>
      </x:c>
    </x:row>
    <x:row r="4081" ht="24" customHeight="1">
      <x:c r="A4081" s="10" t="str">
        <x:v>S07-02</x:v>
      </x:c>
      <x:c r="B4081" s="10" t="str">
        <x:v>B</x:v>
      </x:c>
      <x:c r="C4081" s="18" t="n">
        <x:v>4.7429999</x:v>
      </x:c>
      <x:c r="D4081" s="10" t="n">
        <x:v>560</x:v>
      </x:c>
      <x:c r="E4081" s="10" t="n">
        <x:v>0.017279981</x:v>
      </x:c>
      <x:c r="F4081" s="10" t="n">
        <x:v>0.004096</x:v>
      </x:c>
      <x:c r="G4081" s="10" t="n">
        <x:f>SUM(D4081:F4081)</x:f>
        <x:v>560.021375981</x:v>
      </x:c>
    </x:row>
    <x:row r="4082" ht="24" customHeight="1">
      <x:c r="A4082" s="10" t="str">
        <x:v>S07-02</x:v>
      </x:c>
      <x:c r="B4082" s="10" t="str">
        <x:v>B</x:v>
      </x:c>
      <x:c r="C4082" s="18" t="n">
        <x:v>4.743</x:v>
      </x:c>
      <x:c r="D4082" s="10" t="n">
        <x:v>560</x:v>
      </x:c>
      <x:c r="E4082" s="10" t="n">
        <x:v>0.01728</x:v>
      </x:c>
      <x:c r="F4082" s="10" t="n">
        <x:v>0.004096</x:v>
      </x:c>
      <x:c r="G4082" s="10" t="n">
        <x:f>SUM(D4082:F4082)</x:f>
        <x:v>560.021376</x:v>
      </x:c>
    </x:row>
    <x:row r="4083" ht="24" customHeight="1">
      <x:c r="A4083" s="10" t="str">
        <x:v>S07-02</x:v>
      </x:c>
      <x:c r="B4083" s="10" t="str">
        <x:v>B</x:v>
      </x:c>
      <x:c r="C4083" s="18" t="n">
        <x:v>4.7430001</x:v>
      </x:c>
      <x:c r="D4083" s="10" t="n">
        <x:v>560</x:v>
      </x:c>
      <x:c r="E4083" s="10" t="n">
        <x:v>0.017280014</x:v>
      </x:c>
      <x:c r="F4083" s="10" t="n">
        <x:v>0.004096</x:v>
      </x:c>
      <x:c r="G4083" s="10" t="n">
        <x:f>SUM(D4083:F4083)</x:f>
        <x:v>560.021376014</x:v>
      </x:c>
    </x:row>
    <x:row r="4084" ht="24" customHeight="1">
      <x:c r="A4084" s="10" t="str">
        <x:v>S07-02</x:v>
      </x:c>
      <x:c r="B4084" s="10" t="str">
        <x:v>B</x:v>
      </x:c>
      <x:c r="C4084" s="18" t="n">
        <x:v>5.6424999</x:v>
      </x:c>
      <x:c r="D4084" s="10" t="n">
        <x:v>560</x:v>
      </x:c>
      <x:c r="E4084" s="10" t="n">
        <x:v>0.146807986</x:v>
      </x:c>
      <x:c r="F4084" s="10" t="n">
        <x:v>0.004096</x:v>
      </x:c>
      <x:c r="G4084" s="10" t="n">
        <x:f>SUM(D4084:F4084)</x:f>
        <x:v>560.150903986</x:v>
      </x:c>
    </x:row>
    <x:row r="4085" ht="24" customHeight="1">
      <x:c r="A4085" s="10" t="str">
        <x:v>S07-02</x:v>
      </x:c>
      <x:c r="B4085" s="10" t="str">
        <x:v>B</x:v>
      </x:c>
      <x:c r="C4085" s="18" t="n">
        <x:v>5.6425</x:v>
      </x:c>
      <x:c r="D4085" s="10" t="n">
        <x:v>560</x:v>
      </x:c>
      <x:c r="E4085" s="10" t="n">
        <x:v>0.146808</x:v>
      </x:c>
      <x:c r="F4085" s="10" t="n">
        <x:v>0.004096</x:v>
      </x:c>
      <x:c r="G4085" s="10" t="n">
        <x:f>SUM(D4085:F4085)</x:f>
        <x:v>560.150904</x:v>
      </x:c>
    </x:row>
    <x:row r="4086" ht="24" customHeight="1">
      <x:c r="A4086" s="10" t="str">
        <x:v>S07-02</x:v>
      </x:c>
      <x:c r="B4086" s="10" t="str">
        <x:v>B</x:v>
      </x:c>
      <x:c r="C4086" s="18" t="n">
        <x:v>5.6425001</x:v>
      </x:c>
      <x:c r="D4086" s="10" t="n">
        <x:v>560</x:v>
      </x:c>
      <x:c r="E4086" s="10" t="n">
        <x:v>0.146807995</x:v>
      </x:c>
      <x:c r="F4086" s="10" t="n">
        <x:v>0.004096</x:v>
      </x:c>
      <x:c r="G4086" s="10" t="n">
        <x:f>SUM(D4086:F4086)</x:f>
        <x:v>560.150903995</x:v>
      </x:c>
    </x:row>
    <x:row r="4087" ht="24" customHeight="1">
      <x:c r="A4087" s="10" t="str">
        <x:v>S07-02</x:v>
      </x:c>
      <x:c r="B4087" s="10" t="str">
        <x:v>B</x:v>
      </x:c>
      <x:c r="C4087" s="18" t="n">
        <x:v>8.7009999</x:v>
      </x:c>
      <x:c r="D4087" s="10" t="n">
        <x:v>560</x:v>
      </x:c>
      <x:c r="E4087" s="10" t="n">
        <x:v>5e-9</x:v>
      </x:c>
      <x:c r="F4087" s="10" t="n">
        <x:v>0.004096</x:v>
      </x:c>
      <x:c r="G4087" s="10" t="n">
        <x:f>SUM(D4087:F4087)</x:f>
        <x:v>560.004096005</x:v>
      </x:c>
    </x:row>
    <x:row r="4088" ht="24" customHeight="1">
      <x:c r="A4088" s="10" t="str">
        <x:v>S07-02</x:v>
      </x:c>
      <x:c r="B4088" s="10" t="str">
        <x:v>B</x:v>
      </x:c>
      <x:c r="C4088" s="18" t="n">
        <x:v>8.701</x:v>
      </x:c>
      <x:c r="D4088" s="10" t="n">
        <x:v>560</x:v>
      </x:c>
      <x:c r="E4088" s="10" t="n">
        <x:v>0</x:v>
      </x:c>
      <x:c r="F4088" s="10" t="n">
        <x:v>0.008192</x:v>
      </x:c>
      <x:c r="G4088" s="10" t="n">
        <x:f>SUM(D4088:F4088)</x:f>
        <x:v>560.008192</x:v>
      </x:c>
    </x:row>
    <x:row r="4089" ht="24" customHeight="1">
      <x:c r="A4089" s="10" t="str">
        <x:v>S07-02</x:v>
      </x:c>
      <x:c r="B4089" s="10" t="str">
        <x:v>B</x:v>
      </x:c>
      <x:c r="C4089" s="18" t="n">
        <x:v>8.7010001</x:v>
      </x:c>
      <x:c r="D4089" s="10" t="n">
        <x:v>560</x:v>
      </x:c>
      <x:c r="E4089" s="10" t="n">
        <x:v>0</x:v>
      </x:c>
      <x:c r="F4089" s="10" t="n">
        <x:v>0.004096</x:v>
      </x:c>
      <x:c r="G4089" s="10" t="n">
        <x:f>SUM(D4089:F4089)</x:f>
        <x:v>560.004096</x:v>
      </x:c>
    </x:row>
    <x:row r="4090" ht="24" customHeight="1">
      <x:c r="A4090" s="10" t="str">
        <x:v>S07-02</x:v>
      </x:c>
      <x:c r="B4090" s="10" t="str">
        <x:v>B</x:v>
      </x:c>
      <x:c r="C4090" s="18" t="n">
        <x:v>9.1109999</x:v>
      </x:c>
      <x:c r="D4090" s="10" t="n">
        <x:v>560</x:v>
      </x:c>
      <x:c r="E4090" s="10" t="n">
        <x:v>0</x:v>
      </x:c>
      <x:c r="F4090" s="10" t="n">
        <x:v>0.004096</x:v>
      </x:c>
      <x:c r="G4090" s="10" t="n">
        <x:f>SUM(D4090:F4090)</x:f>
        <x:v>560.004096</x:v>
      </x:c>
    </x:row>
    <x:row r="4091" ht="24" customHeight="1">
      <x:c r="A4091" s="10" t="str">
        <x:v>S07-02</x:v>
      </x:c>
      <x:c r="B4091" s="10" t="str">
        <x:v>B</x:v>
      </x:c>
      <x:c r="C4091" s="18" t="n">
        <x:v>9.111</x:v>
      </x:c>
      <x:c r="D4091" s="10" t="n">
        <x:v>560</x:v>
      </x:c>
      <x:c r="E4091" s="10" t="n">
        <x:v>0.0096</x:v>
      </x:c>
      <x:c r="F4091" s="10" t="n">
        <x:v>0.004096</x:v>
      </x:c>
      <x:c r="G4091" s="10" t="n">
        <x:f>SUM(D4091:F4091)</x:f>
        <x:v>560.013696</x:v>
      </x:c>
    </x:row>
    <x:row r="4092" ht="24" customHeight="1">
      <x:c r="A4092" s="10" t="str">
        <x:v>S07-02</x:v>
      </x:c>
      <x:c r="B4092" s="10" t="str">
        <x:v>B</x:v>
      </x:c>
      <x:c r="C4092" s="18" t="n">
        <x:v>9.1110001</x:v>
      </x:c>
      <x:c r="D4092" s="10" t="n">
        <x:v>560</x:v>
      </x:c>
      <x:c r="E4092" s="10" t="n">
        <x:v>0.009600019</x:v>
      </x:c>
      <x:c r="F4092" s="10" t="n">
        <x:v>0.004096</x:v>
      </x:c>
      <x:c r="G4092" s="10" t="n">
        <x:f>SUM(D4092:F4092)</x:f>
        <x:v>560.013696019</x:v>
      </x:c>
    </x:row>
    <x:row r="4093" ht="24" customHeight="1">
      <x:c r="A4093" s="10" t="str">
        <x:v>S07-02</x:v>
      </x:c>
      <x:c r="B4093" s="10" t="str">
        <x:v>B</x:v>
      </x:c>
      <x:c r="C4093" s="18" t="n">
        <x:v>9.1509999</x:v>
      </x:c>
      <x:c r="D4093" s="10" t="n">
        <x:v>560</x:v>
      </x:c>
      <x:c r="E4093" s="10" t="n">
        <x:v>0.017279981</x:v>
      </x:c>
      <x:c r="F4093" s="10" t="n">
        <x:v>0.004096</x:v>
      </x:c>
      <x:c r="G4093" s="10" t="n">
        <x:f>SUM(D4093:F4093)</x:f>
        <x:v>560.021375981</x:v>
      </x:c>
    </x:row>
    <x:row r="4094" ht="24" customHeight="1">
      <x:c r="A4094" s="10" t="str">
        <x:v>S07-02</x:v>
      </x:c>
      <x:c r="B4094" s="10" t="str">
        <x:v>B</x:v>
      </x:c>
      <x:c r="C4094" s="18" t="n">
        <x:v>9.151</x:v>
      </x:c>
      <x:c r="D4094" s="10" t="n">
        <x:v>560</x:v>
      </x:c>
      <x:c r="E4094" s="10" t="n">
        <x:v>0.01728</x:v>
      </x:c>
      <x:c r="F4094" s="10" t="n">
        <x:v>0.004096</x:v>
      </x:c>
      <x:c r="G4094" s="10" t="n">
        <x:f>SUM(D4094:F4094)</x:f>
        <x:v>560.021376</x:v>
      </x:c>
    </x:row>
    <x:row r="4095" ht="24" customHeight="1">
      <x:c r="A4095" s="10" t="str">
        <x:v>S07-02</x:v>
      </x:c>
      <x:c r="B4095" s="10" t="str">
        <x:v>B</x:v>
      </x:c>
      <x:c r="C4095" s="18" t="n">
        <x:v>9.1510001</x:v>
      </x:c>
      <x:c r="D4095" s="10" t="n">
        <x:v>560</x:v>
      </x:c>
      <x:c r="E4095" s="10" t="n">
        <x:v>0.017280014</x:v>
      </x:c>
      <x:c r="F4095" s="10" t="n">
        <x:v>0.004096</x:v>
      </x:c>
      <x:c r="G4095" s="10" t="n">
        <x:f>SUM(D4095:F4095)</x:f>
        <x:v>560.021376014</x:v>
      </x:c>
    </x:row>
    <x:row r="4096" ht="24" customHeight="1">
      <x:c r="A4096" s="10" t="str">
        <x:v>S07-02</x:v>
      </x:c>
      <x:c r="B4096" s="10" t="str">
        <x:v>B</x:v>
      </x:c>
      <x:c r="C4096" s="18" t="n">
        <x:v>10.8004999</x:v>
      </x:c>
      <x:c r="D4096" s="10" t="n">
        <x:v>560</x:v>
      </x:c>
      <x:c r="E4096" s="10" t="n">
        <x:v>0.254807986</x:v>
      </x:c>
      <x:c r="F4096" s="10" t="n">
        <x:v>0.004096</x:v>
      </x:c>
      <x:c r="G4096" s="10" t="n">
        <x:f>SUM(D4096:F4096)</x:f>
        <x:v>560.258903986</x:v>
      </x:c>
    </x:row>
    <x:row r="4097" ht="24" customHeight="1">
      <x:c r="A4097" s="10" t="str">
        <x:v>S07-02</x:v>
      </x:c>
      <x:c r="B4097" s="10" t="str">
        <x:v>B</x:v>
      </x:c>
      <x:c r="C4097" s="18" t="n">
        <x:v>10.8005</x:v>
      </x:c>
      <x:c r="D4097" s="10" t="n">
        <x:v>560</x:v>
      </x:c>
      <x:c r="E4097" s="10" t="n">
        <x:v>0.254808</x:v>
      </x:c>
      <x:c r="F4097" s="10" t="n">
        <x:v>0.004096</x:v>
      </x:c>
      <x:c r="G4097" s="10" t="n">
        <x:f>SUM(D4097:F4097)</x:f>
        <x:v>560.258904</x:v>
      </x:c>
    </x:row>
    <x:row r="4098" ht="24" customHeight="1">
      <x:c r="A4098" s="10" t="str">
        <x:v>S07-02</x:v>
      </x:c>
      <x:c r="B4098" s="10" t="str">
        <x:v>B</x:v>
      </x:c>
      <x:c r="C4098" s="18" t="n">
        <x:v>10.8005001</x:v>
      </x:c>
      <x:c r="D4098" s="10" t="n">
        <x:v>560</x:v>
      </x:c>
      <x:c r="E4098" s="10" t="n">
        <x:v>0.254807995</x:v>
      </x:c>
      <x:c r="F4098" s="10" t="n">
        <x:v>0.004096</x:v>
      </x:c>
      <x:c r="G4098" s="10" t="n">
        <x:f>SUM(D4098:F4098)</x:f>
        <x:v>560.258903995</x:v>
      </x:c>
    </x:row>
    <x:row r="4099" ht="24" customHeight="1">
      <x:c r="A4099" s="10" t="str">
        <x:v>S07-02</x:v>
      </x:c>
      <x:c r="B4099" s="10" t="str">
        <x:v>B</x:v>
      </x:c>
      <x:c r="C4099" s="18" t="n">
        <x:v>16.1089999</x:v>
      </x:c>
      <x:c r="D4099" s="10" t="n">
        <x:v>560</x:v>
      </x:c>
      <x:c r="E4099" s="10" t="n">
        <x:v>5e-9</x:v>
      </x:c>
      <x:c r="F4099" s="10" t="n">
        <x:v>0.004096</x:v>
      </x:c>
      <x:c r="G4099" s="10" t="n">
        <x:f>SUM(D4099:F4099)</x:f>
        <x:v>560.004096005</x:v>
      </x:c>
    </x:row>
    <x:row r="4100" ht="24" customHeight="1">
      <x:c r="A4100" s="10" t="str">
        <x:v>S07-02</x:v>
      </x:c>
      <x:c r="B4100" s="10" t="str">
        <x:v>B</x:v>
      </x:c>
      <x:c r="C4100" s="18" t="n">
        <x:v>16.109</x:v>
      </x:c>
      <x:c r="D4100" s="10" t="n">
        <x:v>560</x:v>
      </x:c>
      <x:c r="E4100" s="10" t="n">
        <x:v>0</x:v>
      </x:c>
      <x:c r="F4100" s="10" t="n">
        <x:v>0.004096</x:v>
      </x:c>
      <x:c r="G4100" s="10" t="n">
        <x:f>SUM(D4100:F4100)</x:f>
        <x:v>560.004096</x:v>
      </x:c>
    </x:row>
    <x:row r="4101" ht="24" customHeight="1">
      <x:c r="A4101" s="10" t="str">
        <x:v>S07-02</x:v>
      </x:c>
      <x:c r="B4101" s="10" t="str">
        <x:v>B</x:v>
      </x:c>
      <x:c r="C4101" s="18" t="n">
        <x:v>16.1090001</x:v>
      </x:c>
      <x:c r="D4101" s="10" t="n">
        <x:v>560</x:v>
      </x:c>
      <x:c r="E4101" s="10" t="n">
        <x:v>0</x:v>
      </x:c>
      <x:c r="F4101" s="10" t="n">
        <x:v>0</x:v>
      </x:c>
      <x:c r="G4101" s="10" t="n">
        <x:f>SUM(D4101:F4101)</x:f>
        <x:v>560</x:v>
      </x:c>
    </x:row>
    <x:row r="4102" ht="24" customHeight="1">
      <x:c r="A4102" s="10" t="str">
        <x:v>S07-03</x:v>
      </x:c>
      <x:c r="B4102" s="10" t="str">
        <x:v>A</x:v>
      </x:c>
      <x:c r="C4102" s="18" t="n">
        <x:v>-6.0000001</x:v>
      </x:c>
      <x:c r="D4102" s="10" t="n">
        <x:v>560</x:v>
      </x:c>
      <x:c r="E4102" s="10" t="n">
        <x:v>0</x:v>
      </x:c>
      <x:c r="F4102" s="10" t="n">
        <x:v>0</x:v>
      </x:c>
      <x:c r="G4102" s="10" t="n">
        <x:f>SUM(D4102:F4102)</x:f>
        <x:v>560</x:v>
      </x:c>
    </x:row>
    <x:row r="4103" ht="24" customHeight="1">
      <x:c r="A4103" s="10" t="str">
        <x:v>S07-03</x:v>
      </x:c>
      <x:c r="B4103" s="10" t="str">
        <x:v>A</x:v>
      </x:c>
      <x:c r="C4103" s="18" t="n">
        <x:v>-6</x:v>
      </x:c>
      <x:c r="D4103" s="10" t="n">
        <x:v>560</x:v>
      </x:c>
      <x:c r="E4103" s="10" t="n">
        <x:v>0</x:v>
      </x:c>
      <x:c r="F4103" s="10" t="n">
        <x:v>0</x:v>
      </x:c>
      <x:c r="G4103" s="10" t="n">
        <x:f>SUM(D4103:F4103)</x:f>
        <x:v>560</x:v>
      </x:c>
    </x:row>
    <x:row r="4104" ht="24" customHeight="1">
      <x:c r="A4104" s="10" t="str">
        <x:v>S07-03</x:v>
      </x:c>
      <x:c r="B4104" s="10" t="str">
        <x:v>A</x:v>
      </x:c>
      <x:c r="C4104" s="18" t="n">
        <x:v>-5.9999999</x:v>
      </x:c>
      <x:c r="D4104" s="10" t="n">
        <x:v>560</x:v>
      </x:c>
      <x:c r="E4104" s="10" t="n">
        <x:v>0</x:v>
      </x:c>
      <x:c r="F4104" s="10" t="n">
        <x:v>0</x:v>
      </x:c>
      <x:c r="G4104" s="10" t="n">
        <x:f>SUM(D4104:F4104)</x:f>
        <x:v>560</x:v>
      </x:c>
    </x:row>
    <x:row r="4105" ht="24" customHeight="1">
      <x:c r="A4105" s="10" t="str">
        <x:v>S07-03</x:v>
      </x:c>
      <x:c r="B4105" s="10" t="str">
        <x:v>A</x:v>
      </x:c>
      <x:c r="C4105" s="18" t="n">
        <x:v>-1.4000001</x:v>
      </x:c>
      <x:c r="D4105" s="10" t="n">
        <x:v>560</x:v>
      </x:c>
      <x:c r="E4105" s="10" t="n">
        <x:v>0</x:v>
      </x:c>
      <x:c r="F4105" s="10" t="n">
        <x:v>0</x:v>
      </x:c>
      <x:c r="G4105" s="10" t="n">
        <x:f>SUM(D4105:F4105)</x:f>
        <x:v>560</x:v>
      </x:c>
    </x:row>
    <x:row r="4106" ht="24" customHeight="1">
      <x:c r="A4106" s="10" t="str">
        <x:v>S07-03</x:v>
      </x:c>
      <x:c r="B4106" s="10" t="str">
        <x:v>A</x:v>
      </x:c>
      <x:c r="C4106" s="18" t="n">
        <x:v>-1.4</x:v>
      </x:c>
      <x:c r="D4106" s="10" t="n">
        <x:v>560</x:v>
      </x:c>
      <x:c r="E4106" s="10" t="n">
        <x:v>0</x:v>
      </x:c>
      <x:c r="F4106" s="10" t="n">
        <x:v>0.004096</x:v>
      </x:c>
      <x:c r="G4106" s="10" t="n">
        <x:f>SUM(D4106:F4106)</x:f>
        <x:v>560.004096</x:v>
      </x:c>
    </x:row>
    <x:row r="4107" ht="24" customHeight="1">
      <x:c r="A4107" s="10" t="str">
        <x:v>S07-03</x:v>
      </x:c>
      <x:c r="B4107" s="10" t="str">
        <x:v>A</x:v>
      </x:c>
      <x:c r="C4107" s="18" t="n">
        <x:v>-1.3999999</x:v>
      </x:c>
      <x:c r="D4107" s="10" t="n">
        <x:v>560</x:v>
      </x:c>
      <x:c r="E4107" s="10" t="n">
        <x:v>0</x:v>
      </x:c>
      <x:c r="F4107" s="10" t="n">
        <x:v>0.004096</x:v>
      </x:c>
      <x:c r="G4107" s="10" t="n">
        <x:f>SUM(D4107:F4107)</x:f>
        <x:v>560.004096</x:v>
      </x:c>
    </x:row>
    <x:row r="4108" ht="24" customHeight="1">
      <x:c r="A4108" s="10" t="str">
        <x:v>S07-03</x:v>
      </x:c>
      <x:c r="B4108" s="10" t="str">
        <x:v>A</x:v>
      </x:c>
      <x:c r="C4108" s="18" t="n">
        <x:v>-1.2000001</x:v>
      </x:c>
      <x:c r="D4108" s="10" t="n">
        <x:v>560</x:v>
      </x:c>
      <x:c r="E4108" s="10" t="n">
        <x:v>0</x:v>
      </x:c>
      <x:c r="F4108" s="10" t="n">
        <x:v>0.004096</x:v>
      </x:c>
      <x:c r="G4108" s="10" t="n">
        <x:f>SUM(D4108:F4108)</x:f>
        <x:v>560.004096</x:v>
      </x:c>
    </x:row>
    <x:row r="4109" ht="24" customHeight="1">
      <x:c r="A4109" s="10" t="str">
        <x:v>S07-03</x:v>
      </x:c>
      <x:c r="B4109" s="10" t="str">
        <x:v>A</x:v>
      </x:c>
      <x:c r="C4109" s="18" t="n">
        <x:v>-1.2</x:v>
      </x:c>
      <x:c r="D4109" s="10" t="n">
        <x:v>560</x:v>
      </x:c>
      <x:c r="E4109" s="10" t="n">
        <x:v>0</x:v>
      </x:c>
      <x:c r="F4109" s="10" t="n">
        <x:v>0.008192</x:v>
      </x:c>
      <x:c r="G4109" s="10" t="n">
        <x:f>SUM(D4109:F4109)</x:f>
        <x:v>560.008192</x:v>
      </x:c>
    </x:row>
    <x:row r="4110" ht="24" customHeight="1">
      <x:c r="A4110" s="10" t="str">
        <x:v>S07-03</x:v>
      </x:c>
      <x:c r="B4110" s="10" t="str">
        <x:v>A</x:v>
      </x:c>
      <x:c r="C4110" s="18" t="n">
        <x:v>-1.1999999</x:v>
      </x:c>
      <x:c r="D4110" s="10" t="n">
        <x:v>560</x:v>
      </x:c>
      <x:c r="E4110" s="10" t="n">
        <x:v>0</x:v>
      </x:c>
      <x:c r="F4110" s="10" t="n">
        <x:v>0.008192</x:v>
      </x:c>
      <x:c r="G4110" s="10" t="n">
        <x:f>SUM(D4110:F4110)</x:f>
        <x:v>560.008192</x:v>
      </x:c>
    </x:row>
    <x:row r="4111" ht="24" customHeight="1">
      <x:c r="A4111" s="10" t="str">
        <x:v>S07-03</x:v>
      </x:c>
      <x:c r="B4111" s="10" t="str">
        <x:v>A</x:v>
      </x:c>
      <x:c r="C4111" s="18" t="n">
        <x:v>-0.997666767</x:v>
      </x:c>
      <x:c r="D4111" s="10" t="n">
        <x:v>560</x:v>
      </x:c>
      <x:c r="E4111" s="10" t="n">
        <x:v>0</x:v>
      </x:c>
      <x:c r="F4111" s="10" t="n">
        <x:v>0.008192</x:v>
      </x:c>
      <x:c r="G4111" s="10" t="n">
        <x:f>SUM(D4111:F4111)</x:f>
        <x:v>560.008192</x:v>
      </x:c>
    </x:row>
    <x:row r="4112" ht="24" customHeight="1">
      <x:c r="A4112" s="10" t="str">
        <x:v>S07-03</x:v>
      </x:c>
      <x:c r="B4112" s="10" t="str">
        <x:v>A</x:v>
      </x:c>
      <x:c r="C4112" s="18" t="n">
        <x:v>-0.997666667</x:v>
      </x:c>
      <x:c r="D4112" s="10" t="n">
        <x:v>560</x:v>
      </x:c>
      <x:c r="E4112" s="10" t="n">
        <x:v>0.0096</x:v>
      </x:c>
      <x:c r="F4112" s="10" t="n">
        <x:v>0.008192</x:v>
      </x:c>
      <x:c r="G4112" s="10" t="n">
        <x:f>SUM(D4112:F4112)</x:f>
        <x:v>560.017792</x:v>
      </x:c>
    </x:row>
    <x:row r="4113" ht="24" customHeight="1">
      <x:c r="A4113" s="10" t="str">
        <x:v>S07-03</x:v>
      </x:c>
      <x:c r="B4113" s="10" t="str">
        <x:v>A</x:v>
      </x:c>
      <x:c r="C4113" s="18" t="n">
        <x:v>-0.997666567</x:v>
      </x:c>
      <x:c r="D4113" s="10" t="n">
        <x:v>560</x:v>
      </x:c>
      <x:c r="E4113" s="10" t="n">
        <x:v>0.009600019</x:v>
      </x:c>
      <x:c r="F4113" s="10" t="n">
        <x:v>0.008192</x:v>
      </x:c>
      <x:c r="G4113" s="10" t="n">
        <x:f>SUM(D4113:F4113)</x:f>
        <x:v>560.017792019</x:v>
      </x:c>
    </x:row>
    <x:row r="4114" ht="24" customHeight="1">
      <x:c r="A4114" s="10" t="str">
        <x:v>S07-03</x:v>
      </x:c>
      <x:c r="B4114" s="10" t="str">
        <x:v>A</x:v>
      </x:c>
      <x:c r="C4114" s="18" t="n">
        <x:v>-0.9000001</x:v>
      </x:c>
      <x:c r="D4114" s="10" t="n">
        <x:v>560</x:v>
      </x:c>
      <x:c r="E4114" s="10" t="n">
        <x:v>0.028351981</x:v>
      </x:c>
      <x:c r="F4114" s="10" t="n">
        <x:v>0.008192</x:v>
      </x:c>
      <x:c r="G4114" s="10" t="n">
        <x:f>SUM(D4114:F4114)</x:f>
        <x:v>560.036543981</x:v>
      </x:c>
    </x:row>
    <x:row r="4115" ht="24" customHeight="1">
      <x:c r="A4115" s="10" t="str">
        <x:v>S07-03</x:v>
      </x:c>
      <x:c r="B4115" s="10" t="str">
        <x:v>A</x:v>
      </x:c>
      <x:c r="C4115" s="18" t="n">
        <x:v>-0.9</x:v>
      </x:c>
      <x:c r="D4115" s="10" t="n">
        <x:v>560</x:v>
      </x:c>
      <x:c r="E4115" s="10" t="n">
        <x:v>0.028352</x:v>
      </x:c>
      <x:c r="F4115" s="10" t="n">
        <x:v>0.012288</x:v>
      </x:c>
      <x:c r="G4115" s="10" t="n">
        <x:f>SUM(D4115:F4115)</x:f>
        <x:v>560.04064</x:v>
      </x:c>
    </x:row>
    <x:row r="4116" ht="24" customHeight="1">
      <x:c r="A4116" s="10" t="str">
        <x:v>S07-03</x:v>
      </x:c>
      <x:c r="B4116" s="10" t="str">
        <x:v>A</x:v>
      </x:c>
      <x:c r="C4116" s="18" t="n">
        <x:v>-0.8999999</x:v>
      </x:c>
      <x:c r="D4116" s="10" t="n">
        <x:v>560</x:v>
      </x:c>
      <x:c r="E4116" s="10" t="n">
        <x:v>0.028352019</x:v>
      </x:c>
      <x:c r="F4116" s="10" t="n">
        <x:v>0.012288</x:v>
      </x:c>
      <x:c r="G4116" s="10" t="n">
        <x:f>SUM(D4116:F4116)</x:f>
        <x:v>560.040640019</x:v>
      </x:c>
    </x:row>
    <x:row r="4117" ht="24" customHeight="1">
      <x:c r="A4117" s="10" t="str">
        <x:v>S07-03</x:v>
      </x:c>
      <x:c r="B4117" s="10" t="str">
        <x:v>A</x:v>
      </x:c>
      <x:c r="C4117" s="18" t="n">
        <x:v>-0.7940001</x:v>
      </x:c>
      <x:c r="D4117" s="10" t="n">
        <x:v>560</x:v>
      </x:c>
      <x:c r="E4117" s="10" t="n">
        <x:v>0.048703981</x:v>
      </x:c>
      <x:c r="F4117" s="10" t="n">
        <x:v>0.012288</x:v>
      </x:c>
      <x:c r="G4117" s="10" t="n">
        <x:f>SUM(D4117:F4117)</x:f>
        <x:v>560.060991981</x:v>
      </x:c>
    </x:row>
    <x:row r="4118" ht="24" customHeight="1">
      <x:c r="A4118" s="10" t="str">
        <x:v>S07-03</x:v>
      </x:c>
      <x:c r="B4118" s="10" t="str">
        <x:v>A</x:v>
      </x:c>
      <x:c r="C4118" s="18" t="n">
        <x:v>-0.794</x:v>
      </x:c>
      <x:c r="D4118" s="10" t="n">
        <x:v>560</x:v>
      </x:c>
      <x:c r="E4118" s="10" t="n">
        <x:v>0.058304</x:v>
      </x:c>
      <x:c r="F4118" s="10" t="n">
        <x:v>0.012288</x:v>
      </x:c>
      <x:c r="G4118" s="10" t="n">
        <x:f>SUM(D4118:F4118)</x:f>
        <x:v>560.070592</x:v>
      </x:c>
    </x:row>
    <x:row r="4119" ht="24" customHeight="1">
      <x:c r="A4119" s="10" t="str">
        <x:v>S07-03</x:v>
      </x:c>
      <x:c r="B4119" s="10" t="str">
        <x:v>A</x:v>
      </x:c>
      <x:c r="C4119" s="18" t="n">
        <x:v>-0.7939999</x:v>
      </x:c>
      <x:c r="D4119" s="10" t="n">
        <x:v>560</x:v>
      </x:c>
      <x:c r="E4119" s="10" t="n">
        <x:v>0.058304038</x:v>
      </x:c>
      <x:c r="F4119" s="10" t="n">
        <x:v>0.012288</x:v>
      </x:c>
      <x:c r="G4119" s="10" t="n">
        <x:f>SUM(D4119:F4119)</x:f>
        <x:v>560.070592038</x:v>
      </x:c>
    </x:row>
    <x:row r="4120" ht="24" customHeight="1">
      <x:c r="A4120" s="10" t="str">
        <x:v>S07-03</x:v>
      </x:c>
      <x:c r="B4120" s="10" t="str">
        <x:v>A</x:v>
      </x:c>
      <x:c r="C4120" s="18" t="n">
        <x:v>-0.4900001</x:v>
      </x:c>
      <x:c r="D4120" s="10" t="n">
        <x:v>560</x:v>
      </x:c>
      <x:c r="E4120" s="10" t="n">
        <x:v>0.175039962</x:v>
      </x:c>
      <x:c r="F4120" s="10" t="n">
        <x:v>0.012288</x:v>
      </x:c>
      <x:c r="G4120" s="10" t="n">
        <x:f>SUM(D4120:F4120)</x:f>
        <x:v>560.187327962</x:v>
      </x:c>
    </x:row>
    <x:row r="4121" ht="24" customHeight="1">
      <x:c r="A4121" s="10" t="str">
        <x:v>S07-03</x:v>
      </x:c>
      <x:c r="B4121" s="10" t="str">
        <x:v>A</x:v>
      </x:c>
      <x:c r="C4121" s="18" t="n">
        <x:v>-0.49</x:v>
      </x:c>
      <x:c r="D4121" s="10" t="n">
        <x:v>560</x:v>
      </x:c>
      <x:c r="E4121" s="10" t="n">
        <x:v>0.18464</x:v>
      </x:c>
      <x:c r="F4121" s="10" t="n">
        <x:v>0.012288</x:v>
      </x:c>
      <x:c r="G4121" s="10" t="n">
        <x:f>SUM(D4121:F4121)</x:f>
        <x:v>560.196928</x:v>
      </x:c>
    </x:row>
    <x:row r="4122" ht="24" customHeight="1">
      <x:c r="A4122" s="10" t="str">
        <x:v>S07-03</x:v>
      </x:c>
      <x:c r="B4122" s="10" t="str">
        <x:v>A</x:v>
      </x:c>
      <x:c r="C4122" s="18" t="n">
        <x:v>-0.4899999</x:v>
      </x:c>
      <x:c r="D4122" s="10" t="n">
        <x:v>560</x:v>
      </x:c>
      <x:c r="E4122" s="10" t="n">
        <x:v>0.184640058</x:v>
      </x:c>
      <x:c r="F4122" s="10" t="n">
        <x:v>0.012288</x:v>
      </x:c>
      <x:c r="G4122" s="10" t="n">
        <x:f>SUM(D4122:F4122)</x:f>
        <x:v>560.196928058</x:v>
      </x:c>
    </x:row>
    <x:row r="4123" ht="24" customHeight="1">
      <x:c r="A4123" s="10" t="str">
        <x:v>S07-03</x:v>
      </x:c>
      <x:c r="B4123" s="10" t="str">
        <x:v>A</x:v>
      </x:c>
      <x:c r="C4123" s="18" t="n">
        <x:v>-0.305166767</x:v>
      </x:c>
      <x:c r="D4123" s="10" t="n">
        <x:v>560</x:v>
      </x:c>
      <x:c r="E4123" s="10" t="n">
        <x:v>0.291103942</x:v>
      </x:c>
      <x:c r="F4123" s="10" t="n">
        <x:v>0.012288</x:v>
      </x:c>
      <x:c r="G4123" s="10" t="n">
        <x:f>SUM(D4123:F4123)</x:f>
        <x:v>560.303391942</x:v>
      </x:c>
    </x:row>
    <x:row r="4124" ht="24" customHeight="1">
      <x:c r="A4124" s="10" t="str">
        <x:v>S07-03</x:v>
      </x:c>
      <x:c r="B4124" s="10" t="str">
        <x:v>A</x:v>
      </x:c>
      <x:c r="C4124" s="18" t="n">
        <x:v>-0.305166667</x:v>
      </x:c>
      <x:c r="D4124" s="10" t="n">
        <x:v>560</x:v>
      </x:c>
      <x:c r="E4124" s="10" t="n">
        <x:v>0.291104</x:v>
      </x:c>
      <x:c r="F4124" s="10" t="n">
        <x:v>0.012288</x:v>
      </x:c>
      <x:c r="G4124" s="10" t="n">
        <x:f>SUM(D4124:F4124)</x:f>
        <x:v>560.303392</x:v>
      </x:c>
    </x:row>
    <x:row r="4125" ht="24" customHeight="1">
      <x:c r="A4125" s="10" t="str">
        <x:v>S07-03</x:v>
      </x:c>
      <x:c r="B4125" s="10" t="str">
        <x:v>A</x:v>
      </x:c>
      <x:c r="C4125" s="18" t="n">
        <x:v>-0.305166567</x:v>
      </x:c>
      <x:c r="D4125" s="10" t="n">
        <x:v>560</x:v>
      </x:c>
      <x:c r="E4125" s="10" t="n">
        <x:v>0.291104038</x:v>
      </x:c>
      <x:c r="F4125" s="10" t="n">
        <x:v>0.012288</x:v>
      </x:c>
      <x:c r="G4125" s="10" t="n">
        <x:f>SUM(D4125:F4125)</x:f>
        <x:v>560.303392038</x:v>
      </x:c>
    </x:row>
    <x:row r="4126" ht="24" customHeight="1">
      <x:c r="A4126" s="10" t="str">
        <x:v>S07-03</x:v>
      </x:c>
      <x:c r="B4126" s="10" t="str">
        <x:v>A</x:v>
      </x:c>
      <x:c r="C4126" s="18" t="n">
        <x:v>-1e-7</x:v>
      </x:c>
      <x:c r="D4126" s="10" t="n">
        <x:v>560</x:v>
      </x:c>
      <x:c r="E4126" s="10" t="n">
        <x:v>0.408287962</x:v>
      </x:c>
      <x:c r="F4126" s="10" t="n">
        <x:v>0.012288</x:v>
      </x:c>
      <x:c r="G4126" s="10" t="n">
        <x:f>SUM(D4126:F4126)</x:f>
        <x:v>560.420575962</x:v>
      </x:c>
    </x:row>
    <x:row r="4127" ht="24" customHeight="1">
      <x:c r="A4127" s="10" t="str">
        <x:v>S07-03</x:v>
      </x:c>
      <x:c r="B4127" s="10" t="str">
        <x:v>A</x:v>
      </x:c>
      <x:c r="C4127" s="18" t="n">
        <x:v>0</x:v>
      </x:c>
      <x:c r="D4127" s="10" t="n">
        <x:v>560</x:v>
      </x:c>
      <x:c r="E4127" s="10" t="n">
        <x:v>0.408288</x:v>
      </x:c>
      <x:c r="F4127" s="10" t="n">
        <x:v>0.012288</x:v>
      </x:c>
      <x:c r="G4127" s="10" t="n">
        <x:f>SUM(D4127:F4127)</x:f>
        <x:v>560.420576</x:v>
      </x:c>
    </x:row>
    <x:row r="4128" ht="24" customHeight="1">
      <x:c r="A4128" s="10" t="str">
        <x:v>S07-03</x:v>
      </x:c>
      <x:c r="B4128" s="10" t="str">
        <x:v>A</x:v>
      </x:c>
      <x:c r="C4128" s="18" t="n">
        <x:v>1e-7</x:v>
      </x:c>
      <x:c r="D4128" s="10" t="n">
        <x:v>560</x:v>
      </x:c>
      <x:c r="E4128" s="10" t="n">
        <x:v>0.408288038</x:v>
      </x:c>
      <x:c r="F4128" s="10" t="n">
        <x:v>0.012288</x:v>
      </x:c>
      <x:c r="G4128" s="10" t="n">
        <x:f>SUM(D4128:F4128)</x:f>
        <x:v>560.420576038</x:v>
      </x:c>
    </x:row>
    <x:row r="4129" ht="24" customHeight="1">
      <x:c r="A4129" s="10" t="str">
        <x:v>S07-03</x:v>
      </x:c>
      <x:c r="B4129" s="10" t="str">
        <x:v>A</x:v>
      </x:c>
      <x:c r="C4129" s="18" t="n">
        <x:v>0.1484999</x:v>
      </x:c>
      <x:c r="D4129" s="10" t="n">
        <x:v>560</x:v>
      </x:c>
      <x:c r="E4129" s="10" t="n">
        <x:v>0.465311962</x:v>
      </x:c>
      <x:c r="F4129" s="10" t="n">
        <x:v>0.012288</x:v>
      </x:c>
      <x:c r="G4129" s="10" t="n">
        <x:f>SUM(D4129:F4129)</x:f>
        <x:v>560.477599962</x:v>
      </x:c>
    </x:row>
    <x:row r="4130" ht="24" customHeight="1">
      <x:c r="A4130" s="10" t="str">
        <x:v>S07-03</x:v>
      </x:c>
      <x:c r="B4130" s="10" t="str">
        <x:v>A</x:v>
      </x:c>
      <x:c r="C4130" s="18" t="n">
        <x:v>0.1485</x:v>
      </x:c>
      <x:c r="D4130" s="10" t="n">
        <x:v>560</x:v>
      </x:c>
      <x:c r="E4130" s="10" t="n">
        <x:v>0.465312</x:v>
      </x:c>
      <x:c r="F4130" s="10" t="n">
        <x:v>0.012288</x:v>
      </x:c>
      <x:c r="G4130" s="10" t="n">
        <x:f>SUM(D4130:F4130)</x:f>
        <x:v>560.4776</x:v>
      </x:c>
    </x:row>
    <x:row r="4131" ht="24" customHeight="1">
      <x:c r="A4131" s="10" t="str">
        <x:v>S07-03</x:v>
      </x:c>
      <x:c r="B4131" s="10" t="str">
        <x:v>A</x:v>
      </x:c>
      <x:c r="C4131" s="18" t="n">
        <x:v>0.1485001</x:v>
      </x:c>
      <x:c r="D4131" s="10" t="n">
        <x:v>560</x:v>
      </x:c>
      <x:c r="E4131" s="10" t="n">
        <x:v>0.465312019</x:v>
      </x:c>
      <x:c r="F4131" s="10" t="n">
        <x:v>0.012288</x:v>
      </x:c>
      <x:c r="G4131" s="10" t="n">
        <x:f>SUM(D4131:F4131)</x:f>
        <x:v>560.477600019</x:v>
      </x:c>
    </x:row>
    <x:row r="4132" ht="24" customHeight="1">
      <x:c r="A4132" s="10" t="str">
        <x:v>S07-03</x:v>
      </x:c>
      <x:c r="B4132" s="10" t="str">
        <x:v>A</x:v>
      </x:c>
      <x:c r="C4132" s="18" t="n">
        <x:v>0.8499999</x:v>
      </x:c>
      <x:c r="D4132" s="10" t="n">
        <x:v>560</x:v>
      </x:c>
      <x:c r="E4132" s="10" t="n">
        <x:v>0.599999981</x:v>
      </x:c>
      <x:c r="F4132" s="10" t="n">
        <x:v>0.012288</x:v>
      </x:c>
      <x:c r="G4132" s="10" t="n">
        <x:f>SUM(D4132:F4132)</x:f>
        <x:v>560.612287981</x:v>
      </x:c>
    </x:row>
    <x:row r="4133" ht="24" customHeight="1">
      <x:c r="A4133" s="10" t="str">
        <x:v>S07-03</x:v>
      </x:c>
      <x:c r="B4133" s="10" t="str">
        <x:v>A</x:v>
      </x:c>
      <x:c r="C4133" s="18" t="n">
        <x:v>0.85</x:v>
      </x:c>
      <x:c r="D4133" s="10" t="n">
        <x:v>560</x:v>
      </x:c>
      <x:c r="E4133" s="10" t="n">
        <x:v>0.6</x:v>
      </x:c>
      <x:c r="F4133" s="10" t="n">
        <x:v>0.012288</x:v>
      </x:c>
      <x:c r="G4133" s="10" t="n">
        <x:f>SUM(D4133:F4133)</x:f>
        <x:v>560.612288</x:v>
      </x:c>
    </x:row>
    <x:row r="4134" ht="24" customHeight="1">
      <x:c r="A4134" s="10" t="str">
        <x:v>S07-03</x:v>
      </x:c>
      <x:c r="B4134" s="10" t="str">
        <x:v>A</x:v>
      </x:c>
      <x:c r="C4134" s="18" t="n">
        <x:v>0.8500001</x:v>
      </x:c>
      <x:c r="D4134" s="10" t="n">
        <x:v>560</x:v>
      </x:c>
      <x:c r="E4134" s="10" t="n">
        <x:v>0.600000019</x:v>
      </x:c>
      <x:c r="F4134" s="10" t="n">
        <x:v>0.012288</x:v>
      </x:c>
      <x:c r="G4134" s="10" t="n">
        <x:f>SUM(D4134:F4134)</x:f>
        <x:v>560.6122880190001</x:v>
      </x:c>
    </x:row>
    <x:row r="4135" ht="24" customHeight="1">
      <x:c r="A4135" s="10" t="str">
        <x:v>S07-03</x:v>
      </x:c>
      <x:c r="B4135" s="10" t="str">
        <x:v>A</x:v>
      </x:c>
      <x:c r="C4135" s="18" t="n">
        <x:v>0.8899999</x:v>
      </x:c>
      <x:c r="D4135" s="10" t="n">
        <x:v>560</x:v>
      </x:c>
      <x:c r="E4135" s="10" t="n">
        <x:v>0.607679981</x:v>
      </x:c>
      <x:c r="F4135" s="10" t="n">
        <x:v>0.012288</x:v>
      </x:c>
      <x:c r="G4135" s="10" t="n">
        <x:f>SUM(D4135:F4135)</x:f>
        <x:v>560.6199679810001</x:v>
      </x:c>
    </x:row>
    <x:row r="4136" ht="24" customHeight="1">
      <x:c r="A4136" s="10" t="str">
        <x:v>S07-03</x:v>
      </x:c>
      <x:c r="B4136" s="10" t="str">
        <x:v>A</x:v>
      </x:c>
      <x:c r="C4136" s="18" t="n">
        <x:v>0.89</x:v>
      </x:c>
      <x:c r="D4136" s="10" t="n">
        <x:v>560</x:v>
      </x:c>
      <x:c r="E4136" s="10" t="n">
        <x:v>0.60768</x:v>
      </x:c>
      <x:c r="F4136" s="10" t="n">
        <x:v>0.012288</x:v>
      </x:c>
      <x:c r="G4136" s="10" t="n">
        <x:f>SUM(D4136:F4136)</x:f>
        <x:v>560.619968</x:v>
      </x:c>
    </x:row>
    <x:row r="4137" ht="24" customHeight="1">
      <x:c r="A4137" s="10" t="str">
        <x:v>S07-03</x:v>
      </x:c>
      <x:c r="B4137" s="10" t="str">
        <x:v>A</x:v>
      </x:c>
      <x:c r="C4137" s="18" t="n">
        <x:v>0.8900001</x:v>
      </x:c>
      <x:c r="D4137" s="10" t="n">
        <x:v>560</x:v>
      </x:c>
      <x:c r="E4137" s="10" t="n">
        <x:v>0.607680014</x:v>
      </x:c>
      <x:c r="F4137" s="10" t="n">
        <x:v>0.012288</x:v>
      </x:c>
      <x:c r="G4137" s="10" t="n">
        <x:f>SUM(D4137:F4137)</x:f>
        <x:v>560.619968014</x:v>
      </x:c>
    </x:row>
    <x:row r="4138" ht="24" customHeight="1">
      <x:c r="A4138" s="10" t="str">
        <x:v>S07-03</x:v>
      </x:c>
      <x:c r="B4138" s="10" t="str">
        <x:v>A</x:v>
      </x:c>
      <x:c r="C4138" s="18" t="n">
        <x:v>1.2024999</x:v>
      </x:c>
      <x:c r="D4138" s="10" t="n">
        <x:v>560</x:v>
      </x:c>
      <x:c r="E4138" s="10" t="n">
        <x:v>0.652679986</x:v>
      </x:c>
      <x:c r="F4138" s="10" t="n">
        <x:v>0.012288</x:v>
      </x:c>
      <x:c r="G4138" s="10" t="n">
        <x:f>SUM(D4138:F4138)</x:f>
        <x:v>560.664967986</x:v>
      </x:c>
    </x:row>
    <x:row r="4139" ht="24" customHeight="1">
      <x:c r="A4139" s="10" t="str">
        <x:v>S07-03</x:v>
      </x:c>
      <x:c r="B4139" s="10" t="str">
        <x:v>A</x:v>
      </x:c>
      <x:c r="C4139" s="18" t="n">
        <x:v>1.2025</x:v>
      </x:c>
      <x:c r="D4139" s="10" t="n">
        <x:v>560</x:v>
      </x:c>
      <x:c r="E4139" s="10" t="n">
        <x:v>0.65268</x:v>
      </x:c>
      <x:c r="F4139" s="10" t="n">
        <x:v>0.012288</x:v>
      </x:c>
      <x:c r="G4139" s="10" t="n">
        <x:f>SUM(D4139:F4139)</x:f>
        <x:v>560.664968</x:v>
      </x:c>
    </x:row>
    <x:row r="4140" ht="24" customHeight="1">
      <x:c r="A4140" s="10" t="str">
        <x:v>S07-03</x:v>
      </x:c>
      <x:c r="B4140" s="10" t="str">
        <x:v>A</x:v>
      </x:c>
      <x:c r="C4140" s="18" t="n">
        <x:v>1.2025001</x:v>
      </x:c>
      <x:c r="D4140" s="10" t="n">
        <x:v>560</x:v>
      </x:c>
      <x:c r="E4140" s="10" t="n">
        <x:v>0.652679995</x:v>
      </x:c>
      <x:c r="F4140" s="10" t="n">
        <x:v>0.012288</x:v>
      </x:c>
      <x:c r="G4140" s="10" t="n">
        <x:f>SUM(D4140:F4140)</x:f>
        <x:v>560.664967995</x:v>
      </x:c>
    </x:row>
    <x:row r="4141" ht="24" customHeight="1">
      <x:c r="A4141" s="10" t="str">
        <x:v>S07-03</x:v>
      </x:c>
      <x:c r="B4141" s="10" t="str">
        <x:v>A</x:v>
      </x:c>
      <x:c r="C4141" s="18" t="n">
        <x:v>3.8599999</x:v>
      </x:c>
      <x:c r="D4141" s="10" t="n">
        <x:v>560</x:v>
      </x:c>
      <x:c r="E4141" s="10" t="n">
        <x:v>0.525120005</x:v>
      </x:c>
      <x:c r="F4141" s="10" t="n">
        <x:v>0.012288</x:v>
      </x:c>
      <x:c r="G4141" s="10" t="n">
        <x:f>SUM(D4141:F4141)</x:f>
        <x:v>560.537408005</x:v>
      </x:c>
    </x:row>
    <x:row r="4142" ht="24" customHeight="1">
      <x:c r="A4142" s="10" t="str">
        <x:v>S07-03</x:v>
      </x:c>
      <x:c r="B4142" s="10" t="str">
        <x:v>A</x:v>
      </x:c>
      <x:c r="C4142" s="18" t="n">
        <x:v>3.86</x:v>
      </x:c>
      <x:c r="D4142" s="10" t="n">
        <x:v>560</x:v>
      </x:c>
      <x:c r="E4142" s="10" t="n">
        <x:v>0.52512</x:v>
      </x:c>
      <x:c r="F4142" s="10" t="n">
        <x:v>0.012288</x:v>
      </x:c>
      <x:c r="G4142" s="10" t="n">
        <x:f>SUM(D4142:F4142)</x:f>
        <x:v>560.537408</x:v>
      </x:c>
    </x:row>
    <x:row r="4143" ht="24" customHeight="1">
      <x:c r="A4143" s="10" t="str">
        <x:v>S07-03</x:v>
      </x:c>
      <x:c r="B4143" s="10" t="str">
        <x:v>A</x:v>
      </x:c>
      <x:c r="C4143" s="18" t="n">
        <x:v>3.8600001</x:v>
      </x:c>
      <x:c r="D4143" s="10" t="n">
        <x:v>560</x:v>
      </x:c>
      <x:c r="E4143" s="10" t="n">
        <x:v>0.52512</x:v>
      </x:c>
      <x:c r="F4143" s="10" t="n">
        <x:v>0.008192</x:v>
      </x:c>
      <x:c r="G4143" s="10" t="n">
        <x:f>SUM(D4143:F4143)</x:f>
        <x:v>560.533312</x:v>
      </x:c>
    </x:row>
    <x:row r="4144" ht="24" customHeight="1">
      <x:c r="A4144" s="10" t="str">
        <x:v>S07-03</x:v>
      </x:c>
      <x:c r="B4144" s="10" t="str">
        <x:v>A</x:v>
      </x:c>
      <x:c r="C4144" s="18" t="n">
        <x:v>3.8999999</x:v>
      </x:c>
      <x:c r="D4144" s="10" t="n">
        <x:v>560</x:v>
      </x:c>
      <x:c r="E4144" s="10" t="n">
        <x:v>0.52512</x:v>
      </x:c>
      <x:c r="F4144" s="10" t="n">
        <x:v>0.008192</x:v>
      </x:c>
      <x:c r="G4144" s="10" t="n">
        <x:f>SUM(D4144:F4144)</x:f>
        <x:v>560.533312</x:v>
      </x:c>
    </x:row>
    <x:row r="4145" ht="24" customHeight="1">
      <x:c r="A4145" s="10" t="str">
        <x:v>S07-03</x:v>
      </x:c>
      <x:c r="B4145" s="10" t="str">
        <x:v>A</x:v>
      </x:c>
      <x:c r="C4145" s="18" t="n">
        <x:v>3.9</x:v>
      </x:c>
      <x:c r="D4145" s="10" t="n">
        <x:v>560</x:v>
      </x:c>
      <x:c r="E4145" s="10" t="n">
        <x:v>0.52512</x:v>
      </x:c>
      <x:c r="F4145" s="10" t="n">
        <x:v>0.008192</x:v>
      </x:c>
      <x:c r="G4145" s="10" t="n">
        <x:f>SUM(D4145:F4145)</x:f>
        <x:v>560.533312</x:v>
      </x:c>
    </x:row>
    <x:row r="4146" ht="24" customHeight="1">
      <x:c r="A4146" s="10" t="str">
        <x:v>S07-03</x:v>
      </x:c>
      <x:c r="B4146" s="10" t="str">
        <x:v>A</x:v>
      </x:c>
      <x:c r="C4146" s="18" t="n">
        <x:v>3.9000001</x:v>
      </x:c>
      <x:c r="D4146" s="10" t="n">
        <x:v>560</x:v>
      </x:c>
      <x:c r="E4146" s="10" t="n">
        <x:v>0.525119995</x:v>
      </x:c>
      <x:c r="F4146" s="10" t="n">
        <x:v>0.008192</x:v>
      </x:c>
      <x:c r="G4146" s="10" t="n">
        <x:f>SUM(D4146:F4146)</x:f>
        <x:v>560.533311995</x:v>
      </x:c>
    </x:row>
    <x:row r="4147" ht="24" customHeight="1">
      <x:c r="A4147" s="10" t="str">
        <x:v>S07-03</x:v>
      </x:c>
      <x:c r="B4147" s="10" t="str">
        <x:v>A</x:v>
      </x:c>
      <x:c r="C4147" s="18" t="n">
        <x:v>7.8699999</x:v>
      </x:c>
      <x:c r="D4147" s="10" t="n">
        <x:v>560</x:v>
      </x:c>
      <x:c r="E4147" s="10" t="n">
        <x:v>0.334560005</x:v>
      </x:c>
      <x:c r="F4147" s="10" t="n">
        <x:v>0.008192</x:v>
      </x:c>
      <x:c r="G4147" s="10" t="n">
        <x:f>SUM(D4147:F4147)</x:f>
        <x:v>560.342752005</x:v>
      </x:c>
    </x:row>
    <x:row r="4148" ht="24" customHeight="1">
      <x:c r="A4148" s="10" t="str">
        <x:v>S07-03</x:v>
      </x:c>
      <x:c r="B4148" s="10" t="str">
        <x:v>A</x:v>
      </x:c>
      <x:c r="C4148" s="18" t="n">
        <x:v>7.87</x:v>
      </x:c>
      <x:c r="D4148" s="10" t="n">
        <x:v>560</x:v>
      </x:c>
      <x:c r="E4148" s="10" t="n">
        <x:v>0.33456</x:v>
      </x:c>
      <x:c r="F4148" s="10" t="n">
        <x:v>0.008192</x:v>
      </x:c>
      <x:c r="G4148" s="10" t="n">
        <x:f>SUM(D4148:F4148)</x:f>
        <x:v>560.342752</x:v>
      </x:c>
    </x:row>
    <x:row r="4149" ht="24" customHeight="1">
      <x:c r="A4149" s="10" t="str">
        <x:v>S07-03</x:v>
      </x:c>
      <x:c r="B4149" s="10" t="str">
        <x:v>A</x:v>
      </x:c>
      <x:c r="C4149" s="18" t="n">
        <x:v>7.8700001</x:v>
      </x:c>
      <x:c r="D4149" s="10" t="n">
        <x:v>560</x:v>
      </x:c>
      <x:c r="E4149" s="10" t="n">
        <x:v>0.33456</x:v>
      </x:c>
      <x:c r="F4149" s="10" t="n">
        <x:v>0.004096</x:v>
      </x:c>
      <x:c r="G4149" s="10" t="n">
        <x:f>SUM(D4149:F4149)</x:f>
        <x:v>560.338656</x:v>
      </x:c>
    </x:row>
    <x:row r="4150" ht="24" customHeight="1">
      <x:c r="A4150" s="10" t="str">
        <x:v>S07-03</x:v>
      </x:c>
      <x:c r="B4150" s="10" t="str">
        <x:v>A</x:v>
      </x:c>
      <x:c r="C4150" s="18" t="n">
        <x:v>7.9099999</x:v>
      </x:c>
      <x:c r="D4150" s="10" t="n">
        <x:v>560</x:v>
      </x:c>
      <x:c r="E4150" s="10" t="n">
        <x:v>0.33456</x:v>
      </x:c>
      <x:c r="F4150" s="10" t="n">
        <x:v>0.004096</x:v>
      </x:c>
      <x:c r="G4150" s="10" t="n">
        <x:f>SUM(D4150:F4150)</x:f>
        <x:v>560.338656</x:v>
      </x:c>
    </x:row>
    <x:row r="4151" ht="24" customHeight="1">
      <x:c r="A4151" s="10" t="str">
        <x:v>S07-03</x:v>
      </x:c>
      <x:c r="B4151" s="10" t="str">
        <x:v>A</x:v>
      </x:c>
      <x:c r="C4151" s="18" t="n">
        <x:v>7.91</x:v>
      </x:c>
      <x:c r="D4151" s="10" t="n">
        <x:v>560</x:v>
      </x:c>
      <x:c r="E4151" s="10" t="n">
        <x:v>0.33456</x:v>
      </x:c>
      <x:c r="F4151" s="10" t="n">
        <x:v>0.004096</x:v>
      </x:c>
      <x:c r="G4151" s="10" t="n">
        <x:f>SUM(D4151:F4151)</x:f>
        <x:v>560.338656</x:v>
      </x:c>
    </x:row>
    <x:row r="4152" ht="24" customHeight="1">
      <x:c r="A4152" s="10" t="str">
        <x:v>S07-03</x:v>
      </x:c>
      <x:c r="B4152" s="10" t="str">
        <x:v>A</x:v>
      </x:c>
      <x:c r="C4152" s="18" t="n">
        <x:v>7.9100001</x:v>
      </x:c>
      <x:c r="D4152" s="10" t="n">
        <x:v>560</x:v>
      </x:c>
      <x:c r="E4152" s="10" t="n">
        <x:v>0.334559995</x:v>
      </x:c>
      <x:c r="F4152" s="10" t="n">
        <x:v>0.004096</x:v>
      </x:c>
      <x:c r="G4152" s="10" t="n">
        <x:f>SUM(D4152:F4152)</x:f>
        <x:v>560.338655995</x:v>
      </x:c>
    </x:row>
    <x:row r="4153" ht="24" customHeight="1">
      <x:c r="A4153" s="10" t="str">
        <x:v>S07-03</x:v>
      </x:c>
      <x:c r="B4153" s="10" t="str">
        <x:v>A</x:v>
      </x:c>
      <x:c r="C4153" s="18" t="n">
        <x:v>14.8799999</x:v>
      </x:c>
      <x:c r="D4153" s="10" t="n">
        <x:v>560</x:v>
      </x:c>
      <x:c r="E4153" s="10" t="n">
        <x:v>5e-9</x:v>
      </x:c>
      <x:c r="F4153" s="10" t="n">
        <x:v>0.004096</x:v>
      </x:c>
      <x:c r="G4153" s="10" t="n">
        <x:f>SUM(D4153:F4153)</x:f>
        <x:v>560.004096005</x:v>
      </x:c>
    </x:row>
    <x:row r="4154" ht="24" customHeight="1">
      <x:c r="A4154" s="10" t="str">
        <x:v>S07-03</x:v>
      </x:c>
      <x:c r="B4154" s="10" t="str">
        <x:v>A</x:v>
      </x:c>
      <x:c r="C4154" s="18" t="n">
        <x:v>14.88</x:v>
      </x:c>
      <x:c r="D4154" s="10" t="n">
        <x:v>560</x:v>
      </x:c>
      <x:c r="E4154" s="10" t="n">
        <x:v>0</x:v>
      </x:c>
      <x:c r="F4154" s="10" t="n">
        <x:v>0.004096</x:v>
      </x:c>
      <x:c r="G4154" s="10" t="n">
        <x:f>SUM(D4154:F4154)</x:f>
        <x:v>560.004096</x:v>
      </x:c>
    </x:row>
    <x:row r="4155" ht="24" customHeight="1">
      <x:c r="A4155" s="10" t="str">
        <x:v>S07-03</x:v>
      </x:c>
      <x:c r="B4155" s="10" t="str">
        <x:v>A</x:v>
      </x:c>
      <x:c r="C4155" s="18" t="n">
        <x:v>14.8800001</x:v>
      </x:c>
      <x:c r="D4155" s="10" t="n">
        <x:v>560</x:v>
      </x:c>
      <x:c r="E4155" s="10" t="n">
        <x:v>0</x:v>
      </x:c>
      <x:c r="F4155" s="10" t="n">
        <x:v>0</x:v>
      </x:c>
      <x:c r="G4155" s="10" t="n">
        <x:f>SUM(D4155:F4155)</x:f>
        <x:v>560</x:v>
      </x:c>
    </x:row>
    <x:row r="4156" ht="24" customHeight="1">
      <x:c r="A4156" s="10" t="str">
        <x:v>S07-03</x:v>
      </x:c>
      <x:c r="B4156" s="10" t="str">
        <x:v>B</x:v>
      </x:c>
      <x:c r="C4156" s="18" t="n">
        <x:v>-6.0000001</x:v>
      </x:c>
      <x:c r="D4156" s="10" t="n">
        <x:v>560</x:v>
      </x:c>
      <x:c r="E4156" s="10" t="n">
        <x:v>0</x:v>
      </x:c>
      <x:c r="F4156" s="10" t="n">
        <x:v>0</x:v>
      </x:c>
      <x:c r="G4156" s="10" t="n">
        <x:f>SUM(D4156:F4156)</x:f>
        <x:v>560</x:v>
      </x:c>
    </x:row>
    <x:row r="4157" ht="24" customHeight="1">
      <x:c r="A4157" s="10" t="str">
        <x:v>S07-03</x:v>
      </x:c>
      <x:c r="B4157" s="10" t="str">
        <x:v>B</x:v>
      </x:c>
      <x:c r="C4157" s="18" t="n">
        <x:v>-6</x:v>
      </x:c>
      <x:c r="D4157" s="10" t="n">
        <x:v>560</x:v>
      </x:c>
      <x:c r="E4157" s="10" t="n">
        <x:v>0</x:v>
      </x:c>
      <x:c r="F4157" s="10" t="n">
        <x:v>0</x:v>
      </x:c>
      <x:c r="G4157" s="10" t="n">
        <x:f>SUM(D4157:F4157)</x:f>
        <x:v>560</x:v>
      </x:c>
    </x:row>
    <x:row r="4158" ht="24" customHeight="1">
      <x:c r="A4158" s="10" t="str">
        <x:v>S07-03</x:v>
      </x:c>
      <x:c r="B4158" s="10" t="str">
        <x:v>B</x:v>
      </x:c>
      <x:c r="C4158" s="18" t="n">
        <x:v>-5.9999999</x:v>
      </x:c>
      <x:c r="D4158" s="10" t="n">
        <x:v>560</x:v>
      </x:c>
      <x:c r="E4158" s="10" t="n">
        <x:v>0</x:v>
      </x:c>
      <x:c r="F4158" s="10" t="n">
        <x:v>0</x:v>
      </x:c>
      <x:c r="G4158" s="10" t="n">
        <x:f>SUM(D4158:F4158)</x:f>
        <x:v>560</x:v>
      </x:c>
    </x:row>
    <x:row r="4159" ht="24" customHeight="1">
      <x:c r="A4159" s="10" t="str">
        <x:v>S07-03</x:v>
      </x:c>
      <x:c r="B4159" s="10" t="str">
        <x:v>B</x:v>
      </x:c>
      <x:c r="C4159" s="18" t="n">
        <x:v>-1e-7</x:v>
      </x:c>
      <x:c r="D4159" s="10" t="n">
        <x:v>560</x:v>
      </x:c>
      <x:c r="E4159" s="10" t="n">
        <x:v>0</x:v>
      </x:c>
      <x:c r="F4159" s="10" t="n">
        <x:v>0</x:v>
      </x:c>
      <x:c r="G4159" s="10" t="n">
        <x:f>SUM(D4159:F4159)</x:f>
        <x:v>560</x:v>
      </x:c>
    </x:row>
    <x:row r="4160" ht="24" customHeight="1">
      <x:c r="A4160" s="10" t="str">
        <x:v>S07-03</x:v>
      </x:c>
      <x:c r="B4160" s="10" t="str">
        <x:v>B</x:v>
      </x:c>
      <x:c r="C4160" s="18" t="n">
        <x:v>0</x:v>
      </x:c>
      <x:c r="D4160" s="10" t="n">
        <x:v>560</x:v>
      </x:c>
      <x:c r="E4160" s="10" t="n">
        <x:v>0</x:v>
      </x:c>
      <x:c r="F4160" s="10" t="n">
        <x:v>0</x:v>
      </x:c>
      <x:c r="G4160" s="10" t="n">
        <x:f>SUM(D4160:F4160)</x:f>
        <x:v>560</x:v>
      </x:c>
    </x:row>
    <x:row r="4161" ht="24" customHeight="1">
      <x:c r="A4161" s="10" t="str">
        <x:v>S07-03</x:v>
      </x:c>
      <x:c r="B4161" s="10" t="str">
        <x:v>B</x:v>
      </x:c>
      <x:c r="C4161" s="18" t="n">
        <x:v>1e-7</x:v>
      </x:c>
      <x:c r="D4161" s="10" t="n">
        <x:v>560</x:v>
      </x:c>
      <x:c r="E4161" s="10" t="n">
        <x:v>0</x:v>
      </x:c>
      <x:c r="F4161" s="10" t="n">
        <x:v>0</x:v>
      </x:c>
      <x:c r="G4161" s="10" t="n">
        <x:f>SUM(D4161:F4161)</x:f>
        <x:v>560</x:v>
      </x:c>
    </x:row>
    <x:row r="4162" ht="24" customHeight="1">
      <x:c r="A4162" s="10" t="str">
        <x:v>S07-03</x:v>
      </x:c>
      <x:c r="B4162" s="10" t="str">
        <x:v>B</x:v>
      </x:c>
      <x:c r="C4162" s="18" t="n">
        <x:v>0.8499999</x:v>
      </x:c>
      <x:c r="D4162" s="10" t="n">
        <x:v>560</x:v>
      </x:c>
      <x:c r="E4162" s="10" t="n">
        <x:v>0</x:v>
      </x:c>
      <x:c r="F4162" s="10" t="n">
        <x:v>0</x:v>
      </x:c>
      <x:c r="G4162" s="10" t="n">
        <x:f>SUM(D4162:F4162)</x:f>
        <x:v>560</x:v>
      </x:c>
    </x:row>
    <x:row r="4163" ht="24" customHeight="1">
      <x:c r="A4163" s="10" t="str">
        <x:v>S07-03</x:v>
      </x:c>
      <x:c r="B4163" s="10" t="str">
        <x:v>B</x:v>
      </x:c>
      <x:c r="C4163" s="18" t="n">
        <x:v>0.85</x:v>
      </x:c>
      <x:c r="D4163" s="10" t="n">
        <x:v>560</x:v>
      </x:c>
      <x:c r="E4163" s="10" t="n">
        <x:v>0</x:v>
      </x:c>
      <x:c r="F4163" s="10" t="n">
        <x:v>0.004096</x:v>
      </x:c>
      <x:c r="G4163" s="10" t="n">
        <x:f>SUM(D4163:F4163)</x:f>
        <x:v>560.004096</x:v>
      </x:c>
    </x:row>
    <x:row r="4164" ht="24" customHeight="1">
      <x:c r="A4164" s="10" t="str">
        <x:v>S07-03</x:v>
      </x:c>
      <x:c r="B4164" s="10" t="str">
        <x:v>B</x:v>
      </x:c>
      <x:c r="C4164" s="18" t="n">
        <x:v>0.8500001</x:v>
      </x:c>
      <x:c r="D4164" s="10" t="n">
        <x:v>560</x:v>
      </x:c>
      <x:c r="E4164" s="10" t="n">
        <x:v>0</x:v>
      </x:c>
      <x:c r="F4164" s="10" t="n">
        <x:v>0.004096</x:v>
      </x:c>
      <x:c r="G4164" s="10" t="n">
        <x:f>SUM(D4164:F4164)</x:f>
        <x:v>560.004096</x:v>
      </x:c>
    </x:row>
    <x:row r="4165" ht="24" customHeight="1">
      <x:c r="A4165" s="10" t="str">
        <x:v>S07-03</x:v>
      </x:c>
      <x:c r="B4165" s="10" t="str">
        <x:v>B</x:v>
      </x:c>
      <x:c r="C4165" s="18" t="n">
        <x:v>1.252333233</x:v>
      </x:c>
      <x:c r="D4165" s="10" t="n">
        <x:v>560</x:v>
      </x:c>
      <x:c r="E4165" s="10" t="n">
        <x:v>0</x:v>
      </x:c>
      <x:c r="F4165" s="10" t="n">
        <x:v>0.004096</x:v>
      </x:c>
      <x:c r="G4165" s="10" t="n">
        <x:f>SUM(D4165:F4165)</x:f>
        <x:v>560.004096</x:v>
      </x:c>
    </x:row>
    <x:row r="4166" ht="24" customHeight="1">
      <x:c r="A4166" s="10" t="str">
        <x:v>S07-03</x:v>
      </x:c>
      <x:c r="B4166" s="10" t="str">
        <x:v>B</x:v>
      </x:c>
      <x:c r="C4166" s="18" t="n">
        <x:v>1.252333333</x:v>
      </x:c>
      <x:c r="D4166" s="10" t="n">
        <x:v>560</x:v>
      </x:c>
      <x:c r="E4166" s="10" t="n">
        <x:v>0.0096</x:v>
      </x:c>
      <x:c r="F4166" s="10" t="n">
        <x:v>0.004096</x:v>
      </x:c>
      <x:c r="G4166" s="10" t="n">
        <x:f>SUM(D4166:F4166)</x:f>
        <x:v>560.013696</x:v>
      </x:c>
    </x:row>
    <x:row r="4167" ht="24" customHeight="1">
      <x:c r="A4167" s="10" t="str">
        <x:v>S07-03</x:v>
      </x:c>
      <x:c r="B4167" s="10" t="str">
        <x:v>B</x:v>
      </x:c>
      <x:c r="C4167" s="18" t="n">
        <x:v>1.252333433</x:v>
      </x:c>
      <x:c r="D4167" s="10" t="n">
        <x:v>560</x:v>
      </x:c>
      <x:c r="E4167" s="10" t="n">
        <x:v>0.009600019</x:v>
      </x:c>
      <x:c r="F4167" s="10" t="n">
        <x:v>0.004096</x:v>
      </x:c>
      <x:c r="G4167" s="10" t="n">
        <x:f>SUM(D4167:F4167)</x:f>
        <x:v>560.013696019</x:v>
      </x:c>
    </x:row>
    <x:row r="4168" ht="24" customHeight="1">
      <x:c r="A4168" s="10" t="str">
        <x:v>S07-03</x:v>
      </x:c>
      <x:c r="B4168" s="10" t="str">
        <x:v>B</x:v>
      </x:c>
      <x:c r="C4168" s="18" t="n">
        <x:v>1.292333233</x:v>
      </x:c>
      <x:c r="D4168" s="10" t="n">
        <x:v>560</x:v>
      </x:c>
      <x:c r="E4168" s="10" t="n">
        <x:v>0.017279981</x:v>
      </x:c>
      <x:c r="F4168" s="10" t="n">
        <x:v>0.004096</x:v>
      </x:c>
      <x:c r="G4168" s="10" t="n">
        <x:f>SUM(D4168:F4168)</x:f>
        <x:v>560.021375981</x:v>
      </x:c>
    </x:row>
    <x:row r="4169" ht="24" customHeight="1">
      <x:c r="A4169" s="10" t="str">
        <x:v>S07-03</x:v>
      </x:c>
      <x:c r="B4169" s="10" t="str">
        <x:v>B</x:v>
      </x:c>
      <x:c r="C4169" s="18" t="n">
        <x:v>1.292333333</x:v>
      </x:c>
      <x:c r="D4169" s="10" t="n">
        <x:v>560</x:v>
      </x:c>
      <x:c r="E4169" s="10" t="n">
        <x:v>0.01728</x:v>
      </x:c>
      <x:c r="F4169" s="10" t="n">
        <x:v>0.004096</x:v>
      </x:c>
      <x:c r="G4169" s="10" t="n">
        <x:f>SUM(D4169:F4169)</x:f>
        <x:v>560.021376</x:v>
      </x:c>
    </x:row>
    <x:row r="4170" ht="24" customHeight="1">
      <x:c r="A4170" s="10" t="str">
        <x:v>S07-03</x:v>
      </x:c>
      <x:c r="B4170" s="10" t="str">
        <x:v>B</x:v>
      </x:c>
      <x:c r="C4170" s="18" t="n">
        <x:v>1.292333433</x:v>
      </x:c>
      <x:c r="D4170" s="10" t="n">
        <x:v>560</x:v>
      </x:c>
      <x:c r="E4170" s="10" t="n">
        <x:v>0.017280014</x:v>
      </x:c>
      <x:c r="F4170" s="10" t="n">
        <x:v>0.004096</x:v>
      </x:c>
      <x:c r="G4170" s="10" t="n">
        <x:f>SUM(D4170:F4170)</x:f>
        <x:v>560.021376014</x:v>
      </x:c>
    </x:row>
    <x:row r="4171" ht="24" customHeight="1">
      <x:c r="A4171" s="10" t="str">
        <x:v>S07-03</x:v>
      </x:c>
      <x:c r="B4171" s="10" t="str">
        <x:v>B</x:v>
      </x:c>
      <x:c r="C4171" s="18" t="n">
        <x:v>1.944833233</x:v>
      </x:c>
      <x:c r="D4171" s="10" t="n">
        <x:v>560</x:v>
      </x:c>
      <x:c r="E4171" s="10" t="n">
        <x:v>0.111239986</x:v>
      </x:c>
      <x:c r="F4171" s="10" t="n">
        <x:v>0.004096</x:v>
      </x:c>
      <x:c r="G4171" s="10" t="n">
        <x:f>SUM(D4171:F4171)</x:f>
        <x:v>560.115335986</x:v>
      </x:c>
    </x:row>
    <x:row r="4172" ht="24" customHeight="1">
      <x:c r="A4172" s="10" t="str">
        <x:v>S07-03</x:v>
      </x:c>
      <x:c r="B4172" s="10" t="str">
        <x:v>B</x:v>
      </x:c>
      <x:c r="C4172" s="18" t="n">
        <x:v>1.944833333</x:v>
      </x:c>
      <x:c r="D4172" s="10" t="n">
        <x:v>560</x:v>
      </x:c>
      <x:c r="E4172" s="10" t="n">
        <x:v>0.11124</x:v>
      </x:c>
      <x:c r="F4172" s="10" t="n">
        <x:v>0.004096</x:v>
      </x:c>
      <x:c r="G4172" s="10" t="n">
        <x:f>SUM(D4172:F4172)</x:f>
        <x:v>560.115336</x:v>
      </x:c>
    </x:row>
    <x:row r="4173" ht="24" customHeight="1">
      <x:c r="A4173" s="10" t="str">
        <x:v>S07-03</x:v>
      </x:c>
      <x:c r="B4173" s="10" t="str">
        <x:v>B</x:v>
      </x:c>
      <x:c r="C4173" s="18" t="n">
        <x:v>1.944833433</x:v>
      </x:c>
      <x:c r="D4173" s="10" t="n">
        <x:v>560</x:v>
      </x:c>
      <x:c r="E4173" s="10" t="n">
        <x:v>0.111239995</x:v>
      </x:c>
      <x:c r="F4173" s="10" t="n">
        <x:v>0.004096</x:v>
      </x:c>
      <x:c r="G4173" s="10" t="n">
        <x:f>SUM(D4173:F4173)</x:f>
        <x:v>560.115335995</x:v>
      </x:c>
    </x:row>
    <x:row r="4174" ht="24" customHeight="1">
      <x:c r="A4174" s="10" t="str">
        <x:v>S07-03</x:v>
      </x:c>
      <x:c r="B4174" s="10" t="str">
        <x:v>B</x:v>
      </x:c>
      <x:c r="C4174" s="18" t="n">
        <x:v>4.262333233</x:v>
      </x:c>
      <x:c r="D4174" s="10" t="n">
        <x:v>560</x:v>
      </x:c>
      <x:c r="E4174" s="10" t="n">
        <x:v>5e-9</x:v>
      </x:c>
      <x:c r="F4174" s="10" t="n">
        <x:v>0.004096</x:v>
      </x:c>
      <x:c r="G4174" s="10" t="n">
        <x:f>SUM(D4174:F4174)</x:f>
        <x:v>560.004096005</x:v>
      </x:c>
    </x:row>
    <x:row r="4175" ht="24" customHeight="1">
      <x:c r="A4175" s="10" t="str">
        <x:v>S07-03</x:v>
      </x:c>
      <x:c r="B4175" s="10" t="str">
        <x:v>B</x:v>
      </x:c>
      <x:c r="C4175" s="18" t="n">
        <x:v>4.262333333</x:v>
      </x:c>
      <x:c r="D4175" s="10" t="n">
        <x:v>560</x:v>
      </x:c>
      <x:c r="E4175" s="10" t="n">
        <x:v>0</x:v>
      </x:c>
      <x:c r="F4175" s="10" t="n">
        <x:v>0.008192</x:v>
      </x:c>
      <x:c r="G4175" s="10" t="n">
        <x:f>SUM(D4175:F4175)</x:f>
        <x:v>560.008192</x:v>
      </x:c>
    </x:row>
    <x:row r="4176" ht="24" customHeight="1">
      <x:c r="A4176" s="10" t="str">
        <x:v>S07-03</x:v>
      </x:c>
      <x:c r="B4176" s="10" t="str">
        <x:v>B</x:v>
      </x:c>
      <x:c r="C4176" s="18" t="n">
        <x:v>4.262333433</x:v>
      </x:c>
      <x:c r="D4176" s="10" t="n">
        <x:v>560</x:v>
      </x:c>
      <x:c r="E4176" s="10" t="n">
        <x:v>0</x:v>
      </x:c>
      <x:c r="F4176" s="10" t="n">
        <x:v>0.004096</x:v>
      </x:c>
      <x:c r="G4176" s="10" t="n">
        <x:f>SUM(D4176:F4176)</x:f>
        <x:v>560.004096</x:v>
      </x:c>
    </x:row>
    <x:row r="4177" ht="24" customHeight="1">
      <x:c r="A4177" s="10" t="str">
        <x:v>S07-03</x:v>
      </x:c>
      <x:c r="B4177" s="10" t="str">
        <x:v>B</x:v>
      </x:c>
      <x:c r="C4177" s="18" t="n">
        <x:v>4.668333233</x:v>
      </x:c>
      <x:c r="D4177" s="10" t="n">
        <x:v>560</x:v>
      </x:c>
      <x:c r="E4177" s="10" t="n">
        <x:v>0</x:v>
      </x:c>
      <x:c r="F4177" s="10" t="n">
        <x:v>0.004096</x:v>
      </x:c>
      <x:c r="G4177" s="10" t="n">
        <x:f>SUM(D4177:F4177)</x:f>
        <x:v>560.004096</x:v>
      </x:c>
    </x:row>
    <x:row r="4178" ht="24" customHeight="1">
      <x:c r="A4178" s="10" t="str">
        <x:v>S07-03</x:v>
      </x:c>
      <x:c r="B4178" s="10" t="str">
        <x:v>B</x:v>
      </x:c>
      <x:c r="C4178" s="18" t="n">
        <x:v>4.668333333</x:v>
      </x:c>
      <x:c r="D4178" s="10" t="n">
        <x:v>560</x:v>
      </x:c>
      <x:c r="E4178" s="10" t="n">
        <x:v>0.0096</x:v>
      </x:c>
      <x:c r="F4178" s="10" t="n">
        <x:v>0.004096</x:v>
      </x:c>
      <x:c r="G4178" s="10" t="n">
        <x:f>SUM(D4178:F4178)</x:f>
        <x:v>560.013696</x:v>
      </x:c>
    </x:row>
    <x:row r="4179" ht="24" customHeight="1">
      <x:c r="A4179" s="10" t="str">
        <x:v>S07-03</x:v>
      </x:c>
      <x:c r="B4179" s="10" t="str">
        <x:v>B</x:v>
      </x:c>
      <x:c r="C4179" s="18" t="n">
        <x:v>4.668333433</x:v>
      </x:c>
      <x:c r="D4179" s="10" t="n">
        <x:v>560</x:v>
      </x:c>
      <x:c r="E4179" s="10" t="n">
        <x:v>0.009600019</x:v>
      </x:c>
      <x:c r="F4179" s="10" t="n">
        <x:v>0.004096</x:v>
      </x:c>
      <x:c r="G4179" s="10" t="n">
        <x:f>SUM(D4179:F4179)</x:f>
        <x:v>560.013696019</x:v>
      </x:c>
    </x:row>
    <x:row r="4180" ht="24" customHeight="1">
      <x:c r="A4180" s="10" t="str">
        <x:v>S07-03</x:v>
      </x:c>
      <x:c r="B4180" s="10" t="str">
        <x:v>B</x:v>
      </x:c>
      <x:c r="C4180" s="18" t="n">
        <x:v>4.708333233</x:v>
      </x:c>
      <x:c r="D4180" s="10" t="n">
        <x:v>560</x:v>
      </x:c>
      <x:c r="E4180" s="10" t="n">
        <x:v>0.017279981</x:v>
      </x:c>
      <x:c r="F4180" s="10" t="n">
        <x:v>0.004096</x:v>
      </x:c>
      <x:c r="G4180" s="10" t="n">
        <x:f>SUM(D4180:F4180)</x:f>
        <x:v>560.021375981</x:v>
      </x:c>
    </x:row>
    <x:row r="4181" ht="24" customHeight="1">
      <x:c r="A4181" s="10" t="str">
        <x:v>S07-03</x:v>
      </x:c>
      <x:c r="B4181" s="10" t="str">
        <x:v>B</x:v>
      </x:c>
      <x:c r="C4181" s="18" t="n">
        <x:v>4.708333333</x:v>
      </x:c>
      <x:c r="D4181" s="10" t="n">
        <x:v>560</x:v>
      </x:c>
      <x:c r="E4181" s="10" t="n">
        <x:v>0.01728</x:v>
      </x:c>
      <x:c r="F4181" s="10" t="n">
        <x:v>0.004096</x:v>
      </x:c>
      <x:c r="G4181" s="10" t="n">
        <x:f>SUM(D4181:F4181)</x:f>
        <x:v>560.021376</x:v>
      </x:c>
    </x:row>
    <x:row r="4182" ht="24" customHeight="1">
      <x:c r="A4182" s="10" t="str">
        <x:v>S07-03</x:v>
      </x:c>
      <x:c r="B4182" s="10" t="str">
        <x:v>B</x:v>
      </x:c>
      <x:c r="C4182" s="18" t="n">
        <x:v>4.708333433</x:v>
      </x:c>
      <x:c r="D4182" s="10" t="n">
        <x:v>560</x:v>
      </x:c>
      <x:c r="E4182" s="10" t="n">
        <x:v>0.017280014</x:v>
      </x:c>
      <x:c r="F4182" s="10" t="n">
        <x:v>0.004096</x:v>
      </x:c>
      <x:c r="G4182" s="10" t="n">
        <x:f>SUM(D4182:F4182)</x:f>
        <x:v>560.021376014</x:v>
      </x:c>
    </x:row>
    <x:row r="4183" ht="24" customHeight="1">
      <x:c r="A4183" s="10" t="str">
        <x:v>S07-03</x:v>
      </x:c>
      <x:c r="B4183" s="10" t="str">
        <x:v>B</x:v>
      </x:c>
      <x:c r="C4183" s="18" t="n">
        <x:v>5.610833233</x:v>
      </x:c>
      <x:c r="D4183" s="10" t="n">
        <x:v>560</x:v>
      </x:c>
      <x:c r="E4183" s="10" t="n">
        <x:v>0.147239986</x:v>
      </x:c>
      <x:c r="F4183" s="10" t="n">
        <x:v>0.004096</x:v>
      </x:c>
      <x:c r="G4183" s="10" t="n">
        <x:f>SUM(D4183:F4183)</x:f>
        <x:v>560.151335986</x:v>
      </x:c>
    </x:row>
    <x:row r="4184" ht="24" customHeight="1">
      <x:c r="A4184" s="10" t="str">
        <x:v>S07-03</x:v>
      </x:c>
      <x:c r="B4184" s="10" t="str">
        <x:v>B</x:v>
      </x:c>
      <x:c r="C4184" s="18" t="n">
        <x:v>5.610833333</x:v>
      </x:c>
      <x:c r="D4184" s="10" t="n">
        <x:v>560</x:v>
      </x:c>
      <x:c r="E4184" s="10" t="n">
        <x:v>0.14724</x:v>
      </x:c>
      <x:c r="F4184" s="10" t="n">
        <x:v>0.004096</x:v>
      </x:c>
      <x:c r="G4184" s="10" t="n">
        <x:f>SUM(D4184:F4184)</x:f>
        <x:v>560.151336</x:v>
      </x:c>
    </x:row>
    <x:row r="4185" ht="24" customHeight="1">
      <x:c r="A4185" s="10" t="str">
        <x:v>S07-03</x:v>
      </x:c>
      <x:c r="B4185" s="10" t="str">
        <x:v>B</x:v>
      </x:c>
      <x:c r="C4185" s="18" t="n">
        <x:v>5.610833433</x:v>
      </x:c>
      <x:c r="D4185" s="10" t="n">
        <x:v>560</x:v>
      </x:c>
      <x:c r="E4185" s="10" t="n">
        <x:v>0.147239995</x:v>
      </x:c>
      <x:c r="F4185" s="10" t="n">
        <x:v>0.004096</x:v>
      </x:c>
      <x:c r="G4185" s="10" t="n">
        <x:f>SUM(D4185:F4185)</x:f>
        <x:v>560.151335995</x:v>
      </x:c>
    </x:row>
    <x:row r="4186" ht="24" customHeight="1">
      <x:c r="A4186" s="10" t="str">
        <x:v>S07-03</x:v>
      </x:c>
      <x:c r="B4186" s="10" t="str">
        <x:v>B</x:v>
      </x:c>
      <x:c r="C4186" s="18" t="n">
        <x:v>8.678333233</x:v>
      </x:c>
      <x:c r="D4186" s="10" t="n">
        <x:v>560</x:v>
      </x:c>
      <x:c r="E4186" s="10" t="n">
        <x:v>5e-9</x:v>
      </x:c>
      <x:c r="F4186" s="10" t="n">
        <x:v>0.004096</x:v>
      </x:c>
      <x:c r="G4186" s="10" t="n">
        <x:f>SUM(D4186:F4186)</x:f>
        <x:v>560.004096005</x:v>
      </x:c>
    </x:row>
    <x:row r="4187" ht="24" customHeight="1">
      <x:c r="A4187" s="10" t="str">
        <x:v>S07-03</x:v>
      </x:c>
      <x:c r="B4187" s="10" t="str">
        <x:v>B</x:v>
      </x:c>
      <x:c r="C4187" s="18" t="n">
        <x:v>8.678333333</x:v>
      </x:c>
      <x:c r="D4187" s="10" t="n">
        <x:v>560</x:v>
      </x:c>
      <x:c r="E4187" s="10" t="n">
        <x:v>0</x:v>
      </x:c>
      <x:c r="F4187" s="10" t="n">
        <x:v>0.008192</x:v>
      </x:c>
      <x:c r="G4187" s="10" t="n">
        <x:f>SUM(D4187:F4187)</x:f>
        <x:v>560.008192</x:v>
      </x:c>
    </x:row>
    <x:row r="4188" ht="24" customHeight="1">
      <x:c r="A4188" s="10" t="str">
        <x:v>S07-03</x:v>
      </x:c>
      <x:c r="B4188" s="10" t="str">
        <x:v>B</x:v>
      </x:c>
      <x:c r="C4188" s="18" t="n">
        <x:v>8.678333433</x:v>
      </x:c>
      <x:c r="D4188" s="10" t="n">
        <x:v>560</x:v>
      </x:c>
      <x:c r="E4188" s="10" t="n">
        <x:v>0</x:v>
      </x:c>
      <x:c r="F4188" s="10" t="n">
        <x:v>0.004096</x:v>
      </x:c>
      <x:c r="G4188" s="10" t="n">
        <x:f>SUM(D4188:F4188)</x:f>
        <x:v>560.004096</x:v>
      </x:c>
    </x:row>
    <x:row r="4189" ht="24" customHeight="1">
      <x:c r="A4189" s="10" t="str">
        <x:v>S07-03</x:v>
      </x:c>
      <x:c r="B4189" s="10" t="str">
        <x:v>B</x:v>
      </x:c>
      <x:c r="C4189" s="18" t="n">
        <x:v>9.088333233</x:v>
      </x:c>
      <x:c r="D4189" s="10" t="n">
        <x:v>560</x:v>
      </x:c>
      <x:c r="E4189" s="10" t="n">
        <x:v>0</x:v>
      </x:c>
      <x:c r="F4189" s="10" t="n">
        <x:v>0.004096</x:v>
      </x:c>
      <x:c r="G4189" s="10" t="n">
        <x:f>SUM(D4189:F4189)</x:f>
        <x:v>560.004096</x:v>
      </x:c>
    </x:row>
    <x:row r="4190" ht="24" customHeight="1">
      <x:c r="A4190" s="10" t="str">
        <x:v>S07-03</x:v>
      </x:c>
      <x:c r="B4190" s="10" t="str">
        <x:v>B</x:v>
      </x:c>
      <x:c r="C4190" s="18" t="n">
        <x:v>9.088333333</x:v>
      </x:c>
      <x:c r="D4190" s="10" t="n">
        <x:v>560</x:v>
      </x:c>
      <x:c r="E4190" s="10" t="n">
        <x:v>0.0096</x:v>
      </x:c>
      <x:c r="F4190" s="10" t="n">
        <x:v>0.004096</x:v>
      </x:c>
      <x:c r="G4190" s="10" t="n">
        <x:f>SUM(D4190:F4190)</x:f>
        <x:v>560.013696</x:v>
      </x:c>
    </x:row>
    <x:row r="4191" ht="24" customHeight="1">
      <x:c r="A4191" s="10" t="str">
        <x:v>S07-03</x:v>
      </x:c>
      <x:c r="B4191" s="10" t="str">
        <x:v>B</x:v>
      </x:c>
      <x:c r="C4191" s="18" t="n">
        <x:v>9.088333433</x:v>
      </x:c>
      <x:c r="D4191" s="10" t="n">
        <x:v>560</x:v>
      </x:c>
      <x:c r="E4191" s="10" t="n">
        <x:v>0.009600019</x:v>
      </x:c>
      <x:c r="F4191" s="10" t="n">
        <x:v>0.004096</x:v>
      </x:c>
      <x:c r="G4191" s="10" t="n">
        <x:f>SUM(D4191:F4191)</x:f>
        <x:v>560.013696019</x:v>
      </x:c>
    </x:row>
    <x:row r="4192" ht="24" customHeight="1">
      <x:c r="A4192" s="10" t="str">
        <x:v>S07-03</x:v>
      </x:c>
      <x:c r="B4192" s="10" t="str">
        <x:v>B</x:v>
      </x:c>
      <x:c r="C4192" s="18" t="n">
        <x:v>9.128333233</x:v>
      </x:c>
      <x:c r="D4192" s="10" t="n">
        <x:v>560</x:v>
      </x:c>
      <x:c r="E4192" s="10" t="n">
        <x:v>0.017279981</x:v>
      </x:c>
      <x:c r="F4192" s="10" t="n">
        <x:v>0.004096</x:v>
      </x:c>
      <x:c r="G4192" s="10" t="n">
        <x:f>SUM(D4192:F4192)</x:f>
        <x:v>560.021375981</x:v>
      </x:c>
    </x:row>
    <x:row r="4193" ht="24" customHeight="1">
      <x:c r="A4193" s="10" t="str">
        <x:v>S07-03</x:v>
      </x:c>
      <x:c r="B4193" s="10" t="str">
        <x:v>B</x:v>
      </x:c>
      <x:c r="C4193" s="18" t="n">
        <x:v>9.128333333</x:v>
      </x:c>
      <x:c r="D4193" s="10" t="n">
        <x:v>560</x:v>
      </x:c>
      <x:c r="E4193" s="10" t="n">
        <x:v>0.01728</x:v>
      </x:c>
      <x:c r="F4193" s="10" t="n">
        <x:v>0.004096</x:v>
      </x:c>
      <x:c r="G4193" s="10" t="n">
        <x:f>SUM(D4193:F4193)</x:f>
        <x:v>560.021376</x:v>
      </x:c>
    </x:row>
    <x:row r="4194" ht="24" customHeight="1">
      <x:c r="A4194" s="10" t="str">
        <x:v>S07-03</x:v>
      </x:c>
      <x:c r="B4194" s="10" t="str">
        <x:v>B</x:v>
      </x:c>
      <x:c r="C4194" s="18" t="n">
        <x:v>9.128333433</x:v>
      </x:c>
      <x:c r="D4194" s="10" t="n">
        <x:v>560</x:v>
      </x:c>
      <x:c r="E4194" s="10" t="n">
        <x:v>0.017280014</x:v>
      </x:c>
      <x:c r="F4194" s="10" t="n">
        <x:v>0.004096</x:v>
      </x:c>
      <x:c r="G4194" s="10" t="n">
        <x:f>SUM(D4194:F4194)</x:f>
        <x:v>560.021376014</x:v>
      </x:c>
    </x:row>
    <x:row r="4195" ht="24" customHeight="1">
      <x:c r="A4195" s="10" t="str">
        <x:v>S07-03</x:v>
      </x:c>
      <x:c r="B4195" s="10" t="str">
        <x:v>B</x:v>
      </x:c>
      <x:c r="C4195" s="18" t="n">
        <x:v>10.780833233</x:v>
      </x:c>
      <x:c r="D4195" s="10" t="n">
        <x:v>560</x:v>
      </x:c>
      <x:c r="E4195" s="10" t="n">
        <x:v>0.255239986</x:v>
      </x:c>
      <x:c r="F4195" s="10" t="n">
        <x:v>0.004096</x:v>
      </x:c>
      <x:c r="G4195" s="10" t="n">
        <x:f>SUM(D4195:F4195)</x:f>
        <x:v>560.259335986</x:v>
      </x:c>
    </x:row>
    <x:row r="4196" ht="24" customHeight="1">
      <x:c r="A4196" s="10" t="str">
        <x:v>S07-03</x:v>
      </x:c>
      <x:c r="B4196" s="10" t="str">
        <x:v>B</x:v>
      </x:c>
      <x:c r="C4196" s="18" t="n">
        <x:v>10.780833333</x:v>
      </x:c>
      <x:c r="D4196" s="10" t="n">
        <x:v>560</x:v>
      </x:c>
      <x:c r="E4196" s="10" t="n">
        <x:v>0.25524</x:v>
      </x:c>
      <x:c r="F4196" s="10" t="n">
        <x:v>0.004096</x:v>
      </x:c>
      <x:c r="G4196" s="10" t="n">
        <x:f>SUM(D4196:F4196)</x:f>
        <x:v>560.259336</x:v>
      </x:c>
    </x:row>
    <x:row r="4197" ht="24" customHeight="1">
      <x:c r="A4197" s="10" t="str">
        <x:v>S07-03</x:v>
      </x:c>
      <x:c r="B4197" s="10" t="str">
        <x:v>B</x:v>
      </x:c>
      <x:c r="C4197" s="18" t="n">
        <x:v>10.780833433</x:v>
      </x:c>
      <x:c r="D4197" s="10" t="n">
        <x:v>560</x:v>
      </x:c>
      <x:c r="E4197" s="10" t="n">
        <x:v>0.255239995</x:v>
      </x:c>
      <x:c r="F4197" s="10" t="n">
        <x:v>0.004096</x:v>
      </x:c>
      <x:c r="G4197" s="10" t="n">
        <x:f>SUM(D4197:F4197)</x:f>
        <x:v>560.259335995</x:v>
      </x:c>
    </x:row>
    <x:row r="4198" ht="24" customHeight="1">
      <x:c r="A4198" s="10" t="str">
        <x:v>S07-03</x:v>
      </x:c>
      <x:c r="B4198" s="10" t="str">
        <x:v>B</x:v>
      </x:c>
      <x:c r="C4198" s="18" t="n">
        <x:v>16.098333233</x:v>
      </x:c>
      <x:c r="D4198" s="10" t="n">
        <x:v>560</x:v>
      </x:c>
      <x:c r="E4198" s="10" t="n">
        <x:v>5e-9</x:v>
      </x:c>
      <x:c r="F4198" s="10" t="n">
        <x:v>0.004096</x:v>
      </x:c>
      <x:c r="G4198" s="10" t="n">
        <x:f>SUM(D4198:F4198)</x:f>
        <x:v>560.004096005</x:v>
      </x:c>
    </x:row>
    <x:row r="4199" ht="24" customHeight="1">
      <x:c r="A4199" s="10" t="str">
        <x:v>S07-03</x:v>
      </x:c>
      <x:c r="B4199" s="10" t="str">
        <x:v>B</x:v>
      </x:c>
      <x:c r="C4199" s="18" t="n">
        <x:v>16.098333333</x:v>
      </x:c>
      <x:c r="D4199" s="10" t="n">
        <x:v>560</x:v>
      </x:c>
      <x:c r="E4199" s="10" t="n">
        <x:v>0</x:v>
      </x:c>
      <x:c r="F4199" s="10" t="n">
        <x:v>0.004096</x:v>
      </x:c>
      <x:c r="G4199" s="10" t="n">
        <x:f>SUM(D4199:F4199)</x:f>
        <x:v>560.004096</x:v>
      </x:c>
    </x:row>
    <x:row r="4200" ht="24" customHeight="1">
      <x:c r="A4200" s="10" t="str">
        <x:v>S07-03</x:v>
      </x:c>
      <x:c r="B4200" s="10" t="str">
        <x:v>B</x:v>
      </x:c>
      <x:c r="C4200" s="18" t="n">
        <x:v>16.098333433</x:v>
      </x:c>
      <x:c r="D4200" s="10" t="n">
        <x:v>560</x:v>
      </x:c>
      <x:c r="E4200" s="10" t="n">
        <x:v>0</x:v>
      </x:c>
      <x:c r="F4200" s="10" t="n">
        <x:v>0</x:v>
      </x:c>
      <x:c r="G4200" s="10" t="n">
        <x:f>SUM(D4200:F4200)</x:f>
        <x:v>560</x:v>
      </x:c>
    </x:row>
    <x:row r="4201" ht="24" customHeight="1">
      <x:c r="A4201" s="10" t="str">
        <x:v>S07-04</x:v>
      </x:c>
      <x:c r="B4201" s="10" t="str">
        <x:v>A</x:v>
      </x:c>
      <x:c r="C4201" s="18" t="n">
        <x:v>-6.0000001</x:v>
      </x:c>
      <x:c r="D4201" s="10" t="n">
        <x:v>560</x:v>
      </x:c>
      <x:c r="E4201" s="10" t="n">
        <x:v>0</x:v>
      </x:c>
      <x:c r="F4201" s="10" t="n">
        <x:v>0</x:v>
      </x:c>
      <x:c r="G4201" s="10" t="n">
        <x:f>SUM(D4201:F4201)</x:f>
        <x:v>560</x:v>
      </x:c>
    </x:row>
    <x:row r="4202" ht="24" customHeight="1">
      <x:c r="A4202" s="10" t="str">
        <x:v>S07-04</x:v>
      </x:c>
      <x:c r="B4202" s="10" t="str">
        <x:v>A</x:v>
      </x:c>
      <x:c r="C4202" s="18" t="n">
        <x:v>-6</x:v>
      </x:c>
      <x:c r="D4202" s="10" t="n">
        <x:v>560</x:v>
      </x:c>
      <x:c r="E4202" s="10" t="n">
        <x:v>0</x:v>
      </x:c>
      <x:c r="F4202" s="10" t="n">
        <x:v>0</x:v>
      </x:c>
      <x:c r="G4202" s="10" t="n">
        <x:f>SUM(D4202:F4202)</x:f>
        <x:v>560</x:v>
      </x:c>
    </x:row>
    <x:row r="4203" ht="24" customHeight="1">
      <x:c r="A4203" s="10" t="str">
        <x:v>S07-04</x:v>
      </x:c>
      <x:c r="B4203" s="10" t="str">
        <x:v>A</x:v>
      </x:c>
      <x:c r="C4203" s="18" t="n">
        <x:v>-5.9999999</x:v>
      </x:c>
      <x:c r="D4203" s="10" t="n">
        <x:v>560</x:v>
      </x:c>
      <x:c r="E4203" s="10" t="n">
        <x:v>0</x:v>
      </x:c>
      <x:c r="F4203" s="10" t="n">
        <x:v>0</x:v>
      </x:c>
      <x:c r="G4203" s="10" t="n">
        <x:f>SUM(D4203:F4203)</x:f>
        <x:v>560</x:v>
      </x:c>
    </x:row>
    <x:row r="4204" ht="24" customHeight="1">
      <x:c r="A4204" s="10" t="str">
        <x:v>S07-04</x:v>
      </x:c>
      <x:c r="B4204" s="10" t="str">
        <x:v>A</x:v>
      </x:c>
      <x:c r="C4204" s="18" t="n">
        <x:v>-1.4000001</x:v>
      </x:c>
      <x:c r="D4204" s="10" t="n">
        <x:v>560</x:v>
      </x:c>
      <x:c r="E4204" s="10" t="n">
        <x:v>0</x:v>
      </x:c>
      <x:c r="F4204" s="10" t="n">
        <x:v>0</x:v>
      </x:c>
      <x:c r="G4204" s="10" t="n">
        <x:f>SUM(D4204:F4204)</x:f>
        <x:v>560</x:v>
      </x:c>
    </x:row>
    <x:row r="4205" ht="24" customHeight="1">
      <x:c r="A4205" s="10" t="str">
        <x:v>S07-04</x:v>
      </x:c>
      <x:c r="B4205" s="10" t="str">
        <x:v>A</x:v>
      </x:c>
      <x:c r="C4205" s="18" t="n">
        <x:v>-1.4</x:v>
      </x:c>
      <x:c r="D4205" s="10" t="n">
        <x:v>560</x:v>
      </x:c>
      <x:c r="E4205" s="10" t="n">
        <x:v>0</x:v>
      </x:c>
      <x:c r="F4205" s="10" t="n">
        <x:v>0.004096</x:v>
      </x:c>
      <x:c r="G4205" s="10" t="n">
        <x:f>SUM(D4205:F4205)</x:f>
        <x:v>560.004096</x:v>
      </x:c>
    </x:row>
    <x:row r="4206" ht="24" customHeight="1">
      <x:c r="A4206" s="10" t="str">
        <x:v>S07-04</x:v>
      </x:c>
      <x:c r="B4206" s="10" t="str">
        <x:v>A</x:v>
      </x:c>
      <x:c r="C4206" s="18" t="n">
        <x:v>-1.3999999</x:v>
      </x:c>
      <x:c r="D4206" s="10" t="n">
        <x:v>560</x:v>
      </x:c>
      <x:c r="E4206" s="10" t="n">
        <x:v>0</x:v>
      </x:c>
      <x:c r="F4206" s="10" t="n">
        <x:v>0.004096</x:v>
      </x:c>
      <x:c r="G4206" s="10" t="n">
        <x:f>SUM(D4206:F4206)</x:f>
        <x:v>560.004096</x:v>
      </x:c>
    </x:row>
    <x:row r="4207" ht="24" customHeight="1">
      <x:c r="A4207" s="10" t="str">
        <x:v>S07-04</x:v>
      </x:c>
      <x:c r="B4207" s="10" t="str">
        <x:v>A</x:v>
      </x:c>
      <x:c r="C4207" s="18" t="n">
        <x:v>-1.2000001</x:v>
      </x:c>
      <x:c r="D4207" s="10" t="n">
        <x:v>560</x:v>
      </x:c>
      <x:c r="E4207" s="10" t="n">
        <x:v>0</x:v>
      </x:c>
      <x:c r="F4207" s="10" t="n">
        <x:v>0.004096</x:v>
      </x:c>
      <x:c r="G4207" s="10" t="n">
        <x:f>SUM(D4207:F4207)</x:f>
        <x:v>560.004096</x:v>
      </x:c>
    </x:row>
    <x:row r="4208" ht="24" customHeight="1">
      <x:c r="A4208" s="10" t="str">
        <x:v>S07-04</x:v>
      </x:c>
      <x:c r="B4208" s="10" t="str">
        <x:v>A</x:v>
      </x:c>
      <x:c r="C4208" s="18" t="n">
        <x:v>-1.2</x:v>
      </x:c>
      <x:c r="D4208" s="10" t="n">
        <x:v>560</x:v>
      </x:c>
      <x:c r="E4208" s="10" t="n">
        <x:v>0</x:v>
      </x:c>
      <x:c r="F4208" s="10" t="n">
        <x:v>0.008192</x:v>
      </x:c>
      <x:c r="G4208" s="10" t="n">
        <x:f>SUM(D4208:F4208)</x:f>
        <x:v>560.008192</x:v>
      </x:c>
    </x:row>
    <x:row r="4209" ht="24" customHeight="1">
      <x:c r="A4209" s="10" t="str">
        <x:v>S07-04</x:v>
      </x:c>
      <x:c r="B4209" s="10" t="str">
        <x:v>A</x:v>
      </x:c>
      <x:c r="C4209" s="18" t="n">
        <x:v>-1.1999999</x:v>
      </x:c>
      <x:c r="D4209" s="10" t="n">
        <x:v>560</x:v>
      </x:c>
      <x:c r="E4209" s="10" t="n">
        <x:v>0</x:v>
      </x:c>
      <x:c r="F4209" s="10" t="n">
        <x:v>0.008192</x:v>
      </x:c>
      <x:c r="G4209" s="10" t="n">
        <x:f>SUM(D4209:F4209)</x:f>
        <x:v>560.008192</x:v>
      </x:c>
    </x:row>
    <x:row r="4210" ht="24" customHeight="1">
      <x:c r="A4210" s="10" t="str">
        <x:v>S07-04</x:v>
      </x:c>
      <x:c r="B4210" s="10" t="str">
        <x:v>A</x:v>
      </x:c>
      <x:c r="C4210" s="18" t="n">
        <x:v>-0.997666767</x:v>
      </x:c>
      <x:c r="D4210" s="10" t="n">
        <x:v>560</x:v>
      </x:c>
      <x:c r="E4210" s="10" t="n">
        <x:v>0</x:v>
      </x:c>
      <x:c r="F4210" s="10" t="n">
        <x:v>0.008192</x:v>
      </x:c>
      <x:c r="G4210" s="10" t="n">
        <x:f>SUM(D4210:F4210)</x:f>
        <x:v>560.008192</x:v>
      </x:c>
    </x:row>
    <x:row r="4211" ht="24" customHeight="1">
      <x:c r="A4211" s="10" t="str">
        <x:v>S07-04</x:v>
      </x:c>
      <x:c r="B4211" s="10" t="str">
        <x:v>A</x:v>
      </x:c>
      <x:c r="C4211" s="18" t="n">
        <x:v>-0.997666667</x:v>
      </x:c>
      <x:c r="D4211" s="10" t="n">
        <x:v>560</x:v>
      </x:c>
      <x:c r="E4211" s="10" t="n">
        <x:v>0.0096</x:v>
      </x:c>
      <x:c r="F4211" s="10" t="n">
        <x:v>0.008192</x:v>
      </x:c>
      <x:c r="G4211" s="10" t="n">
        <x:f>SUM(D4211:F4211)</x:f>
        <x:v>560.017792</x:v>
      </x:c>
    </x:row>
    <x:row r="4212" ht="24" customHeight="1">
      <x:c r="A4212" s="10" t="str">
        <x:v>S07-04</x:v>
      </x:c>
      <x:c r="B4212" s="10" t="str">
        <x:v>A</x:v>
      </x:c>
      <x:c r="C4212" s="18" t="n">
        <x:v>-0.997666567</x:v>
      </x:c>
      <x:c r="D4212" s="10" t="n">
        <x:v>560</x:v>
      </x:c>
      <x:c r="E4212" s="10" t="n">
        <x:v>0.009600019</x:v>
      </x:c>
      <x:c r="F4212" s="10" t="n">
        <x:v>0.008192</x:v>
      </x:c>
      <x:c r="G4212" s="10" t="n">
        <x:f>SUM(D4212:F4212)</x:f>
        <x:v>560.017792019</x:v>
      </x:c>
    </x:row>
    <x:row r="4213" ht="24" customHeight="1">
      <x:c r="A4213" s="10" t="str">
        <x:v>S07-04</x:v>
      </x:c>
      <x:c r="B4213" s="10" t="str">
        <x:v>A</x:v>
      </x:c>
      <x:c r="C4213" s="18" t="n">
        <x:v>-0.9000001</x:v>
      </x:c>
      <x:c r="D4213" s="10" t="n">
        <x:v>560</x:v>
      </x:c>
      <x:c r="E4213" s="10" t="n">
        <x:v>0.028351981</x:v>
      </x:c>
      <x:c r="F4213" s="10" t="n">
        <x:v>0.008192</x:v>
      </x:c>
      <x:c r="G4213" s="10" t="n">
        <x:f>SUM(D4213:F4213)</x:f>
        <x:v>560.036543981</x:v>
      </x:c>
    </x:row>
    <x:row r="4214" ht="24" customHeight="1">
      <x:c r="A4214" s="10" t="str">
        <x:v>S07-04</x:v>
      </x:c>
      <x:c r="B4214" s="10" t="str">
        <x:v>A</x:v>
      </x:c>
      <x:c r="C4214" s="18" t="n">
        <x:v>-0.9</x:v>
      </x:c>
      <x:c r="D4214" s="10" t="n">
        <x:v>560</x:v>
      </x:c>
      <x:c r="E4214" s="10" t="n">
        <x:v>0.028352</x:v>
      </x:c>
      <x:c r="F4214" s="10" t="n">
        <x:v>0.012288</x:v>
      </x:c>
      <x:c r="G4214" s="10" t="n">
        <x:f>SUM(D4214:F4214)</x:f>
        <x:v>560.04064</x:v>
      </x:c>
    </x:row>
    <x:row r="4215" ht="24" customHeight="1">
      <x:c r="A4215" s="10" t="str">
        <x:v>S07-04</x:v>
      </x:c>
      <x:c r="B4215" s="10" t="str">
        <x:v>A</x:v>
      </x:c>
      <x:c r="C4215" s="18" t="n">
        <x:v>-0.8999999</x:v>
      </x:c>
      <x:c r="D4215" s="10" t="n">
        <x:v>560</x:v>
      </x:c>
      <x:c r="E4215" s="10" t="n">
        <x:v>0.028352019</x:v>
      </x:c>
      <x:c r="F4215" s="10" t="n">
        <x:v>0.012288</x:v>
      </x:c>
      <x:c r="G4215" s="10" t="n">
        <x:f>SUM(D4215:F4215)</x:f>
        <x:v>560.040640019</x:v>
      </x:c>
    </x:row>
    <x:row r="4216" ht="24" customHeight="1">
      <x:c r="A4216" s="10" t="str">
        <x:v>S07-04</x:v>
      </x:c>
      <x:c r="B4216" s="10" t="str">
        <x:v>A</x:v>
      </x:c>
      <x:c r="C4216" s="18" t="n">
        <x:v>-0.7940001</x:v>
      </x:c>
      <x:c r="D4216" s="10" t="n">
        <x:v>560</x:v>
      </x:c>
      <x:c r="E4216" s="10" t="n">
        <x:v>0.048703981</x:v>
      </x:c>
      <x:c r="F4216" s="10" t="n">
        <x:v>0.012288</x:v>
      </x:c>
      <x:c r="G4216" s="10" t="n">
        <x:f>SUM(D4216:F4216)</x:f>
        <x:v>560.060991981</x:v>
      </x:c>
    </x:row>
    <x:row r="4217" ht="24" customHeight="1">
      <x:c r="A4217" s="10" t="str">
        <x:v>S07-04</x:v>
      </x:c>
      <x:c r="B4217" s="10" t="str">
        <x:v>A</x:v>
      </x:c>
      <x:c r="C4217" s="18" t="n">
        <x:v>-0.794</x:v>
      </x:c>
      <x:c r="D4217" s="10" t="n">
        <x:v>560</x:v>
      </x:c>
      <x:c r="E4217" s="10" t="n">
        <x:v>0.058304</x:v>
      </x:c>
      <x:c r="F4217" s="10" t="n">
        <x:v>0.012288</x:v>
      </x:c>
      <x:c r="G4217" s="10" t="n">
        <x:f>SUM(D4217:F4217)</x:f>
        <x:v>560.070592</x:v>
      </x:c>
    </x:row>
    <x:row r="4218" ht="24" customHeight="1">
      <x:c r="A4218" s="10" t="str">
        <x:v>S07-04</x:v>
      </x:c>
      <x:c r="B4218" s="10" t="str">
        <x:v>A</x:v>
      </x:c>
      <x:c r="C4218" s="18" t="n">
        <x:v>-0.7939999</x:v>
      </x:c>
      <x:c r="D4218" s="10" t="n">
        <x:v>560</x:v>
      </x:c>
      <x:c r="E4218" s="10" t="n">
        <x:v>0.058304038</x:v>
      </x:c>
      <x:c r="F4218" s="10" t="n">
        <x:v>0.012288</x:v>
      </x:c>
      <x:c r="G4218" s="10" t="n">
        <x:f>SUM(D4218:F4218)</x:f>
        <x:v>560.070592038</x:v>
      </x:c>
    </x:row>
    <x:row r="4219" ht="24" customHeight="1">
      <x:c r="A4219" s="10" t="str">
        <x:v>S07-04</x:v>
      </x:c>
      <x:c r="B4219" s="10" t="str">
        <x:v>A</x:v>
      </x:c>
      <x:c r="C4219" s="18" t="n">
        <x:v>-0.4900001</x:v>
      </x:c>
      <x:c r="D4219" s="10" t="n">
        <x:v>560</x:v>
      </x:c>
      <x:c r="E4219" s="10" t="n">
        <x:v>0.175039962</x:v>
      </x:c>
      <x:c r="F4219" s="10" t="n">
        <x:v>0.012288</x:v>
      </x:c>
      <x:c r="G4219" s="10" t="n">
        <x:f>SUM(D4219:F4219)</x:f>
        <x:v>560.187327962</x:v>
      </x:c>
    </x:row>
    <x:row r="4220" ht="24" customHeight="1">
      <x:c r="A4220" s="10" t="str">
        <x:v>S07-04</x:v>
      </x:c>
      <x:c r="B4220" s="10" t="str">
        <x:v>A</x:v>
      </x:c>
      <x:c r="C4220" s="18" t="n">
        <x:v>-0.49</x:v>
      </x:c>
      <x:c r="D4220" s="10" t="n">
        <x:v>560</x:v>
      </x:c>
      <x:c r="E4220" s="10" t="n">
        <x:v>0.18464</x:v>
      </x:c>
      <x:c r="F4220" s="10" t="n">
        <x:v>0.012288</x:v>
      </x:c>
      <x:c r="G4220" s="10" t="n">
        <x:f>SUM(D4220:F4220)</x:f>
        <x:v>560.196928</x:v>
      </x:c>
    </x:row>
    <x:row r="4221" ht="24" customHeight="1">
      <x:c r="A4221" s="10" t="str">
        <x:v>S07-04</x:v>
      </x:c>
      <x:c r="B4221" s="10" t="str">
        <x:v>A</x:v>
      </x:c>
      <x:c r="C4221" s="18" t="n">
        <x:v>-0.4899999</x:v>
      </x:c>
      <x:c r="D4221" s="10" t="n">
        <x:v>560</x:v>
      </x:c>
      <x:c r="E4221" s="10" t="n">
        <x:v>0.184640058</x:v>
      </x:c>
      <x:c r="F4221" s="10" t="n">
        <x:v>0.012288</x:v>
      </x:c>
      <x:c r="G4221" s="10" t="n">
        <x:f>SUM(D4221:F4221)</x:f>
        <x:v>560.196928058</x:v>
      </x:c>
    </x:row>
    <x:row r="4222" ht="24" customHeight="1">
      <x:c r="A4222" s="10" t="str">
        <x:v>S07-04</x:v>
      </x:c>
      <x:c r="B4222" s="10" t="str">
        <x:v>A</x:v>
      </x:c>
      <x:c r="C4222" s="18" t="n">
        <x:v>-0.302166767</x:v>
      </x:c>
      <x:c r="D4222" s="10" t="n">
        <x:v>560</x:v>
      </x:c>
      <x:c r="E4222" s="10" t="n">
        <x:v>0.292831942</x:v>
      </x:c>
      <x:c r="F4222" s="10" t="n">
        <x:v>0.012288</x:v>
      </x:c>
      <x:c r="G4222" s="10" t="n">
        <x:f>SUM(D4222:F4222)</x:f>
        <x:v>560.305119942</x:v>
      </x:c>
    </x:row>
    <x:row r="4223" ht="24" customHeight="1">
      <x:c r="A4223" s="10" t="str">
        <x:v>S07-04</x:v>
      </x:c>
      <x:c r="B4223" s="10" t="str">
        <x:v>A</x:v>
      </x:c>
      <x:c r="C4223" s="18" t="n">
        <x:v>-0.302166667</x:v>
      </x:c>
      <x:c r="D4223" s="10" t="n">
        <x:v>560</x:v>
      </x:c>
      <x:c r="E4223" s="10" t="n">
        <x:v>0.292832</x:v>
      </x:c>
      <x:c r="F4223" s="10" t="n">
        <x:v>0.012288</x:v>
      </x:c>
      <x:c r="G4223" s="10" t="n">
        <x:f>SUM(D4223:F4223)</x:f>
        <x:v>560.30512</x:v>
      </x:c>
    </x:row>
    <x:row r="4224" ht="24" customHeight="1">
      <x:c r="A4224" s="10" t="str">
        <x:v>S07-04</x:v>
      </x:c>
      <x:c r="B4224" s="10" t="str">
        <x:v>A</x:v>
      </x:c>
      <x:c r="C4224" s="18" t="n">
        <x:v>-0.302166567</x:v>
      </x:c>
      <x:c r="D4224" s="10" t="n">
        <x:v>560</x:v>
      </x:c>
      <x:c r="E4224" s="10" t="n">
        <x:v>0.292832038</x:v>
      </x:c>
      <x:c r="F4224" s="10" t="n">
        <x:v>0.012288</x:v>
      </x:c>
      <x:c r="G4224" s="10" t="n">
        <x:f>SUM(D4224:F4224)</x:f>
        <x:v>560.305120038</x:v>
      </x:c>
    </x:row>
    <x:row r="4225" ht="24" customHeight="1">
      <x:c r="A4225" s="10" t="str">
        <x:v>S07-04</x:v>
      </x:c>
      <x:c r="B4225" s="10" t="str">
        <x:v>A</x:v>
      </x:c>
      <x:c r="C4225" s="18" t="n">
        <x:v>-1e-7</x:v>
      </x:c>
      <x:c r="D4225" s="10" t="n">
        <x:v>560</x:v>
      </x:c>
      <x:c r="E4225" s="10" t="n">
        <x:v>0.408863962</x:v>
      </x:c>
      <x:c r="F4225" s="10" t="n">
        <x:v>0.012288</x:v>
      </x:c>
      <x:c r="G4225" s="10" t="n">
        <x:f>SUM(D4225:F4225)</x:f>
        <x:v>560.4211519620001</x:v>
      </x:c>
    </x:row>
    <x:row r="4226" ht="24" customHeight="1">
      <x:c r="A4226" s="10" t="str">
        <x:v>S07-04</x:v>
      </x:c>
      <x:c r="B4226" s="10" t="str">
        <x:v>A</x:v>
      </x:c>
      <x:c r="C4226" s="18" t="n">
        <x:v>0</x:v>
      </x:c>
      <x:c r="D4226" s="10" t="n">
        <x:v>560</x:v>
      </x:c>
      <x:c r="E4226" s="10" t="n">
        <x:v>0.408864</x:v>
      </x:c>
      <x:c r="F4226" s="10" t="n">
        <x:v>0.012288</x:v>
      </x:c>
      <x:c r="G4226" s="10" t="n">
        <x:f>SUM(D4226:F4226)</x:f>
        <x:v>560.421152</x:v>
      </x:c>
    </x:row>
    <x:row r="4227" ht="24" customHeight="1">
      <x:c r="A4227" s="10" t="str">
        <x:v>S07-04</x:v>
      </x:c>
      <x:c r="B4227" s="10" t="str">
        <x:v>A</x:v>
      </x:c>
      <x:c r="C4227" s="18" t="n">
        <x:v>1e-7</x:v>
      </x:c>
      <x:c r="D4227" s="10" t="n">
        <x:v>560</x:v>
      </x:c>
      <x:c r="E4227" s="10" t="n">
        <x:v>0.408864038</x:v>
      </x:c>
      <x:c r="F4227" s="10" t="n">
        <x:v>0.012288</x:v>
      </x:c>
      <x:c r="G4227" s="10" t="n">
        <x:f>SUM(D4227:F4227)</x:f>
        <x:v>560.4211520380001</x:v>
      </x:c>
    </x:row>
    <x:row r="4228" ht="24" customHeight="1">
      <x:c r="A4228" s="10" t="str">
        <x:v>S07-04</x:v>
      </x:c>
      <x:c r="B4228" s="10" t="str">
        <x:v>A</x:v>
      </x:c>
      <x:c r="C4228" s="18" t="n">
        <x:v>0.1514999</x:v>
      </x:c>
      <x:c r="D4228" s="10" t="n">
        <x:v>560</x:v>
      </x:c>
      <x:c r="E4228" s="10" t="n">
        <x:v>0.467039962</x:v>
      </x:c>
      <x:c r="F4228" s="10" t="n">
        <x:v>0.012288</x:v>
      </x:c>
      <x:c r="G4228" s="10" t="n">
        <x:f>SUM(D4228:F4228)</x:f>
        <x:v>560.479327962</x:v>
      </x:c>
    </x:row>
    <x:row r="4229" ht="24" customHeight="1">
      <x:c r="A4229" s="10" t="str">
        <x:v>S07-04</x:v>
      </x:c>
      <x:c r="B4229" s="10" t="str">
        <x:v>A</x:v>
      </x:c>
      <x:c r="C4229" s="18" t="n">
        <x:v>0.1515</x:v>
      </x:c>
      <x:c r="D4229" s="10" t="n">
        <x:v>560</x:v>
      </x:c>
      <x:c r="E4229" s="10" t="n">
        <x:v>0.46704</x:v>
      </x:c>
      <x:c r="F4229" s="10" t="n">
        <x:v>0.012288</x:v>
      </x:c>
      <x:c r="G4229" s="10" t="n">
        <x:f>SUM(D4229:F4229)</x:f>
        <x:v>560.479328</x:v>
      </x:c>
    </x:row>
    <x:row r="4230" ht="24" customHeight="1">
      <x:c r="A4230" s="10" t="str">
        <x:v>S07-04</x:v>
      </x:c>
      <x:c r="B4230" s="10" t="str">
        <x:v>A</x:v>
      </x:c>
      <x:c r="C4230" s="18" t="n">
        <x:v>0.1515001</x:v>
      </x:c>
      <x:c r="D4230" s="10" t="n">
        <x:v>560</x:v>
      </x:c>
      <x:c r="E4230" s="10" t="n">
        <x:v>0.467040019</x:v>
      </x:c>
      <x:c r="F4230" s="10" t="n">
        <x:v>0.012288</x:v>
      </x:c>
      <x:c r="G4230" s="10" t="n">
        <x:f>SUM(D4230:F4230)</x:f>
        <x:v>560.479328019</x:v>
      </x:c>
    </x:row>
    <x:row r="4231" ht="24" customHeight="1">
      <x:c r="A4231" s="10" t="str">
        <x:v>S07-04</x:v>
      </x:c>
      <x:c r="B4231" s="10" t="str">
        <x:v>A</x:v>
      </x:c>
      <x:c r="C4231" s="18" t="n">
        <x:v>0.878333233</x:v>
      </x:c>
      <x:c r="D4231" s="10" t="n">
        <x:v>560</x:v>
      </x:c>
      <x:c r="E4231" s="10" t="n">
        <x:v>0.606591981</x:v>
      </x:c>
      <x:c r="F4231" s="10" t="n">
        <x:v>0.012288</x:v>
      </x:c>
      <x:c r="G4231" s="10" t="n">
        <x:f>SUM(D4231:F4231)</x:f>
        <x:v>560.618879981</x:v>
      </x:c>
    </x:row>
    <x:row r="4232" ht="24" customHeight="1">
      <x:c r="A4232" s="10" t="str">
        <x:v>S07-04</x:v>
      </x:c>
      <x:c r="B4232" s="10" t="str">
        <x:v>A</x:v>
      </x:c>
      <x:c r="C4232" s="18" t="n">
        <x:v>0.878333333</x:v>
      </x:c>
      <x:c r="D4232" s="10" t="n">
        <x:v>560</x:v>
      </x:c>
      <x:c r="E4232" s="10" t="n">
        <x:v>0.606592</x:v>
      </x:c>
      <x:c r="F4232" s="10" t="n">
        <x:v>0.012288</x:v>
      </x:c>
      <x:c r="G4232" s="10" t="n">
        <x:f>SUM(D4232:F4232)</x:f>
        <x:v>560.61888</x:v>
      </x:c>
    </x:row>
    <x:row r="4233" ht="24" customHeight="1">
      <x:c r="A4233" s="10" t="str">
        <x:v>S07-04</x:v>
      </x:c>
      <x:c r="B4233" s="10" t="str">
        <x:v>A</x:v>
      </x:c>
      <x:c r="C4233" s="18" t="n">
        <x:v>0.878333433</x:v>
      </x:c>
      <x:c r="D4233" s="10" t="n">
        <x:v>560</x:v>
      </x:c>
      <x:c r="E4233" s="10" t="n">
        <x:v>0.606592019</x:v>
      </x:c>
      <x:c r="F4233" s="10" t="n">
        <x:v>0.012288</x:v>
      </x:c>
      <x:c r="G4233" s="10" t="n">
        <x:f>SUM(D4233:F4233)</x:f>
        <x:v>560.618880019</x:v>
      </x:c>
    </x:row>
    <x:row r="4234" ht="24" customHeight="1">
      <x:c r="A4234" s="10" t="str">
        <x:v>S07-04</x:v>
      </x:c>
      <x:c r="B4234" s="10" t="str">
        <x:v>A</x:v>
      </x:c>
      <x:c r="C4234" s="18" t="n">
        <x:v>0.918333233</x:v>
      </x:c>
      <x:c r="D4234" s="10" t="n">
        <x:v>560</x:v>
      </x:c>
      <x:c r="E4234" s="10" t="n">
        <x:v>0.614271981</x:v>
      </x:c>
      <x:c r="F4234" s="10" t="n">
        <x:v>0.012288</x:v>
      </x:c>
      <x:c r="G4234" s="10" t="n">
        <x:f>SUM(D4234:F4234)</x:f>
        <x:v>560.626559981</x:v>
      </x:c>
    </x:row>
    <x:row r="4235" ht="24" customHeight="1">
      <x:c r="A4235" s="10" t="str">
        <x:v>S07-04</x:v>
      </x:c>
      <x:c r="B4235" s="10" t="str">
        <x:v>A</x:v>
      </x:c>
      <x:c r="C4235" s="18" t="n">
        <x:v>0.918333333</x:v>
      </x:c>
      <x:c r="D4235" s="10" t="n">
        <x:v>560</x:v>
      </x:c>
      <x:c r="E4235" s="10" t="n">
        <x:v>0.614272</x:v>
      </x:c>
      <x:c r="F4235" s="10" t="n">
        <x:v>0.012288</x:v>
      </x:c>
      <x:c r="G4235" s="10" t="n">
        <x:f>SUM(D4235:F4235)</x:f>
        <x:v>560.62656</x:v>
      </x:c>
    </x:row>
    <x:row r="4236" ht="24" customHeight="1">
      <x:c r="A4236" s="10" t="str">
        <x:v>S07-04</x:v>
      </x:c>
      <x:c r="B4236" s="10" t="str">
        <x:v>A</x:v>
      </x:c>
      <x:c r="C4236" s="18" t="n">
        <x:v>0.918333433</x:v>
      </x:c>
      <x:c r="D4236" s="10" t="n">
        <x:v>560</x:v>
      </x:c>
      <x:c r="E4236" s="10" t="n">
        <x:v>0.614272014</x:v>
      </x:c>
      <x:c r="F4236" s="10" t="n">
        <x:v>0.012288</x:v>
      </x:c>
      <x:c r="G4236" s="10" t="n">
        <x:f>SUM(D4236:F4236)</x:f>
        <x:v>560.626560014</x:v>
      </x:c>
    </x:row>
    <x:row r="4237" ht="24" customHeight="1">
      <x:c r="A4237" s="10" t="str">
        <x:v>S07-04</x:v>
      </x:c>
      <x:c r="B4237" s="10" t="str">
        <x:v>A</x:v>
      </x:c>
      <x:c r="C4237" s="18" t="n">
        <x:v>1.2054999</x:v>
      </x:c>
      <x:c r="D4237" s="10" t="n">
        <x:v>560</x:v>
      </x:c>
      <x:c r="E4237" s="10" t="n">
        <x:v>0.655623986</x:v>
      </x:c>
      <x:c r="F4237" s="10" t="n">
        <x:v>0.012288</x:v>
      </x:c>
      <x:c r="G4237" s="10" t="n">
        <x:f>SUM(D4237:F4237)</x:f>
        <x:v>560.667911986</x:v>
      </x:c>
    </x:row>
    <x:row r="4238" ht="24" customHeight="1">
      <x:c r="A4238" s="10" t="str">
        <x:v>S07-04</x:v>
      </x:c>
      <x:c r="B4238" s="10" t="str">
        <x:v>A</x:v>
      </x:c>
      <x:c r="C4238" s="18" t="n">
        <x:v>1.2055</x:v>
      </x:c>
      <x:c r="D4238" s="10" t="n">
        <x:v>560</x:v>
      </x:c>
      <x:c r="E4238" s="10" t="n">
        <x:v>0.655624</x:v>
      </x:c>
      <x:c r="F4238" s="10" t="n">
        <x:v>0.012288</x:v>
      </x:c>
      <x:c r="G4238" s="10" t="n">
        <x:f>SUM(D4238:F4238)</x:f>
        <x:v>560.667912</x:v>
      </x:c>
    </x:row>
    <x:row r="4239" ht="24" customHeight="1">
      <x:c r="A4239" s="10" t="str">
        <x:v>S07-04</x:v>
      </x:c>
      <x:c r="B4239" s="10" t="str">
        <x:v>A</x:v>
      </x:c>
      <x:c r="C4239" s="18" t="n">
        <x:v>1.2055001</x:v>
      </x:c>
      <x:c r="D4239" s="10" t="n">
        <x:v>560</x:v>
      </x:c>
      <x:c r="E4239" s="10" t="n">
        <x:v>0.655623995</x:v>
      </x:c>
      <x:c r="F4239" s="10" t="n">
        <x:v>0.012288</x:v>
      </x:c>
      <x:c r="G4239" s="10" t="n">
        <x:f>SUM(D4239:F4239)</x:f>
        <x:v>560.667911995</x:v>
      </x:c>
    </x:row>
    <x:row r="4240" ht="24" customHeight="1">
      <x:c r="A4240" s="10" t="str">
        <x:v>S07-04</x:v>
      </x:c>
      <x:c r="B4240" s="10" t="str">
        <x:v>A</x:v>
      </x:c>
      <x:c r="C4240" s="18" t="n">
        <x:v>3.900333233</x:v>
      </x:c>
      <x:c r="D4240" s="10" t="n">
        <x:v>560</x:v>
      </x:c>
      <x:c r="E4240" s="10" t="n">
        <x:v>0.526272005</x:v>
      </x:c>
      <x:c r="F4240" s="10" t="n">
        <x:v>0.012288</x:v>
      </x:c>
      <x:c r="G4240" s="10" t="n">
        <x:f>SUM(D4240:F4240)</x:f>
        <x:v>560.538560005</x:v>
      </x:c>
    </x:row>
    <x:row r="4241" ht="24" customHeight="1">
      <x:c r="A4241" s="10" t="str">
        <x:v>S07-04</x:v>
      </x:c>
      <x:c r="B4241" s="10" t="str">
        <x:v>A</x:v>
      </x:c>
      <x:c r="C4241" s="18" t="n">
        <x:v>3.900333333</x:v>
      </x:c>
      <x:c r="D4241" s="10" t="n">
        <x:v>560</x:v>
      </x:c>
      <x:c r="E4241" s="10" t="n">
        <x:v>0.526272</x:v>
      </x:c>
      <x:c r="F4241" s="10" t="n">
        <x:v>0.012288</x:v>
      </x:c>
      <x:c r="G4241" s="10" t="n">
        <x:f>SUM(D4241:F4241)</x:f>
        <x:v>560.53856</x:v>
      </x:c>
    </x:row>
    <x:row r="4242" ht="24" customHeight="1">
      <x:c r="A4242" s="10" t="str">
        <x:v>S07-04</x:v>
      </x:c>
      <x:c r="B4242" s="10" t="str">
        <x:v>A</x:v>
      </x:c>
      <x:c r="C4242" s="18" t="n">
        <x:v>3.900333433</x:v>
      </x:c>
      <x:c r="D4242" s="10" t="n">
        <x:v>560</x:v>
      </x:c>
      <x:c r="E4242" s="10" t="n">
        <x:v>0.526272</x:v>
      </x:c>
      <x:c r="F4242" s="10" t="n">
        <x:v>0.008192</x:v>
      </x:c>
      <x:c r="G4242" s="10" t="n">
        <x:f>SUM(D4242:F4242)</x:f>
        <x:v>560.534464</x:v>
      </x:c>
    </x:row>
    <x:row r="4243" ht="24" customHeight="1">
      <x:c r="A4243" s="10" t="str">
        <x:v>S07-04</x:v>
      </x:c>
      <x:c r="B4243" s="10" t="str">
        <x:v>A</x:v>
      </x:c>
      <x:c r="C4243" s="18" t="n">
        <x:v>3.940333233</x:v>
      </x:c>
      <x:c r="D4243" s="10" t="n">
        <x:v>560</x:v>
      </x:c>
      <x:c r="E4243" s="10" t="n">
        <x:v>0.526272</x:v>
      </x:c>
      <x:c r="F4243" s="10" t="n">
        <x:v>0.008192</x:v>
      </x:c>
      <x:c r="G4243" s="10" t="n">
        <x:f>SUM(D4243:F4243)</x:f>
        <x:v>560.534464</x:v>
      </x:c>
    </x:row>
    <x:row r="4244" ht="24" customHeight="1">
      <x:c r="A4244" s="10" t="str">
        <x:v>S07-04</x:v>
      </x:c>
      <x:c r="B4244" s="10" t="str">
        <x:v>A</x:v>
      </x:c>
      <x:c r="C4244" s="18" t="n">
        <x:v>3.940333333</x:v>
      </x:c>
      <x:c r="D4244" s="10" t="n">
        <x:v>560</x:v>
      </x:c>
      <x:c r="E4244" s="10" t="n">
        <x:v>0.526272</x:v>
      </x:c>
      <x:c r="F4244" s="10" t="n">
        <x:v>0.008192</x:v>
      </x:c>
      <x:c r="G4244" s="10" t="n">
        <x:f>SUM(D4244:F4244)</x:f>
        <x:v>560.534464</x:v>
      </x:c>
    </x:row>
    <x:row r="4245" ht="24" customHeight="1">
      <x:c r="A4245" s="10" t="str">
        <x:v>S07-04</x:v>
      </x:c>
      <x:c r="B4245" s="10" t="str">
        <x:v>A</x:v>
      </x:c>
      <x:c r="C4245" s="18" t="n">
        <x:v>3.940333433</x:v>
      </x:c>
      <x:c r="D4245" s="10" t="n">
        <x:v>560</x:v>
      </x:c>
      <x:c r="E4245" s="10" t="n">
        <x:v>0.526271995</x:v>
      </x:c>
      <x:c r="F4245" s="10" t="n">
        <x:v>0.008192</x:v>
      </x:c>
      <x:c r="G4245" s="10" t="n">
        <x:f>SUM(D4245:F4245)</x:f>
        <x:v>560.534463995</x:v>
      </x:c>
    </x:row>
    <x:row r="4246" ht="24" customHeight="1">
      <x:c r="A4246" s="10" t="str">
        <x:v>S07-04</x:v>
      </x:c>
      <x:c r="B4246" s="10" t="str">
        <x:v>A</x:v>
      </x:c>
      <x:c r="C4246" s="18" t="n">
        <x:v>7.922333233</x:v>
      </x:c>
      <x:c r="D4246" s="10" t="n">
        <x:v>560</x:v>
      </x:c>
      <x:c r="E4246" s="10" t="n">
        <x:v>0.335136005</x:v>
      </x:c>
      <x:c r="F4246" s="10" t="n">
        <x:v>0.008192</x:v>
      </x:c>
      <x:c r="G4246" s="10" t="n">
        <x:f>SUM(D4246:F4246)</x:f>
        <x:v>560.343328005</x:v>
      </x:c>
    </x:row>
    <x:row r="4247" ht="24" customHeight="1">
      <x:c r="A4247" s="10" t="str">
        <x:v>S07-04</x:v>
      </x:c>
      <x:c r="B4247" s="10" t="str">
        <x:v>A</x:v>
      </x:c>
      <x:c r="C4247" s="18" t="n">
        <x:v>7.922333333</x:v>
      </x:c>
      <x:c r="D4247" s="10" t="n">
        <x:v>560</x:v>
      </x:c>
      <x:c r="E4247" s="10" t="n">
        <x:v>0.335136</x:v>
      </x:c>
      <x:c r="F4247" s="10" t="n">
        <x:v>0.008192</x:v>
      </x:c>
      <x:c r="G4247" s="10" t="n">
        <x:f>SUM(D4247:F4247)</x:f>
        <x:v>560.343328</x:v>
      </x:c>
    </x:row>
    <x:row r="4248" ht="24" customHeight="1">
      <x:c r="A4248" s="10" t="str">
        <x:v>S07-04</x:v>
      </x:c>
      <x:c r="B4248" s="10" t="str">
        <x:v>A</x:v>
      </x:c>
      <x:c r="C4248" s="18" t="n">
        <x:v>7.922333433</x:v>
      </x:c>
      <x:c r="D4248" s="10" t="n">
        <x:v>560</x:v>
      </x:c>
      <x:c r="E4248" s="10" t="n">
        <x:v>0.335136</x:v>
      </x:c>
      <x:c r="F4248" s="10" t="n">
        <x:v>0.004096</x:v>
      </x:c>
      <x:c r="G4248" s="10" t="n">
        <x:f>SUM(D4248:F4248)</x:f>
        <x:v>560.339232</x:v>
      </x:c>
    </x:row>
    <x:row r="4249" ht="24" customHeight="1">
      <x:c r="A4249" s="10" t="str">
        <x:v>S07-04</x:v>
      </x:c>
      <x:c r="B4249" s="10" t="str">
        <x:v>A</x:v>
      </x:c>
      <x:c r="C4249" s="18" t="n">
        <x:v>7.962333233</x:v>
      </x:c>
      <x:c r="D4249" s="10" t="n">
        <x:v>560</x:v>
      </x:c>
      <x:c r="E4249" s="10" t="n">
        <x:v>0.335136</x:v>
      </x:c>
      <x:c r="F4249" s="10" t="n">
        <x:v>0.004096</x:v>
      </x:c>
      <x:c r="G4249" s="10" t="n">
        <x:f>SUM(D4249:F4249)</x:f>
        <x:v>560.339232</x:v>
      </x:c>
    </x:row>
    <x:row r="4250" ht="24" customHeight="1">
      <x:c r="A4250" s="10" t="str">
        <x:v>S07-04</x:v>
      </x:c>
      <x:c r="B4250" s="10" t="str">
        <x:v>A</x:v>
      </x:c>
      <x:c r="C4250" s="18" t="n">
        <x:v>7.962333333</x:v>
      </x:c>
      <x:c r="D4250" s="10" t="n">
        <x:v>560</x:v>
      </x:c>
      <x:c r="E4250" s="10" t="n">
        <x:v>0.335136</x:v>
      </x:c>
      <x:c r="F4250" s="10" t="n">
        <x:v>0.004096</x:v>
      </x:c>
      <x:c r="G4250" s="10" t="n">
        <x:f>SUM(D4250:F4250)</x:f>
        <x:v>560.339232</x:v>
      </x:c>
    </x:row>
    <x:row r="4251" ht="24" customHeight="1">
      <x:c r="A4251" s="10" t="str">
        <x:v>S07-04</x:v>
      </x:c>
      <x:c r="B4251" s="10" t="str">
        <x:v>A</x:v>
      </x:c>
      <x:c r="C4251" s="18" t="n">
        <x:v>7.962333433</x:v>
      </x:c>
      <x:c r="D4251" s="10" t="n">
        <x:v>560</x:v>
      </x:c>
      <x:c r="E4251" s="10" t="n">
        <x:v>0.335135995</x:v>
      </x:c>
      <x:c r="F4251" s="10" t="n">
        <x:v>0.004096</x:v>
      </x:c>
      <x:c r="G4251" s="10" t="n">
        <x:f>SUM(D4251:F4251)</x:f>
        <x:v>560.339231995</x:v>
      </x:c>
    </x:row>
    <x:row r="4252" ht="24" customHeight="1">
      <x:c r="A4252" s="10" t="str">
        <x:v>S07-04</x:v>
      </x:c>
      <x:c r="B4252" s="10" t="str">
        <x:v>A</x:v>
      </x:c>
      <x:c r="C4252" s="18" t="n">
        <x:v>14.944333233</x:v>
      </x:c>
      <x:c r="D4252" s="10" t="n">
        <x:v>560</x:v>
      </x:c>
      <x:c r="E4252" s="10" t="n">
        <x:v>5e-9</x:v>
      </x:c>
      <x:c r="F4252" s="10" t="n">
        <x:v>0.004096</x:v>
      </x:c>
      <x:c r="G4252" s="10" t="n">
        <x:f>SUM(D4252:F4252)</x:f>
        <x:v>560.004096005</x:v>
      </x:c>
    </x:row>
    <x:row r="4253" ht="24" customHeight="1">
      <x:c r="A4253" s="10" t="str">
        <x:v>S07-04</x:v>
      </x:c>
      <x:c r="B4253" s="10" t="str">
        <x:v>A</x:v>
      </x:c>
      <x:c r="C4253" s="18" t="n">
        <x:v>14.944333333</x:v>
      </x:c>
      <x:c r="D4253" s="10" t="n">
        <x:v>560</x:v>
      </x:c>
      <x:c r="E4253" s="10" t="n">
        <x:v>0</x:v>
      </x:c>
      <x:c r="F4253" s="10" t="n">
        <x:v>0.004096</x:v>
      </x:c>
      <x:c r="G4253" s="10" t="n">
        <x:f>SUM(D4253:F4253)</x:f>
        <x:v>560.004096</x:v>
      </x:c>
    </x:row>
    <x:row r="4254" ht="24" customHeight="1">
      <x:c r="A4254" s="10" t="str">
        <x:v>S07-04</x:v>
      </x:c>
      <x:c r="B4254" s="10" t="str">
        <x:v>A</x:v>
      </x:c>
      <x:c r="C4254" s="18" t="n">
        <x:v>14.944333433</x:v>
      </x:c>
      <x:c r="D4254" s="10" t="n">
        <x:v>560</x:v>
      </x:c>
      <x:c r="E4254" s="10" t="n">
        <x:v>0</x:v>
      </x:c>
      <x:c r="F4254" s="10" t="n">
        <x:v>0</x:v>
      </x:c>
      <x:c r="G4254" s="10" t="n">
        <x:f>SUM(D4254:F4254)</x:f>
        <x:v>560</x:v>
      </x:c>
    </x:row>
    <x:row r="4255" ht="24" customHeight="1">
      <x:c r="A4255" s="10" t="str">
        <x:v>S07-04</x:v>
      </x:c>
      <x:c r="B4255" s="10" t="str">
        <x:v>B</x:v>
      </x:c>
      <x:c r="C4255" s="18" t="n">
        <x:v>-6.0000001</x:v>
      </x:c>
      <x:c r="D4255" s="10" t="n">
        <x:v>560</x:v>
      </x:c>
      <x:c r="E4255" s="10" t="n">
        <x:v>0</x:v>
      </x:c>
      <x:c r="F4255" s="10" t="n">
        <x:v>0</x:v>
      </x:c>
      <x:c r="G4255" s="10" t="n">
        <x:f>SUM(D4255:F4255)</x:f>
        <x:v>560</x:v>
      </x:c>
    </x:row>
    <x:row r="4256" ht="24" customHeight="1">
      <x:c r="A4256" s="10" t="str">
        <x:v>S07-04</x:v>
      </x:c>
      <x:c r="B4256" s="10" t="str">
        <x:v>B</x:v>
      </x:c>
      <x:c r="C4256" s="18" t="n">
        <x:v>-6</x:v>
      </x:c>
      <x:c r="D4256" s="10" t="n">
        <x:v>560</x:v>
      </x:c>
      <x:c r="E4256" s="10" t="n">
        <x:v>0</x:v>
      </x:c>
      <x:c r="F4256" s="10" t="n">
        <x:v>0</x:v>
      </x:c>
      <x:c r="G4256" s="10" t="n">
        <x:f>SUM(D4256:F4256)</x:f>
        <x:v>560</x:v>
      </x:c>
    </x:row>
    <x:row r="4257" ht="24" customHeight="1">
      <x:c r="A4257" s="10" t="str">
        <x:v>S07-04</x:v>
      </x:c>
      <x:c r="B4257" s="10" t="str">
        <x:v>B</x:v>
      </x:c>
      <x:c r="C4257" s="18" t="n">
        <x:v>-5.9999999</x:v>
      </x:c>
      <x:c r="D4257" s="10" t="n">
        <x:v>560</x:v>
      </x:c>
      <x:c r="E4257" s="10" t="n">
        <x:v>0</x:v>
      </x:c>
      <x:c r="F4257" s="10" t="n">
        <x:v>0</x:v>
      </x:c>
      <x:c r="G4257" s="10" t="n">
        <x:f>SUM(D4257:F4257)</x:f>
        <x:v>560</x:v>
      </x:c>
    </x:row>
    <x:row r="4258" ht="24" customHeight="1">
      <x:c r="A4258" s="10" t="str">
        <x:v>S07-04</x:v>
      </x:c>
      <x:c r="B4258" s="10" t="str">
        <x:v>B</x:v>
      </x:c>
      <x:c r="C4258" s="18" t="n">
        <x:v>-1e-7</x:v>
      </x:c>
      <x:c r="D4258" s="10" t="n">
        <x:v>560</x:v>
      </x:c>
      <x:c r="E4258" s="10" t="n">
        <x:v>0</x:v>
      </x:c>
      <x:c r="F4258" s="10" t="n">
        <x:v>0</x:v>
      </x:c>
      <x:c r="G4258" s="10" t="n">
        <x:f>SUM(D4258:F4258)</x:f>
        <x:v>560</x:v>
      </x:c>
    </x:row>
    <x:row r="4259" ht="24" customHeight="1">
      <x:c r="A4259" s="10" t="str">
        <x:v>S07-04</x:v>
      </x:c>
      <x:c r="B4259" s="10" t="str">
        <x:v>B</x:v>
      </x:c>
      <x:c r="C4259" s="18" t="n">
        <x:v>0</x:v>
      </x:c>
      <x:c r="D4259" s="10" t="n">
        <x:v>560</x:v>
      </x:c>
      <x:c r="E4259" s="10" t="n">
        <x:v>0</x:v>
      </x:c>
      <x:c r="F4259" s="10" t="n">
        <x:v>0</x:v>
      </x:c>
      <x:c r="G4259" s="10" t="n">
        <x:f>SUM(D4259:F4259)</x:f>
        <x:v>560</x:v>
      </x:c>
    </x:row>
    <x:row r="4260" ht="24" customHeight="1">
      <x:c r="A4260" s="10" t="str">
        <x:v>S07-04</x:v>
      </x:c>
      <x:c r="B4260" s="10" t="str">
        <x:v>B</x:v>
      </x:c>
      <x:c r="C4260" s="18" t="n">
        <x:v>1e-7</x:v>
      </x:c>
      <x:c r="D4260" s="10" t="n">
        <x:v>560</x:v>
      </x:c>
      <x:c r="E4260" s="10" t="n">
        <x:v>0</x:v>
      </x:c>
      <x:c r="F4260" s="10" t="n">
        <x:v>0</x:v>
      </x:c>
      <x:c r="G4260" s="10" t="n">
        <x:f>SUM(D4260:F4260)</x:f>
        <x:v>560</x:v>
      </x:c>
    </x:row>
    <x:row r="4261" ht="24" customHeight="1">
      <x:c r="A4261" s="10" t="str">
        <x:v>S07-04</x:v>
      </x:c>
      <x:c r="B4261" s="10" t="str">
        <x:v>B</x:v>
      </x:c>
      <x:c r="C4261" s="18" t="n">
        <x:v>0.878333233</x:v>
      </x:c>
      <x:c r="D4261" s="10" t="n">
        <x:v>560</x:v>
      </x:c>
      <x:c r="E4261" s="10" t="n">
        <x:v>0</x:v>
      </x:c>
      <x:c r="F4261" s="10" t="n">
        <x:v>0</x:v>
      </x:c>
      <x:c r="G4261" s="10" t="n">
        <x:f>SUM(D4261:F4261)</x:f>
        <x:v>560</x:v>
      </x:c>
    </x:row>
    <x:row r="4262" ht="24" customHeight="1">
      <x:c r="A4262" s="10" t="str">
        <x:v>S07-04</x:v>
      </x:c>
      <x:c r="B4262" s="10" t="str">
        <x:v>B</x:v>
      </x:c>
      <x:c r="C4262" s="18" t="n">
        <x:v>0.878333333</x:v>
      </x:c>
      <x:c r="D4262" s="10" t="n">
        <x:v>560</x:v>
      </x:c>
      <x:c r="E4262" s="10" t="n">
        <x:v>0</x:v>
      </x:c>
      <x:c r="F4262" s="10" t="n">
        <x:v>0.004096</x:v>
      </x:c>
      <x:c r="G4262" s="10" t="n">
        <x:f>SUM(D4262:F4262)</x:f>
        <x:v>560.004096</x:v>
      </x:c>
    </x:row>
    <x:row r="4263" ht="24" customHeight="1">
      <x:c r="A4263" s="10" t="str">
        <x:v>S07-04</x:v>
      </x:c>
      <x:c r="B4263" s="10" t="str">
        <x:v>B</x:v>
      </x:c>
      <x:c r="C4263" s="18" t="n">
        <x:v>0.878333433</x:v>
      </x:c>
      <x:c r="D4263" s="10" t="n">
        <x:v>560</x:v>
      </x:c>
      <x:c r="E4263" s="10" t="n">
        <x:v>0</x:v>
      </x:c>
      <x:c r="F4263" s="10" t="n">
        <x:v>0.004096</x:v>
      </x:c>
      <x:c r="G4263" s="10" t="n">
        <x:f>SUM(D4263:F4263)</x:f>
        <x:v>560.004096</x:v>
      </x:c>
    </x:row>
    <x:row r="4264" ht="24" customHeight="1">
      <x:c r="A4264" s="10" t="str">
        <x:v>S07-04</x:v>
      </x:c>
      <x:c r="B4264" s="10" t="str">
        <x:v>B</x:v>
      </x:c>
      <x:c r="C4264" s="18" t="n">
        <x:v>1.280666566</x:v>
      </x:c>
      <x:c r="D4264" s="10" t="n">
        <x:v>560</x:v>
      </x:c>
      <x:c r="E4264" s="10" t="n">
        <x:v>0</x:v>
      </x:c>
      <x:c r="F4264" s="10" t="n">
        <x:v>0.004096</x:v>
      </x:c>
      <x:c r="G4264" s="10" t="n">
        <x:f>SUM(D4264:F4264)</x:f>
        <x:v>560.004096</x:v>
      </x:c>
    </x:row>
    <x:row r="4265" ht="24" customHeight="1">
      <x:c r="A4265" s="10" t="str">
        <x:v>S07-04</x:v>
      </x:c>
      <x:c r="B4265" s="10" t="str">
        <x:v>B</x:v>
      </x:c>
      <x:c r="C4265" s="18" t="n">
        <x:v>1.280666666</x:v>
      </x:c>
      <x:c r="D4265" s="10" t="n">
        <x:v>560</x:v>
      </x:c>
      <x:c r="E4265" s="10" t="n">
        <x:v>0.0096</x:v>
      </x:c>
      <x:c r="F4265" s="10" t="n">
        <x:v>0.004096</x:v>
      </x:c>
      <x:c r="G4265" s="10" t="n">
        <x:f>SUM(D4265:F4265)</x:f>
        <x:v>560.013696</x:v>
      </x:c>
    </x:row>
    <x:row r="4266" ht="24" customHeight="1">
      <x:c r="A4266" s="10" t="str">
        <x:v>S07-04</x:v>
      </x:c>
      <x:c r="B4266" s="10" t="str">
        <x:v>B</x:v>
      </x:c>
      <x:c r="C4266" s="18" t="n">
        <x:v>1.280666766</x:v>
      </x:c>
      <x:c r="D4266" s="10" t="n">
        <x:v>560</x:v>
      </x:c>
      <x:c r="E4266" s="10" t="n">
        <x:v>0.009600019</x:v>
      </x:c>
      <x:c r="F4266" s="10" t="n">
        <x:v>0.004096</x:v>
      </x:c>
      <x:c r="G4266" s="10" t="n">
        <x:f>SUM(D4266:F4266)</x:f>
        <x:v>560.013696019</x:v>
      </x:c>
    </x:row>
    <x:row r="4267" ht="24" customHeight="1">
      <x:c r="A4267" s="10" t="str">
        <x:v>S07-04</x:v>
      </x:c>
      <x:c r="B4267" s="10" t="str">
        <x:v>B</x:v>
      </x:c>
      <x:c r="C4267" s="18" t="n">
        <x:v>1.320666566</x:v>
      </x:c>
      <x:c r="D4267" s="10" t="n">
        <x:v>560</x:v>
      </x:c>
      <x:c r="E4267" s="10" t="n">
        <x:v>0.017279981</x:v>
      </x:c>
      <x:c r="F4267" s="10" t="n">
        <x:v>0.004096</x:v>
      </x:c>
      <x:c r="G4267" s="10" t="n">
        <x:f>SUM(D4267:F4267)</x:f>
        <x:v>560.021375981</x:v>
      </x:c>
    </x:row>
    <x:row r="4268" ht="24" customHeight="1">
      <x:c r="A4268" s="10" t="str">
        <x:v>S07-04</x:v>
      </x:c>
      <x:c r="B4268" s="10" t="str">
        <x:v>B</x:v>
      </x:c>
      <x:c r="C4268" s="18" t="n">
        <x:v>1.320666666</x:v>
      </x:c>
      <x:c r="D4268" s="10" t="n">
        <x:v>560</x:v>
      </x:c>
      <x:c r="E4268" s="10" t="n">
        <x:v>0.01728</x:v>
      </x:c>
      <x:c r="F4268" s="10" t="n">
        <x:v>0.004096</x:v>
      </x:c>
      <x:c r="G4268" s="10" t="n">
        <x:f>SUM(D4268:F4268)</x:f>
        <x:v>560.021376</x:v>
      </x:c>
    </x:row>
    <x:row r="4269" ht="24" customHeight="1">
      <x:c r="A4269" s="10" t="str">
        <x:v>S07-04</x:v>
      </x:c>
      <x:c r="B4269" s="10" t="str">
        <x:v>B</x:v>
      </x:c>
      <x:c r="C4269" s="18" t="n">
        <x:v>1.320666766</x:v>
      </x:c>
      <x:c r="D4269" s="10" t="n">
        <x:v>560</x:v>
      </x:c>
      <x:c r="E4269" s="10" t="n">
        <x:v>0.017280014</x:v>
      </x:c>
      <x:c r="F4269" s="10" t="n">
        <x:v>0.004096</x:v>
      </x:c>
      <x:c r="G4269" s="10" t="n">
        <x:f>SUM(D4269:F4269)</x:f>
        <x:v>560.021376014</x:v>
      </x:c>
    </x:row>
    <x:row r="4270" ht="24" customHeight="1">
      <x:c r="A4270" s="10" t="str">
        <x:v>S07-04</x:v>
      </x:c>
      <x:c r="B4270" s="10" t="str">
        <x:v>B</x:v>
      </x:c>
      <x:c r="C4270" s="18" t="n">
        <x:v>1.976166566</x:v>
      </x:c>
      <x:c r="D4270" s="10" t="n">
        <x:v>560</x:v>
      </x:c>
      <x:c r="E4270" s="10" t="n">
        <x:v>0.111671986</x:v>
      </x:c>
      <x:c r="F4270" s="10" t="n">
        <x:v>0.004096</x:v>
      </x:c>
      <x:c r="G4270" s="10" t="n">
        <x:f>SUM(D4270:F4270)</x:f>
        <x:v>560.115767986</x:v>
      </x:c>
    </x:row>
    <x:row r="4271" ht="24" customHeight="1">
      <x:c r="A4271" s="10" t="str">
        <x:v>S07-04</x:v>
      </x:c>
      <x:c r="B4271" s="10" t="str">
        <x:v>B</x:v>
      </x:c>
      <x:c r="C4271" s="18" t="n">
        <x:v>1.976166666</x:v>
      </x:c>
      <x:c r="D4271" s="10" t="n">
        <x:v>560</x:v>
      </x:c>
      <x:c r="E4271" s="10" t="n">
        <x:v>0.111672</x:v>
      </x:c>
      <x:c r="F4271" s="10" t="n">
        <x:v>0.004096</x:v>
      </x:c>
      <x:c r="G4271" s="10" t="n">
        <x:f>SUM(D4271:F4271)</x:f>
        <x:v>560.115768</x:v>
      </x:c>
    </x:row>
    <x:row r="4272" ht="24" customHeight="1">
      <x:c r="A4272" s="10" t="str">
        <x:v>S07-04</x:v>
      </x:c>
      <x:c r="B4272" s="10" t="str">
        <x:v>B</x:v>
      </x:c>
      <x:c r="C4272" s="18" t="n">
        <x:v>1.976166766</x:v>
      </x:c>
      <x:c r="D4272" s="10" t="n">
        <x:v>560</x:v>
      </x:c>
      <x:c r="E4272" s="10" t="n">
        <x:v>0.111671995</x:v>
      </x:c>
      <x:c r="F4272" s="10" t="n">
        <x:v>0.004096</x:v>
      </x:c>
      <x:c r="G4272" s="10" t="n">
        <x:f>SUM(D4272:F4272)</x:f>
        <x:v>560.115767995</x:v>
      </x:c>
    </x:row>
    <x:row r="4273" ht="24" customHeight="1">
      <x:c r="A4273" s="10" t="str">
        <x:v>S07-04</x:v>
      </x:c>
      <x:c r="B4273" s="10" t="str">
        <x:v>B</x:v>
      </x:c>
      <x:c r="C4273" s="18" t="n">
        <x:v>4.302666566</x:v>
      </x:c>
      <x:c r="D4273" s="10" t="n">
        <x:v>560</x:v>
      </x:c>
      <x:c r="E4273" s="10" t="n">
        <x:v>5e-9</x:v>
      </x:c>
      <x:c r="F4273" s="10" t="n">
        <x:v>0.004096</x:v>
      </x:c>
      <x:c r="G4273" s="10" t="n">
        <x:f>SUM(D4273:F4273)</x:f>
        <x:v>560.004096005</x:v>
      </x:c>
    </x:row>
    <x:row r="4274" ht="24" customHeight="1">
      <x:c r="A4274" s="10" t="str">
        <x:v>S07-04</x:v>
      </x:c>
      <x:c r="B4274" s="10" t="str">
        <x:v>B</x:v>
      </x:c>
      <x:c r="C4274" s="18" t="n">
        <x:v>4.302666666</x:v>
      </x:c>
      <x:c r="D4274" s="10" t="n">
        <x:v>560</x:v>
      </x:c>
      <x:c r="E4274" s="10" t="n">
        <x:v>0</x:v>
      </x:c>
      <x:c r="F4274" s="10" t="n">
        <x:v>0.008192</x:v>
      </x:c>
      <x:c r="G4274" s="10" t="n">
        <x:f>SUM(D4274:F4274)</x:f>
        <x:v>560.008192</x:v>
      </x:c>
    </x:row>
    <x:row r="4275" ht="24" customHeight="1">
      <x:c r="A4275" s="10" t="str">
        <x:v>S07-04</x:v>
      </x:c>
      <x:c r="B4275" s="10" t="str">
        <x:v>B</x:v>
      </x:c>
      <x:c r="C4275" s="18" t="n">
        <x:v>4.302666766</x:v>
      </x:c>
      <x:c r="D4275" s="10" t="n">
        <x:v>560</x:v>
      </x:c>
      <x:c r="E4275" s="10" t="n">
        <x:v>0</x:v>
      </x:c>
      <x:c r="F4275" s="10" t="n">
        <x:v>0.004096</x:v>
      </x:c>
      <x:c r="G4275" s="10" t="n">
        <x:f>SUM(D4275:F4275)</x:f>
        <x:v>560.004096</x:v>
      </x:c>
    </x:row>
    <x:row r="4276" ht="24" customHeight="1">
      <x:c r="A4276" s="10" t="str">
        <x:v>S07-04</x:v>
      </x:c>
      <x:c r="B4276" s="10" t="str">
        <x:v>B</x:v>
      </x:c>
      <x:c r="C4276" s="18" t="n">
        <x:v>4.708666566</x:v>
      </x:c>
      <x:c r="D4276" s="10" t="n">
        <x:v>560</x:v>
      </x:c>
      <x:c r="E4276" s="10" t="n">
        <x:v>0</x:v>
      </x:c>
      <x:c r="F4276" s="10" t="n">
        <x:v>0.004096</x:v>
      </x:c>
      <x:c r="G4276" s="10" t="n">
        <x:f>SUM(D4276:F4276)</x:f>
        <x:v>560.004096</x:v>
      </x:c>
    </x:row>
    <x:row r="4277" ht="24" customHeight="1">
      <x:c r="A4277" s="10" t="str">
        <x:v>S07-04</x:v>
      </x:c>
      <x:c r="B4277" s="10" t="str">
        <x:v>B</x:v>
      </x:c>
      <x:c r="C4277" s="18" t="n">
        <x:v>4.708666666</x:v>
      </x:c>
      <x:c r="D4277" s="10" t="n">
        <x:v>560</x:v>
      </x:c>
      <x:c r="E4277" s="10" t="n">
        <x:v>0.0096</x:v>
      </x:c>
      <x:c r="F4277" s="10" t="n">
        <x:v>0.004096</x:v>
      </x:c>
      <x:c r="G4277" s="10" t="n">
        <x:f>SUM(D4277:F4277)</x:f>
        <x:v>560.013696</x:v>
      </x:c>
    </x:row>
    <x:row r="4278" ht="24" customHeight="1">
      <x:c r="A4278" s="10" t="str">
        <x:v>S07-04</x:v>
      </x:c>
      <x:c r="B4278" s="10" t="str">
        <x:v>B</x:v>
      </x:c>
      <x:c r="C4278" s="18" t="n">
        <x:v>4.708666766</x:v>
      </x:c>
      <x:c r="D4278" s="10" t="n">
        <x:v>560</x:v>
      </x:c>
      <x:c r="E4278" s="10" t="n">
        <x:v>0.009600019</x:v>
      </x:c>
      <x:c r="F4278" s="10" t="n">
        <x:v>0.004096</x:v>
      </x:c>
      <x:c r="G4278" s="10" t="n">
        <x:f>SUM(D4278:F4278)</x:f>
        <x:v>560.013696019</x:v>
      </x:c>
    </x:row>
    <x:row r="4279" ht="24" customHeight="1">
      <x:c r="A4279" s="10" t="str">
        <x:v>S07-04</x:v>
      </x:c>
      <x:c r="B4279" s="10" t="str">
        <x:v>B</x:v>
      </x:c>
      <x:c r="C4279" s="18" t="n">
        <x:v>4.748666566</x:v>
      </x:c>
      <x:c r="D4279" s="10" t="n">
        <x:v>560</x:v>
      </x:c>
      <x:c r="E4279" s="10" t="n">
        <x:v>0.017279981</x:v>
      </x:c>
      <x:c r="F4279" s="10" t="n">
        <x:v>0.004096</x:v>
      </x:c>
      <x:c r="G4279" s="10" t="n">
        <x:f>SUM(D4279:F4279)</x:f>
        <x:v>560.021375981</x:v>
      </x:c>
    </x:row>
    <x:row r="4280" ht="24" customHeight="1">
      <x:c r="A4280" s="10" t="str">
        <x:v>S07-04</x:v>
      </x:c>
      <x:c r="B4280" s="10" t="str">
        <x:v>B</x:v>
      </x:c>
      <x:c r="C4280" s="18" t="n">
        <x:v>4.748666666</x:v>
      </x:c>
      <x:c r="D4280" s="10" t="n">
        <x:v>560</x:v>
      </x:c>
      <x:c r="E4280" s="10" t="n">
        <x:v>0.01728</x:v>
      </x:c>
      <x:c r="F4280" s="10" t="n">
        <x:v>0.004096</x:v>
      </x:c>
      <x:c r="G4280" s="10" t="n">
        <x:f>SUM(D4280:F4280)</x:f>
        <x:v>560.021376</x:v>
      </x:c>
    </x:row>
    <x:row r="4281" ht="24" customHeight="1">
      <x:c r="A4281" s="10" t="str">
        <x:v>S07-04</x:v>
      </x:c>
      <x:c r="B4281" s="10" t="str">
        <x:v>B</x:v>
      </x:c>
      <x:c r="C4281" s="18" t="n">
        <x:v>4.748666766</x:v>
      </x:c>
      <x:c r="D4281" s="10" t="n">
        <x:v>560</x:v>
      </x:c>
      <x:c r="E4281" s="10" t="n">
        <x:v>0.017280014</x:v>
      </x:c>
      <x:c r="F4281" s="10" t="n">
        <x:v>0.004096</x:v>
      </x:c>
      <x:c r="G4281" s="10" t="n">
        <x:f>SUM(D4281:F4281)</x:f>
        <x:v>560.021376014</x:v>
      </x:c>
    </x:row>
    <x:row r="4282" ht="24" customHeight="1">
      <x:c r="A4282" s="10" t="str">
        <x:v>S07-04</x:v>
      </x:c>
      <x:c r="B4282" s="10" t="str">
        <x:v>B</x:v>
      </x:c>
      <x:c r="C4282" s="18" t="n">
        <x:v>5.654166566</x:v>
      </x:c>
      <x:c r="D4282" s="10" t="n">
        <x:v>560</x:v>
      </x:c>
      <x:c r="E4282" s="10" t="n">
        <x:v>0.147671986</x:v>
      </x:c>
      <x:c r="F4282" s="10" t="n">
        <x:v>0.004096</x:v>
      </x:c>
      <x:c r="G4282" s="10" t="n">
        <x:f>SUM(D4282:F4282)</x:f>
        <x:v>560.151767986</x:v>
      </x:c>
    </x:row>
    <x:row r="4283" ht="24" customHeight="1">
      <x:c r="A4283" s="10" t="str">
        <x:v>S07-04</x:v>
      </x:c>
      <x:c r="B4283" s="10" t="str">
        <x:v>B</x:v>
      </x:c>
      <x:c r="C4283" s="18" t="n">
        <x:v>5.654166666</x:v>
      </x:c>
      <x:c r="D4283" s="10" t="n">
        <x:v>560</x:v>
      </x:c>
      <x:c r="E4283" s="10" t="n">
        <x:v>0.147672</x:v>
      </x:c>
      <x:c r="F4283" s="10" t="n">
        <x:v>0.004096</x:v>
      </x:c>
      <x:c r="G4283" s="10" t="n">
        <x:f>SUM(D4283:F4283)</x:f>
        <x:v>560.151768</x:v>
      </x:c>
    </x:row>
    <x:row r="4284" ht="24" customHeight="1">
      <x:c r="A4284" s="10" t="str">
        <x:v>S07-04</x:v>
      </x:c>
      <x:c r="B4284" s="10" t="str">
        <x:v>B</x:v>
      </x:c>
      <x:c r="C4284" s="18" t="n">
        <x:v>5.654166766</x:v>
      </x:c>
      <x:c r="D4284" s="10" t="n">
        <x:v>560</x:v>
      </x:c>
      <x:c r="E4284" s="10" t="n">
        <x:v>0.147671995</x:v>
      </x:c>
      <x:c r="F4284" s="10" t="n">
        <x:v>0.004096</x:v>
      </x:c>
      <x:c r="G4284" s="10" t="n">
        <x:f>SUM(D4284:F4284)</x:f>
        <x:v>560.151767995</x:v>
      </x:c>
    </x:row>
    <x:row r="4285" ht="24" customHeight="1">
      <x:c r="A4285" s="10" t="str">
        <x:v>S07-04</x:v>
      </x:c>
      <x:c r="B4285" s="10" t="str">
        <x:v>B</x:v>
      </x:c>
      <x:c r="C4285" s="18" t="n">
        <x:v>8.730666566</x:v>
      </x:c>
      <x:c r="D4285" s="10" t="n">
        <x:v>560</x:v>
      </x:c>
      <x:c r="E4285" s="10" t="n">
        <x:v>5e-9</x:v>
      </x:c>
      <x:c r="F4285" s="10" t="n">
        <x:v>0.004096</x:v>
      </x:c>
      <x:c r="G4285" s="10" t="n">
        <x:f>SUM(D4285:F4285)</x:f>
        <x:v>560.004096005</x:v>
      </x:c>
    </x:row>
    <x:row r="4286" ht="24" customHeight="1">
      <x:c r="A4286" s="10" t="str">
        <x:v>S07-04</x:v>
      </x:c>
      <x:c r="B4286" s="10" t="str">
        <x:v>B</x:v>
      </x:c>
      <x:c r="C4286" s="18" t="n">
        <x:v>8.730666666</x:v>
      </x:c>
      <x:c r="D4286" s="10" t="n">
        <x:v>560</x:v>
      </x:c>
      <x:c r="E4286" s="10" t="n">
        <x:v>0</x:v>
      </x:c>
      <x:c r="F4286" s="10" t="n">
        <x:v>0.008192</x:v>
      </x:c>
      <x:c r="G4286" s="10" t="n">
        <x:f>SUM(D4286:F4286)</x:f>
        <x:v>560.008192</x:v>
      </x:c>
    </x:row>
    <x:row r="4287" ht="24" customHeight="1">
      <x:c r="A4287" s="10" t="str">
        <x:v>S07-04</x:v>
      </x:c>
      <x:c r="B4287" s="10" t="str">
        <x:v>B</x:v>
      </x:c>
      <x:c r="C4287" s="18" t="n">
        <x:v>8.730666766</x:v>
      </x:c>
      <x:c r="D4287" s="10" t="n">
        <x:v>560</x:v>
      </x:c>
      <x:c r="E4287" s="10" t="n">
        <x:v>0</x:v>
      </x:c>
      <x:c r="F4287" s="10" t="n">
        <x:v>0.004096</x:v>
      </x:c>
      <x:c r="G4287" s="10" t="n">
        <x:f>SUM(D4287:F4287)</x:f>
        <x:v>560.004096</x:v>
      </x:c>
    </x:row>
    <x:row r="4288" ht="24" customHeight="1">
      <x:c r="A4288" s="10" t="str">
        <x:v>S07-04</x:v>
      </x:c>
      <x:c r="B4288" s="10" t="str">
        <x:v>B</x:v>
      </x:c>
      <x:c r="C4288" s="18" t="n">
        <x:v>9.140666566</x:v>
      </x:c>
      <x:c r="D4288" s="10" t="n">
        <x:v>560</x:v>
      </x:c>
      <x:c r="E4288" s="10" t="n">
        <x:v>0</x:v>
      </x:c>
      <x:c r="F4288" s="10" t="n">
        <x:v>0.004096</x:v>
      </x:c>
      <x:c r="G4288" s="10" t="n">
        <x:f>SUM(D4288:F4288)</x:f>
        <x:v>560.004096</x:v>
      </x:c>
    </x:row>
    <x:row r="4289" ht="24" customHeight="1">
      <x:c r="A4289" s="10" t="str">
        <x:v>S07-04</x:v>
      </x:c>
      <x:c r="B4289" s="10" t="str">
        <x:v>B</x:v>
      </x:c>
      <x:c r="C4289" s="18" t="n">
        <x:v>9.140666666</x:v>
      </x:c>
      <x:c r="D4289" s="10" t="n">
        <x:v>560</x:v>
      </x:c>
      <x:c r="E4289" s="10" t="n">
        <x:v>0.0096</x:v>
      </x:c>
      <x:c r="F4289" s="10" t="n">
        <x:v>0.004096</x:v>
      </x:c>
      <x:c r="G4289" s="10" t="n">
        <x:f>SUM(D4289:F4289)</x:f>
        <x:v>560.013696</x:v>
      </x:c>
    </x:row>
    <x:row r="4290" ht="24" customHeight="1">
      <x:c r="A4290" s="10" t="str">
        <x:v>S07-04</x:v>
      </x:c>
      <x:c r="B4290" s="10" t="str">
        <x:v>B</x:v>
      </x:c>
      <x:c r="C4290" s="18" t="n">
        <x:v>9.140666766</x:v>
      </x:c>
      <x:c r="D4290" s="10" t="n">
        <x:v>560</x:v>
      </x:c>
      <x:c r="E4290" s="10" t="n">
        <x:v>0.009600019</x:v>
      </x:c>
      <x:c r="F4290" s="10" t="n">
        <x:v>0.004096</x:v>
      </x:c>
      <x:c r="G4290" s="10" t="n">
        <x:f>SUM(D4290:F4290)</x:f>
        <x:v>560.013696019</x:v>
      </x:c>
    </x:row>
    <x:row r="4291" ht="24" customHeight="1">
      <x:c r="A4291" s="10" t="str">
        <x:v>S07-04</x:v>
      </x:c>
      <x:c r="B4291" s="10" t="str">
        <x:v>B</x:v>
      </x:c>
      <x:c r="C4291" s="18" t="n">
        <x:v>9.180666566</x:v>
      </x:c>
      <x:c r="D4291" s="10" t="n">
        <x:v>560</x:v>
      </x:c>
      <x:c r="E4291" s="10" t="n">
        <x:v>0.017279981</x:v>
      </x:c>
      <x:c r="F4291" s="10" t="n">
        <x:v>0.004096</x:v>
      </x:c>
      <x:c r="G4291" s="10" t="n">
        <x:f>SUM(D4291:F4291)</x:f>
        <x:v>560.021375981</x:v>
      </x:c>
    </x:row>
    <x:row r="4292" ht="24" customHeight="1">
      <x:c r="A4292" s="10" t="str">
        <x:v>S07-04</x:v>
      </x:c>
      <x:c r="B4292" s="10" t="str">
        <x:v>B</x:v>
      </x:c>
      <x:c r="C4292" s="18" t="n">
        <x:v>9.180666666</x:v>
      </x:c>
      <x:c r="D4292" s="10" t="n">
        <x:v>560</x:v>
      </x:c>
      <x:c r="E4292" s="10" t="n">
        <x:v>0.01728</x:v>
      </x:c>
      <x:c r="F4292" s="10" t="n">
        <x:v>0.004096</x:v>
      </x:c>
      <x:c r="G4292" s="10" t="n">
        <x:f>SUM(D4292:F4292)</x:f>
        <x:v>560.021376</x:v>
      </x:c>
    </x:row>
    <x:row r="4293" ht="24" customHeight="1">
      <x:c r="A4293" s="10" t="str">
        <x:v>S07-04</x:v>
      </x:c>
      <x:c r="B4293" s="10" t="str">
        <x:v>B</x:v>
      </x:c>
      <x:c r="C4293" s="18" t="n">
        <x:v>9.180666766</x:v>
      </x:c>
      <x:c r="D4293" s="10" t="n">
        <x:v>560</x:v>
      </x:c>
      <x:c r="E4293" s="10" t="n">
        <x:v>0.017280014</x:v>
      </x:c>
      <x:c r="F4293" s="10" t="n">
        <x:v>0.004096</x:v>
      </x:c>
      <x:c r="G4293" s="10" t="n">
        <x:f>SUM(D4293:F4293)</x:f>
        <x:v>560.021376014</x:v>
      </x:c>
    </x:row>
    <x:row r="4294" ht="24" customHeight="1">
      <x:c r="A4294" s="10" t="str">
        <x:v>S07-04</x:v>
      </x:c>
      <x:c r="B4294" s="10" t="str">
        <x:v>B</x:v>
      </x:c>
      <x:c r="C4294" s="18" t="n">
        <x:v>10.836166566</x:v>
      </x:c>
      <x:c r="D4294" s="10" t="n">
        <x:v>560</x:v>
      </x:c>
      <x:c r="E4294" s="10" t="n">
        <x:v>0.255671986</x:v>
      </x:c>
      <x:c r="F4294" s="10" t="n">
        <x:v>0.004096</x:v>
      </x:c>
      <x:c r="G4294" s="10" t="n">
        <x:f>SUM(D4294:F4294)</x:f>
        <x:v>560.259767986</x:v>
      </x:c>
    </x:row>
    <x:row r="4295" ht="24" customHeight="1">
      <x:c r="A4295" s="10" t="str">
        <x:v>S07-04</x:v>
      </x:c>
      <x:c r="B4295" s="10" t="str">
        <x:v>B</x:v>
      </x:c>
      <x:c r="C4295" s="18" t="n">
        <x:v>10.836166666</x:v>
      </x:c>
      <x:c r="D4295" s="10" t="n">
        <x:v>560</x:v>
      </x:c>
      <x:c r="E4295" s="10" t="n">
        <x:v>0.255672</x:v>
      </x:c>
      <x:c r="F4295" s="10" t="n">
        <x:v>0.004096</x:v>
      </x:c>
      <x:c r="G4295" s="10" t="n">
        <x:f>SUM(D4295:F4295)</x:f>
        <x:v>560.259768</x:v>
      </x:c>
    </x:row>
    <x:row r="4296" ht="24" customHeight="1">
      <x:c r="A4296" s="10" t="str">
        <x:v>S07-04</x:v>
      </x:c>
      <x:c r="B4296" s="10" t="str">
        <x:v>B</x:v>
      </x:c>
      <x:c r="C4296" s="18" t="n">
        <x:v>10.836166766</x:v>
      </x:c>
      <x:c r="D4296" s="10" t="n">
        <x:v>560</x:v>
      </x:c>
      <x:c r="E4296" s="10" t="n">
        <x:v>0.255671995</x:v>
      </x:c>
      <x:c r="F4296" s="10" t="n">
        <x:v>0.004096</x:v>
      </x:c>
      <x:c r="G4296" s="10" t="n">
        <x:f>SUM(D4296:F4296)</x:f>
        <x:v>560.259767995</x:v>
      </x:c>
    </x:row>
    <x:row r="4297" ht="24" customHeight="1">
      <x:c r="A4297" s="10" t="str">
        <x:v>S07-04</x:v>
      </x:c>
      <x:c r="B4297" s="10" t="str">
        <x:v>B</x:v>
      </x:c>
      <x:c r="C4297" s="18" t="n">
        <x:v>16.162666566</x:v>
      </x:c>
      <x:c r="D4297" s="10" t="n">
        <x:v>560</x:v>
      </x:c>
      <x:c r="E4297" s="10" t="n">
        <x:v>5e-9</x:v>
      </x:c>
      <x:c r="F4297" s="10" t="n">
        <x:v>0.004096</x:v>
      </x:c>
      <x:c r="G4297" s="10" t="n">
        <x:f>SUM(D4297:F4297)</x:f>
        <x:v>560.004096005</x:v>
      </x:c>
    </x:row>
    <x:row r="4298" ht="24" customHeight="1">
      <x:c r="A4298" s="10" t="str">
        <x:v>S07-04</x:v>
      </x:c>
      <x:c r="B4298" s="10" t="str">
        <x:v>B</x:v>
      </x:c>
      <x:c r="C4298" s="18" t="n">
        <x:v>16.162666666</x:v>
      </x:c>
      <x:c r="D4298" s="10" t="n">
        <x:v>560</x:v>
      </x:c>
      <x:c r="E4298" s="10" t="n">
        <x:v>0</x:v>
      </x:c>
      <x:c r="F4298" s="10" t="n">
        <x:v>0.004096</x:v>
      </x:c>
      <x:c r="G4298" s="10" t="n">
        <x:f>SUM(D4298:F4298)</x:f>
        <x:v>560.004096</x:v>
      </x:c>
    </x:row>
    <x:row r="4299" ht="24" customHeight="1">
      <x:c r="A4299" s="10" t="str">
        <x:v>S07-04</x:v>
      </x:c>
      <x:c r="B4299" s="10" t="str">
        <x:v>B</x:v>
      </x:c>
      <x:c r="C4299" s="18" t="n">
        <x:v>16.162666766</x:v>
      </x:c>
      <x:c r="D4299" s="10" t="n">
        <x:v>560</x:v>
      </x:c>
      <x:c r="E4299" s="10" t="n">
        <x:v>0</x:v>
      </x:c>
      <x:c r="F4299" s="10" t="n">
        <x:v>0</x:v>
      </x:c>
      <x:c r="G4299" s="10" t="n">
        <x:f>SUM(D4299:F4299)</x:f>
        <x:v>560</x:v>
      </x:c>
    </x:row>
    <x:row r="4300" ht="24" customHeight="1">
      <x:c r="A4300" s="10" t="str">
        <x:v>S07-05</x:v>
      </x:c>
      <x:c r="B4300" s="10" t="str">
        <x:v>A</x:v>
      </x:c>
      <x:c r="C4300" s="18" t="n">
        <x:v>-6.0000001</x:v>
      </x:c>
      <x:c r="D4300" s="10" t="n">
        <x:v>560</x:v>
      </x:c>
      <x:c r="E4300" s="10" t="n">
        <x:v>0</x:v>
      </x:c>
      <x:c r="F4300" s="10" t="n">
        <x:v>0</x:v>
      </x:c>
      <x:c r="G4300" s="10" t="n">
        <x:f>SUM(D4300:F4300)</x:f>
        <x:v>560</x:v>
      </x:c>
    </x:row>
    <x:row r="4301" ht="24" customHeight="1">
      <x:c r="A4301" s="10" t="str">
        <x:v>S07-05</x:v>
      </x:c>
      <x:c r="B4301" s="10" t="str">
        <x:v>A</x:v>
      </x:c>
      <x:c r="C4301" s="18" t="n">
        <x:v>-6</x:v>
      </x:c>
      <x:c r="D4301" s="10" t="n">
        <x:v>560</x:v>
      </x:c>
      <x:c r="E4301" s="10" t="n">
        <x:v>0</x:v>
      </x:c>
      <x:c r="F4301" s="10" t="n">
        <x:v>0</x:v>
      </x:c>
      <x:c r="G4301" s="10" t="n">
        <x:f>SUM(D4301:F4301)</x:f>
        <x:v>560</x:v>
      </x:c>
    </x:row>
    <x:row r="4302" ht="24" customHeight="1">
      <x:c r="A4302" s="10" t="str">
        <x:v>S07-05</x:v>
      </x:c>
      <x:c r="B4302" s="10" t="str">
        <x:v>A</x:v>
      </x:c>
      <x:c r="C4302" s="18" t="n">
        <x:v>-5.9999999</x:v>
      </x:c>
      <x:c r="D4302" s="10" t="n">
        <x:v>560</x:v>
      </x:c>
      <x:c r="E4302" s="10" t="n">
        <x:v>0</x:v>
      </x:c>
      <x:c r="F4302" s="10" t="n">
        <x:v>0</x:v>
      </x:c>
      <x:c r="G4302" s="10" t="n">
        <x:f>SUM(D4302:F4302)</x:f>
        <x:v>560</x:v>
      </x:c>
    </x:row>
    <x:row r="4303" ht="24" customHeight="1">
      <x:c r="A4303" s="10" t="str">
        <x:v>S07-05</x:v>
      </x:c>
      <x:c r="B4303" s="10" t="str">
        <x:v>A</x:v>
      </x:c>
      <x:c r="C4303" s="18" t="n">
        <x:v>-1.4000001</x:v>
      </x:c>
      <x:c r="D4303" s="10" t="n">
        <x:v>560</x:v>
      </x:c>
      <x:c r="E4303" s="10" t="n">
        <x:v>0</x:v>
      </x:c>
      <x:c r="F4303" s="10" t="n">
        <x:v>0</x:v>
      </x:c>
      <x:c r="G4303" s="10" t="n">
        <x:f>SUM(D4303:F4303)</x:f>
        <x:v>560</x:v>
      </x:c>
    </x:row>
    <x:row r="4304" ht="24" customHeight="1">
      <x:c r="A4304" s="10" t="str">
        <x:v>S07-05</x:v>
      </x:c>
      <x:c r="B4304" s="10" t="str">
        <x:v>A</x:v>
      </x:c>
      <x:c r="C4304" s="18" t="n">
        <x:v>-1.4</x:v>
      </x:c>
      <x:c r="D4304" s="10" t="n">
        <x:v>560</x:v>
      </x:c>
      <x:c r="E4304" s="10" t="n">
        <x:v>0</x:v>
      </x:c>
      <x:c r="F4304" s="10" t="n">
        <x:v>0.004096</x:v>
      </x:c>
      <x:c r="G4304" s="10" t="n">
        <x:f>SUM(D4304:F4304)</x:f>
        <x:v>560.004096</x:v>
      </x:c>
    </x:row>
    <x:row r="4305" ht="24" customHeight="1">
      <x:c r="A4305" s="10" t="str">
        <x:v>S07-05</x:v>
      </x:c>
      <x:c r="B4305" s="10" t="str">
        <x:v>A</x:v>
      </x:c>
      <x:c r="C4305" s="18" t="n">
        <x:v>-1.3999999</x:v>
      </x:c>
      <x:c r="D4305" s="10" t="n">
        <x:v>560</x:v>
      </x:c>
      <x:c r="E4305" s="10" t="n">
        <x:v>0</x:v>
      </x:c>
      <x:c r="F4305" s="10" t="n">
        <x:v>0.004096</x:v>
      </x:c>
      <x:c r="G4305" s="10" t="n">
        <x:f>SUM(D4305:F4305)</x:f>
        <x:v>560.004096</x:v>
      </x:c>
    </x:row>
    <x:row r="4306" ht="24" customHeight="1">
      <x:c r="A4306" s="10" t="str">
        <x:v>S07-05</x:v>
      </x:c>
      <x:c r="B4306" s="10" t="str">
        <x:v>A</x:v>
      </x:c>
      <x:c r="C4306" s="18" t="n">
        <x:v>-1.2000001</x:v>
      </x:c>
      <x:c r="D4306" s="10" t="n">
        <x:v>560</x:v>
      </x:c>
      <x:c r="E4306" s="10" t="n">
        <x:v>0</x:v>
      </x:c>
      <x:c r="F4306" s="10" t="n">
        <x:v>0.004096</x:v>
      </x:c>
      <x:c r="G4306" s="10" t="n">
        <x:f>SUM(D4306:F4306)</x:f>
        <x:v>560.004096</x:v>
      </x:c>
    </x:row>
    <x:row r="4307" ht="24" customHeight="1">
      <x:c r="A4307" s="10" t="str">
        <x:v>S07-05</x:v>
      </x:c>
      <x:c r="B4307" s="10" t="str">
        <x:v>A</x:v>
      </x:c>
      <x:c r="C4307" s="18" t="n">
        <x:v>-1.2</x:v>
      </x:c>
      <x:c r="D4307" s="10" t="n">
        <x:v>560</x:v>
      </x:c>
      <x:c r="E4307" s="10" t="n">
        <x:v>0</x:v>
      </x:c>
      <x:c r="F4307" s="10" t="n">
        <x:v>0.008192</x:v>
      </x:c>
      <x:c r="G4307" s="10" t="n">
        <x:f>SUM(D4307:F4307)</x:f>
        <x:v>560.008192</x:v>
      </x:c>
    </x:row>
    <x:row r="4308" ht="24" customHeight="1">
      <x:c r="A4308" s="10" t="str">
        <x:v>S07-05</x:v>
      </x:c>
      <x:c r="B4308" s="10" t="str">
        <x:v>A</x:v>
      </x:c>
      <x:c r="C4308" s="18" t="n">
        <x:v>-1.1999999</x:v>
      </x:c>
      <x:c r="D4308" s="10" t="n">
        <x:v>560</x:v>
      </x:c>
      <x:c r="E4308" s="10" t="n">
        <x:v>0</x:v>
      </x:c>
      <x:c r="F4308" s="10" t="n">
        <x:v>0.008192</x:v>
      </x:c>
      <x:c r="G4308" s="10" t="n">
        <x:f>SUM(D4308:F4308)</x:f>
        <x:v>560.008192</x:v>
      </x:c>
    </x:row>
    <x:row r="4309" ht="24" customHeight="1">
      <x:c r="A4309" s="10" t="str">
        <x:v>S07-05</x:v>
      </x:c>
      <x:c r="B4309" s="10" t="str">
        <x:v>A</x:v>
      </x:c>
      <x:c r="C4309" s="18" t="n">
        <x:v>-0.997666767</x:v>
      </x:c>
      <x:c r="D4309" s="10" t="n">
        <x:v>560</x:v>
      </x:c>
      <x:c r="E4309" s="10" t="n">
        <x:v>0</x:v>
      </x:c>
      <x:c r="F4309" s="10" t="n">
        <x:v>0.008192</x:v>
      </x:c>
      <x:c r="G4309" s="10" t="n">
        <x:f>SUM(D4309:F4309)</x:f>
        <x:v>560.008192</x:v>
      </x:c>
    </x:row>
    <x:row r="4310" ht="24" customHeight="1">
      <x:c r="A4310" s="10" t="str">
        <x:v>S07-05</x:v>
      </x:c>
      <x:c r="B4310" s="10" t="str">
        <x:v>A</x:v>
      </x:c>
      <x:c r="C4310" s="18" t="n">
        <x:v>-0.997666667</x:v>
      </x:c>
      <x:c r="D4310" s="10" t="n">
        <x:v>560</x:v>
      </x:c>
      <x:c r="E4310" s="10" t="n">
        <x:v>0.0096</x:v>
      </x:c>
      <x:c r="F4310" s="10" t="n">
        <x:v>0.008192</x:v>
      </x:c>
      <x:c r="G4310" s="10" t="n">
        <x:f>SUM(D4310:F4310)</x:f>
        <x:v>560.017792</x:v>
      </x:c>
    </x:row>
    <x:row r="4311" ht="24" customHeight="1">
      <x:c r="A4311" s="10" t="str">
        <x:v>S07-05</x:v>
      </x:c>
      <x:c r="B4311" s="10" t="str">
        <x:v>A</x:v>
      </x:c>
      <x:c r="C4311" s="18" t="n">
        <x:v>-0.997666567</x:v>
      </x:c>
      <x:c r="D4311" s="10" t="n">
        <x:v>560</x:v>
      </x:c>
      <x:c r="E4311" s="10" t="n">
        <x:v>0.009600019</x:v>
      </x:c>
      <x:c r="F4311" s="10" t="n">
        <x:v>0.008192</x:v>
      </x:c>
      <x:c r="G4311" s="10" t="n">
        <x:f>SUM(D4311:F4311)</x:f>
        <x:v>560.017792019</x:v>
      </x:c>
    </x:row>
    <x:row r="4312" ht="24" customHeight="1">
      <x:c r="A4312" s="10" t="str">
        <x:v>S07-05</x:v>
      </x:c>
      <x:c r="B4312" s="10" t="str">
        <x:v>A</x:v>
      </x:c>
      <x:c r="C4312" s="18" t="n">
        <x:v>-0.9000001</x:v>
      </x:c>
      <x:c r="D4312" s="10" t="n">
        <x:v>560</x:v>
      </x:c>
      <x:c r="E4312" s="10" t="n">
        <x:v>0.028351981</x:v>
      </x:c>
      <x:c r="F4312" s="10" t="n">
        <x:v>0.008192</x:v>
      </x:c>
      <x:c r="G4312" s="10" t="n">
        <x:f>SUM(D4312:F4312)</x:f>
        <x:v>560.036543981</x:v>
      </x:c>
    </x:row>
    <x:row r="4313" ht="24" customHeight="1">
      <x:c r="A4313" s="10" t="str">
        <x:v>S07-05</x:v>
      </x:c>
      <x:c r="B4313" s="10" t="str">
        <x:v>A</x:v>
      </x:c>
      <x:c r="C4313" s="18" t="n">
        <x:v>-0.9</x:v>
      </x:c>
      <x:c r="D4313" s="10" t="n">
        <x:v>560</x:v>
      </x:c>
      <x:c r="E4313" s="10" t="n">
        <x:v>0.028352</x:v>
      </x:c>
      <x:c r="F4313" s="10" t="n">
        <x:v>0.012288</x:v>
      </x:c>
      <x:c r="G4313" s="10" t="n">
        <x:f>SUM(D4313:F4313)</x:f>
        <x:v>560.04064</x:v>
      </x:c>
    </x:row>
    <x:row r="4314" ht="24" customHeight="1">
      <x:c r="A4314" s="10" t="str">
        <x:v>S07-05</x:v>
      </x:c>
      <x:c r="B4314" s="10" t="str">
        <x:v>A</x:v>
      </x:c>
      <x:c r="C4314" s="18" t="n">
        <x:v>-0.8999999</x:v>
      </x:c>
      <x:c r="D4314" s="10" t="n">
        <x:v>560</x:v>
      </x:c>
      <x:c r="E4314" s="10" t="n">
        <x:v>0.028352019</x:v>
      </x:c>
      <x:c r="F4314" s="10" t="n">
        <x:v>0.012288</x:v>
      </x:c>
      <x:c r="G4314" s="10" t="n">
        <x:f>SUM(D4314:F4314)</x:f>
        <x:v>560.040640019</x:v>
      </x:c>
    </x:row>
    <x:row r="4315" ht="24" customHeight="1">
      <x:c r="A4315" s="10" t="str">
        <x:v>S07-05</x:v>
      </x:c>
      <x:c r="B4315" s="10" t="str">
        <x:v>A</x:v>
      </x:c>
      <x:c r="C4315" s="18" t="n">
        <x:v>-0.7940001</x:v>
      </x:c>
      <x:c r="D4315" s="10" t="n">
        <x:v>560</x:v>
      </x:c>
      <x:c r="E4315" s="10" t="n">
        <x:v>0.048703981</x:v>
      </x:c>
      <x:c r="F4315" s="10" t="n">
        <x:v>0.012288</x:v>
      </x:c>
      <x:c r="G4315" s="10" t="n">
        <x:f>SUM(D4315:F4315)</x:f>
        <x:v>560.060991981</x:v>
      </x:c>
    </x:row>
    <x:row r="4316" ht="24" customHeight="1">
      <x:c r="A4316" s="10" t="str">
        <x:v>S07-05</x:v>
      </x:c>
      <x:c r="B4316" s="10" t="str">
        <x:v>A</x:v>
      </x:c>
      <x:c r="C4316" s="18" t="n">
        <x:v>-0.794</x:v>
      </x:c>
      <x:c r="D4316" s="10" t="n">
        <x:v>560</x:v>
      </x:c>
      <x:c r="E4316" s="10" t="n">
        <x:v>0.058304</x:v>
      </x:c>
      <x:c r="F4316" s="10" t="n">
        <x:v>0.012288</x:v>
      </x:c>
      <x:c r="G4316" s="10" t="n">
        <x:f>SUM(D4316:F4316)</x:f>
        <x:v>560.070592</x:v>
      </x:c>
    </x:row>
    <x:row r="4317" ht="24" customHeight="1">
      <x:c r="A4317" s="10" t="str">
        <x:v>S07-05</x:v>
      </x:c>
      <x:c r="B4317" s="10" t="str">
        <x:v>A</x:v>
      </x:c>
      <x:c r="C4317" s="18" t="n">
        <x:v>-0.7939999</x:v>
      </x:c>
      <x:c r="D4317" s="10" t="n">
        <x:v>560</x:v>
      </x:c>
      <x:c r="E4317" s="10" t="n">
        <x:v>0.058304038</x:v>
      </x:c>
      <x:c r="F4317" s="10" t="n">
        <x:v>0.012288</x:v>
      </x:c>
      <x:c r="G4317" s="10" t="n">
        <x:f>SUM(D4317:F4317)</x:f>
        <x:v>560.070592038</x:v>
      </x:c>
    </x:row>
    <x:row r="4318" ht="24" customHeight="1">
      <x:c r="A4318" s="10" t="str">
        <x:v>S07-05</x:v>
      </x:c>
      <x:c r="B4318" s="10" t="str">
        <x:v>A</x:v>
      </x:c>
      <x:c r="C4318" s="18" t="n">
        <x:v>-0.4900001</x:v>
      </x:c>
      <x:c r="D4318" s="10" t="n">
        <x:v>560</x:v>
      </x:c>
      <x:c r="E4318" s="10" t="n">
        <x:v>0.175039962</x:v>
      </x:c>
      <x:c r="F4318" s="10" t="n">
        <x:v>0.012288</x:v>
      </x:c>
      <x:c r="G4318" s="10" t="n">
        <x:f>SUM(D4318:F4318)</x:f>
        <x:v>560.187327962</x:v>
      </x:c>
    </x:row>
    <x:row r="4319" ht="24" customHeight="1">
      <x:c r="A4319" s="10" t="str">
        <x:v>S07-05</x:v>
      </x:c>
      <x:c r="B4319" s="10" t="str">
        <x:v>A</x:v>
      </x:c>
      <x:c r="C4319" s="18" t="n">
        <x:v>-0.49</x:v>
      </x:c>
      <x:c r="D4319" s="10" t="n">
        <x:v>560</x:v>
      </x:c>
      <x:c r="E4319" s="10" t="n">
        <x:v>0.18464</x:v>
      </x:c>
      <x:c r="F4319" s="10" t="n">
        <x:v>0.012288</x:v>
      </x:c>
      <x:c r="G4319" s="10" t="n">
        <x:f>SUM(D4319:F4319)</x:f>
        <x:v>560.196928</x:v>
      </x:c>
    </x:row>
    <x:row r="4320" ht="24" customHeight="1">
      <x:c r="A4320" s="10" t="str">
        <x:v>S07-05</x:v>
      </x:c>
      <x:c r="B4320" s="10" t="str">
        <x:v>A</x:v>
      </x:c>
      <x:c r="C4320" s="18" t="n">
        <x:v>-0.4899999</x:v>
      </x:c>
      <x:c r="D4320" s="10" t="n">
        <x:v>560</x:v>
      </x:c>
      <x:c r="E4320" s="10" t="n">
        <x:v>0.184640058</x:v>
      </x:c>
      <x:c r="F4320" s="10" t="n">
        <x:v>0.012288</x:v>
      </x:c>
      <x:c r="G4320" s="10" t="n">
        <x:f>SUM(D4320:F4320)</x:f>
        <x:v>560.196928058</x:v>
      </x:c>
    </x:row>
    <x:row r="4321" ht="24" customHeight="1">
      <x:c r="A4321" s="10" t="str">
        <x:v>S07-05</x:v>
      </x:c>
      <x:c r="B4321" s="10" t="str">
        <x:v>A</x:v>
      </x:c>
      <x:c r="C4321" s="18" t="n">
        <x:v>-0.299166767</x:v>
      </x:c>
      <x:c r="D4321" s="10" t="n">
        <x:v>560</x:v>
      </x:c>
      <x:c r="E4321" s="10" t="n">
        <x:v>0.294559942</x:v>
      </x:c>
      <x:c r="F4321" s="10" t="n">
        <x:v>0.012288</x:v>
      </x:c>
      <x:c r="G4321" s="10" t="n">
        <x:f>SUM(D4321:F4321)</x:f>
        <x:v>560.306847942</x:v>
      </x:c>
    </x:row>
    <x:row r="4322" ht="24" customHeight="1">
      <x:c r="A4322" s="10" t="str">
        <x:v>S07-05</x:v>
      </x:c>
      <x:c r="B4322" s="10" t="str">
        <x:v>A</x:v>
      </x:c>
      <x:c r="C4322" s="18" t="n">
        <x:v>-0.299166667</x:v>
      </x:c>
      <x:c r="D4322" s="10" t="n">
        <x:v>560</x:v>
      </x:c>
      <x:c r="E4322" s="10" t="n">
        <x:v>0.29456</x:v>
      </x:c>
      <x:c r="F4322" s="10" t="n">
        <x:v>0.012288</x:v>
      </x:c>
      <x:c r="G4322" s="10" t="n">
        <x:f>SUM(D4322:F4322)</x:f>
        <x:v>560.3068480000001</x:v>
      </x:c>
    </x:row>
    <x:row r="4323" ht="24" customHeight="1">
      <x:c r="A4323" s="10" t="str">
        <x:v>S07-05</x:v>
      </x:c>
      <x:c r="B4323" s="10" t="str">
        <x:v>A</x:v>
      </x:c>
      <x:c r="C4323" s="18" t="n">
        <x:v>-0.299166567</x:v>
      </x:c>
      <x:c r="D4323" s="10" t="n">
        <x:v>560</x:v>
      </x:c>
      <x:c r="E4323" s="10" t="n">
        <x:v>0.294560038</x:v>
      </x:c>
      <x:c r="F4323" s="10" t="n">
        <x:v>0.012288</x:v>
      </x:c>
      <x:c r="G4323" s="10" t="n">
        <x:f>SUM(D4323:F4323)</x:f>
        <x:v>560.306848038</x:v>
      </x:c>
    </x:row>
    <x:row r="4324" ht="24" customHeight="1">
      <x:c r="A4324" s="10" t="str">
        <x:v>S07-05</x:v>
      </x:c>
      <x:c r="B4324" s="10" t="str">
        <x:v>A</x:v>
      </x:c>
      <x:c r="C4324" s="18" t="n">
        <x:v>-1e-7</x:v>
      </x:c>
      <x:c r="D4324" s="10" t="n">
        <x:v>560</x:v>
      </x:c>
      <x:c r="E4324" s="10" t="n">
        <x:v>0.409439962</x:v>
      </x:c>
      <x:c r="F4324" s="10" t="n">
        <x:v>0.012288</x:v>
      </x:c>
      <x:c r="G4324" s="10" t="n">
        <x:f>SUM(D4324:F4324)</x:f>
        <x:v>560.421727962</x:v>
      </x:c>
    </x:row>
    <x:row r="4325" ht="24" customHeight="1">
      <x:c r="A4325" s="10" t="str">
        <x:v>S07-05</x:v>
      </x:c>
      <x:c r="B4325" s="10" t="str">
        <x:v>A</x:v>
      </x:c>
      <x:c r="C4325" s="18" t="n">
        <x:v>0</x:v>
      </x:c>
      <x:c r="D4325" s="10" t="n">
        <x:v>560</x:v>
      </x:c>
      <x:c r="E4325" s="10" t="n">
        <x:v>0.40944</x:v>
      </x:c>
      <x:c r="F4325" s="10" t="n">
        <x:v>0.012288</x:v>
      </x:c>
      <x:c r="G4325" s="10" t="n">
        <x:f>SUM(D4325:F4325)</x:f>
        <x:v>560.421728</x:v>
      </x:c>
    </x:row>
    <x:row r="4326" ht="24" customHeight="1">
      <x:c r="A4326" s="10" t="str">
        <x:v>S07-05</x:v>
      </x:c>
      <x:c r="B4326" s="10" t="str">
        <x:v>A</x:v>
      </x:c>
      <x:c r="C4326" s="18" t="n">
        <x:v>1e-7</x:v>
      </x:c>
      <x:c r="D4326" s="10" t="n">
        <x:v>560</x:v>
      </x:c>
      <x:c r="E4326" s="10" t="n">
        <x:v>0.409440038</x:v>
      </x:c>
      <x:c r="F4326" s="10" t="n">
        <x:v>0.012288</x:v>
      </x:c>
      <x:c r="G4326" s="10" t="n">
        <x:f>SUM(D4326:F4326)</x:f>
        <x:v>560.421728038</x:v>
      </x:c>
    </x:row>
    <x:row r="4327" ht="24" customHeight="1">
      <x:c r="A4327" s="10" t="str">
        <x:v>S07-05</x:v>
      </x:c>
      <x:c r="B4327" s="10" t="str">
        <x:v>A</x:v>
      </x:c>
      <x:c r="C4327" s="18" t="n">
        <x:v>0.1544999</x:v>
      </x:c>
      <x:c r="D4327" s="10" t="n">
        <x:v>560</x:v>
      </x:c>
      <x:c r="E4327" s="10" t="n">
        <x:v>0.468767962</x:v>
      </x:c>
      <x:c r="F4327" s="10" t="n">
        <x:v>0.012288</x:v>
      </x:c>
      <x:c r="G4327" s="10" t="n">
        <x:f>SUM(D4327:F4327)</x:f>
        <x:v>560.481055962</x:v>
      </x:c>
    </x:row>
    <x:row r="4328" ht="24" customHeight="1">
      <x:c r="A4328" s="10" t="str">
        <x:v>S07-05</x:v>
      </x:c>
      <x:c r="B4328" s="10" t="str">
        <x:v>A</x:v>
      </x:c>
      <x:c r="C4328" s="18" t="n">
        <x:v>0.1545</x:v>
      </x:c>
      <x:c r="D4328" s="10" t="n">
        <x:v>560</x:v>
      </x:c>
      <x:c r="E4328" s="10" t="n">
        <x:v>0.468768</x:v>
      </x:c>
      <x:c r="F4328" s="10" t="n">
        <x:v>0.012288</x:v>
      </x:c>
      <x:c r="G4328" s="10" t="n">
        <x:f>SUM(D4328:F4328)</x:f>
        <x:v>560.481056</x:v>
      </x:c>
    </x:row>
    <x:row r="4329" ht="24" customHeight="1">
      <x:c r="A4329" s="10" t="str">
        <x:v>S07-05</x:v>
      </x:c>
      <x:c r="B4329" s="10" t="str">
        <x:v>A</x:v>
      </x:c>
      <x:c r="C4329" s="18" t="n">
        <x:v>0.1545001</x:v>
      </x:c>
      <x:c r="D4329" s="10" t="n">
        <x:v>560</x:v>
      </x:c>
      <x:c r="E4329" s="10" t="n">
        <x:v>0.468768019</x:v>
      </x:c>
      <x:c r="F4329" s="10" t="n">
        <x:v>0.012288</x:v>
      </x:c>
      <x:c r="G4329" s="10" t="n">
        <x:f>SUM(D4329:F4329)</x:f>
        <x:v>560.481056019</x:v>
      </x:c>
    </x:row>
    <x:row r="4330" ht="24" customHeight="1">
      <x:c r="A4330" s="10" t="str">
        <x:v>S07-05</x:v>
      </x:c>
      <x:c r="B4330" s="10" t="str">
        <x:v>A</x:v>
      </x:c>
      <x:c r="C4330" s="18" t="n">
        <x:v>0.906666567</x:v>
      </x:c>
      <x:c r="D4330" s="10" t="n">
        <x:v>560</x:v>
      </x:c>
      <x:c r="E4330" s="10" t="n">
        <x:v>0.613183981</x:v>
      </x:c>
      <x:c r="F4330" s="10" t="n">
        <x:v>0.012288</x:v>
      </x:c>
      <x:c r="G4330" s="10" t="n">
        <x:f>SUM(D4330:F4330)</x:f>
        <x:v>560.625471981</x:v>
      </x:c>
    </x:row>
    <x:row r="4331" ht="24" customHeight="1">
      <x:c r="A4331" s="10" t="str">
        <x:v>S07-05</x:v>
      </x:c>
      <x:c r="B4331" s="10" t="str">
        <x:v>A</x:v>
      </x:c>
      <x:c r="C4331" s="18" t="n">
        <x:v>0.906666667</x:v>
      </x:c>
      <x:c r="D4331" s="10" t="n">
        <x:v>560</x:v>
      </x:c>
      <x:c r="E4331" s="10" t="n">
        <x:v>0.613184</x:v>
      </x:c>
      <x:c r="F4331" s="10" t="n">
        <x:v>0.012288</x:v>
      </x:c>
      <x:c r="G4331" s="10" t="n">
        <x:f>SUM(D4331:F4331)</x:f>
        <x:v>560.6254720000001</x:v>
      </x:c>
    </x:row>
    <x:row r="4332" ht="24" customHeight="1">
      <x:c r="A4332" s="10" t="str">
        <x:v>S07-05</x:v>
      </x:c>
      <x:c r="B4332" s="10" t="str">
        <x:v>A</x:v>
      </x:c>
      <x:c r="C4332" s="18" t="n">
        <x:v>0.906666767</x:v>
      </x:c>
      <x:c r="D4332" s="10" t="n">
        <x:v>560</x:v>
      </x:c>
      <x:c r="E4332" s="10" t="n">
        <x:v>0.613184019</x:v>
      </x:c>
      <x:c r="F4332" s="10" t="n">
        <x:v>0.012288</x:v>
      </x:c>
      <x:c r="G4332" s="10" t="n">
        <x:f>SUM(D4332:F4332)</x:f>
        <x:v>560.625472019</x:v>
      </x:c>
    </x:row>
    <x:row r="4333" ht="24" customHeight="1">
      <x:c r="A4333" s="10" t="str">
        <x:v>S07-05</x:v>
      </x:c>
      <x:c r="B4333" s="10" t="str">
        <x:v>A</x:v>
      </x:c>
      <x:c r="C4333" s="18" t="n">
        <x:v>0.946666567</x:v>
      </x:c>
      <x:c r="D4333" s="10" t="n">
        <x:v>560</x:v>
      </x:c>
      <x:c r="E4333" s="10" t="n">
        <x:v>0.620863981</x:v>
      </x:c>
      <x:c r="F4333" s="10" t="n">
        <x:v>0.012288</x:v>
      </x:c>
      <x:c r="G4333" s="10" t="n">
        <x:f>SUM(D4333:F4333)</x:f>
        <x:v>560.633151981</x:v>
      </x:c>
    </x:row>
    <x:row r="4334" ht="24" customHeight="1">
      <x:c r="A4334" s="10" t="str">
        <x:v>S07-05</x:v>
      </x:c>
      <x:c r="B4334" s="10" t="str">
        <x:v>A</x:v>
      </x:c>
      <x:c r="C4334" s="18" t="n">
        <x:v>0.946666667</x:v>
      </x:c>
      <x:c r="D4334" s="10" t="n">
        <x:v>560</x:v>
      </x:c>
      <x:c r="E4334" s="10" t="n">
        <x:v>0.620864</x:v>
      </x:c>
      <x:c r="F4334" s="10" t="n">
        <x:v>0.012288</x:v>
      </x:c>
      <x:c r="G4334" s="10" t="n">
        <x:f>SUM(D4334:F4334)</x:f>
        <x:v>560.633152</x:v>
      </x:c>
    </x:row>
    <x:row r="4335" ht="24" customHeight="1">
      <x:c r="A4335" s="10" t="str">
        <x:v>S07-05</x:v>
      </x:c>
      <x:c r="B4335" s="10" t="str">
        <x:v>A</x:v>
      </x:c>
      <x:c r="C4335" s="18" t="n">
        <x:v>0.946666767</x:v>
      </x:c>
      <x:c r="D4335" s="10" t="n">
        <x:v>560</x:v>
      </x:c>
      <x:c r="E4335" s="10" t="n">
        <x:v>0.620864014</x:v>
      </x:c>
      <x:c r="F4335" s="10" t="n">
        <x:v>0.012288</x:v>
      </x:c>
      <x:c r="G4335" s="10" t="n">
        <x:f>SUM(D4335:F4335)</x:f>
        <x:v>560.633152014</x:v>
      </x:c>
    </x:row>
    <x:row r="4336" ht="24" customHeight="1">
      <x:c r="A4336" s="10" t="str">
        <x:v>S07-05</x:v>
      </x:c>
      <x:c r="B4336" s="10" t="str">
        <x:v>A</x:v>
      </x:c>
      <x:c r="C4336" s="18" t="n">
        <x:v>1.2084999</x:v>
      </x:c>
      <x:c r="D4336" s="10" t="n">
        <x:v>560</x:v>
      </x:c>
      <x:c r="E4336" s="10" t="n">
        <x:v>0.658567986</x:v>
      </x:c>
      <x:c r="F4336" s="10" t="n">
        <x:v>0.012288</x:v>
      </x:c>
      <x:c r="G4336" s="10" t="n">
        <x:f>SUM(D4336:F4336)</x:f>
        <x:v>560.670855986</x:v>
      </x:c>
    </x:row>
    <x:row r="4337" ht="24" customHeight="1">
      <x:c r="A4337" s="10" t="str">
        <x:v>S07-05</x:v>
      </x:c>
      <x:c r="B4337" s="10" t="str">
        <x:v>A</x:v>
      </x:c>
      <x:c r="C4337" s="18" t="n">
        <x:v>1.2085</x:v>
      </x:c>
      <x:c r="D4337" s="10" t="n">
        <x:v>560</x:v>
      </x:c>
      <x:c r="E4337" s="10" t="n">
        <x:v>0.658568</x:v>
      </x:c>
      <x:c r="F4337" s="10" t="n">
        <x:v>0.012288</x:v>
      </x:c>
      <x:c r="G4337" s="10" t="n">
        <x:f>SUM(D4337:F4337)</x:f>
        <x:v>560.670856</x:v>
      </x:c>
    </x:row>
    <x:row r="4338" ht="24" customHeight="1">
      <x:c r="A4338" s="10" t="str">
        <x:v>S07-05</x:v>
      </x:c>
      <x:c r="B4338" s="10" t="str">
        <x:v>A</x:v>
      </x:c>
      <x:c r="C4338" s="18" t="n">
        <x:v>1.2085001</x:v>
      </x:c>
      <x:c r="D4338" s="10" t="n">
        <x:v>560</x:v>
      </x:c>
      <x:c r="E4338" s="10" t="n">
        <x:v>0.658567995</x:v>
      </x:c>
      <x:c r="F4338" s="10" t="n">
        <x:v>0.012288</x:v>
      </x:c>
      <x:c r="G4338" s="10" t="n">
        <x:f>SUM(D4338:F4338)</x:f>
        <x:v>560.670855995</x:v>
      </x:c>
    </x:row>
    <x:row r="4339" ht="24" customHeight="1">
      <x:c r="A4339" s="10" t="str">
        <x:v>S07-05</x:v>
      </x:c>
      <x:c r="B4339" s="10" t="str">
        <x:v>A</x:v>
      </x:c>
      <x:c r="C4339" s="18" t="n">
        <x:v>3.940666567</x:v>
      </x:c>
      <x:c r="D4339" s="10" t="n">
        <x:v>560</x:v>
      </x:c>
      <x:c r="E4339" s="10" t="n">
        <x:v>0.527424005</x:v>
      </x:c>
      <x:c r="F4339" s="10" t="n">
        <x:v>0.012288</x:v>
      </x:c>
      <x:c r="G4339" s="10" t="n">
        <x:f>SUM(D4339:F4339)</x:f>
        <x:v>560.539712005</x:v>
      </x:c>
    </x:row>
    <x:row r="4340" ht="24" customHeight="1">
      <x:c r="A4340" s="10" t="str">
        <x:v>S07-05</x:v>
      </x:c>
      <x:c r="B4340" s="10" t="str">
        <x:v>A</x:v>
      </x:c>
      <x:c r="C4340" s="18" t="n">
        <x:v>3.940666667</x:v>
      </x:c>
      <x:c r="D4340" s="10" t="n">
        <x:v>560</x:v>
      </x:c>
      <x:c r="E4340" s="10" t="n">
        <x:v>0.527424</x:v>
      </x:c>
      <x:c r="F4340" s="10" t="n">
        <x:v>0.012288</x:v>
      </x:c>
      <x:c r="G4340" s="10" t="n">
        <x:f>SUM(D4340:F4340)</x:f>
        <x:v>560.539712</x:v>
      </x:c>
    </x:row>
    <x:row r="4341" ht="24" customHeight="1">
      <x:c r="A4341" s="10" t="str">
        <x:v>S07-05</x:v>
      </x:c>
      <x:c r="B4341" s="10" t="str">
        <x:v>A</x:v>
      </x:c>
      <x:c r="C4341" s="18" t="n">
        <x:v>3.940666767</x:v>
      </x:c>
      <x:c r="D4341" s="10" t="n">
        <x:v>560</x:v>
      </x:c>
      <x:c r="E4341" s="10" t="n">
        <x:v>0.527424</x:v>
      </x:c>
      <x:c r="F4341" s="10" t="n">
        <x:v>0.008192</x:v>
      </x:c>
      <x:c r="G4341" s="10" t="n">
        <x:f>SUM(D4341:F4341)</x:f>
        <x:v>560.535616</x:v>
      </x:c>
    </x:row>
    <x:row r="4342" ht="24" customHeight="1">
      <x:c r="A4342" s="10" t="str">
        <x:v>S07-05</x:v>
      </x:c>
      <x:c r="B4342" s="10" t="str">
        <x:v>A</x:v>
      </x:c>
      <x:c r="C4342" s="18" t="n">
        <x:v>3.980666567</x:v>
      </x:c>
      <x:c r="D4342" s="10" t="n">
        <x:v>560</x:v>
      </x:c>
      <x:c r="E4342" s="10" t="n">
        <x:v>0.527424</x:v>
      </x:c>
      <x:c r="F4342" s="10" t="n">
        <x:v>0.008192</x:v>
      </x:c>
      <x:c r="G4342" s="10" t="n">
        <x:f>SUM(D4342:F4342)</x:f>
        <x:v>560.535616</x:v>
      </x:c>
    </x:row>
    <x:row r="4343" ht="24" customHeight="1">
      <x:c r="A4343" s="10" t="str">
        <x:v>S07-05</x:v>
      </x:c>
      <x:c r="B4343" s="10" t="str">
        <x:v>A</x:v>
      </x:c>
      <x:c r="C4343" s="18" t="n">
        <x:v>3.980666667</x:v>
      </x:c>
      <x:c r="D4343" s="10" t="n">
        <x:v>560</x:v>
      </x:c>
      <x:c r="E4343" s="10" t="n">
        <x:v>0.527424</x:v>
      </x:c>
      <x:c r="F4343" s="10" t="n">
        <x:v>0.008192</x:v>
      </x:c>
      <x:c r="G4343" s="10" t="n">
        <x:f>SUM(D4343:F4343)</x:f>
        <x:v>560.535616</x:v>
      </x:c>
    </x:row>
    <x:row r="4344" ht="24" customHeight="1">
      <x:c r="A4344" s="10" t="str">
        <x:v>S07-05</x:v>
      </x:c>
      <x:c r="B4344" s="10" t="str">
        <x:v>A</x:v>
      </x:c>
      <x:c r="C4344" s="18" t="n">
        <x:v>3.980666767</x:v>
      </x:c>
      <x:c r="D4344" s="10" t="n">
        <x:v>560</x:v>
      </x:c>
      <x:c r="E4344" s="10" t="n">
        <x:v>0.527423995</x:v>
      </x:c>
      <x:c r="F4344" s="10" t="n">
        <x:v>0.008192</x:v>
      </x:c>
      <x:c r="G4344" s="10" t="n">
        <x:f>SUM(D4344:F4344)</x:f>
        <x:v>560.5356159950001</x:v>
      </x:c>
    </x:row>
    <x:row r="4345" ht="24" customHeight="1">
      <x:c r="A4345" s="10" t="str">
        <x:v>S07-05</x:v>
      </x:c>
      <x:c r="B4345" s="10" t="str">
        <x:v>A</x:v>
      </x:c>
      <x:c r="C4345" s="18" t="n">
        <x:v>7.974666567</x:v>
      </x:c>
      <x:c r="D4345" s="10" t="n">
        <x:v>560</x:v>
      </x:c>
      <x:c r="E4345" s="10" t="n">
        <x:v>0.335712005</x:v>
      </x:c>
      <x:c r="F4345" s="10" t="n">
        <x:v>0.008192</x:v>
      </x:c>
      <x:c r="G4345" s="10" t="n">
        <x:f>SUM(D4345:F4345)</x:f>
        <x:v>560.343904005</x:v>
      </x:c>
    </x:row>
    <x:row r="4346" ht="24" customHeight="1">
      <x:c r="A4346" s="10" t="str">
        <x:v>S07-05</x:v>
      </x:c>
      <x:c r="B4346" s="10" t="str">
        <x:v>A</x:v>
      </x:c>
      <x:c r="C4346" s="18" t="n">
        <x:v>7.974666667</x:v>
      </x:c>
      <x:c r="D4346" s="10" t="n">
        <x:v>560</x:v>
      </x:c>
      <x:c r="E4346" s="10" t="n">
        <x:v>0.335712</x:v>
      </x:c>
      <x:c r="F4346" s="10" t="n">
        <x:v>0.008192</x:v>
      </x:c>
      <x:c r="G4346" s="10" t="n">
        <x:f>SUM(D4346:F4346)</x:f>
        <x:v>560.343904</x:v>
      </x:c>
    </x:row>
    <x:row r="4347" ht="24" customHeight="1">
      <x:c r="A4347" s="10" t="str">
        <x:v>S07-05</x:v>
      </x:c>
      <x:c r="B4347" s="10" t="str">
        <x:v>A</x:v>
      </x:c>
      <x:c r="C4347" s="18" t="n">
        <x:v>7.974666767</x:v>
      </x:c>
      <x:c r="D4347" s="10" t="n">
        <x:v>560</x:v>
      </x:c>
      <x:c r="E4347" s="10" t="n">
        <x:v>0.335712</x:v>
      </x:c>
      <x:c r="F4347" s="10" t="n">
        <x:v>0.004096</x:v>
      </x:c>
      <x:c r="G4347" s="10" t="n">
        <x:f>SUM(D4347:F4347)</x:f>
        <x:v>560.339808</x:v>
      </x:c>
    </x:row>
    <x:row r="4348" ht="24" customHeight="1">
      <x:c r="A4348" s="10" t="str">
        <x:v>S07-05</x:v>
      </x:c>
      <x:c r="B4348" s="10" t="str">
        <x:v>A</x:v>
      </x:c>
      <x:c r="C4348" s="18" t="n">
        <x:v>8.014666567</x:v>
      </x:c>
      <x:c r="D4348" s="10" t="n">
        <x:v>560</x:v>
      </x:c>
      <x:c r="E4348" s="10" t="n">
        <x:v>0.335712</x:v>
      </x:c>
      <x:c r="F4348" s="10" t="n">
        <x:v>0.004096</x:v>
      </x:c>
      <x:c r="G4348" s="10" t="n">
        <x:f>SUM(D4348:F4348)</x:f>
        <x:v>560.339808</x:v>
      </x:c>
    </x:row>
    <x:row r="4349" ht="24" customHeight="1">
      <x:c r="A4349" s="10" t="str">
        <x:v>S07-05</x:v>
      </x:c>
      <x:c r="B4349" s="10" t="str">
        <x:v>A</x:v>
      </x:c>
      <x:c r="C4349" s="18" t="n">
        <x:v>8.014666667</x:v>
      </x:c>
      <x:c r="D4349" s="10" t="n">
        <x:v>560</x:v>
      </x:c>
      <x:c r="E4349" s="10" t="n">
        <x:v>0.335712</x:v>
      </x:c>
      <x:c r="F4349" s="10" t="n">
        <x:v>0.004096</x:v>
      </x:c>
      <x:c r="G4349" s="10" t="n">
        <x:f>SUM(D4349:F4349)</x:f>
        <x:v>560.339808</x:v>
      </x:c>
    </x:row>
    <x:row r="4350" ht="24" customHeight="1">
      <x:c r="A4350" s="10" t="str">
        <x:v>S07-05</x:v>
      </x:c>
      <x:c r="B4350" s="10" t="str">
        <x:v>A</x:v>
      </x:c>
      <x:c r="C4350" s="18" t="n">
        <x:v>8.014666767</x:v>
      </x:c>
      <x:c r="D4350" s="10" t="n">
        <x:v>560</x:v>
      </x:c>
      <x:c r="E4350" s="10" t="n">
        <x:v>0.335711995</x:v>
      </x:c>
      <x:c r="F4350" s="10" t="n">
        <x:v>0.004096</x:v>
      </x:c>
      <x:c r="G4350" s="10" t="n">
        <x:f>SUM(D4350:F4350)</x:f>
        <x:v>560.339807995</x:v>
      </x:c>
    </x:row>
    <x:row r="4351" ht="24" customHeight="1">
      <x:c r="A4351" s="10" t="str">
        <x:v>S07-05</x:v>
      </x:c>
      <x:c r="B4351" s="10" t="str">
        <x:v>A</x:v>
      </x:c>
      <x:c r="C4351" s="18" t="n">
        <x:v>15.008666567</x:v>
      </x:c>
      <x:c r="D4351" s="10" t="n">
        <x:v>560</x:v>
      </x:c>
      <x:c r="E4351" s="10" t="n">
        <x:v>5e-9</x:v>
      </x:c>
      <x:c r="F4351" s="10" t="n">
        <x:v>0.004096</x:v>
      </x:c>
      <x:c r="G4351" s="10" t="n">
        <x:f>SUM(D4351:F4351)</x:f>
        <x:v>560.004096005</x:v>
      </x:c>
    </x:row>
    <x:row r="4352" ht="24" customHeight="1">
      <x:c r="A4352" s="10" t="str">
        <x:v>S07-05</x:v>
      </x:c>
      <x:c r="B4352" s="10" t="str">
        <x:v>A</x:v>
      </x:c>
      <x:c r="C4352" s="18" t="n">
        <x:v>15.008666667</x:v>
      </x:c>
      <x:c r="D4352" s="10" t="n">
        <x:v>560</x:v>
      </x:c>
      <x:c r="E4352" s="10" t="n">
        <x:v>0</x:v>
      </x:c>
      <x:c r="F4352" s="10" t="n">
        <x:v>0.004096</x:v>
      </x:c>
      <x:c r="G4352" s="10" t="n">
        <x:f>SUM(D4352:F4352)</x:f>
        <x:v>560.004096</x:v>
      </x:c>
    </x:row>
    <x:row r="4353" ht="24" customHeight="1">
      <x:c r="A4353" s="10" t="str">
        <x:v>S07-05</x:v>
      </x:c>
      <x:c r="B4353" s="10" t="str">
        <x:v>A</x:v>
      </x:c>
      <x:c r="C4353" s="18" t="n">
        <x:v>15.008666767</x:v>
      </x:c>
      <x:c r="D4353" s="10" t="n">
        <x:v>560</x:v>
      </x:c>
      <x:c r="E4353" s="10" t="n">
        <x:v>0</x:v>
      </x:c>
      <x:c r="F4353" s="10" t="n">
        <x:v>0</x:v>
      </x:c>
      <x:c r="G4353" s="10" t="n">
        <x:f>SUM(D4353:F4353)</x:f>
        <x:v>560</x:v>
      </x:c>
    </x:row>
    <x:row r="4354" ht="24" customHeight="1">
      <x:c r="A4354" s="10" t="str">
        <x:v>S07-05</x:v>
      </x:c>
      <x:c r="B4354" s="10" t="str">
        <x:v>B</x:v>
      </x:c>
      <x:c r="C4354" s="18" t="n">
        <x:v>-6.0000001</x:v>
      </x:c>
      <x:c r="D4354" s="10" t="n">
        <x:v>560</x:v>
      </x:c>
      <x:c r="E4354" s="10" t="n">
        <x:v>0</x:v>
      </x:c>
      <x:c r="F4354" s="10" t="n">
        <x:v>0</x:v>
      </x:c>
      <x:c r="G4354" s="10" t="n">
        <x:f>SUM(D4354:F4354)</x:f>
        <x:v>560</x:v>
      </x:c>
    </x:row>
    <x:row r="4355" ht="24" customHeight="1">
      <x:c r="A4355" s="10" t="str">
        <x:v>S07-05</x:v>
      </x:c>
      <x:c r="B4355" s="10" t="str">
        <x:v>B</x:v>
      </x:c>
      <x:c r="C4355" s="18" t="n">
        <x:v>-6</x:v>
      </x:c>
      <x:c r="D4355" s="10" t="n">
        <x:v>560</x:v>
      </x:c>
      <x:c r="E4355" s="10" t="n">
        <x:v>0</x:v>
      </x:c>
      <x:c r="F4355" s="10" t="n">
        <x:v>0</x:v>
      </x:c>
      <x:c r="G4355" s="10" t="n">
        <x:f>SUM(D4355:F4355)</x:f>
        <x:v>560</x:v>
      </x:c>
    </x:row>
    <x:row r="4356" ht="24" customHeight="1">
      <x:c r="A4356" s="10" t="str">
        <x:v>S07-05</x:v>
      </x:c>
      <x:c r="B4356" s="10" t="str">
        <x:v>B</x:v>
      </x:c>
      <x:c r="C4356" s="18" t="n">
        <x:v>-5.9999999</x:v>
      </x:c>
      <x:c r="D4356" s="10" t="n">
        <x:v>560</x:v>
      </x:c>
      <x:c r="E4356" s="10" t="n">
        <x:v>0</x:v>
      </x:c>
      <x:c r="F4356" s="10" t="n">
        <x:v>0</x:v>
      </x:c>
      <x:c r="G4356" s="10" t="n">
        <x:f>SUM(D4356:F4356)</x:f>
        <x:v>560</x:v>
      </x:c>
    </x:row>
    <x:row r="4357" ht="24" customHeight="1">
      <x:c r="A4357" s="10" t="str">
        <x:v>S07-05</x:v>
      </x:c>
      <x:c r="B4357" s="10" t="str">
        <x:v>B</x:v>
      </x:c>
      <x:c r="C4357" s="18" t="n">
        <x:v>-1e-7</x:v>
      </x:c>
      <x:c r="D4357" s="10" t="n">
        <x:v>560</x:v>
      </x:c>
      <x:c r="E4357" s="10" t="n">
        <x:v>0</x:v>
      </x:c>
      <x:c r="F4357" s="10" t="n">
        <x:v>0</x:v>
      </x:c>
      <x:c r="G4357" s="10" t="n">
        <x:f>SUM(D4357:F4357)</x:f>
        <x:v>560</x:v>
      </x:c>
    </x:row>
    <x:row r="4358" ht="24" customHeight="1">
      <x:c r="A4358" s="10" t="str">
        <x:v>S07-05</x:v>
      </x:c>
      <x:c r="B4358" s="10" t="str">
        <x:v>B</x:v>
      </x:c>
      <x:c r="C4358" s="18" t="n">
        <x:v>0</x:v>
      </x:c>
      <x:c r="D4358" s="10" t="n">
        <x:v>560</x:v>
      </x:c>
      <x:c r="E4358" s="10" t="n">
        <x:v>0</x:v>
      </x:c>
      <x:c r="F4358" s="10" t="n">
        <x:v>0</x:v>
      </x:c>
      <x:c r="G4358" s="10" t="n">
        <x:f>SUM(D4358:F4358)</x:f>
        <x:v>560</x:v>
      </x:c>
    </x:row>
    <x:row r="4359" ht="24" customHeight="1">
      <x:c r="A4359" s="10" t="str">
        <x:v>S07-05</x:v>
      </x:c>
      <x:c r="B4359" s="10" t="str">
        <x:v>B</x:v>
      </x:c>
      <x:c r="C4359" s="18" t="n">
        <x:v>1e-7</x:v>
      </x:c>
      <x:c r="D4359" s="10" t="n">
        <x:v>560</x:v>
      </x:c>
      <x:c r="E4359" s="10" t="n">
        <x:v>0</x:v>
      </x:c>
      <x:c r="F4359" s="10" t="n">
        <x:v>0</x:v>
      </x:c>
      <x:c r="G4359" s="10" t="n">
        <x:f>SUM(D4359:F4359)</x:f>
        <x:v>560</x:v>
      </x:c>
    </x:row>
    <x:row r="4360" ht="24" customHeight="1">
      <x:c r="A4360" s="10" t="str">
        <x:v>S07-05</x:v>
      </x:c>
      <x:c r="B4360" s="10" t="str">
        <x:v>B</x:v>
      </x:c>
      <x:c r="C4360" s="18" t="n">
        <x:v>0.906666567</x:v>
      </x:c>
      <x:c r="D4360" s="10" t="n">
        <x:v>560</x:v>
      </x:c>
      <x:c r="E4360" s="10" t="n">
        <x:v>0</x:v>
      </x:c>
      <x:c r="F4360" s="10" t="n">
        <x:v>0</x:v>
      </x:c>
      <x:c r="G4360" s="10" t="n">
        <x:f>SUM(D4360:F4360)</x:f>
        <x:v>560</x:v>
      </x:c>
    </x:row>
    <x:row r="4361" ht="24" customHeight="1">
      <x:c r="A4361" s="10" t="str">
        <x:v>S07-05</x:v>
      </x:c>
      <x:c r="B4361" s="10" t="str">
        <x:v>B</x:v>
      </x:c>
      <x:c r="C4361" s="18" t="n">
        <x:v>0.906666667</x:v>
      </x:c>
      <x:c r="D4361" s="10" t="n">
        <x:v>560</x:v>
      </x:c>
      <x:c r="E4361" s="10" t="n">
        <x:v>0</x:v>
      </x:c>
      <x:c r="F4361" s="10" t="n">
        <x:v>0.004096</x:v>
      </x:c>
      <x:c r="G4361" s="10" t="n">
        <x:f>SUM(D4361:F4361)</x:f>
        <x:v>560.004096</x:v>
      </x:c>
    </x:row>
    <x:row r="4362" ht="24" customHeight="1">
      <x:c r="A4362" s="10" t="str">
        <x:v>S07-05</x:v>
      </x:c>
      <x:c r="B4362" s="10" t="str">
        <x:v>B</x:v>
      </x:c>
      <x:c r="C4362" s="18" t="n">
        <x:v>0.906666767</x:v>
      </x:c>
      <x:c r="D4362" s="10" t="n">
        <x:v>560</x:v>
      </x:c>
      <x:c r="E4362" s="10" t="n">
        <x:v>0</x:v>
      </x:c>
      <x:c r="F4362" s="10" t="n">
        <x:v>0.004096</x:v>
      </x:c>
      <x:c r="G4362" s="10" t="n">
        <x:f>SUM(D4362:F4362)</x:f>
        <x:v>560.004096</x:v>
      </x:c>
    </x:row>
    <x:row r="4363" ht="24" customHeight="1">
      <x:c r="A4363" s="10" t="str">
        <x:v>S07-05</x:v>
      </x:c>
      <x:c r="B4363" s="10" t="str">
        <x:v>B</x:v>
      </x:c>
      <x:c r="C4363" s="18" t="n">
        <x:v>1.3089999</x:v>
      </x:c>
      <x:c r="D4363" s="10" t="n">
        <x:v>560</x:v>
      </x:c>
      <x:c r="E4363" s="10" t="n">
        <x:v>0</x:v>
      </x:c>
      <x:c r="F4363" s="10" t="n">
        <x:v>0.004096</x:v>
      </x:c>
      <x:c r="G4363" s="10" t="n">
        <x:f>SUM(D4363:F4363)</x:f>
        <x:v>560.004096</x:v>
      </x:c>
    </x:row>
    <x:row r="4364" ht="24" customHeight="1">
      <x:c r="A4364" s="10" t="str">
        <x:v>S07-05</x:v>
      </x:c>
      <x:c r="B4364" s="10" t="str">
        <x:v>B</x:v>
      </x:c>
      <x:c r="C4364" s="18" t="n">
        <x:v>1.309</x:v>
      </x:c>
      <x:c r="D4364" s="10" t="n">
        <x:v>560</x:v>
      </x:c>
      <x:c r="E4364" s="10" t="n">
        <x:v>0.0096</x:v>
      </x:c>
      <x:c r="F4364" s="10" t="n">
        <x:v>0.004096</x:v>
      </x:c>
      <x:c r="G4364" s="10" t="n">
        <x:f>SUM(D4364:F4364)</x:f>
        <x:v>560.013696</x:v>
      </x:c>
    </x:row>
    <x:row r="4365" ht="24" customHeight="1">
      <x:c r="A4365" s="10" t="str">
        <x:v>S07-05</x:v>
      </x:c>
      <x:c r="B4365" s="10" t="str">
        <x:v>B</x:v>
      </x:c>
      <x:c r="C4365" s="18" t="n">
        <x:v>1.3090001</x:v>
      </x:c>
      <x:c r="D4365" s="10" t="n">
        <x:v>560</x:v>
      </x:c>
      <x:c r="E4365" s="10" t="n">
        <x:v>0.009600019</x:v>
      </x:c>
      <x:c r="F4365" s="10" t="n">
        <x:v>0.004096</x:v>
      </x:c>
      <x:c r="G4365" s="10" t="n">
        <x:f>SUM(D4365:F4365)</x:f>
        <x:v>560.013696019</x:v>
      </x:c>
    </x:row>
    <x:row r="4366" ht="24" customHeight="1">
      <x:c r="A4366" s="10" t="str">
        <x:v>S07-05</x:v>
      </x:c>
      <x:c r="B4366" s="10" t="str">
        <x:v>B</x:v>
      </x:c>
      <x:c r="C4366" s="18" t="n">
        <x:v>1.3489999</x:v>
      </x:c>
      <x:c r="D4366" s="10" t="n">
        <x:v>560</x:v>
      </x:c>
      <x:c r="E4366" s="10" t="n">
        <x:v>0.017279981</x:v>
      </x:c>
      <x:c r="F4366" s="10" t="n">
        <x:v>0.004096</x:v>
      </x:c>
      <x:c r="G4366" s="10" t="n">
        <x:f>SUM(D4366:F4366)</x:f>
        <x:v>560.021375981</x:v>
      </x:c>
    </x:row>
    <x:row r="4367" ht="24" customHeight="1">
      <x:c r="A4367" s="10" t="str">
        <x:v>S07-05</x:v>
      </x:c>
      <x:c r="B4367" s="10" t="str">
        <x:v>B</x:v>
      </x:c>
      <x:c r="C4367" s="18" t="n">
        <x:v>1.349</x:v>
      </x:c>
      <x:c r="D4367" s="10" t="n">
        <x:v>560</x:v>
      </x:c>
      <x:c r="E4367" s="10" t="n">
        <x:v>0.01728</x:v>
      </x:c>
      <x:c r="F4367" s="10" t="n">
        <x:v>0.004096</x:v>
      </x:c>
      <x:c r="G4367" s="10" t="n">
        <x:f>SUM(D4367:F4367)</x:f>
        <x:v>560.021376</x:v>
      </x:c>
    </x:row>
    <x:row r="4368" ht="24" customHeight="1">
      <x:c r="A4368" s="10" t="str">
        <x:v>S07-05</x:v>
      </x:c>
      <x:c r="B4368" s="10" t="str">
        <x:v>B</x:v>
      </x:c>
      <x:c r="C4368" s="18" t="n">
        <x:v>1.3490001</x:v>
      </x:c>
      <x:c r="D4368" s="10" t="n">
        <x:v>560</x:v>
      </x:c>
      <x:c r="E4368" s="10" t="n">
        <x:v>0.017280014</x:v>
      </x:c>
      <x:c r="F4368" s="10" t="n">
        <x:v>0.004096</x:v>
      </x:c>
      <x:c r="G4368" s="10" t="n">
        <x:f>SUM(D4368:F4368)</x:f>
        <x:v>560.021376014</x:v>
      </x:c>
    </x:row>
    <x:row r="4369" ht="24" customHeight="1">
      <x:c r="A4369" s="10" t="str">
        <x:v>S07-05</x:v>
      </x:c>
      <x:c r="B4369" s="10" t="str">
        <x:v>B</x:v>
      </x:c>
      <x:c r="C4369" s="18" t="n">
        <x:v>2.0074999</x:v>
      </x:c>
      <x:c r="D4369" s="10" t="n">
        <x:v>560</x:v>
      </x:c>
      <x:c r="E4369" s="10" t="n">
        <x:v>0.112103986</x:v>
      </x:c>
      <x:c r="F4369" s="10" t="n">
        <x:v>0.004096</x:v>
      </x:c>
      <x:c r="G4369" s="10" t="n">
        <x:f>SUM(D4369:F4369)</x:f>
        <x:v>560.116199986</x:v>
      </x:c>
    </x:row>
    <x:row r="4370" ht="24" customHeight="1">
      <x:c r="A4370" s="10" t="str">
        <x:v>S07-05</x:v>
      </x:c>
      <x:c r="B4370" s="10" t="str">
        <x:v>B</x:v>
      </x:c>
      <x:c r="C4370" s="18" t="n">
        <x:v>2.0075</x:v>
      </x:c>
      <x:c r="D4370" s="10" t="n">
        <x:v>560</x:v>
      </x:c>
      <x:c r="E4370" s="10" t="n">
        <x:v>0.112104</x:v>
      </x:c>
      <x:c r="F4370" s="10" t="n">
        <x:v>0.004096</x:v>
      </x:c>
      <x:c r="G4370" s="10" t="n">
        <x:f>SUM(D4370:F4370)</x:f>
        <x:v>560.1162</x:v>
      </x:c>
    </x:row>
    <x:row r="4371" ht="24" customHeight="1">
      <x:c r="A4371" s="10" t="str">
        <x:v>S07-05</x:v>
      </x:c>
      <x:c r="B4371" s="10" t="str">
        <x:v>B</x:v>
      </x:c>
      <x:c r="C4371" s="18" t="n">
        <x:v>2.0075001</x:v>
      </x:c>
      <x:c r="D4371" s="10" t="n">
        <x:v>560</x:v>
      </x:c>
      <x:c r="E4371" s="10" t="n">
        <x:v>0.112103995</x:v>
      </x:c>
      <x:c r="F4371" s="10" t="n">
        <x:v>0.004096</x:v>
      </x:c>
      <x:c r="G4371" s="10" t="n">
        <x:f>SUM(D4371:F4371)</x:f>
        <x:v>560.116199995</x:v>
      </x:c>
    </x:row>
    <x:row r="4372" ht="24" customHeight="1">
      <x:c r="A4372" s="10" t="str">
        <x:v>S07-05</x:v>
      </x:c>
      <x:c r="B4372" s="10" t="str">
        <x:v>B</x:v>
      </x:c>
      <x:c r="C4372" s="18" t="n">
        <x:v>4.3429999</x:v>
      </x:c>
      <x:c r="D4372" s="10" t="n">
        <x:v>560</x:v>
      </x:c>
      <x:c r="E4372" s="10" t="n">
        <x:v>5e-9</x:v>
      </x:c>
      <x:c r="F4372" s="10" t="n">
        <x:v>0.004096</x:v>
      </x:c>
      <x:c r="G4372" s="10" t="n">
        <x:f>SUM(D4372:F4372)</x:f>
        <x:v>560.004096005</x:v>
      </x:c>
    </x:row>
    <x:row r="4373" ht="24" customHeight="1">
      <x:c r="A4373" s="10" t="str">
        <x:v>S07-05</x:v>
      </x:c>
      <x:c r="B4373" s="10" t="str">
        <x:v>B</x:v>
      </x:c>
      <x:c r="C4373" s="18" t="n">
        <x:v>4.343</x:v>
      </x:c>
      <x:c r="D4373" s="10" t="n">
        <x:v>560</x:v>
      </x:c>
      <x:c r="E4373" s="10" t="n">
        <x:v>0</x:v>
      </x:c>
      <x:c r="F4373" s="10" t="n">
        <x:v>0.008192</x:v>
      </x:c>
      <x:c r="G4373" s="10" t="n">
        <x:f>SUM(D4373:F4373)</x:f>
        <x:v>560.008192</x:v>
      </x:c>
    </x:row>
    <x:row r="4374" ht="24" customHeight="1">
      <x:c r="A4374" s="10" t="str">
        <x:v>S07-05</x:v>
      </x:c>
      <x:c r="B4374" s="10" t="str">
        <x:v>B</x:v>
      </x:c>
      <x:c r="C4374" s="18" t="n">
        <x:v>4.3430001</x:v>
      </x:c>
      <x:c r="D4374" s="10" t="n">
        <x:v>560</x:v>
      </x:c>
      <x:c r="E4374" s="10" t="n">
        <x:v>0</x:v>
      </x:c>
      <x:c r="F4374" s="10" t="n">
        <x:v>0.004096</x:v>
      </x:c>
      <x:c r="G4374" s="10" t="n">
        <x:f>SUM(D4374:F4374)</x:f>
        <x:v>560.004096</x:v>
      </x:c>
    </x:row>
    <x:row r="4375" ht="24" customHeight="1">
      <x:c r="A4375" s="10" t="str">
        <x:v>S07-05</x:v>
      </x:c>
      <x:c r="B4375" s="10" t="str">
        <x:v>B</x:v>
      </x:c>
      <x:c r="C4375" s="18" t="n">
        <x:v>4.7489999</x:v>
      </x:c>
      <x:c r="D4375" s="10" t="n">
        <x:v>560</x:v>
      </x:c>
      <x:c r="E4375" s="10" t="n">
        <x:v>0</x:v>
      </x:c>
      <x:c r="F4375" s="10" t="n">
        <x:v>0.004096</x:v>
      </x:c>
      <x:c r="G4375" s="10" t="n">
        <x:f>SUM(D4375:F4375)</x:f>
        <x:v>560.004096</x:v>
      </x:c>
    </x:row>
    <x:row r="4376" ht="24" customHeight="1">
      <x:c r="A4376" s="10" t="str">
        <x:v>S07-05</x:v>
      </x:c>
      <x:c r="B4376" s="10" t="str">
        <x:v>B</x:v>
      </x:c>
      <x:c r="C4376" s="18" t="n">
        <x:v>4.749</x:v>
      </x:c>
      <x:c r="D4376" s="10" t="n">
        <x:v>560</x:v>
      </x:c>
      <x:c r="E4376" s="10" t="n">
        <x:v>0.0096</x:v>
      </x:c>
      <x:c r="F4376" s="10" t="n">
        <x:v>0.004096</x:v>
      </x:c>
      <x:c r="G4376" s="10" t="n">
        <x:f>SUM(D4376:F4376)</x:f>
        <x:v>560.013696</x:v>
      </x:c>
    </x:row>
    <x:row r="4377" ht="24" customHeight="1">
      <x:c r="A4377" s="10" t="str">
        <x:v>S07-05</x:v>
      </x:c>
      <x:c r="B4377" s="10" t="str">
        <x:v>B</x:v>
      </x:c>
      <x:c r="C4377" s="18" t="n">
        <x:v>4.7490001</x:v>
      </x:c>
      <x:c r="D4377" s="10" t="n">
        <x:v>560</x:v>
      </x:c>
      <x:c r="E4377" s="10" t="n">
        <x:v>0.009600019</x:v>
      </x:c>
      <x:c r="F4377" s="10" t="n">
        <x:v>0.004096</x:v>
      </x:c>
      <x:c r="G4377" s="10" t="n">
        <x:f>SUM(D4377:F4377)</x:f>
        <x:v>560.013696019</x:v>
      </x:c>
    </x:row>
    <x:row r="4378" ht="24" customHeight="1">
      <x:c r="A4378" s="10" t="str">
        <x:v>S07-05</x:v>
      </x:c>
      <x:c r="B4378" s="10" t="str">
        <x:v>B</x:v>
      </x:c>
      <x:c r="C4378" s="18" t="n">
        <x:v>4.7889999</x:v>
      </x:c>
      <x:c r="D4378" s="10" t="n">
        <x:v>560</x:v>
      </x:c>
      <x:c r="E4378" s="10" t="n">
        <x:v>0.017279981</x:v>
      </x:c>
      <x:c r="F4378" s="10" t="n">
        <x:v>0.004096</x:v>
      </x:c>
      <x:c r="G4378" s="10" t="n">
        <x:f>SUM(D4378:F4378)</x:f>
        <x:v>560.021375981</x:v>
      </x:c>
    </x:row>
    <x:row r="4379" ht="24" customHeight="1">
      <x:c r="A4379" s="10" t="str">
        <x:v>S07-05</x:v>
      </x:c>
      <x:c r="B4379" s="10" t="str">
        <x:v>B</x:v>
      </x:c>
      <x:c r="C4379" s="18" t="n">
        <x:v>4.789</x:v>
      </x:c>
      <x:c r="D4379" s="10" t="n">
        <x:v>560</x:v>
      </x:c>
      <x:c r="E4379" s="10" t="n">
        <x:v>0.01728</x:v>
      </x:c>
      <x:c r="F4379" s="10" t="n">
        <x:v>0.004096</x:v>
      </x:c>
      <x:c r="G4379" s="10" t="n">
        <x:f>SUM(D4379:F4379)</x:f>
        <x:v>560.021376</x:v>
      </x:c>
    </x:row>
    <x:row r="4380" ht="24" customHeight="1">
      <x:c r="A4380" s="10" t="str">
        <x:v>S07-05</x:v>
      </x:c>
      <x:c r="B4380" s="10" t="str">
        <x:v>B</x:v>
      </x:c>
      <x:c r="C4380" s="18" t="n">
        <x:v>4.7890001</x:v>
      </x:c>
      <x:c r="D4380" s="10" t="n">
        <x:v>560</x:v>
      </x:c>
      <x:c r="E4380" s="10" t="n">
        <x:v>0.017280014</x:v>
      </x:c>
      <x:c r="F4380" s="10" t="n">
        <x:v>0.004096</x:v>
      </x:c>
      <x:c r="G4380" s="10" t="n">
        <x:f>SUM(D4380:F4380)</x:f>
        <x:v>560.021376014</x:v>
      </x:c>
    </x:row>
    <x:row r="4381" ht="24" customHeight="1">
      <x:c r="A4381" s="10" t="str">
        <x:v>S07-05</x:v>
      </x:c>
      <x:c r="B4381" s="10" t="str">
        <x:v>B</x:v>
      </x:c>
      <x:c r="C4381" s="18" t="n">
        <x:v>5.6974999</x:v>
      </x:c>
      <x:c r="D4381" s="10" t="n">
        <x:v>560</x:v>
      </x:c>
      <x:c r="E4381" s="10" t="n">
        <x:v>0.148103986</x:v>
      </x:c>
      <x:c r="F4381" s="10" t="n">
        <x:v>0.004096</x:v>
      </x:c>
      <x:c r="G4381" s="10" t="n">
        <x:f>SUM(D4381:F4381)</x:f>
        <x:v>560.152199986</x:v>
      </x:c>
    </x:row>
    <x:row r="4382" ht="24" customHeight="1">
      <x:c r="A4382" s="10" t="str">
        <x:v>S07-05</x:v>
      </x:c>
      <x:c r="B4382" s="10" t="str">
        <x:v>B</x:v>
      </x:c>
      <x:c r="C4382" s="18" t="n">
        <x:v>5.6975</x:v>
      </x:c>
      <x:c r="D4382" s="10" t="n">
        <x:v>560</x:v>
      </x:c>
      <x:c r="E4382" s="10" t="n">
        <x:v>0.148104</x:v>
      </x:c>
      <x:c r="F4382" s="10" t="n">
        <x:v>0.004096</x:v>
      </x:c>
      <x:c r="G4382" s="10" t="n">
        <x:f>SUM(D4382:F4382)</x:f>
        <x:v>560.1522</x:v>
      </x:c>
    </x:row>
    <x:row r="4383" ht="24" customHeight="1">
      <x:c r="A4383" s="10" t="str">
        <x:v>S07-05</x:v>
      </x:c>
      <x:c r="B4383" s="10" t="str">
        <x:v>B</x:v>
      </x:c>
      <x:c r="C4383" s="18" t="n">
        <x:v>5.6975001</x:v>
      </x:c>
      <x:c r="D4383" s="10" t="n">
        <x:v>560</x:v>
      </x:c>
      <x:c r="E4383" s="10" t="n">
        <x:v>0.148103995</x:v>
      </x:c>
      <x:c r="F4383" s="10" t="n">
        <x:v>0.004096</x:v>
      </x:c>
      <x:c r="G4383" s="10" t="n">
        <x:f>SUM(D4383:F4383)</x:f>
        <x:v>560.152199995</x:v>
      </x:c>
    </x:row>
    <x:row r="4384" ht="24" customHeight="1">
      <x:c r="A4384" s="10" t="str">
        <x:v>S07-05</x:v>
      </x:c>
      <x:c r="B4384" s="10" t="str">
        <x:v>B</x:v>
      </x:c>
      <x:c r="C4384" s="18" t="n">
        <x:v>8.7829999</x:v>
      </x:c>
      <x:c r="D4384" s="10" t="n">
        <x:v>560</x:v>
      </x:c>
      <x:c r="E4384" s="10" t="n">
        <x:v>5e-9</x:v>
      </x:c>
      <x:c r="F4384" s="10" t="n">
        <x:v>0.004096</x:v>
      </x:c>
      <x:c r="G4384" s="10" t="n">
        <x:f>SUM(D4384:F4384)</x:f>
        <x:v>560.004096005</x:v>
      </x:c>
    </x:row>
    <x:row r="4385" ht="24" customHeight="1">
      <x:c r="A4385" s="10" t="str">
        <x:v>S07-05</x:v>
      </x:c>
      <x:c r="B4385" s="10" t="str">
        <x:v>B</x:v>
      </x:c>
      <x:c r="C4385" s="18" t="n">
        <x:v>8.783</x:v>
      </x:c>
      <x:c r="D4385" s="10" t="n">
        <x:v>560</x:v>
      </x:c>
      <x:c r="E4385" s="10" t="n">
        <x:v>0</x:v>
      </x:c>
      <x:c r="F4385" s="10" t="n">
        <x:v>0.008192</x:v>
      </x:c>
      <x:c r="G4385" s="10" t="n">
        <x:f>SUM(D4385:F4385)</x:f>
        <x:v>560.008192</x:v>
      </x:c>
    </x:row>
    <x:row r="4386" ht="24" customHeight="1">
      <x:c r="A4386" s="10" t="str">
        <x:v>S07-05</x:v>
      </x:c>
      <x:c r="B4386" s="10" t="str">
        <x:v>B</x:v>
      </x:c>
      <x:c r="C4386" s="18" t="n">
        <x:v>8.7830001</x:v>
      </x:c>
      <x:c r="D4386" s="10" t="n">
        <x:v>560</x:v>
      </x:c>
      <x:c r="E4386" s="10" t="n">
        <x:v>0</x:v>
      </x:c>
      <x:c r="F4386" s="10" t="n">
        <x:v>0.004096</x:v>
      </x:c>
      <x:c r="G4386" s="10" t="n">
        <x:f>SUM(D4386:F4386)</x:f>
        <x:v>560.004096</x:v>
      </x:c>
    </x:row>
    <x:row r="4387" ht="24" customHeight="1">
      <x:c r="A4387" s="10" t="str">
        <x:v>S07-05</x:v>
      </x:c>
      <x:c r="B4387" s="10" t="str">
        <x:v>B</x:v>
      </x:c>
      <x:c r="C4387" s="18" t="n">
        <x:v>9.1929999</x:v>
      </x:c>
      <x:c r="D4387" s="10" t="n">
        <x:v>560</x:v>
      </x:c>
      <x:c r="E4387" s="10" t="n">
        <x:v>0</x:v>
      </x:c>
      <x:c r="F4387" s="10" t="n">
        <x:v>0.004096</x:v>
      </x:c>
      <x:c r="G4387" s="10" t="n">
        <x:f>SUM(D4387:F4387)</x:f>
        <x:v>560.004096</x:v>
      </x:c>
    </x:row>
    <x:row r="4388" ht="24" customHeight="1">
      <x:c r="A4388" s="10" t="str">
        <x:v>S07-05</x:v>
      </x:c>
      <x:c r="B4388" s="10" t="str">
        <x:v>B</x:v>
      </x:c>
      <x:c r="C4388" s="18" t="n">
        <x:v>9.193</x:v>
      </x:c>
      <x:c r="D4388" s="10" t="n">
        <x:v>560</x:v>
      </x:c>
      <x:c r="E4388" s="10" t="n">
        <x:v>0.0096</x:v>
      </x:c>
      <x:c r="F4388" s="10" t="n">
        <x:v>0.004096</x:v>
      </x:c>
      <x:c r="G4388" s="10" t="n">
        <x:f>SUM(D4388:F4388)</x:f>
        <x:v>560.013696</x:v>
      </x:c>
    </x:row>
    <x:row r="4389" ht="24" customHeight="1">
      <x:c r="A4389" s="10" t="str">
        <x:v>S07-05</x:v>
      </x:c>
      <x:c r="B4389" s="10" t="str">
        <x:v>B</x:v>
      </x:c>
      <x:c r="C4389" s="18" t="n">
        <x:v>9.1930001</x:v>
      </x:c>
      <x:c r="D4389" s="10" t="n">
        <x:v>560</x:v>
      </x:c>
      <x:c r="E4389" s="10" t="n">
        <x:v>0.009600019</x:v>
      </x:c>
      <x:c r="F4389" s="10" t="n">
        <x:v>0.004096</x:v>
      </x:c>
      <x:c r="G4389" s="10" t="n">
        <x:f>SUM(D4389:F4389)</x:f>
        <x:v>560.013696019</x:v>
      </x:c>
    </x:row>
    <x:row r="4390" ht="24" customHeight="1">
      <x:c r="A4390" s="10" t="str">
        <x:v>S07-05</x:v>
      </x:c>
      <x:c r="B4390" s="10" t="str">
        <x:v>B</x:v>
      </x:c>
      <x:c r="C4390" s="18" t="n">
        <x:v>9.2329999</x:v>
      </x:c>
      <x:c r="D4390" s="10" t="n">
        <x:v>560</x:v>
      </x:c>
      <x:c r="E4390" s="10" t="n">
        <x:v>0.017279981</x:v>
      </x:c>
      <x:c r="F4390" s="10" t="n">
        <x:v>0.004096</x:v>
      </x:c>
      <x:c r="G4390" s="10" t="n">
        <x:f>SUM(D4390:F4390)</x:f>
        <x:v>560.021375981</x:v>
      </x:c>
    </x:row>
    <x:row r="4391" ht="24" customHeight="1">
      <x:c r="A4391" s="10" t="str">
        <x:v>S07-05</x:v>
      </x:c>
      <x:c r="B4391" s="10" t="str">
        <x:v>B</x:v>
      </x:c>
      <x:c r="C4391" s="18" t="n">
        <x:v>9.233</x:v>
      </x:c>
      <x:c r="D4391" s="10" t="n">
        <x:v>560</x:v>
      </x:c>
      <x:c r="E4391" s="10" t="n">
        <x:v>0.01728</x:v>
      </x:c>
      <x:c r="F4391" s="10" t="n">
        <x:v>0.004096</x:v>
      </x:c>
      <x:c r="G4391" s="10" t="n">
        <x:f>SUM(D4391:F4391)</x:f>
        <x:v>560.021376</x:v>
      </x:c>
    </x:row>
    <x:row r="4392" ht="24" customHeight="1">
      <x:c r="A4392" s="10" t="str">
        <x:v>S07-05</x:v>
      </x:c>
      <x:c r="B4392" s="10" t="str">
        <x:v>B</x:v>
      </x:c>
      <x:c r="C4392" s="18" t="n">
        <x:v>9.2330001</x:v>
      </x:c>
      <x:c r="D4392" s="10" t="n">
        <x:v>560</x:v>
      </x:c>
      <x:c r="E4392" s="10" t="n">
        <x:v>0.017280014</x:v>
      </x:c>
      <x:c r="F4392" s="10" t="n">
        <x:v>0.004096</x:v>
      </x:c>
      <x:c r="G4392" s="10" t="n">
        <x:f>SUM(D4392:F4392)</x:f>
        <x:v>560.021376014</x:v>
      </x:c>
    </x:row>
    <x:row r="4393" ht="24" customHeight="1">
      <x:c r="A4393" s="10" t="str">
        <x:v>S07-05</x:v>
      </x:c>
      <x:c r="B4393" s="10" t="str">
        <x:v>B</x:v>
      </x:c>
      <x:c r="C4393" s="18" t="n">
        <x:v>10.8914999</x:v>
      </x:c>
      <x:c r="D4393" s="10" t="n">
        <x:v>560</x:v>
      </x:c>
      <x:c r="E4393" s="10" t="n">
        <x:v>0.256103986</x:v>
      </x:c>
      <x:c r="F4393" s="10" t="n">
        <x:v>0.004096</x:v>
      </x:c>
      <x:c r="G4393" s="10" t="n">
        <x:f>SUM(D4393:F4393)</x:f>
        <x:v>560.260199986</x:v>
      </x:c>
    </x:row>
    <x:row r="4394" ht="24" customHeight="1">
      <x:c r="A4394" s="10" t="str">
        <x:v>S07-05</x:v>
      </x:c>
      <x:c r="B4394" s="10" t="str">
        <x:v>B</x:v>
      </x:c>
      <x:c r="C4394" s="18" t="n">
        <x:v>10.8915</x:v>
      </x:c>
      <x:c r="D4394" s="10" t="n">
        <x:v>560</x:v>
      </x:c>
      <x:c r="E4394" s="10" t="n">
        <x:v>0.256104</x:v>
      </x:c>
      <x:c r="F4394" s="10" t="n">
        <x:v>0.004096</x:v>
      </x:c>
      <x:c r="G4394" s="10" t="n">
        <x:f>SUM(D4394:F4394)</x:f>
        <x:v>560.2602</x:v>
      </x:c>
    </x:row>
    <x:row r="4395" ht="24" customHeight="1">
      <x:c r="A4395" s="10" t="str">
        <x:v>S07-05</x:v>
      </x:c>
      <x:c r="B4395" s="10" t="str">
        <x:v>B</x:v>
      </x:c>
      <x:c r="C4395" s="18" t="n">
        <x:v>10.8915001</x:v>
      </x:c>
      <x:c r="D4395" s="10" t="n">
        <x:v>560</x:v>
      </x:c>
      <x:c r="E4395" s="10" t="n">
        <x:v>0.256103995</x:v>
      </x:c>
      <x:c r="F4395" s="10" t="n">
        <x:v>0.004096</x:v>
      </x:c>
      <x:c r="G4395" s="10" t="n">
        <x:f>SUM(D4395:F4395)</x:f>
        <x:v>560.260199995</x:v>
      </x:c>
    </x:row>
    <x:row r="4396" ht="24" customHeight="1">
      <x:c r="A4396" s="10" t="str">
        <x:v>S07-05</x:v>
      </x:c>
      <x:c r="B4396" s="10" t="str">
        <x:v>B</x:v>
      </x:c>
      <x:c r="C4396" s="18" t="n">
        <x:v>16.2269999</x:v>
      </x:c>
      <x:c r="D4396" s="10" t="n">
        <x:v>560</x:v>
      </x:c>
      <x:c r="E4396" s="10" t="n">
        <x:v>5e-9</x:v>
      </x:c>
      <x:c r="F4396" s="10" t="n">
        <x:v>0.004096</x:v>
      </x:c>
      <x:c r="G4396" s="10" t="n">
        <x:f>SUM(D4396:F4396)</x:f>
        <x:v>560.004096005</x:v>
      </x:c>
    </x:row>
    <x:row r="4397" ht="24" customHeight="1">
      <x:c r="A4397" s="10" t="str">
        <x:v>S07-05</x:v>
      </x:c>
      <x:c r="B4397" s="10" t="str">
        <x:v>B</x:v>
      </x:c>
      <x:c r="C4397" s="18" t="n">
        <x:v>16.227</x:v>
      </x:c>
      <x:c r="D4397" s="10" t="n">
        <x:v>560</x:v>
      </x:c>
      <x:c r="E4397" s="10" t="n">
        <x:v>0</x:v>
      </x:c>
      <x:c r="F4397" s="10" t="n">
        <x:v>0.004096</x:v>
      </x:c>
      <x:c r="G4397" s="10" t="n">
        <x:f>SUM(D4397:F4397)</x:f>
        <x:v>560.004096</x:v>
      </x:c>
    </x:row>
    <x:row r="4398" ht="24" customHeight="1">
      <x:c r="A4398" s="10" t="str">
        <x:v>S07-05</x:v>
      </x:c>
      <x:c r="B4398" s="10" t="str">
        <x:v>B</x:v>
      </x:c>
      <x:c r="C4398" s="18" t="n">
        <x:v>16.2270001</x:v>
      </x:c>
      <x:c r="D4398" s="10" t="n">
        <x:v>560</x:v>
      </x:c>
      <x:c r="E4398" s="10" t="n">
        <x:v>0</x:v>
      </x:c>
      <x:c r="F4398" s="10" t="n">
        <x:v>0</x:v>
      </x:c>
      <x:c r="G4398" s="10" t="n">
        <x:f>SUM(D4398:F4398)</x:f>
        <x:v>560</x:v>
      </x:c>
    </x:row>
    <x:row r="4399" ht="24" customHeight="1">
      <x:c r="A4399" s="10" t="str">
        <x:v>S07-06</x:v>
      </x:c>
      <x:c r="B4399" s="10" t="str">
        <x:v>A</x:v>
      </x:c>
      <x:c r="C4399" s="18" t="n">
        <x:v>-6.0000001</x:v>
      </x:c>
      <x:c r="D4399" s="10" t="n">
        <x:v>560</x:v>
      </x:c>
      <x:c r="E4399" s="10" t="n">
        <x:v>0</x:v>
      </x:c>
      <x:c r="F4399" s="10" t="n">
        <x:v>0</x:v>
      </x:c>
      <x:c r="G4399" s="10" t="n">
        <x:f>SUM(D4399:F4399)</x:f>
        <x:v>560</x:v>
      </x:c>
    </x:row>
    <x:row r="4400" ht="24" customHeight="1">
      <x:c r="A4400" s="10" t="str">
        <x:v>S07-06</x:v>
      </x:c>
      <x:c r="B4400" s="10" t="str">
        <x:v>A</x:v>
      </x:c>
      <x:c r="C4400" s="18" t="n">
        <x:v>-6</x:v>
      </x:c>
      <x:c r="D4400" s="10" t="n">
        <x:v>560</x:v>
      </x:c>
      <x:c r="E4400" s="10" t="n">
        <x:v>0</x:v>
      </x:c>
      <x:c r="F4400" s="10" t="n">
        <x:v>0</x:v>
      </x:c>
      <x:c r="G4400" s="10" t="n">
        <x:f>SUM(D4400:F4400)</x:f>
        <x:v>560</x:v>
      </x:c>
    </x:row>
    <x:row r="4401" ht="24" customHeight="1">
      <x:c r="A4401" s="10" t="str">
        <x:v>S07-06</x:v>
      </x:c>
      <x:c r="B4401" s="10" t="str">
        <x:v>A</x:v>
      </x:c>
      <x:c r="C4401" s="18" t="n">
        <x:v>-5.9999999</x:v>
      </x:c>
      <x:c r="D4401" s="10" t="n">
        <x:v>560</x:v>
      </x:c>
      <x:c r="E4401" s="10" t="n">
        <x:v>0</x:v>
      </x:c>
      <x:c r="F4401" s="10" t="n">
        <x:v>0</x:v>
      </x:c>
      <x:c r="G4401" s="10" t="n">
        <x:f>SUM(D4401:F4401)</x:f>
        <x:v>560</x:v>
      </x:c>
    </x:row>
    <x:row r="4402" ht="24" customHeight="1">
      <x:c r="A4402" s="10" t="str">
        <x:v>S07-06</x:v>
      </x:c>
      <x:c r="B4402" s="10" t="str">
        <x:v>A</x:v>
      </x:c>
      <x:c r="C4402" s="18" t="n">
        <x:v>-1.4000001</x:v>
      </x:c>
      <x:c r="D4402" s="10" t="n">
        <x:v>560</x:v>
      </x:c>
      <x:c r="E4402" s="10" t="n">
        <x:v>0</x:v>
      </x:c>
      <x:c r="F4402" s="10" t="n">
        <x:v>0</x:v>
      </x:c>
      <x:c r="G4402" s="10" t="n">
        <x:f>SUM(D4402:F4402)</x:f>
        <x:v>560</x:v>
      </x:c>
    </x:row>
    <x:row r="4403" ht="24" customHeight="1">
      <x:c r="A4403" s="10" t="str">
        <x:v>S07-06</x:v>
      </x:c>
      <x:c r="B4403" s="10" t="str">
        <x:v>A</x:v>
      </x:c>
      <x:c r="C4403" s="18" t="n">
        <x:v>-1.4</x:v>
      </x:c>
      <x:c r="D4403" s="10" t="n">
        <x:v>560</x:v>
      </x:c>
      <x:c r="E4403" s="10" t="n">
        <x:v>0</x:v>
      </x:c>
      <x:c r="F4403" s="10" t="n">
        <x:v>0.004096</x:v>
      </x:c>
      <x:c r="G4403" s="10" t="n">
        <x:f>SUM(D4403:F4403)</x:f>
        <x:v>560.004096</x:v>
      </x:c>
    </x:row>
    <x:row r="4404" ht="24" customHeight="1">
      <x:c r="A4404" s="10" t="str">
        <x:v>S07-06</x:v>
      </x:c>
      <x:c r="B4404" s="10" t="str">
        <x:v>A</x:v>
      </x:c>
      <x:c r="C4404" s="18" t="n">
        <x:v>-1.3999999</x:v>
      </x:c>
      <x:c r="D4404" s="10" t="n">
        <x:v>560</x:v>
      </x:c>
      <x:c r="E4404" s="10" t="n">
        <x:v>0</x:v>
      </x:c>
      <x:c r="F4404" s="10" t="n">
        <x:v>0.004096</x:v>
      </x:c>
      <x:c r="G4404" s="10" t="n">
        <x:f>SUM(D4404:F4404)</x:f>
        <x:v>560.004096</x:v>
      </x:c>
    </x:row>
    <x:row r="4405" ht="24" customHeight="1">
      <x:c r="A4405" s="10" t="str">
        <x:v>S07-06</x:v>
      </x:c>
      <x:c r="B4405" s="10" t="str">
        <x:v>A</x:v>
      </x:c>
      <x:c r="C4405" s="18" t="n">
        <x:v>-1.2000001</x:v>
      </x:c>
      <x:c r="D4405" s="10" t="n">
        <x:v>560</x:v>
      </x:c>
      <x:c r="E4405" s="10" t="n">
        <x:v>0</x:v>
      </x:c>
      <x:c r="F4405" s="10" t="n">
        <x:v>0.004096</x:v>
      </x:c>
      <x:c r="G4405" s="10" t="n">
        <x:f>SUM(D4405:F4405)</x:f>
        <x:v>560.004096</x:v>
      </x:c>
    </x:row>
    <x:row r="4406" ht="24" customHeight="1">
      <x:c r="A4406" s="10" t="str">
        <x:v>S07-06</x:v>
      </x:c>
      <x:c r="B4406" s="10" t="str">
        <x:v>A</x:v>
      </x:c>
      <x:c r="C4406" s="18" t="n">
        <x:v>-1.2</x:v>
      </x:c>
      <x:c r="D4406" s="10" t="n">
        <x:v>560</x:v>
      </x:c>
      <x:c r="E4406" s="10" t="n">
        <x:v>0</x:v>
      </x:c>
      <x:c r="F4406" s="10" t="n">
        <x:v>0.008192</x:v>
      </x:c>
      <x:c r="G4406" s="10" t="n">
        <x:f>SUM(D4406:F4406)</x:f>
        <x:v>560.008192</x:v>
      </x:c>
    </x:row>
    <x:row r="4407" ht="24" customHeight="1">
      <x:c r="A4407" s="10" t="str">
        <x:v>S07-06</x:v>
      </x:c>
      <x:c r="B4407" s="10" t="str">
        <x:v>A</x:v>
      </x:c>
      <x:c r="C4407" s="18" t="n">
        <x:v>-1.1999999</x:v>
      </x:c>
      <x:c r="D4407" s="10" t="n">
        <x:v>560</x:v>
      </x:c>
      <x:c r="E4407" s="10" t="n">
        <x:v>0</x:v>
      </x:c>
      <x:c r="F4407" s="10" t="n">
        <x:v>0.008192</x:v>
      </x:c>
      <x:c r="G4407" s="10" t="n">
        <x:f>SUM(D4407:F4407)</x:f>
        <x:v>560.008192</x:v>
      </x:c>
    </x:row>
    <x:row r="4408" ht="24" customHeight="1">
      <x:c r="A4408" s="10" t="str">
        <x:v>S07-06</x:v>
      </x:c>
      <x:c r="B4408" s="10" t="str">
        <x:v>A</x:v>
      </x:c>
      <x:c r="C4408" s="18" t="n">
        <x:v>-0.997666767</x:v>
      </x:c>
      <x:c r="D4408" s="10" t="n">
        <x:v>560</x:v>
      </x:c>
      <x:c r="E4408" s="10" t="n">
        <x:v>0</x:v>
      </x:c>
      <x:c r="F4408" s="10" t="n">
        <x:v>0.008192</x:v>
      </x:c>
      <x:c r="G4408" s="10" t="n">
        <x:f>SUM(D4408:F4408)</x:f>
        <x:v>560.008192</x:v>
      </x:c>
    </x:row>
    <x:row r="4409" ht="24" customHeight="1">
      <x:c r="A4409" s="10" t="str">
        <x:v>S07-06</x:v>
      </x:c>
      <x:c r="B4409" s="10" t="str">
        <x:v>A</x:v>
      </x:c>
      <x:c r="C4409" s="18" t="n">
        <x:v>-0.997666667</x:v>
      </x:c>
      <x:c r="D4409" s="10" t="n">
        <x:v>560</x:v>
      </x:c>
      <x:c r="E4409" s="10" t="n">
        <x:v>0.0096</x:v>
      </x:c>
      <x:c r="F4409" s="10" t="n">
        <x:v>0.008192</x:v>
      </x:c>
      <x:c r="G4409" s="10" t="n">
        <x:f>SUM(D4409:F4409)</x:f>
        <x:v>560.017792</x:v>
      </x:c>
    </x:row>
    <x:row r="4410" ht="24" customHeight="1">
      <x:c r="A4410" s="10" t="str">
        <x:v>S07-06</x:v>
      </x:c>
      <x:c r="B4410" s="10" t="str">
        <x:v>A</x:v>
      </x:c>
      <x:c r="C4410" s="18" t="n">
        <x:v>-0.997666567</x:v>
      </x:c>
      <x:c r="D4410" s="10" t="n">
        <x:v>560</x:v>
      </x:c>
      <x:c r="E4410" s="10" t="n">
        <x:v>0.009600019</x:v>
      </x:c>
      <x:c r="F4410" s="10" t="n">
        <x:v>0.008192</x:v>
      </x:c>
      <x:c r="G4410" s="10" t="n">
        <x:f>SUM(D4410:F4410)</x:f>
        <x:v>560.017792019</x:v>
      </x:c>
    </x:row>
    <x:row r="4411" ht="24" customHeight="1">
      <x:c r="A4411" s="10" t="str">
        <x:v>S07-06</x:v>
      </x:c>
      <x:c r="B4411" s="10" t="str">
        <x:v>A</x:v>
      </x:c>
      <x:c r="C4411" s="18" t="n">
        <x:v>-0.9000001</x:v>
      </x:c>
      <x:c r="D4411" s="10" t="n">
        <x:v>560</x:v>
      </x:c>
      <x:c r="E4411" s="10" t="n">
        <x:v>0.028351981</x:v>
      </x:c>
      <x:c r="F4411" s="10" t="n">
        <x:v>0.008192</x:v>
      </x:c>
      <x:c r="G4411" s="10" t="n">
        <x:f>SUM(D4411:F4411)</x:f>
        <x:v>560.036543981</x:v>
      </x:c>
    </x:row>
    <x:row r="4412" ht="24" customHeight="1">
      <x:c r="A4412" s="10" t="str">
        <x:v>S07-06</x:v>
      </x:c>
      <x:c r="B4412" s="10" t="str">
        <x:v>A</x:v>
      </x:c>
      <x:c r="C4412" s="18" t="n">
        <x:v>-0.9</x:v>
      </x:c>
      <x:c r="D4412" s="10" t="n">
        <x:v>560</x:v>
      </x:c>
      <x:c r="E4412" s="10" t="n">
        <x:v>0.028352</x:v>
      </x:c>
      <x:c r="F4412" s="10" t="n">
        <x:v>0.012288</x:v>
      </x:c>
      <x:c r="G4412" s="10" t="n">
        <x:f>SUM(D4412:F4412)</x:f>
        <x:v>560.04064</x:v>
      </x:c>
    </x:row>
    <x:row r="4413" ht="24" customHeight="1">
      <x:c r="A4413" s="10" t="str">
        <x:v>S07-06</x:v>
      </x:c>
      <x:c r="B4413" s="10" t="str">
        <x:v>A</x:v>
      </x:c>
      <x:c r="C4413" s="18" t="n">
        <x:v>-0.8999999</x:v>
      </x:c>
      <x:c r="D4413" s="10" t="n">
        <x:v>560</x:v>
      </x:c>
      <x:c r="E4413" s="10" t="n">
        <x:v>0.028352019</x:v>
      </x:c>
      <x:c r="F4413" s="10" t="n">
        <x:v>0.012288</x:v>
      </x:c>
      <x:c r="G4413" s="10" t="n">
        <x:f>SUM(D4413:F4413)</x:f>
        <x:v>560.040640019</x:v>
      </x:c>
    </x:row>
    <x:row r="4414" ht="24" customHeight="1">
      <x:c r="A4414" s="10" t="str">
        <x:v>S07-06</x:v>
      </x:c>
      <x:c r="B4414" s="10" t="str">
        <x:v>A</x:v>
      </x:c>
      <x:c r="C4414" s="18" t="n">
        <x:v>-0.7940001</x:v>
      </x:c>
      <x:c r="D4414" s="10" t="n">
        <x:v>560</x:v>
      </x:c>
      <x:c r="E4414" s="10" t="n">
        <x:v>0.048703981</x:v>
      </x:c>
      <x:c r="F4414" s="10" t="n">
        <x:v>0.012288</x:v>
      </x:c>
      <x:c r="G4414" s="10" t="n">
        <x:f>SUM(D4414:F4414)</x:f>
        <x:v>560.060991981</x:v>
      </x:c>
    </x:row>
    <x:row r="4415" ht="24" customHeight="1">
      <x:c r="A4415" s="10" t="str">
        <x:v>S07-06</x:v>
      </x:c>
      <x:c r="B4415" s="10" t="str">
        <x:v>A</x:v>
      </x:c>
      <x:c r="C4415" s="18" t="n">
        <x:v>-0.794</x:v>
      </x:c>
      <x:c r="D4415" s="10" t="n">
        <x:v>560</x:v>
      </x:c>
      <x:c r="E4415" s="10" t="n">
        <x:v>0.058304</x:v>
      </x:c>
      <x:c r="F4415" s="10" t="n">
        <x:v>0.012288</x:v>
      </x:c>
      <x:c r="G4415" s="10" t="n">
        <x:f>SUM(D4415:F4415)</x:f>
        <x:v>560.070592</x:v>
      </x:c>
    </x:row>
    <x:row r="4416" ht="24" customHeight="1">
      <x:c r="A4416" s="10" t="str">
        <x:v>S07-06</x:v>
      </x:c>
      <x:c r="B4416" s="10" t="str">
        <x:v>A</x:v>
      </x:c>
      <x:c r="C4416" s="18" t="n">
        <x:v>-0.7939999</x:v>
      </x:c>
      <x:c r="D4416" s="10" t="n">
        <x:v>560</x:v>
      </x:c>
      <x:c r="E4416" s="10" t="n">
        <x:v>0.058304038</x:v>
      </x:c>
      <x:c r="F4416" s="10" t="n">
        <x:v>0.012288</x:v>
      </x:c>
      <x:c r="G4416" s="10" t="n">
        <x:f>SUM(D4416:F4416)</x:f>
        <x:v>560.070592038</x:v>
      </x:c>
    </x:row>
    <x:row r="4417" ht="24" customHeight="1">
      <x:c r="A4417" s="10" t="str">
        <x:v>S07-06</x:v>
      </x:c>
      <x:c r="B4417" s="10" t="str">
        <x:v>A</x:v>
      </x:c>
      <x:c r="C4417" s="18" t="n">
        <x:v>-0.4900001</x:v>
      </x:c>
      <x:c r="D4417" s="10" t="n">
        <x:v>560</x:v>
      </x:c>
      <x:c r="E4417" s="10" t="n">
        <x:v>0.175039962</x:v>
      </x:c>
      <x:c r="F4417" s="10" t="n">
        <x:v>0.012288</x:v>
      </x:c>
      <x:c r="G4417" s="10" t="n">
        <x:f>SUM(D4417:F4417)</x:f>
        <x:v>560.187327962</x:v>
      </x:c>
    </x:row>
    <x:row r="4418" ht="24" customHeight="1">
      <x:c r="A4418" s="10" t="str">
        <x:v>S07-06</x:v>
      </x:c>
      <x:c r="B4418" s="10" t="str">
        <x:v>A</x:v>
      </x:c>
      <x:c r="C4418" s="18" t="n">
        <x:v>-0.49</x:v>
      </x:c>
      <x:c r="D4418" s="10" t="n">
        <x:v>560</x:v>
      </x:c>
      <x:c r="E4418" s="10" t="n">
        <x:v>0.18464</x:v>
      </x:c>
      <x:c r="F4418" s="10" t="n">
        <x:v>0.012288</x:v>
      </x:c>
      <x:c r="G4418" s="10" t="n">
        <x:f>SUM(D4418:F4418)</x:f>
        <x:v>560.196928</x:v>
      </x:c>
    </x:row>
    <x:row r="4419" ht="24" customHeight="1">
      <x:c r="A4419" s="10" t="str">
        <x:v>S07-06</x:v>
      </x:c>
      <x:c r="B4419" s="10" t="str">
        <x:v>A</x:v>
      </x:c>
      <x:c r="C4419" s="18" t="n">
        <x:v>-0.4899999</x:v>
      </x:c>
      <x:c r="D4419" s="10" t="n">
        <x:v>560</x:v>
      </x:c>
      <x:c r="E4419" s="10" t="n">
        <x:v>0.184640058</x:v>
      </x:c>
      <x:c r="F4419" s="10" t="n">
        <x:v>0.012288</x:v>
      </x:c>
      <x:c r="G4419" s="10" t="n">
        <x:f>SUM(D4419:F4419)</x:f>
        <x:v>560.196928058</x:v>
      </x:c>
    </x:row>
    <x:row r="4420" ht="24" customHeight="1">
      <x:c r="A4420" s="10" t="str">
        <x:v>S07-06</x:v>
      </x:c>
      <x:c r="B4420" s="10" t="str">
        <x:v>A</x:v>
      </x:c>
      <x:c r="C4420" s="18" t="n">
        <x:v>-0.296166767</x:v>
      </x:c>
      <x:c r="D4420" s="10" t="n">
        <x:v>560</x:v>
      </x:c>
      <x:c r="E4420" s="10" t="n">
        <x:v>0.296287942</x:v>
      </x:c>
      <x:c r="F4420" s="10" t="n">
        <x:v>0.012288</x:v>
      </x:c>
      <x:c r="G4420" s="10" t="n">
        <x:f>SUM(D4420:F4420)</x:f>
        <x:v>560.3085759420001</x:v>
      </x:c>
    </x:row>
    <x:row r="4421" ht="24" customHeight="1">
      <x:c r="A4421" s="10" t="str">
        <x:v>S07-06</x:v>
      </x:c>
      <x:c r="B4421" s="10" t="str">
        <x:v>A</x:v>
      </x:c>
      <x:c r="C4421" s="18" t="n">
        <x:v>-0.296166667</x:v>
      </x:c>
      <x:c r="D4421" s="10" t="n">
        <x:v>560</x:v>
      </x:c>
      <x:c r="E4421" s="10" t="n">
        <x:v>0.296288</x:v>
      </x:c>
      <x:c r="F4421" s="10" t="n">
        <x:v>0.012288</x:v>
      </x:c>
      <x:c r="G4421" s="10" t="n">
        <x:f>SUM(D4421:F4421)</x:f>
        <x:v>560.308576</x:v>
      </x:c>
    </x:row>
    <x:row r="4422" ht="24" customHeight="1">
      <x:c r="A4422" s="10" t="str">
        <x:v>S07-06</x:v>
      </x:c>
      <x:c r="B4422" s="10" t="str">
        <x:v>A</x:v>
      </x:c>
      <x:c r="C4422" s="18" t="n">
        <x:v>-0.296166567</x:v>
      </x:c>
      <x:c r="D4422" s="10" t="n">
        <x:v>560</x:v>
      </x:c>
      <x:c r="E4422" s="10" t="n">
        <x:v>0.296288038</x:v>
      </x:c>
      <x:c r="F4422" s="10" t="n">
        <x:v>0.012288</x:v>
      </x:c>
      <x:c r="G4422" s="10" t="n">
        <x:f>SUM(D4422:F4422)</x:f>
        <x:v>560.308576038</x:v>
      </x:c>
    </x:row>
    <x:row r="4423" ht="24" customHeight="1">
      <x:c r="A4423" s="10" t="str">
        <x:v>S07-06</x:v>
      </x:c>
      <x:c r="B4423" s="10" t="str">
        <x:v>A</x:v>
      </x:c>
      <x:c r="C4423" s="18" t="n">
        <x:v>-1e-7</x:v>
      </x:c>
      <x:c r="D4423" s="10" t="n">
        <x:v>560</x:v>
      </x:c>
      <x:c r="E4423" s="10" t="n">
        <x:v>0.410015962</x:v>
      </x:c>
      <x:c r="F4423" s="10" t="n">
        <x:v>0.012288</x:v>
      </x:c>
      <x:c r="G4423" s="10" t="n">
        <x:f>SUM(D4423:F4423)</x:f>
        <x:v>560.422303962</x:v>
      </x:c>
    </x:row>
    <x:row r="4424" ht="24" customHeight="1">
      <x:c r="A4424" s="10" t="str">
        <x:v>S07-06</x:v>
      </x:c>
      <x:c r="B4424" s="10" t="str">
        <x:v>A</x:v>
      </x:c>
      <x:c r="C4424" s="18" t="n">
        <x:v>0</x:v>
      </x:c>
      <x:c r="D4424" s="10" t="n">
        <x:v>560</x:v>
      </x:c>
      <x:c r="E4424" s="10" t="n">
        <x:v>0.410016</x:v>
      </x:c>
      <x:c r="F4424" s="10" t="n">
        <x:v>0.012288</x:v>
      </x:c>
      <x:c r="G4424" s="10" t="n">
        <x:f>SUM(D4424:F4424)</x:f>
        <x:v>560.422304</x:v>
      </x:c>
    </x:row>
    <x:row r="4425" ht="24" customHeight="1">
      <x:c r="A4425" s="10" t="str">
        <x:v>S07-06</x:v>
      </x:c>
      <x:c r="B4425" s="10" t="str">
        <x:v>A</x:v>
      </x:c>
      <x:c r="C4425" s="18" t="n">
        <x:v>1e-7</x:v>
      </x:c>
      <x:c r="D4425" s="10" t="n">
        <x:v>560</x:v>
      </x:c>
      <x:c r="E4425" s="10" t="n">
        <x:v>0.410016038</x:v>
      </x:c>
      <x:c r="F4425" s="10" t="n">
        <x:v>0.012288</x:v>
      </x:c>
      <x:c r="G4425" s="10" t="n">
        <x:f>SUM(D4425:F4425)</x:f>
        <x:v>560.422304038</x:v>
      </x:c>
    </x:row>
    <x:row r="4426" ht="24" customHeight="1">
      <x:c r="A4426" s="10" t="str">
        <x:v>S07-06</x:v>
      </x:c>
      <x:c r="B4426" s="10" t="str">
        <x:v>A</x:v>
      </x:c>
      <x:c r="C4426" s="18" t="n">
        <x:v>0.1574999</x:v>
      </x:c>
      <x:c r="D4426" s="10" t="n">
        <x:v>560</x:v>
      </x:c>
      <x:c r="E4426" s="10" t="n">
        <x:v>0.470495962</x:v>
      </x:c>
      <x:c r="F4426" s="10" t="n">
        <x:v>0.012288</x:v>
      </x:c>
      <x:c r="G4426" s="10" t="n">
        <x:f>SUM(D4426:F4426)</x:f>
        <x:v>560.482783962</x:v>
      </x:c>
    </x:row>
    <x:row r="4427" ht="24" customHeight="1">
      <x:c r="A4427" s="10" t="str">
        <x:v>S07-06</x:v>
      </x:c>
      <x:c r="B4427" s="10" t="str">
        <x:v>A</x:v>
      </x:c>
      <x:c r="C4427" s="18" t="n">
        <x:v>0.1575</x:v>
      </x:c>
      <x:c r="D4427" s="10" t="n">
        <x:v>560</x:v>
      </x:c>
      <x:c r="E4427" s="10" t="n">
        <x:v>0.470496</x:v>
      </x:c>
      <x:c r="F4427" s="10" t="n">
        <x:v>0.012288</x:v>
      </x:c>
      <x:c r="G4427" s="10" t="n">
        <x:f>SUM(D4427:F4427)</x:f>
        <x:v>560.482784</x:v>
      </x:c>
    </x:row>
    <x:row r="4428" ht="24" customHeight="1">
      <x:c r="A4428" s="10" t="str">
        <x:v>S07-06</x:v>
      </x:c>
      <x:c r="B4428" s="10" t="str">
        <x:v>A</x:v>
      </x:c>
      <x:c r="C4428" s="18" t="n">
        <x:v>0.1575001</x:v>
      </x:c>
      <x:c r="D4428" s="10" t="n">
        <x:v>560</x:v>
      </x:c>
      <x:c r="E4428" s="10" t="n">
        <x:v>0.470496019</x:v>
      </x:c>
      <x:c r="F4428" s="10" t="n">
        <x:v>0.012288</x:v>
      </x:c>
      <x:c r="G4428" s="10" t="n">
        <x:f>SUM(D4428:F4428)</x:f>
        <x:v>560.4827840190001</x:v>
      </x:c>
    </x:row>
    <x:row r="4429" ht="24" customHeight="1">
      <x:c r="A4429" s="10" t="str">
        <x:v>S07-06</x:v>
      </x:c>
      <x:c r="B4429" s="10" t="str">
        <x:v>A</x:v>
      </x:c>
      <x:c r="C4429" s="18" t="n">
        <x:v>0.8599999</x:v>
      </x:c>
      <x:c r="D4429" s="10" t="n">
        <x:v>560</x:v>
      </x:c>
      <x:c r="E4429" s="10" t="n">
        <x:v>0.605375981</x:v>
      </x:c>
      <x:c r="F4429" s="10" t="n">
        <x:v>0.012288</x:v>
      </x:c>
      <x:c r="G4429" s="10" t="n">
        <x:f>SUM(D4429:F4429)</x:f>
        <x:v>560.617663981</x:v>
      </x:c>
    </x:row>
    <x:row r="4430" ht="24" customHeight="1">
      <x:c r="A4430" s="10" t="str">
        <x:v>S07-06</x:v>
      </x:c>
      <x:c r="B4430" s="10" t="str">
        <x:v>A</x:v>
      </x:c>
      <x:c r="C4430" s="18" t="n">
        <x:v>0.86</x:v>
      </x:c>
      <x:c r="D4430" s="10" t="n">
        <x:v>560</x:v>
      </x:c>
      <x:c r="E4430" s="10" t="n">
        <x:v>0.605376</x:v>
      </x:c>
      <x:c r="F4430" s="10" t="n">
        <x:v>0.012288</x:v>
      </x:c>
      <x:c r="G4430" s="10" t="n">
        <x:f>SUM(D4430:F4430)</x:f>
        <x:v>560.617664</x:v>
      </x:c>
    </x:row>
    <x:row r="4431" ht="24" customHeight="1">
      <x:c r="A4431" s="10" t="str">
        <x:v>S07-06</x:v>
      </x:c>
      <x:c r="B4431" s="10" t="str">
        <x:v>A</x:v>
      </x:c>
      <x:c r="C4431" s="18" t="n">
        <x:v>0.8600001</x:v>
      </x:c>
      <x:c r="D4431" s="10" t="n">
        <x:v>560</x:v>
      </x:c>
      <x:c r="E4431" s="10" t="n">
        <x:v>0.605376019</x:v>
      </x:c>
      <x:c r="F4431" s="10" t="n">
        <x:v>0.012288</x:v>
      </x:c>
      <x:c r="G4431" s="10" t="n">
        <x:f>SUM(D4431:F4431)</x:f>
        <x:v>560.617664019</x:v>
      </x:c>
    </x:row>
    <x:row r="4432" ht="24" customHeight="1">
      <x:c r="A4432" s="10" t="str">
        <x:v>S07-06</x:v>
      </x:c>
      <x:c r="B4432" s="10" t="str">
        <x:v>A</x:v>
      </x:c>
      <x:c r="C4432" s="18" t="n">
        <x:v>0.8999999</x:v>
      </x:c>
      <x:c r="D4432" s="10" t="n">
        <x:v>560</x:v>
      </x:c>
      <x:c r="E4432" s="10" t="n">
        <x:v>0.613055981</x:v>
      </x:c>
      <x:c r="F4432" s="10" t="n">
        <x:v>0.012288</x:v>
      </x:c>
      <x:c r="G4432" s="10" t="n">
        <x:f>SUM(D4432:F4432)</x:f>
        <x:v>560.625343981</x:v>
      </x:c>
    </x:row>
    <x:row r="4433" ht="24" customHeight="1">
      <x:c r="A4433" s="10" t="str">
        <x:v>S07-06</x:v>
      </x:c>
      <x:c r="B4433" s="10" t="str">
        <x:v>A</x:v>
      </x:c>
      <x:c r="C4433" s="18" t="n">
        <x:v>0.9</x:v>
      </x:c>
      <x:c r="D4433" s="10" t="n">
        <x:v>560</x:v>
      </x:c>
      <x:c r="E4433" s="10" t="n">
        <x:v>0.613056</x:v>
      </x:c>
      <x:c r="F4433" s="10" t="n">
        <x:v>0.012288</x:v>
      </x:c>
      <x:c r="G4433" s="10" t="n">
        <x:f>SUM(D4433:F4433)</x:f>
        <x:v>560.625344</x:v>
      </x:c>
    </x:row>
    <x:row r="4434" ht="24" customHeight="1">
      <x:c r="A4434" s="10" t="str">
        <x:v>S07-06</x:v>
      </x:c>
      <x:c r="B4434" s="10" t="str">
        <x:v>A</x:v>
      </x:c>
      <x:c r="C4434" s="18" t="n">
        <x:v>0.9000001</x:v>
      </x:c>
      <x:c r="D4434" s="10" t="n">
        <x:v>560</x:v>
      </x:c>
      <x:c r="E4434" s="10" t="n">
        <x:v>0.613056014</x:v>
      </x:c>
      <x:c r="F4434" s="10" t="n">
        <x:v>0.012288</x:v>
      </x:c>
      <x:c r="G4434" s="10" t="n">
        <x:f>SUM(D4434:F4434)</x:f>
        <x:v>560.625344014</x:v>
      </x:c>
    </x:row>
    <x:row r="4435" ht="24" customHeight="1">
      <x:c r="A4435" s="10" t="str">
        <x:v>S07-06</x:v>
      </x:c>
      <x:c r="B4435" s="10" t="str">
        <x:v>A</x:v>
      </x:c>
      <x:c r="C4435" s="18" t="n">
        <x:v>1.2114999</x:v>
      </x:c>
      <x:c r="D4435" s="10" t="n">
        <x:v>560</x:v>
      </x:c>
      <x:c r="E4435" s="10" t="n">
        <x:v>0.657911986</x:v>
      </x:c>
      <x:c r="F4435" s="10" t="n">
        <x:v>0.012288</x:v>
      </x:c>
      <x:c r="G4435" s="10" t="n">
        <x:f>SUM(D4435:F4435)</x:f>
        <x:v>560.6701999860001</x:v>
      </x:c>
    </x:row>
    <x:row r="4436" ht="24" customHeight="1">
      <x:c r="A4436" s="10" t="str">
        <x:v>S07-06</x:v>
      </x:c>
      <x:c r="B4436" s="10" t="str">
        <x:v>A</x:v>
      </x:c>
      <x:c r="C4436" s="18" t="n">
        <x:v>1.2115</x:v>
      </x:c>
      <x:c r="D4436" s="10" t="n">
        <x:v>560</x:v>
      </x:c>
      <x:c r="E4436" s="10" t="n">
        <x:v>0.657912</x:v>
      </x:c>
      <x:c r="F4436" s="10" t="n">
        <x:v>0.012288</x:v>
      </x:c>
      <x:c r="G4436" s="10" t="n">
        <x:f>SUM(D4436:F4436)</x:f>
        <x:v>560.6702</x:v>
      </x:c>
    </x:row>
    <x:row r="4437" ht="24" customHeight="1">
      <x:c r="A4437" s="10" t="str">
        <x:v>S07-06</x:v>
      </x:c>
      <x:c r="B4437" s="10" t="str">
        <x:v>A</x:v>
      </x:c>
      <x:c r="C4437" s="18" t="n">
        <x:v>1.2115001</x:v>
      </x:c>
      <x:c r="D4437" s="10" t="n">
        <x:v>560</x:v>
      </x:c>
      <x:c r="E4437" s="10" t="n">
        <x:v>0.657911995</x:v>
      </x:c>
      <x:c r="F4437" s="10" t="n">
        <x:v>0.012288</x:v>
      </x:c>
      <x:c r="G4437" s="10" t="n">
        <x:f>SUM(D4437:F4437)</x:f>
        <x:v>560.670199995</x:v>
      </x:c>
    </x:row>
    <x:row r="4438" ht="24" customHeight="1">
      <x:c r="A4438" s="10" t="str">
        <x:v>S07-06</x:v>
      </x:c>
      <x:c r="B4438" s="10" t="str">
        <x:v>A</x:v>
      </x:c>
      <x:c r="C4438" s="18" t="n">
        <x:v>3.9059999</x:v>
      </x:c>
      <x:c r="D4438" s="10" t="n">
        <x:v>560</x:v>
      </x:c>
      <x:c r="E4438" s="10" t="n">
        <x:v>0.528576005</x:v>
      </x:c>
      <x:c r="F4438" s="10" t="n">
        <x:v>0.012288</x:v>
      </x:c>
      <x:c r="G4438" s="10" t="n">
        <x:f>SUM(D4438:F4438)</x:f>
        <x:v>560.540864005</x:v>
      </x:c>
    </x:row>
    <x:row r="4439" ht="24" customHeight="1">
      <x:c r="A4439" s="10" t="str">
        <x:v>S07-06</x:v>
      </x:c>
      <x:c r="B4439" s="10" t="str">
        <x:v>A</x:v>
      </x:c>
      <x:c r="C4439" s="18" t="n">
        <x:v>3.906</x:v>
      </x:c>
      <x:c r="D4439" s="10" t="n">
        <x:v>560</x:v>
      </x:c>
      <x:c r="E4439" s="10" t="n">
        <x:v>0.528576</x:v>
      </x:c>
      <x:c r="F4439" s="10" t="n">
        <x:v>0.012288</x:v>
      </x:c>
      <x:c r="G4439" s="10" t="n">
        <x:f>SUM(D4439:F4439)</x:f>
        <x:v>560.540864</x:v>
      </x:c>
    </x:row>
    <x:row r="4440" ht="24" customHeight="1">
      <x:c r="A4440" s="10" t="str">
        <x:v>S07-06</x:v>
      </x:c>
      <x:c r="B4440" s="10" t="str">
        <x:v>A</x:v>
      </x:c>
      <x:c r="C4440" s="18" t="n">
        <x:v>3.9060001</x:v>
      </x:c>
      <x:c r="D4440" s="10" t="n">
        <x:v>560</x:v>
      </x:c>
      <x:c r="E4440" s="10" t="n">
        <x:v>0.528576</x:v>
      </x:c>
      <x:c r="F4440" s="10" t="n">
        <x:v>0.008192</x:v>
      </x:c>
      <x:c r="G4440" s="10" t="n">
        <x:f>SUM(D4440:F4440)</x:f>
        <x:v>560.536768</x:v>
      </x:c>
    </x:row>
    <x:row r="4441" ht="24" customHeight="1">
      <x:c r="A4441" s="10" t="str">
        <x:v>S07-06</x:v>
      </x:c>
      <x:c r="B4441" s="10" t="str">
        <x:v>A</x:v>
      </x:c>
      <x:c r="C4441" s="18" t="n">
        <x:v>3.9459999</x:v>
      </x:c>
      <x:c r="D4441" s="10" t="n">
        <x:v>560</x:v>
      </x:c>
      <x:c r="E4441" s="10" t="n">
        <x:v>0.528576</x:v>
      </x:c>
      <x:c r="F4441" s="10" t="n">
        <x:v>0.008192</x:v>
      </x:c>
      <x:c r="G4441" s="10" t="n">
        <x:f>SUM(D4441:F4441)</x:f>
        <x:v>560.536768</x:v>
      </x:c>
    </x:row>
    <x:row r="4442" ht="24" customHeight="1">
      <x:c r="A4442" s="10" t="str">
        <x:v>S07-06</x:v>
      </x:c>
      <x:c r="B4442" s="10" t="str">
        <x:v>A</x:v>
      </x:c>
      <x:c r="C4442" s="18" t="n">
        <x:v>3.946</x:v>
      </x:c>
      <x:c r="D4442" s="10" t="n">
        <x:v>560</x:v>
      </x:c>
      <x:c r="E4442" s="10" t="n">
        <x:v>0.528576</x:v>
      </x:c>
      <x:c r="F4442" s="10" t="n">
        <x:v>0.008192</x:v>
      </x:c>
      <x:c r="G4442" s="10" t="n">
        <x:f>SUM(D4442:F4442)</x:f>
        <x:v>560.536768</x:v>
      </x:c>
    </x:row>
    <x:row r="4443" ht="24" customHeight="1">
      <x:c r="A4443" s="10" t="str">
        <x:v>S07-06</x:v>
      </x:c>
      <x:c r="B4443" s="10" t="str">
        <x:v>A</x:v>
      </x:c>
      <x:c r="C4443" s="18" t="n">
        <x:v>3.9460001</x:v>
      </x:c>
      <x:c r="D4443" s="10" t="n">
        <x:v>560</x:v>
      </x:c>
      <x:c r="E4443" s="10" t="n">
        <x:v>0.528575995</x:v>
      </x:c>
      <x:c r="F4443" s="10" t="n">
        <x:v>0.008192</x:v>
      </x:c>
      <x:c r="G4443" s="10" t="n">
        <x:f>SUM(D4443:F4443)</x:f>
        <x:v>560.536767995</x:v>
      </x:c>
    </x:row>
    <x:row r="4444" ht="24" customHeight="1">
      <x:c r="A4444" s="10" t="str">
        <x:v>S07-06</x:v>
      </x:c>
      <x:c r="B4444" s="10" t="str">
        <x:v>A</x:v>
      </x:c>
      <x:c r="C4444" s="18" t="n">
        <x:v>7.9519999</x:v>
      </x:c>
      <x:c r="D4444" s="10" t="n">
        <x:v>560</x:v>
      </x:c>
      <x:c r="E4444" s="10" t="n">
        <x:v>0.336288005</x:v>
      </x:c>
      <x:c r="F4444" s="10" t="n">
        <x:v>0.008192</x:v>
      </x:c>
      <x:c r="G4444" s="10" t="n">
        <x:f>SUM(D4444:F4444)</x:f>
        <x:v>560.344480005</x:v>
      </x:c>
    </x:row>
    <x:row r="4445" ht="24" customHeight="1">
      <x:c r="A4445" s="10" t="str">
        <x:v>S07-06</x:v>
      </x:c>
      <x:c r="B4445" s="10" t="str">
        <x:v>A</x:v>
      </x:c>
      <x:c r="C4445" s="18" t="n">
        <x:v>7.952</x:v>
      </x:c>
      <x:c r="D4445" s="10" t="n">
        <x:v>560</x:v>
      </x:c>
      <x:c r="E4445" s="10" t="n">
        <x:v>0.336288</x:v>
      </x:c>
      <x:c r="F4445" s="10" t="n">
        <x:v>0.008192</x:v>
      </x:c>
      <x:c r="G4445" s="10" t="n">
        <x:f>SUM(D4445:F4445)</x:f>
        <x:v>560.34448</x:v>
      </x:c>
    </x:row>
    <x:row r="4446" ht="24" customHeight="1">
      <x:c r="A4446" s="10" t="str">
        <x:v>S07-06</x:v>
      </x:c>
      <x:c r="B4446" s="10" t="str">
        <x:v>A</x:v>
      </x:c>
      <x:c r="C4446" s="18" t="n">
        <x:v>7.9520001</x:v>
      </x:c>
      <x:c r="D4446" s="10" t="n">
        <x:v>560</x:v>
      </x:c>
      <x:c r="E4446" s="10" t="n">
        <x:v>0.336288</x:v>
      </x:c>
      <x:c r="F4446" s="10" t="n">
        <x:v>0.004096</x:v>
      </x:c>
      <x:c r="G4446" s="10" t="n">
        <x:f>SUM(D4446:F4446)</x:f>
        <x:v>560.340384</x:v>
      </x:c>
    </x:row>
    <x:row r="4447" ht="24" customHeight="1">
      <x:c r="A4447" s="10" t="str">
        <x:v>S07-06</x:v>
      </x:c>
      <x:c r="B4447" s="10" t="str">
        <x:v>A</x:v>
      </x:c>
      <x:c r="C4447" s="18" t="n">
        <x:v>7.9919999</x:v>
      </x:c>
      <x:c r="D4447" s="10" t="n">
        <x:v>560</x:v>
      </x:c>
      <x:c r="E4447" s="10" t="n">
        <x:v>0.336288</x:v>
      </x:c>
      <x:c r="F4447" s="10" t="n">
        <x:v>0.004096</x:v>
      </x:c>
      <x:c r="G4447" s="10" t="n">
        <x:f>SUM(D4447:F4447)</x:f>
        <x:v>560.340384</x:v>
      </x:c>
    </x:row>
    <x:row r="4448" ht="24" customHeight="1">
      <x:c r="A4448" s="10" t="str">
        <x:v>S07-06</x:v>
      </x:c>
      <x:c r="B4448" s="10" t="str">
        <x:v>A</x:v>
      </x:c>
      <x:c r="C4448" s="18" t="n">
        <x:v>7.992</x:v>
      </x:c>
      <x:c r="D4448" s="10" t="n">
        <x:v>560</x:v>
      </x:c>
      <x:c r="E4448" s="10" t="n">
        <x:v>0.336288</x:v>
      </x:c>
      <x:c r="F4448" s="10" t="n">
        <x:v>0.004096</x:v>
      </x:c>
      <x:c r="G4448" s="10" t="n">
        <x:f>SUM(D4448:F4448)</x:f>
        <x:v>560.340384</x:v>
      </x:c>
    </x:row>
    <x:row r="4449" ht="24" customHeight="1">
      <x:c r="A4449" s="10" t="str">
        <x:v>S07-06</x:v>
      </x:c>
      <x:c r="B4449" s="10" t="str">
        <x:v>A</x:v>
      </x:c>
      <x:c r="C4449" s="18" t="n">
        <x:v>7.9920001</x:v>
      </x:c>
      <x:c r="D4449" s="10" t="n">
        <x:v>560</x:v>
      </x:c>
      <x:c r="E4449" s="10" t="n">
        <x:v>0.336287995</x:v>
      </x:c>
      <x:c r="F4449" s="10" t="n">
        <x:v>0.004096</x:v>
      </x:c>
      <x:c r="G4449" s="10" t="n">
        <x:f>SUM(D4449:F4449)</x:f>
        <x:v>560.340383995</x:v>
      </x:c>
    </x:row>
    <x:row r="4450" ht="24" customHeight="1">
      <x:c r="A4450" s="10" t="str">
        <x:v>S07-06</x:v>
      </x:c>
      <x:c r="B4450" s="10" t="str">
        <x:v>A</x:v>
      </x:c>
      <x:c r="C4450" s="18" t="n">
        <x:v>14.9979999</x:v>
      </x:c>
      <x:c r="D4450" s="10" t="n">
        <x:v>560</x:v>
      </x:c>
      <x:c r="E4450" s="10" t="n">
        <x:v>5e-9</x:v>
      </x:c>
      <x:c r="F4450" s="10" t="n">
        <x:v>0.004096</x:v>
      </x:c>
      <x:c r="G4450" s="10" t="n">
        <x:f>SUM(D4450:F4450)</x:f>
        <x:v>560.004096005</x:v>
      </x:c>
    </x:row>
    <x:row r="4451" ht="24" customHeight="1">
      <x:c r="A4451" s="10" t="str">
        <x:v>S07-06</x:v>
      </x:c>
      <x:c r="B4451" s="10" t="str">
        <x:v>A</x:v>
      </x:c>
      <x:c r="C4451" s="18" t="n">
        <x:v>14.998</x:v>
      </x:c>
      <x:c r="D4451" s="10" t="n">
        <x:v>560</x:v>
      </x:c>
      <x:c r="E4451" s="10" t="n">
        <x:v>0</x:v>
      </x:c>
      <x:c r="F4451" s="10" t="n">
        <x:v>0.004096</x:v>
      </x:c>
      <x:c r="G4451" s="10" t="n">
        <x:f>SUM(D4451:F4451)</x:f>
        <x:v>560.004096</x:v>
      </x:c>
    </x:row>
    <x:row r="4452" ht="24" customHeight="1">
      <x:c r="A4452" s="10" t="str">
        <x:v>S07-06</x:v>
      </x:c>
      <x:c r="B4452" s="10" t="str">
        <x:v>A</x:v>
      </x:c>
      <x:c r="C4452" s="18" t="n">
        <x:v>14.9980001</x:v>
      </x:c>
      <x:c r="D4452" s="10" t="n">
        <x:v>560</x:v>
      </x:c>
      <x:c r="E4452" s="10" t="n">
        <x:v>0</x:v>
      </x:c>
      <x:c r="F4452" s="10" t="n">
        <x:v>0</x:v>
      </x:c>
      <x:c r="G4452" s="10" t="n">
        <x:f>SUM(D4452:F4452)</x:f>
        <x:v>560</x:v>
      </x:c>
    </x:row>
    <x:row r="4453" ht="24" customHeight="1">
      <x:c r="A4453" s="10" t="str">
        <x:v>S07-06</x:v>
      </x:c>
      <x:c r="B4453" s="10" t="str">
        <x:v>B</x:v>
      </x:c>
      <x:c r="C4453" s="18" t="n">
        <x:v>-6.0000001</x:v>
      </x:c>
      <x:c r="D4453" s="10" t="n">
        <x:v>560</x:v>
      </x:c>
      <x:c r="E4453" s="10" t="n">
        <x:v>0</x:v>
      </x:c>
      <x:c r="F4453" s="10" t="n">
        <x:v>0</x:v>
      </x:c>
      <x:c r="G4453" s="10" t="n">
        <x:f>SUM(D4453:F4453)</x:f>
        <x:v>560</x:v>
      </x:c>
    </x:row>
    <x:row r="4454" ht="24" customHeight="1">
      <x:c r="A4454" s="10" t="str">
        <x:v>S07-06</x:v>
      </x:c>
      <x:c r="B4454" s="10" t="str">
        <x:v>B</x:v>
      </x:c>
      <x:c r="C4454" s="18" t="n">
        <x:v>-6</x:v>
      </x:c>
      <x:c r="D4454" s="10" t="n">
        <x:v>560</x:v>
      </x:c>
      <x:c r="E4454" s="10" t="n">
        <x:v>0</x:v>
      </x:c>
      <x:c r="F4454" s="10" t="n">
        <x:v>0</x:v>
      </x:c>
      <x:c r="G4454" s="10" t="n">
        <x:f>SUM(D4454:F4454)</x:f>
        <x:v>560</x:v>
      </x:c>
    </x:row>
    <x:row r="4455" ht="24" customHeight="1">
      <x:c r="A4455" s="10" t="str">
        <x:v>S07-06</x:v>
      </x:c>
      <x:c r="B4455" s="10" t="str">
        <x:v>B</x:v>
      </x:c>
      <x:c r="C4455" s="18" t="n">
        <x:v>-5.9999999</x:v>
      </x:c>
      <x:c r="D4455" s="10" t="n">
        <x:v>560</x:v>
      </x:c>
      <x:c r="E4455" s="10" t="n">
        <x:v>0</x:v>
      </x:c>
      <x:c r="F4455" s="10" t="n">
        <x:v>0</x:v>
      </x:c>
      <x:c r="G4455" s="10" t="n">
        <x:f>SUM(D4455:F4455)</x:f>
        <x:v>560</x:v>
      </x:c>
    </x:row>
    <x:row r="4456" ht="24" customHeight="1">
      <x:c r="A4456" s="10" t="str">
        <x:v>S07-06</x:v>
      </x:c>
      <x:c r="B4456" s="10" t="str">
        <x:v>B</x:v>
      </x:c>
      <x:c r="C4456" s="18" t="n">
        <x:v>-1e-7</x:v>
      </x:c>
      <x:c r="D4456" s="10" t="n">
        <x:v>560</x:v>
      </x:c>
      <x:c r="E4456" s="10" t="n">
        <x:v>0</x:v>
      </x:c>
      <x:c r="F4456" s="10" t="n">
        <x:v>0</x:v>
      </x:c>
      <x:c r="G4456" s="10" t="n">
        <x:f>SUM(D4456:F4456)</x:f>
        <x:v>560</x:v>
      </x:c>
    </x:row>
    <x:row r="4457" ht="24" customHeight="1">
      <x:c r="A4457" s="10" t="str">
        <x:v>S07-06</x:v>
      </x:c>
      <x:c r="B4457" s="10" t="str">
        <x:v>B</x:v>
      </x:c>
      <x:c r="C4457" s="18" t="n">
        <x:v>0</x:v>
      </x:c>
      <x:c r="D4457" s="10" t="n">
        <x:v>560</x:v>
      </x:c>
      <x:c r="E4457" s="10" t="n">
        <x:v>0</x:v>
      </x:c>
      <x:c r="F4457" s="10" t="n">
        <x:v>0</x:v>
      </x:c>
      <x:c r="G4457" s="10" t="n">
        <x:f>SUM(D4457:F4457)</x:f>
        <x:v>560</x:v>
      </x:c>
    </x:row>
    <x:row r="4458" ht="24" customHeight="1">
      <x:c r="A4458" s="10" t="str">
        <x:v>S07-06</x:v>
      </x:c>
      <x:c r="B4458" s="10" t="str">
        <x:v>B</x:v>
      </x:c>
      <x:c r="C4458" s="18" t="n">
        <x:v>1e-7</x:v>
      </x:c>
      <x:c r="D4458" s="10" t="n">
        <x:v>560</x:v>
      </x:c>
      <x:c r="E4458" s="10" t="n">
        <x:v>0</x:v>
      </x:c>
      <x:c r="F4458" s="10" t="n">
        <x:v>0</x:v>
      </x:c>
      <x:c r="G4458" s="10" t="n">
        <x:f>SUM(D4458:F4458)</x:f>
        <x:v>560</x:v>
      </x:c>
    </x:row>
    <x:row r="4459" ht="24" customHeight="1">
      <x:c r="A4459" s="10" t="str">
        <x:v>S07-06</x:v>
      </x:c>
      <x:c r="B4459" s="10" t="str">
        <x:v>B</x:v>
      </x:c>
      <x:c r="C4459" s="18" t="n">
        <x:v>0.8599999</x:v>
      </x:c>
      <x:c r="D4459" s="10" t="n">
        <x:v>560</x:v>
      </x:c>
      <x:c r="E4459" s="10" t="n">
        <x:v>0</x:v>
      </x:c>
      <x:c r="F4459" s="10" t="n">
        <x:v>0</x:v>
      </x:c>
      <x:c r="G4459" s="10" t="n">
        <x:f>SUM(D4459:F4459)</x:f>
        <x:v>560</x:v>
      </x:c>
    </x:row>
    <x:row r="4460" ht="24" customHeight="1">
      <x:c r="A4460" s="10" t="str">
        <x:v>S07-06</x:v>
      </x:c>
      <x:c r="B4460" s="10" t="str">
        <x:v>B</x:v>
      </x:c>
      <x:c r="C4460" s="18" t="n">
        <x:v>0.86</x:v>
      </x:c>
      <x:c r="D4460" s="10" t="n">
        <x:v>560</x:v>
      </x:c>
      <x:c r="E4460" s="10" t="n">
        <x:v>0</x:v>
      </x:c>
      <x:c r="F4460" s="10" t="n">
        <x:v>0.004096</x:v>
      </x:c>
      <x:c r="G4460" s="10" t="n">
        <x:f>SUM(D4460:F4460)</x:f>
        <x:v>560.004096</x:v>
      </x:c>
    </x:row>
    <x:row r="4461" ht="24" customHeight="1">
      <x:c r="A4461" s="10" t="str">
        <x:v>S07-06</x:v>
      </x:c>
      <x:c r="B4461" s="10" t="str">
        <x:v>B</x:v>
      </x:c>
      <x:c r="C4461" s="18" t="n">
        <x:v>0.8600001</x:v>
      </x:c>
      <x:c r="D4461" s="10" t="n">
        <x:v>560</x:v>
      </x:c>
      <x:c r="E4461" s="10" t="n">
        <x:v>0</x:v>
      </x:c>
      <x:c r="F4461" s="10" t="n">
        <x:v>0.004096</x:v>
      </x:c>
      <x:c r="G4461" s="10" t="n">
        <x:f>SUM(D4461:F4461)</x:f>
        <x:v>560.004096</x:v>
      </x:c>
    </x:row>
    <x:row r="4462" ht="24" customHeight="1">
      <x:c r="A4462" s="10" t="str">
        <x:v>S07-06</x:v>
      </x:c>
      <x:c r="B4462" s="10" t="str">
        <x:v>B</x:v>
      </x:c>
      <x:c r="C4462" s="18" t="n">
        <x:v>1.262333233</x:v>
      </x:c>
      <x:c r="D4462" s="10" t="n">
        <x:v>560</x:v>
      </x:c>
      <x:c r="E4462" s="10" t="n">
        <x:v>0</x:v>
      </x:c>
      <x:c r="F4462" s="10" t="n">
        <x:v>0.004096</x:v>
      </x:c>
      <x:c r="G4462" s="10" t="n">
        <x:f>SUM(D4462:F4462)</x:f>
        <x:v>560.004096</x:v>
      </x:c>
    </x:row>
    <x:row r="4463" ht="24" customHeight="1">
      <x:c r="A4463" s="10" t="str">
        <x:v>S07-06</x:v>
      </x:c>
      <x:c r="B4463" s="10" t="str">
        <x:v>B</x:v>
      </x:c>
      <x:c r="C4463" s="18" t="n">
        <x:v>1.262333333</x:v>
      </x:c>
      <x:c r="D4463" s="10" t="n">
        <x:v>560</x:v>
      </x:c>
      <x:c r="E4463" s="10" t="n">
        <x:v>0.0096</x:v>
      </x:c>
      <x:c r="F4463" s="10" t="n">
        <x:v>0.004096</x:v>
      </x:c>
      <x:c r="G4463" s="10" t="n">
        <x:f>SUM(D4463:F4463)</x:f>
        <x:v>560.013696</x:v>
      </x:c>
    </x:row>
    <x:row r="4464" ht="24" customHeight="1">
      <x:c r="A4464" s="10" t="str">
        <x:v>S07-06</x:v>
      </x:c>
      <x:c r="B4464" s="10" t="str">
        <x:v>B</x:v>
      </x:c>
      <x:c r="C4464" s="18" t="n">
        <x:v>1.262333433</x:v>
      </x:c>
      <x:c r="D4464" s="10" t="n">
        <x:v>560</x:v>
      </x:c>
      <x:c r="E4464" s="10" t="n">
        <x:v>0.009600019</x:v>
      </x:c>
      <x:c r="F4464" s="10" t="n">
        <x:v>0.004096</x:v>
      </x:c>
      <x:c r="G4464" s="10" t="n">
        <x:f>SUM(D4464:F4464)</x:f>
        <x:v>560.013696019</x:v>
      </x:c>
    </x:row>
    <x:row r="4465" ht="24" customHeight="1">
      <x:c r="A4465" s="10" t="str">
        <x:v>S07-06</x:v>
      </x:c>
      <x:c r="B4465" s="10" t="str">
        <x:v>B</x:v>
      </x:c>
      <x:c r="C4465" s="18" t="n">
        <x:v>1.302333233</x:v>
      </x:c>
      <x:c r="D4465" s="10" t="n">
        <x:v>560</x:v>
      </x:c>
      <x:c r="E4465" s="10" t="n">
        <x:v>0.017279981</x:v>
      </x:c>
      <x:c r="F4465" s="10" t="n">
        <x:v>0.004096</x:v>
      </x:c>
      <x:c r="G4465" s="10" t="n">
        <x:f>SUM(D4465:F4465)</x:f>
        <x:v>560.021375981</x:v>
      </x:c>
    </x:row>
    <x:row r="4466" ht="24" customHeight="1">
      <x:c r="A4466" s="10" t="str">
        <x:v>S07-06</x:v>
      </x:c>
      <x:c r="B4466" s="10" t="str">
        <x:v>B</x:v>
      </x:c>
      <x:c r="C4466" s="18" t="n">
        <x:v>1.302333333</x:v>
      </x:c>
      <x:c r="D4466" s="10" t="n">
        <x:v>560</x:v>
      </x:c>
      <x:c r="E4466" s="10" t="n">
        <x:v>0.01728</x:v>
      </x:c>
      <x:c r="F4466" s="10" t="n">
        <x:v>0.004096</x:v>
      </x:c>
      <x:c r="G4466" s="10" t="n">
        <x:f>SUM(D4466:F4466)</x:f>
        <x:v>560.021376</x:v>
      </x:c>
    </x:row>
    <x:row r="4467" ht="24" customHeight="1">
      <x:c r="A4467" s="10" t="str">
        <x:v>S07-06</x:v>
      </x:c>
      <x:c r="B4467" s="10" t="str">
        <x:v>B</x:v>
      </x:c>
      <x:c r="C4467" s="18" t="n">
        <x:v>1.302333433</x:v>
      </x:c>
      <x:c r="D4467" s="10" t="n">
        <x:v>560</x:v>
      </x:c>
      <x:c r="E4467" s="10" t="n">
        <x:v>0.017280014</x:v>
      </x:c>
      <x:c r="F4467" s="10" t="n">
        <x:v>0.004096</x:v>
      </x:c>
      <x:c r="G4467" s="10" t="n">
        <x:f>SUM(D4467:F4467)</x:f>
        <x:v>560.021376014</x:v>
      </x:c>
    </x:row>
    <x:row r="4468" ht="24" customHeight="1">
      <x:c r="A4468" s="10" t="str">
        <x:v>S07-06</x:v>
      </x:c>
      <x:c r="B4468" s="10" t="str">
        <x:v>B</x:v>
      </x:c>
      <x:c r="C4468" s="18" t="n">
        <x:v>1.963833233</x:v>
      </x:c>
      <x:c r="D4468" s="10" t="n">
        <x:v>560</x:v>
      </x:c>
      <x:c r="E4468" s="10" t="n">
        <x:v>0.112535986</x:v>
      </x:c>
      <x:c r="F4468" s="10" t="n">
        <x:v>0.004096</x:v>
      </x:c>
      <x:c r="G4468" s="10" t="n">
        <x:f>SUM(D4468:F4468)</x:f>
        <x:v>560.116631986</x:v>
      </x:c>
    </x:row>
    <x:row r="4469" ht="24" customHeight="1">
      <x:c r="A4469" s="10" t="str">
        <x:v>S07-06</x:v>
      </x:c>
      <x:c r="B4469" s="10" t="str">
        <x:v>B</x:v>
      </x:c>
      <x:c r="C4469" s="18" t="n">
        <x:v>1.963833333</x:v>
      </x:c>
      <x:c r="D4469" s="10" t="n">
        <x:v>560</x:v>
      </x:c>
      <x:c r="E4469" s="10" t="n">
        <x:v>0.112536</x:v>
      </x:c>
      <x:c r="F4469" s="10" t="n">
        <x:v>0.004096</x:v>
      </x:c>
      <x:c r="G4469" s="10" t="n">
        <x:f>SUM(D4469:F4469)</x:f>
        <x:v>560.116632</x:v>
      </x:c>
    </x:row>
    <x:row r="4470" ht="24" customHeight="1">
      <x:c r="A4470" s="10" t="str">
        <x:v>S07-06</x:v>
      </x:c>
      <x:c r="B4470" s="10" t="str">
        <x:v>B</x:v>
      </x:c>
      <x:c r="C4470" s="18" t="n">
        <x:v>1.963833433</x:v>
      </x:c>
      <x:c r="D4470" s="10" t="n">
        <x:v>560</x:v>
      </x:c>
      <x:c r="E4470" s="10" t="n">
        <x:v>0.112535995</x:v>
      </x:c>
      <x:c r="F4470" s="10" t="n">
        <x:v>0.004096</x:v>
      </x:c>
      <x:c r="G4470" s="10" t="n">
        <x:f>SUM(D4470:F4470)</x:f>
        <x:v>560.116631995</x:v>
      </x:c>
    </x:row>
    <x:row r="4471" ht="24" customHeight="1">
      <x:c r="A4471" s="10" t="str">
        <x:v>S07-06</x:v>
      </x:c>
      <x:c r="B4471" s="10" t="str">
        <x:v>B</x:v>
      </x:c>
      <x:c r="C4471" s="18" t="n">
        <x:v>4.308333233</x:v>
      </x:c>
      <x:c r="D4471" s="10" t="n">
        <x:v>560</x:v>
      </x:c>
      <x:c r="E4471" s="10" t="n">
        <x:v>5e-9</x:v>
      </x:c>
      <x:c r="F4471" s="10" t="n">
        <x:v>0.004096</x:v>
      </x:c>
      <x:c r="G4471" s="10" t="n">
        <x:f>SUM(D4471:F4471)</x:f>
        <x:v>560.004096005</x:v>
      </x:c>
    </x:row>
    <x:row r="4472" ht="24" customHeight="1">
      <x:c r="A4472" s="10" t="str">
        <x:v>S07-06</x:v>
      </x:c>
      <x:c r="B4472" s="10" t="str">
        <x:v>B</x:v>
      </x:c>
      <x:c r="C4472" s="18" t="n">
        <x:v>4.308333333</x:v>
      </x:c>
      <x:c r="D4472" s="10" t="n">
        <x:v>560</x:v>
      </x:c>
      <x:c r="E4472" s="10" t="n">
        <x:v>0</x:v>
      </x:c>
      <x:c r="F4472" s="10" t="n">
        <x:v>0.008192</x:v>
      </x:c>
      <x:c r="G4472" s="10" t="n">
        <x:f>SUM(D4472:F4472)</x:f>
        <x:v>560.008192</x:v>
      </x:c>
    </x:row>
    <x:row r="4473" ht="24" customHeight="1">
      <x:c r="A4473" s="10" t="str">
        <x:v>S07-06</x:v>
      </x:c>
      <x:c r="B4473" s="10" t="str">
        <x:v>B</x:v>
      </x:c>
      <x:c r="C4473" s="18" t="n">
        <x:v>4.308333433</x:v>
      </x:c>
      <x:c r="D4473" s="10" t="n">
        <x:v>560</x:v>
      </x:c>
      <x:c r="E4473" s="10" t="n">
        <x:v>0</x:v>
      </x:c>
      <x:c r="F4473" s="10" t="n">
        <x:v>0.004096</x:v>
      </x:c>
      <x:c r="G4473" s="10" t="n">
        <x:f>SUM(D4473:F4473)</x:f>
        <x:v>560.004096</x:v>
      </x:c>
    </x:row>
    <x:row r="4474" ht="24" customHeight="1">
      <x:c r="A4474" s="10" t="str">
        <x:v>S07-06</x:v>
      </x:c>
      <x:c r="B4474" s="10" t="str">
        <x:v>B</x:v>
      </x:c>
      <x:c r="C4474" s="18" t="n">
        <x:v>4.714333233</x:v>
      </x:c>
      <x:c r="D4474" s="10" t="n">
        <x:v>560</x:v>
      </x:c>
      <x:c r="E4474" s="10" t="n">
        <x:v>0</x:v>
      </x:c>
      <x:c r="F4474" s="10" t="n">
        <x:v>0.004096</x:v>
      </x:c>
      <x:c r="G4474" s="10" t="n">
        <x:f>SUM(D4474:F4474)</x:f>
        <x:v>560.004096</x:v>
      </x:c>
    </x:row>
    <x:row r="4475" ht="24" customHeight="1">
      <x:c r="A4475" s="10" t="str">
        <x:v>S07-06</x:v>
      </x:c>
      <x:c r="B4475" s="10" t="str">
        <x:v>B</x:v>
      </x:c>
      <x:c r="C4475" s="18" t="n">
        <x:v>4.714333333</x:v>
      </x:c>
      <x:c r="D4475" s="10" t="n">
        <x:v>560</x:v>
      </x:c>
      <x:c r="E4475" s="10" t="n">
        <x:v>0.0096</x:v>
      </x:c>
      <x:c r="F4475" s="10" t="n">
        <x:v>0.004096</x:v>
      </x:c>
      <x:c r="G4475" s="10" t="n">
        <x:f>SUM(D4475:F4475)</x:f>
        <x:v>560.013696</x:v>
      </x:c>
    </x:row>
    <x:row r="4476" ht="24" customHeight="1">
      <x:c r="A4476" s="10" t="str">
        <x:v>S07-06</x:v>
      </x:c>
      <x:c r="B4476" s="10" t="str">
        <x:v>B</x:v>
      </x:c>
      <x:c r="C4476" s="18" t="n">
        <x:v>4.714333433</x:v>
      </x:c>
      <x:c r="D4476" s="10" t="n">
        <x:v>560</x:v>
      </x:c>
      <x:c r="E4476" s="10" t="n">
        <x:v>0.009600019</x:v>
      </x:c>
      <x:c r="F4476" s="10" t="n">
        <x:v>0.004096</x:v>
      </x:c>
      <x:c r="G4476" s="10" t="n">
        <x:f>SUM(D4476:F4476)</x:f>
        <x:v>560.013696019</x:v>
      </x:c>
    </x:row>
    <x:row r="4477" ht="24" customHeight="1">
      <x:c r="A4477" s="10" t="str">
        <x:v>S07-06</x:v>
      </x:c>
      <x:c r="B4477" s="10" t="str">
        <x:v>B</x:v>
      </x:c>
      <x:c r="C4477" s="18" t="n">
        <x:v>4.754333233</x:v>
      </x:c>
      <x:c r="D4477" s="10" t="n">
        <x:v>560</x:v>
      </x:c>
      <x:c r="E4477" s="10" t="n">
        <x:v>0.017279981</x:v>
      </x:c>
      <x:c r="F4477" s="10" t="n">
        <x:v>0.004096</x:v>
      </x:c>
      <x:c r="G4477" s="10" t="n">
        <x:f>SUM(D4477:F4477)</x:f>
        <x:v>560.021375981</x:v>
      </x:c>
    </x:row>
    <x:row r="4478" ht="24" customHeight="1">
      <x:c r="A4478" s="10" t="str">
        <x:v>S07-06</x:v>
      </x:c>
      <x:c r="B4478" s="10" t="str">
        <x:v>B</x:v>
      </x:c>
      <x:c r="C4478" s="18" t="n">
        <x:v>4.754333333</x:v>
      </x:c>
      <x:c r="D4478" s="10" t="n">
        <x:v>560</x:v>
      </x:c>
      <x:c r="E4478" s="10" t="n">
        <x:v>0.01728</x:v>
      </x:c>
      <x:c r="F4478" s="10" t="n">
        <x:v>0.004096</x:v>
      </x:c>
      <x:c r="G4478" s="10" t="n">
        <x:f>SUM(D4478:F4478)</x:f>
        <x:v>560.021376</x:v>
      </x:c>
    </x:row>
    <x:row r="4479" ht="24" customHeight="1">
      <x:c r="A4479" s="10" t="str">
        <x:v>S07-06</x:v>
      </x:c>
      <x:c r="B4479" s="10" t="str">
        <x:v>B</x:v>
      </x:c>
      <x:c r="C4479" s="18" t="n">
        <x:v>4.754333433</x:v>
      </x:c>
      <x:c r="D4479" s="10" t="n">
        <x:v>560</x:v>
      </x:c>
      <x:c r="E4479" s="10" t="n">
        <x:v>0.017280014</x:v>
      </x:c>
      <x:c r="F4479" s="10" t="n">
        <x:v>0.004096</x:v>
      </x:c>
      <x:c r="G4479" s="10" t="n">
        <x:f>SUM(D4479:F4479)</x:f>
        <x:v>560.021376014</x:v>
      </x:c>
    </x:row>
    <x:row r="4480" ht="24" customHeight="1">
      <x:c r="A4480" s="10" t="str">
        <x:v>S07-06</x:v>
      </x:c>
      <x:c r="B4480" s="10" t="str">
        <x:v>B</x:v>
      </x:c>
      <x:c r="C4480" s="18" t="n">
        <x:v>5.665833233</x:v>
      </x:c>
      <x:c r="D4480" s="10" t="n">
        <x:v>560</x:v>
      </x:c>
      <x:c r="E4480" s="10" t="n">
        <x:v>0.148535986</x:v>
      </x:c>
      <x:c r="F4480" s="10" t="n">
        <x:v>0.004096</x:v>
      </x:c>
      <x:c r="G4480" s="10" t="n">
        <x:f>SUM(D4480:F4480)</x:f>
        <x:v>560.152631986</x:v>
      </x:c>
    </x:row>
    <x:row r="4481" ht="24" customHeight="1">
      <x:c r="A4481" s="10" t="str">
        <x:v>S07-06</x:v>
      </x:c>
      <x:c r="B4481" s="10" t="str">
        <x:v>B</x:v>
      </x:c>
      <x:c r="C4481" s="18" t="n">
        <x:v>5.665833333</x:v>
      </x:c>
      <x:c r="D4481" s="10" t="n">
        <x:v>560</x:v>
      </x:c>
      <x:c r="E4481" s="10" t="n">
        <x:v>0.148536</x:v>
      </x:c>
      <x:c r="F4481" s="10" t="n">
        <x:v>0.004096</x:v>
      </x:c>
      <x:c r="G4481" s="10" t="n">
        <x:f>SUM(D4481:F4481)</x:f>
        <x:v>560.152632</x:v>
      </x:c>
    </x:row>
    <x:row r="4482" ht="24" customHeight="1">
      <x:c r="A4482" s="10" t="str">
        <x:v>S07-06</x:v>
      </x:c>
      <x:c r="B4482" s="10" t="str">
        <x:v>B</x:v>
      </x:c>
      <x:c r="C4482" s="18" t="n">
        <x:v>5.665833433</x:v>
      </x:c>
      <x:c r="D4482" s="10" t="n">
        <x:v>560</x:v>
      </x:c>
      <x:c r="E4482" s="10" t="n">
        <x:v>0.148535995</x:v>
      </x:c>
      <x:c r="F4482" s="10" t="n">
        <x:v>0.004096</x:v>
      </x:c>
      <x:c r="G4482" s="10" t="n">
        <x:f>SUM(D4482:F4482)</x:f>
        <x:v>560.152631995</x:v>
      </x:c>
    </x:row>
    <x:row r="4483" ht="24" customHeight="1">
      <x:c r="A4483" s="10" t="str">
        <x:v>S07-06</x:v>
      </x:c>
      <x:c r="B4483" s="10" t="str">
        <x:v>B</x:v>
      </x:c>
      <x:c r="C4483" s="18" t="n">
        <x:v>8.760333233</x:v>
      </x:c>
      <x:c r="D4483" s="10" t="n">
        <x:v>560</x:v>
      </x:c>
      <x:c r="E4483" s="10" t="n">
        <x:v>5e-9</x:v>
      </x:c>
      <x:c r="F4483" s="10" t="n">
        <x:v>0.004096</x:v>
      </x:c>
      <x:c r="G4483" s="10" t="n">
        <x:f>SUM(D4483:F4483)</x:f>
        <x:v>560.004096005</x:v>
      </x:c>
    </x:row>
    <x:row r="4484" ht="24" customHeight="1">
      <x:c r="A4484" s="10" t="str">
        <x:v>S07-06</x:v>
      </x:c>
      <x:c r="B4484" s="10" t="str">
        <x:v>B</x:v>
      </x:c>
      <x:c r="C4484" s="18" t="n">
        <x:v>8.760333333</x:v>
      </x:c>
      <x:c r="D4484" s="10" t="n">
        <x:v>560</x:v>
      </x:c>
      <x:c r="E4484" s="10" t="n">
        <x:v>0</x:v>
      </x:c>
      <x:c r="F4484" s="10" t="n">
        <x:v>0.008192</x:v>
      </x:c>
      <x:c r="G4484" s="10" t="n">
        <x:f>SUM(D4484:F4484)</x:f>
        <x:v>560.008192</x:v>
      </x:c>
    </x:row>
    <x:row r="4485" ht="24" customHeight="1">
      <x:c r="A4485" s="10" t="str">
        <x:v>S07-06</x:v>
      </x:c>
      <x:c r="B4485" s="10" t="str">
        <x:v>B</x:v>
      </x:c>
      <x:c r="C4485" s="18" t="n">
        <x:v>8.760333433</x:v>
      </x:c>
      <x:c r="D4485" s="10" t="n">
        <x:v>560</x:v>
      </x:c>
      <x:c r="E4485" s="10" t="n">
        <x:v>0</x:v>
      </x:c>
      <x:c r="F4485" s="10" t="n">
        <x:v>0.004096</x:v>
      </x:c>
      <x:c r="G4485" s="10" t="n">
        <x:f>SUM(D4485:F4485)</x:f>
        <x:v>560.004096</x:v>
      </x:c>
    </x:row>
    <x:row r="4486" ht="24" customHeight="1">
      <x:c r="A4486" s="10" t="str">
        <x:v>S07-06</x:v>
      </x:c>
      <x:c r="B4486" s="10" t="str">
        <x:v>B</x:v>
      </x:c>
      <x:c r="C4486" s="18" t="n">
        <x:v>9.170333233</x:v>
      </x:c>
      <x:c r="D4486" s="10" t="n">
        <x:v>560</x:v>
      </x:c>
      <x:c r="E4486" s="10" t="n">
        <x:v>0</x:v>
      </x:c>
      <x:c r="F4486" s="10" t="n">
        <x:v>0.004096</x:v>
      </x:c>
      <x:c r="G4486" s="10" t="n">
        <x:f>SUM(D4486:F4486)</x:f>
        <x:v>560.004096</x:v>
      </x:c>
    </x:row>
    <x:row r="4487" ht="24" customHeight="1">
      <x:c r="A4487" s="10" t="str">
        <x:v>S07-06</x:v>
      </x:c>
      <x:c r="B4487" s="10" t="str">
        <x:v>B</x:v>
      </x:c>
      <x:c r="C4487" s="18" t="n">
        <x:v>9.170333333</x:v>
      </x:c>
      <x:c r="D4487" s="10" t="n">
        <x:v>560</x:v>
      </x:c>
      <x:c r="E4487" s="10" t="n">
        <x:v>0.0096</x:v>
      </x:c>
      <x:c r="F4487" s="10" t="n">
        <x:v>0.004096</x:v>
      </x:c>
      <x:c r="G4487" s="10" t="n">
        <x:f>SUM(D4487:F4487)</x:f>
        <x:v>560.013696</x:v>
      </x:c>
    </x:row>
    <x:row r="4488" ht="24" customHeight="1">
      <x:c r="A4488" s="10" t="str">
        <x:v>S07-06</x:v>
      </x:c>
      <x:c r="B4488" s="10" t="str">
        <x:v>B</x:v>
      </x:c>
      <x:c r="C4488" s="18" t="n">
        <x:v>9.170333433</x:v>
      </x:c>
      <x:c r="D4488" s="10" t="n">
        <x:v>560</x:v>
      </x:c>
      <x:c r="E4488" s="10" t="n">
        <x:v>0.009600019</x:v>
      </x:c>
      <x:c r="F4488" s="10" t="n">
        <x:v>0.004096</x:v>
      </x:c>
      <x:c r="G4488" s="10" t="n">
        <x:f>SUM(D4488:F4488)</x:f>
        <x:v>560.013696019</x:v>
      </x:c>
    </x:row>
    <x:row r="4489" ht="24" customHeight="1">
      <x:c r="A4489" s="10" t="str">
        <x:v>S07-06</x:v>
      </x:c>
      <x:c r="B4489" s="10" t="str">
        <x:v>B</x:v>
      </x:c>
      <x:c r="C4489" s="18" t="n">
        <x:v>9.210333233</x:v>
      </x:c>
      <x:c r="D4489" s="10" t="n">
        <x:v>560</x:v>
      </x:c>
      <x:c r="E4489" s="10" t="n">
        <x:v>0.017279981</x:v>
      </x:c>
      <x:c r="F4489" s="10" t="n">
        <x:v>0.004096</x:v>
      </x:c>
      <x:c r="G4489" s="10" t="n">
        <x:f>SUM(D4489:F4489)</x:f>
        <x:v>560.021375981</x:v>
      </x:c>
    </x:row>
    <x:row r="4490" ht="24" customHeight="1">
      <x:c r="A4490" s="10" t="str">
        <x:v>S07-06</x:v>
      </x:c>
      <x:c r="B4490" s="10" t="str">
        <x:v>B</x:v>
      </x:c>
      <x:c r="C4490" s="18" t="n">
        <x:v>9.210333333</x:v>
      </x:c>
      <x:c r="D4490" s="10" t="n">
        <x:v>560</x:v>
      </x:c>
      <x:c r="E4490" s="10" t="n">
        <x:v>0.01728</x:v>
      </x:c>
      <x:c r="F4490" s="10" t="n">
        <x:v>0.004096</x:v>
      </x:c>
      <x:c r="G4490" s="10" t="n">
        <x:f>SUM(D4490:F4490)</x:f>
        <x:v>560.021376</x:v>
      </x:c>
    </x:row>
    <x:row r="4491" ht="24" customHeight="1">
      <x:c r="A4491" s="10" t="str">
        <x:v>S07-06</x:v>
      </x:c>
      <x:c r="B4491" s="10" t="str">
        <x:v>B</x:v>
      </x:c>
      <x:c r="C4491" s="18" t="n">
        <x:v>9.210333433</x:v>
      </x:c>
      <x:c r="D4491" s="10" t="n">
        <x:v>560</x:v>
      </x:c>
      <x:c r="E4491" s="10" t="n">
        <x:v>0.017280014</x:v>
      </x:c>
      <x:c r="F4491" s="10" t="n">
        <x:v>0.004096</x:v>
      </x:c>
      <x:c r="G4491" s="10" t="n">
        <x:f>SUM(D4491:F4491)</x:f>
        <x:v>560.021376014</x:v>
      </x:c>
    </x:row>
    <x:row r="4492" ht="24" customHeight="1">
      <x:c r="A4492" s="10" t="str">
        <x:v>S07-06</x:v>
      </x:c>
      <x:c r="B4492" s="10" t="str">
        <x:v>B</x:v>
      </x:c>
      <x:c r="C4492" s="18" t="n">
        <x:v>10.871833233</x:v>
      </x:c>
      <x:c r="D4492" s="10" t="n">
        <x:v>560</x:v>
      </x:c>
      <x:c r="E4492" s="10" t="n">
        <x:v>0.256535986</x:v>
      </x:c>
      <x:c r="F4492" s="10" t="n">
        <x:v>0.004096</x:v>
      </x:c>
      <x:c r="G4492" s="10" t="n">
        <x:f>SUM(D4492:F4492)</x:f>
        <x:v>560.260631986</x:v>
      </x:c>
    </x:row>
    <x:row r="4493" ht="24" customHeight="1">
      <x:c r="A4493" s="10" t="str">
        <x:v>S07-06</x:v>
      </x:c>
      <x:c r="B4493" s="10" t="str">
        <x:v>B</x:v>
      </x:c>
      <x:c r="C4493" s="18" t="n">
        <x:v>10.871833333</x:v>
      </x:c>
      <x:c r="D4493" s="10" t="n">
        <x:v>560</x:v>
      </x:c>
      <x:c r="E4493" s="10" t="n">
        <x:v>0.256536</x:v>
      </x:c>
      <x:c r="F4493" s="10" t="n">
        <x:v>0.004096</x:v>
      </x:c>
      <x:c r="G4493" s="10" t="n">
        <x:f>SUM(D4493:F4493)</x:f>
        <x:v>560.260632</x:v>
      </x:c>
    </x:row>
    <x:row r="4494" ht="24" customHeight="1">
      <x:c r="A4494" s="10" t="str">
        <x:v>S07-06</x:v>
      </x:c>
      <x:c r="B4494" s="10" t="str">
        <x:v>B</x:v>
      </x:c>
      <x:c r="C4494" s="18" t="n">
        <x:v>10.871833433</x:v>
      </x:c>
      <x:c r="D4494" s="10" t="n">
        <x:v>560</x:v>
      </x:c>
      <x:c r="E4494" s="10" t="n">
        <x:v>0.256535995</x:v>
      </x:c>
      <x:c r="F4494" s="10" t="n">
        <x:v>0.004096</x:v>
      </x:c>
      <x:c r="G4494" s="10" t="n">
        <x:f>SUM(D4494:F4494)</x:f>
        <x:v>560.260631995</x:v>
      </x:c>
    </x:row>
    <x:row r="4495" ht="24" customHeight="1">
      <x:c r="A4495" s="10" t="str">
        <x:v>S07-06</x:v>
      </x:c>
      <x:c r="B4495" s="10" t="str">
        <x:v>B</x:v>
      </x:c>
      <x:c r="C4495" s="18" t="n">
        <x:v>16.216333233</x:v>
      </x:c>
      <x:c r="D4495" s="10" t="n">
        <x:v>560</x:v>
      </x:c>
      <x:c r="E4495" s="10" t="n">
        <x:v>5e-9</x:v>
      </x:c>
      <x:c r="F4495" s="10" t="n">
        <x:v>0.004096</x:v>
      </x:c>
      <x:c r="G4495" s="10" t="n">
        <x:f>SUM(D4495:F4495)</x:f>
        <x:v>560.004096005</x:v>
      </x:c>
    </x:row>
    <x:row r="4496" ht="24" customHeight="1">
      <x:c r="A4496" s="10" t="str">
        <x:v>S07-06</x:v>
      </x:c>
      <x:c r="B4496" s="10" t="str">
        <x:v>B</x:v>
      </x:c>
      <x:c r="C4496" s="18" t="n">
        <x:v>16.216333333</x:v>
      </x:c>
      <x:c r="D4496" s="10" t="n">
        <x:v>560</x:v>
      </x:c>
      <x:c r="E4496" s="10" t="n">
        <x:v>0</x:v>
      </x:c>
      <x:c r="F4496" s="10" t="n">
        <x:v>0.004096</x:v>
      </x:c>
      <x:c r="G4496" s="10" t="n">
        <x:f>SUM(D4496:F4496)</x:f>
        <x:v>560.004096</x:v>
      </x:c>
    </x:row>
    <x:row r="4497" ht="24" customHeight="1">
      <x:c r="A4497" s="10" t="str">
        <x:v>S07-06</x:v>
      </x:c>
      <x:c r="B4497" s="10" t="str">
        <x:v>B</x:v>
      </x:c>
      <x:c r="C4497" s="18" t="n">
        <x:v>16.216333433</x:v>
      </x:c>
      <x:c r="D4497" s="10" t="n">
        <x:v>560</x:v>
      </x:c>
      <x:c r="E4497" s="10" t="n">
        <x:v>0</x:v>
      </x:c>
      <x:c r="F4497" s="10" t="n">
        <x:v>0</x:v>
      </x:c>
      <x:c r="G4497" s="10" t="n">
        <x:f>SUM(D4497:F4497)</x:f>
        <x:v>560</x:v>
      </x:c>
    </x:row>
    <x:row r="4498" ht="24" customHeight="1">
      <x:c r="A4498" s="10" t="str">
        <x:v>S07-07</x:v>
      </x:c>
      <x:c r="B4498" s="10" t="str">
        <x:v>A</x:v>
      </x:c>
      <x:c r="C4498" s="18" t="n">
        <x:v>-6.0000001</x:v>
      </x:c>
      <x:c r="D4498" s="10" t="n">
        <x:v>560</x:v>
      </x:c>
      <x:c r="E4498" s="10" t="n">
        <x:v>0</x:v>
      </x:c>
      <x:c r="F4498" s="10" t="n">
        <x:v>0</x:v>
      </x:c>
      <x:c r="G4498" s="10" t="n">
        <x:f>SUM(D4498:F4498)</x:f>
        <x:v>560</x:v>
      </x:c>
    </x:row>
    <x:row r="4499" ht="24" customHeight="1">
      <x:c r="A4499" s="10" t="str">
        <x:v>S07-07</x:v>
      </x:c>
      <x:c r="B4499" s="10" t="str">
        <x:v>A</x:v>
      </x:c>
      <x:c r="C4499" s="18" t="n">
        <x:v>-6</x:v>
      </x:c>
      <x:c r="D4499" s="10" t="n">
        <x:v>560</x:v>
      </x:c>
      <x:c r="E4499" s="10" t="n">
        <x:v>0</x:v>
      </x:c>
      <x:c r="F4499" s="10" t="n">
        <x:v>0</x:v>
      </x:c>
      <x:c r="G4499" s="10" t="n">
        <x:f>SUM(D4499:F4499)</x:f>
        <x:v>560</x:v>
      </x:c>
    </x:row>
    <x:row r="4500" ht="24" customHeight="1">
      <x:c r="A4500" s="10" t="str">
        <x:v>S07-07</x:v>
      </x:c>
      <x:c r="B4500" s="10" t="str">
        <x:v>A</x:v>
      </x:c>
      <x:c r="C4500" s="18" t="n">
        <x:v>-5.9999999</x:v>
      </x:c>
      <x:c r="D4500" s="10" t="n">
        <x:v>560</x:v>
      </x:c>
      <x:c r="E4500" s="10" t="n">
        <x:v>0</x:v>
      </x:c>
      <x:c r="F4500" s="10" t="n">
        <x:v>0</x:v>
      </x:c>
      <x:c r="G4500" s="10" t="n">
        <x:f>SUM(D4500:F4500)</x:f>
        <x:v>560</x:v>
      </x:c>
    </x:row>
    <x:row r="4501" ht="24" customHeight="1">
      <x:c r="A4501" s="10" t="str">
        <x:v>S07-07</x:v>
      </x:c>
      <x:c r="B4501" s="10" t="str">
        <x:v>A</x:v>
      </x:c>
      <x:c r="C4501" s="18" t="n">
        <x:v>-1.4000001</x:v>
      </x:c>
      <x:c r="D4501" s="10" t="n">
        <x:v>560</x:v>
      </x:c>
      <x:c r="E4501" s="10" t="n">
        <x:v>0</x:v>
      </x:c>
      <x:c r="F4501" s="10" t="n">
        <x:v>0</x:v>
      </x:c>
      <x:c r="G4501" s="10" t="n">
        <x:f>SUM(D4501:F4501)</x:f>
        <x:v>560</x:v>
      </x:c>
    </x:row>
    <x:row r="4502" ht="24" customHeight="1">
      <x:c r="A4502" s="10" t="str">
        <x:v>S07-07</x:v>
      </x:c>
      <x:c r="B4502" s="10" t="str">
        <x:v>A</x:v>
      </x:c>
      <x:c r="C4502" s="18" t="n">
        <x:v>-1.4</x:v>
      </x:c>
      <x:c r="D4502" s="10" t="n">
        <x:v>560</x:v>
      </x:c>
      <x:c r="E4502" s="10" t="n">
        <x:v>0</x:v>
      </x:c>
      <x:c r="F4502" s="10" t="n">
        <x:v>0.004096</x:v>
      </x:c>
      <x:c r="G4502" s="10" t="n">
        <x:f>SUM(D4502:F4502)</x:f>
        <x:v>560.004096</x:v>
      </x:c>
    </x:row>
    <x:row r="4503" ht="24" customHeight="1">
      <x:c r="A4503" s="10" t="str">
        <x:v>S07-07</x:v>
      </x:c>
      <x:c r="B4503" s="10" t="str">
        <x:v>A</x:v>
      </x:c>
      <x:c r="C4503" s="18" t="n">
        <x:v>-1.3999999</x:v>
      </x:c>
      <x:c r="D4503" s="10" t="n">
        <x:v>560</x:v>
      </x:c>
      <x:c r="E4503" s="10" t="n">
        <x:v>0</x:v>
      </x:c>
      <x:c r="F4503" s="10" t="n">
        <x:v>0.004096</x:v>
      </x:c>
      <x:c r="G4503" s="10" t="n">
        <x:f>SUM(D4503:F4503)</x:f>
        <x:v>560.004096</x:v>
      </x:c>
    </x:row>
    <x:row r="4504" ht="24" customHeight="1">
      <x:c r="A4504" s="10" t="str">
        <x:v>S07-07</x:v>
      </x:c>
      <x:c r="B4504" s="10" t="str">
        <x:v>A</x:v>
      </x:c>
      <x:c r="C4504" s="18" t="n">
        <x:v>-1.2000001</x:v>
      </x:c>
      <x:c r="D4504" s="10" t="n">
        <x:v>560</x:v>
      </x:c>
      <x:c r="E4504" s="10" t="n">
        <x:v>0</x:v>
      </x:c>
      <x:c r="F4504" s="10" t="n">
        <x:v>0.004096</x:v>
      </x:c>
      <x:c r="G4504" s="10" t="n">
        <x:f>SUM(D4504:F4504)</x:f>
        <x:v>560.004096</x:v>
      </x:c>
    </x:row>
    <x:row r="4505" ht="24" customHeight="1">
      <x:c r="A4505" s="10" t="str">
        <x:v>S07-07</x:v>
      </x:c>
      <x:c r="B4505" s="10" t="str">
        <x:v>A</x:v>
      </x:c>
      <x:c r="C4505" s="18" t="n">
        <x:v>-1.2</x:v>
      </x:c>
      <x:c r="D4505" s="10" t="n">
        <x:v>560</x:v>
      </x:c>
      <x:c r="E4505" s="10" t="n">
        <x:v>0</x:v>
      </x:c>
      <x:c r="F4505" s="10" t="n">
        <x:v>0.008192</x:v>
      </x:c>
      <x:c r="G4505" s="10" t="n">
        <x:f>SUM(D4505:F4505)</x:f>
        <x:v>560.008192</x:v>
      </x:c>
    </x:row>
    <x:row r="4506" ht="24" customHeight="1">
      <x:c r="A4506" s="10" t="str">
        <x:v>S07-07</x:v>
      </x:c>
      <x:c r="B4506" s="10" t="str">
        <x:v>A</x:v>
      </x:c>
      <x:c r="C4506" s="18" t="n">
        <x:v>-1.1999999</x:v>
      </x:c>
      <x:c r="D4506" s="10" t="n">
        <x:v>560</x:v>
      </x:c>
      <x:c r="E4506" s="10" t="n">
        <x:v>0</x:v>
      </x:c>
      <x:c r="F4506" s="10" t="n">
        <x:v>0.008192</x:v>
      </x:c>
      <x:c r="G4506" s="10" t="n">
        <x:f>SUM(D4506:F4506)</x:f>
        <x:v>560.008192</x:v>
      </x:c>
    </x:row>
    <x:row r="4507" ht="24" customHeight="1">
      <x:c r="A4507" s="10" t="str">
        <x:v>S07-07</x:v>
      </x:c>
      <x:c r="B4507" s="10" t="str">
        <x:v>A</x:v>
      </x:c>
      <x:c r="C4507" s="18" t="n">
        <x:v>-0.997666767</x:v>
      </x:c>
      <x:c r="D4507" s="10" t="n">
        <x:v>560</x:v>
      </x:c>
      <x:c r="E4507" s="10" t="n">
        <x:v>0</x:v>
      </x:c>
      <x:c r="F4507" s="10" t="n">
        <x:v>0.008192</x:v>
      </x:c>
      <x:c r="G4507" s="10" t="n">
        <x:f>SUM(D4507:F4507)</x:f>
        <x:v>560.008192</x:v>
      </x:c>
    </x:row>
    <x:row r="4508" ht="24" customHeight="1">
      <x:c r="A4508" s="10" t="str">
        <x:v>S07-07</x:v>
      </x:c>
      <x:c r="B4508" s="10" t="str">
        <x:v>A</x:v>
      </x:c>
      <x:c r="C4508" s="18" t="n">
        <x:v>-0.997666667</x:v>
      </x:c>
      <x:c r="D4508" s="10" t="n">
        <x:v>560</x:v>
      </x:c>
      <x:c r="E4508" s="10" t="n">
        <x:v>0.0096</x:v>
      </x:c>
      <x:c r="F4508" s="10" t="n">
        <x:v>0.008192</x:v>
      </x:c>
      <x:c r="G4508" s="10" t="n">
        <x:f>SUM(D4508:F4508)</x:f>
        <x:v>560.017792</x:v>
      </x:c>
    </x:row>
    <x:row r="4509" ht="24" customHeight="1">
      <x:c r="A4509" s="10" t="str">
        <x:v>S07-07</x:v>
      </x:c>
      <x:c r="B4509" s="10" t="str">
        <x:v>A</x:v>
      </x:c>
      <x:c r="C4509" s="18" t="n">
        <x:v>-0.997666567</x:v>
      </x:c>
      <x:c r="D4509" s="10" t="n">
        <x:v>560</x:v>
      </x:c>
      <x:c r="E4509" s="10" t="n">
        <x:v>0.009600019</x:v>
      </x:c>
      <x:c r="F4509" s="10" t="n">
        <x:v>0.008192</x:v>
      </x:c>
      <x:c r="G4509" s="10" t="n">
        <x:f>SUM(D4509:F4509)</x:f>
        <x:v>560.017792019</x:v>
      </x:c>
    </x:row>
    <x:row r="4510" ht="24" customHeight="1">
      <x:c r="A4510" s="10" t="str">
        <x:v>S07-07</x:v>
      </x:c>
      <x:c r="B4510" s="10" t="str">
        <x:v>A</x:v>
      </x:c>
      <x:c r="C4510" s="18" t="n">
        <x:v>-0.9000001</x:v>
      </x:c>
      <x:c r="D4510" s="10" t="n">
        <x:v>560</x:v>
      </x:c>
      <x:c r="E4510" s="10" t="n">
        <x:v>0.028351981</x:v>
      </x:c>
      <x:c r="F4510" s="10" t="n">
        <x:v>0.008192</x:v>
      </x:c>
      <x:c r="G4510" s="10" t="n">
        <x:f>SUM(D4510:F4510)</x:f>
        <x:v>560.036543981</x:v>
      </x:c>
    </x:row>
    <x:row r="4511" ht="24" customHeight="1">
      <x:c r="A4511" s="10" t="str">
        <x:v>S07-07</x:v>
      </x:c>
      <x:c r="B4511" s="10" t="str">
        <x:v>A</x:v>
      </x:c>
      <x:c r="C4511" s="18" t="n">
        <x:v>-0.9</x:v>
      </x:c>
      <x:c r="D4511" s="10" t="n">
        <x:v>560</x:v>
      </x:c>
      <x:c r="E4511" s="10" t="n">
        <x:v>0.028352</x:v>
      </x:c>
      <x:c r="F4511" s="10" t="n">
        <x:v>0.012288</x:v>
      </x:c>
      <x:c r="G4511" s="10" t="n">
        <x:f>SUM(D4511:F4511)</x:f>
        <x:v>560.04064</x:v>
      </x:c>
    </x:row>
    <x:row r="4512" ht="24" customHeight="1">
      <x:c r="A4512" s="10" t="str">
        <x:v>S07-07</x:v>
      </x:c>
      <x:c r="B4512" s="10" t="str">
        <x:v>A</x:v>
      </x:c>
      <x:c r="C4512" s="18" t="n">
        <x:v>-0.8999999</x:v>
      </x:c>
      <x:c r="D4512" s="10" t="n">
        <x:v>560</x:v>
      </x:c>
      <x:c r="E4512" s="10" t="n">
        <x:v>0.028352019</x:v>
      </x:c>
      <x:c r="F4512" s="10" t="n">
        <x:v>0.012288</x:v>
      </x:c>
      <x:c r="G4512" s="10" t="n">
        <x:f>SUM(D4512:F4512)</x:f>
        <x:v>560.040640019</x:v>
      </x:c>
    </x:row>
    <x:row r="4513" ht="24" customHeight="1">
      <x:c r="A4513" s="10" t="str">
        <x:v>S07-07</x:v>
      </x:c>
      <x:c r="B4513" s="10" t="str">
        <x:v>A</x:v>
      </x:c>
      <x:c r="C4513" s="18" t="n">
        <x:v>-0.7940001</x:v>
      </x:c>
      <x:c r="D4513" s="10" t="n">
        <x:v>560</x:v>
      </x:c>
      <x:c r="E4513" s="10" t="n">
        <x:v>0.048703981</x:v>
      </x:c>
      <x:c r="F4513" s="10" t="n">
        <x:v>0.012288</x:v>
      </x:c>
      <x:c r="G4513" s="10" t="n">
        <x:f>SUM(D4513:F4513)</x:f>
        <x:v>560.060991981</x:v>
      </x:c>
    </x:row>
    <x:row r="4514" ht="24" customHeight="1">
      <x:c r="A4514" s="10" t="str">
        <x:v>S07-07</x:v>
      </x:c>
      <x:c r="B4514" s="10" t="str">
        <x:v>A</x:v>
      </x:c>
      <x:c r="C4514" s="18" t="n">
        <x:v>-0.794</x:v>
      </x:c>
      <x:c r="D4514" s="10" t="n">
        <x:v>560</x:v>
      </x:c>
      <x:c r="E4514" s="10" t="n">
        <x:v>0.058304</x:v>
      </x:c>
      <x:c r="F4514" s="10" t="n">
        <x:v>0.012288</x:v>
      </x:c>
      <x:c r="G4514" s="10" t="n">
        <x:f>SUM(D4514:F4514)</x:f>
        <x:v>560.070592</x:v>
      </x:c>
    </x:row>
    <x:row r="4515" ht="24" customHeight="1">
      <x:c r="A4515" s="10" t="str">
        <x:v>S07-07</x:v>
      </x:c>
      <x:c r="B4515" s="10" t="str">
        <x:v>A</x:v>
      </x:c>
      <x:c r="C4515" s="18" t="n">
        <x:v>-0.7939999</x:v>
      </x:c>
      <x:c r="D4515" s="10" t="n">
        <x:v>560</x:v>
      </x:c>
      <x:c r="E4515" s="10" t="n">
        <x:v>0.058304038</x:v>
      </x:c>
      <x:c r="F4515" s="10" t="n">
        <x:v>0.012288</x:v>
      </x:c>
      <x:c r="G4515" s="10" t="n">
        <x:f>SUM(D4515:F4515)</x:f>
        <x:v>560.070592038</x:v>
      </x:c>
    </x:row>
    <x:row r="4516" ht="24" customHeight="1">
      <x:c r="A4516" s="10" t="str">
        <x:v>S07-07</x:v>
      </x:c>
      <x:c r="B4516" s="10" t="str">
        <x:v>A</x:v>
      </x:c>
      <x:c r="C4516" s="18" t="n">
        <x:v>-0.4900001</x:v>
      </x:c>
      <x:c r="D4516" s="10" t="n">
        <x:v>560</x:v>
      </x:c>
      <x:c r="E4516" s="10" t="n">
        <x:v>0.175039962</x:v>
      </x:c>
      <x:c r="F4516" s="10" t="n">
        <x:v>0.012288</x:v>
      </x:c>
      <x:c r="G4516" s="10" t="n">
        <x:f>SUM(D4516:F4516)</x:f>
        <x:v>560.187327962</x:v>
      </x:c>
    </x:row>
    <x:row r="4517" ht="24" customHeight="1">
      <x:c r="A4517" s="10" t="str">
        <x:v>S07-07</x:v>
      </x:c>
      <x:c r="B4517" s="10" t="str">
        <x:v>A</x:v>
      </x:c>
      <x:c r="C4517" s="18" t="n">
        <x:v>-0.49</x:v>
      </x:c>
      <x:c r="D4517" s="10" t="n">
        <x:v>560</x:v>
      </x:c>
      <x:c r="E4517" s="10" t="n">
        <x:v>0.18464</x:v>
      </x:c>
      <x:c r="F4517" s="10" t="n">
        <x:v>0.012288</x:v>
      </x:c>
      <x:c r="G4517" s="10" t="n">
        <x:f>SUM(D4517:F4517)</x:f>
        <x:v>560.196928</x:v>
      </x:c>
    </x:row>
    <x:row r="4518" ht="24" customHeight="1">
      <x:c r="A4518" s="10" t="str">
        <x:v>S07-07</x:v>
      </x:c>
      <x:c r="B4518" s="10" t="str">
        <x:v>A</x:v>
      </x:c>
      <x:c r="C4518" s="18" t="n">
        <x:v>-0.4899999</x:v>
      </x:c>
      <x:c r="D4518" s="10" t="n">
        <x:v>560</x:v>
      </x:c>
      <x:c r="E4518" s="10" t="n">
        <x:v>0.184640058</x:v>
      </x:c>
      <x:c r="F4518" s="10" t="n">
        <x:v>0.012288</x:v>
      </x:c>
      <x:c r="G4518" s="10" t="n">
        <x:f>SUM(D4518:F4518)</x:f>
        <x:v>560.196928058</x:v>
      </x:c>
    </x:row>
    <x:row r="4519" ht="24" customHeight="1">
      <x:c r="A4519" s="10" t="str">
        <x:v>S07-07</x:v>
      </x:c>
      <x:c r="B4519" s="10" t="str">
        <x:v>A</x:v>
      </x:c>
      <x:c r="C4519" s="18" t="n">
        <x:v>-0.293166767</x:v>
      </x:c>
      <x:c r="D4519" s="10" t="n">
        <x:v>560</x:v>
      </x:c>
      <x:c r="E4519" s="10" t="n">
        <x:v>0.298015942</x:v>
      </x:c>
      <x:c r="F4519" s="10" t="n">
        <x:v>0.012288</x:v>
      </x:c>
      <x:c r="G4519" s="10" t="n">
        <x:f>SUM(D4519:F4519)</x:f>
        <x:v>560.310303942</x:v>
      </x:c>
    </x:row>
    <x:row r="4520" ht="24" customHeight="1">
      <x:c r="A4520" s="10" t="str">
        <x:v>S07-07</x:v>
      </x:c>
      <x:c r="B4520" s="10" t="str">
        <x:v>A</x:v>
      </x:c>
      <x:c r="C4520" s="18" t="n">
        <x:v>-0.293166667</x:v>
      </x:c>
      <x:c r="D4520" s="10" t="n">
        <x:v>560</x:v>
      </x:c>
      <x:c r="E4520" s="10" t="n">
        <x:v>0.298016</x:v>
      </x:c>
      <x:c r="F4520" s="10" t="n">
        <x:v>0.012288</x:v>
      </x:c>
      <x:c r="G4520" s="10" t="n">
        <x:f>SUM(D4520:F4520)</x:f>
        <x:v>560.310304</x:v>
      </x:c>
    </x:row>
    <x:row r="4521" ht="24" customHeight="1">
      <x:c r="A4521" s="10" t="str">
        <x:v>S07-07</x:v>
      </x:c>
      <x:c r="B4521" s="10" t="str">
        <x:v>A</x:v>
      </x:c>
      <x:c r="C4521" s="18" t="n">
        <x:v>-0.293166567</x:v>
      </x:c>
      <x:c r="D4521" s="10" t="n">
        <x:v>560</x:v>
      </x:c>
      <x:c r="E4521" s="10" t="n">
        <x:v>0.298016038</x:v>
      </x:c>
      <x:c r="F4521" s="10" t="n">
        <x:v>0.012288</x:v>
      </x:c>
      <x:c r="G4521" s="10" t="n">
        <x:f>SUM(D4521:F4521)</x:f>
        <x:v>560.310304038</x:v>
      </x:c>
    </x:row>
    <x:row r="4522" ht="24" customHeight="1">
      <x:c r="A4522" s="10" t="str">
        <x:v>S07-07</x:v>
      </x:c>
      <x:c r="B4522" s="10" t="str">
        <x:v>A</x:v>
      </x:c>
      <x:c r="C4522" s="18" t="n">
        <x:v>-1e-7</x:v>
      </x:c>
      <x:c r="D4522" s="10" t="n">
        <x:v>560</x:v>
      </x:c>
      <x:c r="E4522" s="10" t="n">
        <x:v>0.410591962</x:v>
      </x:c>
      <x:c r="F4522" s="10" t="n">
        <x:v>0.012288</x:v>
      </x:c>
      <x:c r="G4522" s="10" t="n">
        <x:f>SUM(D4522:F4522)</x:f>
        <x:v>560.422879962</x:v>
      </x:c>
    </x:row>
    <x:row r="4523" ht="24" customHeight="1">
      <x:c r="A4523" s="10" t="str">
        <x:v>S07-07</x:v>
      </x:c>
      <x:c r="B4523" s="10" t="str">
        <x:v>A</x:v>
      </x:c>
      <x:c r="C4523" s="18" t="n">
        <x:v>0</x:v>
      </x:c>
      <x:c r="D4523" s="10" t="n">
        <x:v>560</x:v>
      </x:c>
      <x:c r="E4523" s="10" t="n">
        <x:v>0.410592</x:v>
      </x:c>
      <x:c r="F4523" s="10" t="n">
        <x:v>0.012288</x:v>
      </x:c>
      <x:c r="G4523" s="10" t="n">
        <x:f>SUM(D4523:F4523)</x:f>
        <x:v>560.42288</x:v>
      </x:c>
    </x:row>
    <x:row r="4524" ht="24" customHeight="1">
      <x:c r="A4524" s="10" t="str">
        <x:v>S07-07</x:v>
      </x:c>
      <x:c r="B4524" s="10" t="str">
        <x:v>A</x:v>
      </x:c>
      <x:c r="C4524" s="18" t="n">
        <x:v>1e-7</x:v>
      </x:c>
      <x:c r="D4524" s="10" t="n">
        <x:v>560</x:v>
      </x:c>
      <x:c r="E4524" s="10" t="n">
        <x:v>0.410592038</x:v>
      </x:c>
      <x:c r="F4524" s="10" t="n">
        <x:v>0.012288</x:v>
      </x:c>
      <x:c r="G4524" s="10" t="n">
        <x:f>SUM(D4524:F4524)</x:f>
        <x:v>560.422880038</x:v>
      </x:c>
    </x:row>
    <x:row r="4525" ht="24" customHeight="1">
      <x:c r="A4525" s="10" t="str">
        <x:v>S07-07</x:v>
      </x:c>
      <x:c r="B4525" s="10" t="str">
        <x:v>A</x:v>
      </x:c>
      <x:c r="C4525" s="18" t="n">
        <x:v>0.1604999</x:v>
      </x:c>
      <x:c r="D4525" s="10" t="n">
        <x:v>560</x:v>
      </x:c>
      <x:c r="E4525" s="10" t="n">
        <x:v>0.472223962</x:v>
      </x:c>
      <x:c r="F4525" s="10" t="n">
        <x:v>0.012288</x:v>
      </x:c>
      <x:c r="G4525" s="10" t="n">
        <x:f>SUM(D4525:F4525)</x:f>
        <x:v>560.484511962</x:v>
      </x:c>
    </x:row>
    <x:row r="4526" ht="24" customHeight="1">
      <x:c r="A4526" s="10" t="str">
        <x:v>S07-07</x:v>
      </x:c>
      <x:c r="B4526" s="10" t="str">
        <x:v>A</x:v>
      </x:c>
      <x:c r="C4526" s="18" t="n">
        <x:v>0.1605</x:v>
      </x:c>
      <x:c r="D4526" s="10" t="n">
        <x:v>560</x:v>
      </x:c>
      <x:c r="E4526" s="10" t="n">
        <x:v>0.472224</x:v>
      </x:c>
      <x:c r="F4526" s="10" t="n">
        <x:v>0.012288</x:v>
      </x:c>
      <x:c r="G4526" s="10" t="n">
        <x:f>SUM(D4526:F4526)</x:f>
        <x:v>560.484512</x:v>
      </x:c>
    </x:row>
    <x:row r="4527" ht="24" customHeight="1">
      <x:c r="A4527" s="10" t="str">
        <x:v>S07-07</x:v>
      </x:c>
      <x:c r="B4527" s="10" t="str">
        <x:v>A</x:v>
      </x:c>
      <x:c r="C4527" s="18" t="n">
        <x:v>0.1605001</x:v>
      </x:c>
      <x:c r="D4527" s="10" t="n">
        <x:v>560</x:v>
      </x:c>
      <x:c r="E4527" s="10" t="n">
        <x:v>0.472224019</x:v>
      </x:c>
      <x:c r="F4527" s="10" t="n">
        <x:v>0.012288</x:v>
      </x:c>
      <x:c r="G4527" s="10" t="n">
        <x:f>SUM(D4527:F4527)</x:f>
        <x:v>560.484512019</x:v>
      </x:c>
    </x:row>
    <x:row r="4528" ht="24" customHeight="1">
      <x:c r="A4528" s="10" t="str">
        <x:v>S07-07</x:v>
      </x:c>
      <x:c r="B4528" s="10" t="str">
        <x:v>A</x:v>
      </x:c>
      <x:c r="C4528" s="18" t="n">
        <x:v>0.888333233</x:v>
      </x:c>
      <x:c r="D4528" s="10" t="n">
        <x:v>560</x:v>
      </x:c>
      <x:c r="E4528" s="10" t="n">
        <x:v>0.611967981</x:v>
      </x:c>
      <x:c r="F4528" s="10" t="n">
        <x:v>0.012288</x:v>
      </x:c>
      <x:c r="G4528" s="10" t="n">
        <x:f>SUM(D4528:F4528)</x:f>
        <x:v>560.624255981</x:v>
      </x:c>
    </x:row>
    <x:row r="4529" ht="24" customHeight="1">
      <x:c r="A4529" s="10" t="str">
        <x:v>S07-07</x:v>
      </x:c>
      <x:c r="B4529" s="10" t="str">
        <x:v>A</x:v>
      </x:c>
      <x:c r="C4529" s="18" t="n">
        <x:v>0.888333333</x:v>
      </x:c>
      <x:c r="D4529" s="10" t="n">
        <x:v>560</x:v>
      </x:c>
      <x:c r="E4529" s="10" t="n">
        <x:v>0.611968</x:v>
      </x:c>
      <x:c r="F4529" s="10" t="n">
        <x:v>0.012288</x:v>
      </x:c>
      <x:c r="G4529" s="10" t="n">
        <x:f>SUM(D4529:F4529)</x:f>
        <x:v>560.6242560000001</x:v>
      </x:c>
    </x:row>
    <x:row r="4530" ht="24" customHeight="1">
      <x:c r="A4530" s="10" t="str">
        <x:v>S07-07</x:v>
      </x:c>
      <x:c r="B4530" s="10" t="str">
        <x:v>A</x:v>
      </x:c>
      <x:c r="C4530" s="18" t="n">
        <x:v>0.888333433</x:v>
      </x:c>
      <x:c r="D4530" s="10" t="n">
        <x:v>560</x:v>
      </x:c>
      <x:c r="E4530" s="10" t="n">
        <x:v>0.611968019</x:v>
      </x:c>
      <x:c r="F4530" s="10" t="n">
        <x:v>0.012288</x:v>
      </x:c>
      <x:c r="G4530" s="10" t="n">
        <x:f>SUM(D4530:F4530)</x:f>
        <x:v>560.624256019</x:v>
      </x:c>
    </x:row>
    <x:row r="4531" ht="24" customHeight="1">
      <x:c r="A4531" s="10" t="str">
        <x:v>S07-07</x:v>
      </x:c>
      <x:c r="B4531" s="10" t="str">
        <x:v>A</x:v>
      </x:c>
      <x:c r="C4531" s="18" t="n">
        <x:v>0.928333233</x:v>
      </x:c>
      <x:c r="D4531" s="10" t="n">
        <x:v>560</x:v>
      </x:c>
      <x:c r="E4531" s="10" t="n">
        <x:v>0.619647981</x:v>
      </x:c>
      <x:c r="F4531" s="10" t="n">
        <x:v>0.012288</x:v>
      </x:c>
      <x:c r="G4531" s="10" t="n">
        <x:f>SUM(D4531:F4531)</x:f>
        <x:v>560.631935981</x:v>
      </x:c>
    </x:row>
    <x:row r="4532" ht="24" customHeight="1">
      <x:c r="A4532" s="10" t="str">
        <x:v>S07-07</x:v>
      </x:c>
      <x:c r="B4532" s="10" t="str">
        <x:v>A</x:v>
      </x:c>
      <x:c r="C4532" s="18" t="n">
        <x:v>0.928333333</x:v>
      </x:c>
      <x:c r="D4532" s="10" t="n">
        <x:v>560</x:v>
      </x:c>
      <x:c r="E4532" s="10" t="n">
        <x:v>0.619648</x:v>
      </x:c>
      <x:c r="F4532" s="10" t="n">
        <x:v>0.012288</x:v>
      </x:c>
      <x:c r="G4532" s="10" t="n">
        <x:f>SUM(D4532:F4532)</x:f>
        <x:v>560.631936</x:v>
      </x:c>
    </x:row>
    <x:row r="4533" ht="24" customHeight="1">
      <x:c r="A4533" s="10" t="str">
        <x:v>S07-07</x:v>
      </x:c>
      <x:c r="B4533" s="10" t="str">
        <x:v>A</x:v>
      </x:c>
      <x:c r="C4533" s="18" t="n">
        <x:v>0.928333433</x:v>
      </x:c>
      <x:c r="D4533" s="10" t="n">
        <x:v>560</x:v>
      </x:c>
      <x:c r="E4533" s="10" t="n">
        <x:v>0.619648014</x:v>
      </x:c>
      <x:c r="F4533" s="10" t="n">
        <x:v>0.012288</x:v>
      </x:c>
      <x:c r="G4533" s="10" t="n">
        <x:f>SUM(D4533:F4533)</x:f>
        <x:v>560.631936014</x:v>
      </x:c>
    </x:row>
    <x:row r="4534" ht="24" customHeight="1">
      <x:c r="A4534" s="10" t="str">
        <x:v>S07-07</x:v>
      </x:c>
      <x:c r="B4534" s="10" t="str">
        <x:v>A</x:v>
      </x:c>
      <x:c r="C4534" s="18" t="n">
        <x:v>1.2144999</x:v>
      </x:c>
      <x:c r="D4534" s="10" t="n">
        <x:v>560</x:v>
      </x:c>
      <x:c r="E4534" s="10" t="n">
        <x:v>0.660855986</x:v>
      </x:c>
      <x:c r="F4534" s="10" t="n">
        <x:v>0.012288</x:v>
      </x:c>
      <x:c r="G4534" s="10" t="n">
        <x:f>SUM(D4534:F4534)</x:f>
        <x:v>560.673143986</x:v>
      </x:c>
    </x:row>
    <x:row r="4535" ht="24" customHeight="1">
      <x:c r="A4535" s="10" t="str">
        <x:v>S07-07</x:v>
      </x:c>
      <x:c r="B4535" s="10" t="str">
        <x:v>A</x:v>
      </x:c>
      <x:c r="C4535" s="18" t="n">
        <x:v>1.2145</x:v>
      </x:c>
      <x:c r="D4535" s="10" t="n">
        <x:v>560</x:v>
      </x:c>
      <x:c r="E4535" s="10" t="n">
        <x:v>0.660856</x:v>
      </x:c>
      <x:c r="F4535" s="10" t="n">
        <x:v>0.012288</x:v>
      </x:c>
      <x:c r="G4535" s="10" t="n">
        <x:f>SUM(D4535:F4535)</x:f>
        <x:v>560.673144</x:v>
      </x:c>
    </x:row>
    <x:row r="4536" ht="24" customHeight="1">
      <x:c r="A4536" s="10" t="str">
        <x:v>S07-07</x:v>
      </x:c>
      <x:c r="B4536" s="10" t="str">
        <x:v>A</x:v>
      </x:c>
      <x:c r="C4536" s="18" t="n">
        <x:v>1.2145001</x:v>
      </x:c>
      <x:c r="D4536" s="10" t="n">
        <x:v>560</x:v>
      </x:c>
      <x:c r="E4536" s="10" t="n">
        <x:v>0.660855995</x:v>
      </x:c>
      <x:c r="F4536" s="10" t="n">
        <x:v>0.012288</x:v>
      </x:c>
      <x:c r="G4536" s="10" t="n">
        <x:f>SUM(D4536:F4536)</x:f>
        <x:v>560.673143995</x:v>
      </x:c>
    </x:row>
    <x:row r="4537" ht="24" customHeight="1">
      <x:c r="A4537" s="10" t="str">
        <x:v>S07-07</x:v>
      </x:c>
      <x:c r="B4537" s="10" t="str">
        <x:v>A</x:v>
      </x:c>
      <x:c r="C4537" s="18" t="n">
        <x:v>3.946333233</x:v>
      </x:c>
      <x:c r="D4537" s="10" t="n">
        <x:v>560</x:v>
      </x:c>
      <x:c r="E4537" s="10" t="n">
        <x:v>0.529728005</x:v>
      </x:c>
      <x:c r="F4537" s="10" t="n">
        <x:v>0.012288</x:v>
      </x:c>
      <x:c r="G4537" s="10" t="n">
        <x:f>SUM(D4537:F4537)</x:f>
        <x:v>560.542016005</x:v>
      </x:c>
    </x:row>
    <x:row r="4538" ht="24" customHeight="1">
      <x:c r="A4538" s="10" t="str">
        <x:v>S07-07</x:v>
      </x:c>
      <x:c r="B4538" s="10" t="str">
        <x:v>A</x:v>
      </x:c>
      <x:c r="C4538" s="18" t="n">
        <x:v>3.946333333</x:v>
      </x:c>
      <x:c r="D4538" s="10" t="n">
        <x:v>560</x:v>
      </x:c>
      <x:c r="E4538" s="10" t="n">
        <x:v>0.529728</x:v>
      </x:c>
      <x:c r="F4538" s="10" t="n">
        <x:v>0.012288</x:v>
      </x:c>
      <x:c r="G4538" s="10" t="n">
        <x:f>SUM(D4538:F4538)</x:f>
        <x:v>560.542016</x:v>
      </x:c>
    </x:row>
    <x:row r="4539" ht="24" customHeight="1">
      <x:c r="A4539" s="10" t="str">
        <x:v>S07-07</x:v>
      </x:c>
      <x:c r="B4539" s="10" t="str">
        <x:v>A</x:v>
      </x:c>
      <x:c r="C4539" s="18" t="n">
        <x:v>3.946333433</x:v>
      </x:c>
      <x:c r="D4539" s="10" t="n">
        <x:v>560</x:v>
      </x:c>
      <x:c r="E4539" s="10" t="n">
        <x:v>0.529728</x:v>
      </x:c>
      <x:c r="F4539" s="10" t="n">
        <x:v>0.008192</x:v>
      </x:c>
      <x:c r="G4539" s="10" t="n">
        <x:f>SUM(D4539:F4539)</x:f>
        <x:v>560.53792</x:v>
      </x:c>
    </x:row>
    <x:row r="4540" ht="24" customHeight="1">
      <x:c r="A4540" s="10" t="str">
        <x:v>S07-07</x:v>
      </x:c>
      <x:c r="B4540" s="10" t="str">
        <x:v>A</x:v>
      </x:c>
      <x:c r="C4540" s="18" t="n">
        <x:v>3.986333233</x:v>
      </x:c>
      <x:c r="D4540" s="10" t="n">
        <x:v>560</x:v>
      </x:c>
      <x:c r="E4540" s="10" t="n">
        <x:v>0.529728</x:v>
      </x:c>
      <x:c r="F4540" s="10" t="n">
        <x:v>0.008192</x:v>
      </x:c>
      <x:c r="G4540" s="10" t="n">
        <x:f>SUM(D4540:F4540)</x:f>
        <x:v>560.53792</x:v>
      </x:c>
    </x:row>
    <x:row r="4541" ht="24" customHeight="1">
      <x:c r="A4541" s="10" t="str">
        <x:v>S07-07</x:v>
      </x:c>
      <x:c r="B4541" s="10" t="str">
        <x:v>A</x:v>
      </x:c>
      <x:c r="C4541" s="18" t="n">
        <x:v>3.986333333</x:v>
      </x:c>
      <x:c r="D4541" s="10" t="n">
        <x:v>560</x:v>
      </x:c>
      <x:c r="E4541" s="10" t="n">
        <x:v>0.529728</x:v>
      </x:c>
      <x:c r="F4541" s="10" t="n">
        <x:v>0.008192</x:v>
      </x:c>
      <x:c r="G4541" s="10" t="n">
        <x:f>SUM(D4541:F4541)</x:f>
        <x:v>560.53792</x:v>
      </x:c>
    </x:row>
    <x:row r="4542" ht="24" customHeight="1">
      <x:c r="A4542" s="10" t="str">
        <x:v>S07-07</x:v>
      </x:c>
      <x:c r="B4542" s="10" t="str">
        <x:v>A</x:v>
      </x:c>
      <x:c r="C4542" s="18" t="n">
        <x:v>3.986333433</x:v>
      </x:c>
      <x:c r="D4542" s="10" t="n">
        <x:v>560</x:v>
      </x:c>
      <x:c r="E4542" s="10" t="n">
        <x:v>0.529727995</x:v>
      </x:c>
      <x:c r="F4542" s="10" t="n">
        <x:v>0.008192</x:v>
      </x:c>
      <x:c r="G4542" s="10" t="n">
        <x:f>SUM(D4542:F4542)</x:f>
        <x:v>560.537919995</x:v>
      </x:c>
    </x:row>
    <x:row r="4543" ht="24" customHeight="1">
      <x:c r="A4543" s="10" t="str">
        <x:v>S07-07</x:v>
      </x:c>
      <x:c r="B4543" s="10" t="str">
        <x:v>A</x:v>
      </x:c>
      <x:c r="C4543" s="18" t="n">
        <x:v>8.004333233</x:v>
      </x:c>
      <x:c r="D4543" s="10" t="n">
        <x:v>560</x:v>
      </x:c>
      <x:c r="E4543" s="10" t="n">
        <x:v>0.336864005</x:v>
      </x:c>
      <x:c r="F4543" s="10" t="n">
        <x:v>0.008192</x:v>
      </x:c>
      <x:c r="G4543" s="10" t="n">
        <x:f>SUM(D4543:F4543)</x:f>
        <x:v>560.3450560050001</x:v>
      </x:c>
    </x:row>
    <x:row r="4544" ht="24" customHeight="1">
      <x:c r="A4544" s="10" t="str">
        <x:v>S07-07</x:v>
      </x:c>
      <x:c r="B4544" s="10" t="str">
        <x:v>A</x:v>
      </x:c>
      <x:c r="C4544" s="18" t="n">
        <x:v>8.004333333</x:v>
      </x:c>
      <x:c r="D4544" s="10" t="n">
        <x:v>560</x:v>
      </x:c>
      <x:c r="E4544" s="10" t="n">
        <x:v>0.336864</x:v>
      </x:c>
      <x:c r="F4544" s="10" t="n">
        <x:v>0.008192</x:v>
      </x:c>
      <x:c r="G4544" s="10" t="n">
        <x:f>SUM(D4544:F4544)</x:f>
        <x:v>560.345056</x:v>
      </x:c>
    </x:row>
    <x:row r="4545" ht="24" customHeight="1">
      <x:c r="A4545" s="10" t="str">
        <x:v>S07-07</x:v>
      </x:c>
      <x:c r="B4545" s="10" t="str">
        <x:v>A</x:v>
      </x:c>
      <x:c r="C4545" s="18" t="n">
        <x:v>8.004333433</x:v>
      </x:c>
      <x:c r="D4545" s="10" t="n">
        <x:v>560</x:v>
      </x:c>
      <x:c r="E4545" s="10" t="n">
        <x:v>0.336864</x:v>
      </x:c>
      <x:c r="F4545" s="10" t="n">
        <x:v>0.004096</x:v>
      </x:c>
      <x:c r="G4545" s="10" t="n">
        <x:f>SUM(D4545:F4545)</x:f>
        <x:v>560.34096</x:v>
      </x:c>
    </x:row>
    <x:row r="4546" ht="24" customHeight="1">
      <x:c r="A4546" s="10" t="str">
        <x:v>S07-07</x:v>
      </x:c>
      <x:c r="B4546" s="10" t="str">
        <x:v>A</x:v>
      </x:c>
      <x:c r="C4546" s="18" t="n">
        <x:v>8.044333233</x:v>
      </x:c>
      <x:c r="D4546" s="10" t="n">
        <x:v>560</x:v>
      </x:c>
      <x:c r="E4546" s="10" t="n">
        <x:v>0.336864</x:v>
      </x:c>
      <x:c r="F4546" s="10" t="n">
        <x:v>0.004096</x:v>
      </x:c>
      <x:c r="G4546" s="10" t="n">
        <x:f>SUM(D4546:F4546)</x:f>
        <x:v>560.34096</x:v>
      </x:c>
    </x:row>
    <x:row r="4547" ht="24" customHeight="1">
      <x:c r="A4547" s="10" t="str">
        <x:v>S07-07</x:v>
      </x:c>
      <x:c r="B4547" s="10" t="str">
        <x:v>A</x:v>
      </x:c>
      <x:c r="C4547" s="18" t="n">
        <x:v>8.044333333</x:v>
      </x:c>
      <x:c r="D4547" s="10" t="n">
        <x:v>560</x:v>
      </x:c>
      <x:c r="E4547" s="10" t="n">
        <x:v>0.336864</x:v>
      </x:c>
      <x:c r="F4547" s="10" t="n">
        <x:v>0.004096</x:v>
      </x:c>
      <x:c r="G4547" s="10" t="n">
        <x:f>SUM(D4547:F4547)</x:f>
        <x:v>560.34096</x:v>
      </x:c>
    </x:row>
    <x:row r="4548" ht="24" customHeight="1">
      <x:c r="A4548" s="10" t="str">
        <x:v>S07-07</x:v>
      </x:c>
      <x:c r="B4548" s="10" t="str">
        <x:v>A</x:v>
      </x:c>
      <x:c r="C4548" s="18" t="n">
        <x:v>8.044333433</x:v>
      </x:c>
      <x:c r="D4548" s="10" t="n">
        <x:v>560</x:v>
      </x:c>
      <x:c r="E4548" s="10" t="n">
        <x:v>0.336863995</x:v>
      </x:c>
      <x:c r="F4548" s="10" t="n">
        <x:v>0.004096</x:v>
      </x:c>
      <x:c r="G4548" s="10" t="n">
        <x:f>SUM(D4548:F4548)</x:f>
        <x:v>560.340959995</x:v>
      </x:c>
    </x:row>
    <x:row r="4549" ht="24" customHeight="1">
      <x:c r="A4549" s="10" t="str">
        <x:v>S07-07</x:v>
      </x:c>
      <x:c r="B4549" s="10" t="str">
        <x:v>A</x:v>
      </x:c>
      <x:c r="C4549" s="18" t="n">
        <x:v>15.062333233</x:v>
      </x:c>
      <x:c r="D4549" s="10" t="n">
        <x:v>560</x:v>
      </x:c>
      <x:c r="E4549" s="10" t="n">
        <x:v>5e-9</x:v>
      </x:c>
      <x:c r="F4549" s="10" t="n">
        <x:v>0.004096</x:v>
      </x:c>
      <x:c r="G4549" s="10" t="n">
        <x:f>SUM(D4549:F4549)</x:f>
        <x:v>560.004096005</x:v>
      </x:c>
    </x:row>
    <x:row r="4550" ht="24" customHeight="1">
      <x:c r="A4550" s="10" t="str">
        <x:v>S07-07</x:v>
      </x:c>
      <x:c r="B4550" s="10" t="str">
        <x:v>A</x:v>
      </x:c>
      <x:c r="C4550" s="18" t="n">
        <x:v>15.062333333</x:v>
      </x:c>
      <x:c r="D4550" s="10" t="n">
        <x:v>560</x:v>
      </x:c>
      <x:c r="E4550" s="10" t="n">
        <x:v>0</x:v>
      </x:c>
      <x:c r="F4550" s="10" t="n">
        <x:v>0.004096</x:v>
      </x:c>
      <x:c r="G4550" s="10" t="n">
        <x:f>SUM(D4550:F4550)</x:f>
        <x:v>560.004096</x:v>
      </x:c>
    </x:row>
    <x:row r="4551" ht="24" customHeight="1">
      <x:c r="A4551" s="10" t="str">
        <x:v>S07-07</x:v>
      </x:c>
      <x:c r="B4551" s="10" t="str">
        <x:v>A</x:v>
      </x:c>
      <x:c r="C4551" s="18" t="n">
        <x:v>15.062333433</x:v>
      </x:c>
      <x:c r="D4551" s="10" t="n">
        <x:v>560</x:v>
      </x:c>
      <x:c r="E4551" s="10" t="n">
        <x:v>0</x:v>
      </x:c>
      <x:c r="F4551" s="10" t="n">
        <x:v>0</x:v>
      </x:c>
      <x:c r="G4551" s="10" t="n">
        <x:f>SUM(D4551:F4551)</x:f>
        <x:v>560</x:v>
      </x:c>
    </x:row>
    <x:row r="4552" ht="24" customHeight="1">
      <x:c r="A4552" s="10" t="str">
        <x:v>S07-07</x:v>
      </x:c>
      <x:c r="B4552" s="10" t="str">
        <x:v>B</x:v>
      </x:c>
      <x:c r="C4552" s="18" t="n">
        <x:v>-6.0000001</x:v>
      </x:c>
      <x:c r="D4552" s="10" t="n">
        <x:v>560</x:v>
      </x:c>
      <x:c r="E4552" s="10" t="n">
        <x:v>0</x:v>
      </x:c>
      <x:c r="F4552" s="10" t="n">
        <x:v>0</x:v>
      </x:c>
      <x:c r="G4552" s="10" t="n">
        <x:f>SUM(D4552:F4552)</x:f>
        <x:v>560</x:v>
      </x:c>
    </x:row>
    <x:row r="4553" ht="24" customHeight="1">
      <x:c r="A4553" s="10" t="str">
        <x:v>S07-07</x:v>
      </x:c>
      <x:c r="B4553" s="10" t="str">
        <x:v>B</x:v>
      </x:c>
      <x:c r="C4553" s="18" t="n">
        <x:v>-6</x:v>
      </x:c>
      <x:c r="D4553" s="10" t="n">
        <x:v>560</x:v>
      </x:c>
      <x:c r="E4553" s="10" t="n">
        <x:v>0</x:v>
      </x:c>
      <x:c r="F4553" s="10" t="n">
        <x:v>0</x:v>
      </x:c>
      <x:c r="G4553" s="10" t="n">
        <x:f>SUM(D4553:F4553)</x:f>
        <x:v>560</x:v>
      </x:c>
    </x:row>
    <x:row r="4554" ht="24" customHeight="1">
      <x:c r="A4554" s="10" t="str">
        <x:v>S07-07</x:v>
      </x:c>
      <x:c r="B4554" s="10" t="str">
        <x:v>B</x:v>
      </x:c>
      <x:c r="C4554" s="18" t="n">
        <x:v>-5.9999999</x:v>
      </x:c>
      <x:c r="D4554" s="10" t="n">
        <x:v>560</x:v>
      </x:c>
      <x:c r="E4554" s="10" t="n">
        <x:v>0</x:v>
      </x:c>
      <x:c r="F4554" s="10" t="n">
        <x:v>0</x:v>
      </x:c>
      <x:c r="G4554" s="10" t="n">
        <x:f>SUM(D4554:F4554)</x:f>
        <x:v>560</x:v>
      </x:c>
    </x:row>
    <x:row r="4555" ht="24" customHeight="1">
      <x:c r="A4555" s="10" t="str">
        <x:v>S07-07</x:v>
      </x:c>
      <x:c r="B4555" s="10" t="str">
        <x:v>B</x:v>
      </x:c>
      <x:c r="C4555" s="18" t="n">
        <x:v>-1e-7</x:v>
      </x:c>
      <x:c r="D4555" s="10" t="n">
        <x:v>560</x:v>
      </x:c>
      <x:c r="E4555" s="10" t="n">
        <x:v>0</x:v>
      </x:c>
      <x:c r="F4555" s="10" t="n">
        <x:v>0</x:v>
      </x:c>
      <x:c r="G4555" s="10" t="n">
        <x:f>SUM(D4555:F4555)</x:f>
        <x:v>560</x:v>
      </x:c>
    </x:row>
    <x:row r="4556" ht="24" customHeight="1">
      <x:c r="A4556" s="10" t="str">
        <x:v>S07-07</x:v>
      </x:c>
      <x:c r="B4556" s="10" t="str">
        <x:v>B</x:v>
      </x:c>
      <x:c r="C4556" s="18" t="n">
        <x:v>0</x:v>
      </x:c>
      <x:c r="D4556" s="10" t="n">
        <x:v>560</x:v>
      </x:c>
      <x:c r="E4556" s="10" t="n">
        <x:v>0</x:v>
      </x:c>
      <x:c r="F4556" s="10" t="n">
        <x:v>0</x:v>
      </x:c>
      <x:c r="G4556" s="10" t="n">
        <x:f>SUM(D4556:F4556)</x:f>
        <x:v>560</x:v>
      </x:c>
    </x:row>
    <x:row r="4557" ht="24" customHeight="1">
      <x:c r="A4557" s="10" t="str">
        <x:v>S07-07</x:v>
      </x:c>
      <x:c r="B4557" s="10" t="str">
        <x:v>B</x:v>
      </x:c>
      <x:c r="C4557" s="18" t="n">
        <x:v>1e-7</x:v>
      </x:c>
      <x:c r="D4557" s="10" t="n">
        <x:v>560</x:v>
      </x:c>
      <x:c r="E4557" s="10" t="n">
        <x:v>0</x:v>
      </x:c>
      <x:c r="F4557" s="10" t="n">
        <x:v>0</x:v>
      </x:c>
      <x:c r="G4557" s="10" t="n">
        <x:f>SUM(D4557:F4557)</x:f>
        <x:v>560</x:v>
      </x:c>
    </x:row>
    <x:row r="4558" ht="24" customHeight="1">
      <x:c r="A4558" s="10" t="str">
        <x:v>S07-07</x:v>
      </x:c>
      <x:c r="B4558" s="10" t="str">
        <x:v>B</x:v>
      </x:c>
      <x:c r="C4558" s="18" t="n">
        <x:v>0.888333233</x:v>
      </x:c>
      <x:c r="D4558" s="10" t="n">
        <x:v>560</x:v>
      </x:c>
      <x:c r="E4558" s="10" t="n">
        <x:v>0</x:v>
      </x:c>
      <x:c r="F4558" s="10" t="n">
        <x:v>0</x:v>
      </x:c>
      <x:c r="G4558" s="10" t="n">
        <x:f>SUM(D4558:F4558)</x:f>
        <x:v>560</x:v>
      </x:c>
    </x:row>
    <x:row r="4559" ht="24" customHeight="1">
      <x:c r="A4559" s="10" t="str">
        <x:v>S07-07</x:v>
      </x:c>
      <x:c r="B4559" s="10" t="str">
        <x:v>B</x:v>
      </x:c>
      <x:c r="C4559" s="18" t="n">
        <x:v>0.888333333</x:v>
      </x:c>
      <x:c r="D4559" s="10" t="n">
        <x:v>560</x:v>
      </x:c>
      <x:c r="E4559" s="10" t="n">
        <x:v>0</x:v>
      </x:c>
      <x:c r="F4559" s="10" t="n">
        <x:v>0.004096</x:v>
      </x:c>
      <x:c r="G4559" s="10" t="n">
        <x:f>SUM(D4559:F4559)</x:f>
        <x:v>560.004096</x:v>
      </x:c>
    </x:row>
    <x:row r="4560" ht="24" customHeight="1">
      <x:c r="A4560" s="10" t="str">
        <x:v>S07-07</x:v>
      </x:c>
      <x:c r="B4560" s="10" t="str">
        <x:v>B</x:v>
      </x:c>
      <x:c r="C4560" s="18" t="n">
        <x:v>0.888333433</x:v>
      </x:c>
      <x:c r="D4560" s="10" t="n">
        <x:v>560</x:v>
      </x:c>
      <x:c r="E4560" s="10" t="n">
        <x:v>0</x:v>
      </x:c>
      <x:c r="F4560" s="10" t="n">
        <x:v>0.004096</x:v>
      </x:c>
      <x:c r="G4560" s="10" t="n">
        <x:f>SUM(D4560:F4560)</x:f>
        <x:v>560.004096</x:v>
      </x:c>
    </x:row>
    <x:row r="4561" ht="24" customHeight="1">
      <x:c r="A4561" s="10" t="str">
        <x:v>S07-07</x:v>
      </x:c>
      <x:c r="B4561" s="10" t="str">
        <x:v>B</x:v>
      </x:c>
      <x:c r="C4561" s="18" t="n">
        <x:v>1.290666566</x:v>
      </x:c>
      <x:c r="D4561" s="10" t="n">
        <x:v>560</x:v>
      </x:c>
      <x:c r="E4561" s="10" t="n">
        <x:v>0</x:v>
      </x:c>
      <x:c r="F4561" s="10" t="n">
        <x:v>0.004096</x:v>
      </x:c>
      <x:c r="G4561" s="10" t="n">
        <x:f>SUM(D4561:F4561)</x:f>
        <x:v>560.004096</x:v>
      </x:c>
    </x:row>
    <x:row r="4562" ht="24" customHeight="1">
      <x:c r="A4562" s="10" t="str">
        <x:v>S07-07</x:v>
      </x:c>
      <x:c r="B4562" s="10" t="str">
        <x:v>B</x:v>
      </x:c>
      <x:c r="C4562" s="18" t="n">
        <x:v>1.290666666</x:v>
      </x:c>
      <x:c r="D4562" s="10" t="n">
        <x:v>560</x:v>
      </x:c>
      <x:c r="E4562" s="10" t="n">
        <x:v>0.0096</x:v>
      </x:c>
      <x:c r="F4562" s="10" t="n">
        <x:v>0.004096</x:v>
      </x:c>
      <x:c r="G4562" s="10" t="n">
        <x:f>SUM(D4562:F4562)</x:f>
        <x:v>560.013696</x:v>
      </x:c>
    </x:row>
    <x:row r="4563" ht="24" customHeight="1">
      <x:c r="A4563" s="10" t="str">
        <x:v>S07-07</x:v>
      </x:c>
      <x:c r="B4563" s="10" t="str">
        <x:v>B</x:v>
      </x:c>
      <x:c r="C4563" s="18" t="n">
        <x:v>1.290666766</x:v>
      </x:c>
      <x:c r="D4563" s="10" t="n">
        <x:v>560</x:v>
      </x:c>
      <x:c r="E4563" s="10" t="n">
        <x:v>0.009600019</x:v>
      </x:c>
      <x:c r="F4563" s="10" t="n">
        <x:v>0.004096</x:v>
      </x:c>
      <x:c r="G4563" s="10" t="n">
        <x:f>SUM(D4563:F4563)</x:f>
        <x:v>560.013696019</x:v>
      </x:c>
    </x:row>
    <x:row r="4564" ht="24" customHeight="1">
      <x:c r="A4564" s="10" t="str">
        <x:v>S07-07</x:v>
      </x:c>
      <x:c r="B4564" s="10" t="str">
        <x:v>B</x:v>
      </x:c>
      <x:c r="C4564" s="18" t="n">
        <x:v>1.330666566</x:v>
      </x:c>
      <x:c r="D4564" s="10" t="n">
        <x:v>560</x:v>
      </x:c>
      <x:c r="E4564" s="10" t="n">
        <x:v>0.017279981</x:v>
      </x:c>
      <x:c r="F4564" s="10" t="n">
        <x:v>0.004096</x:v>
      </x:c>
      <x:c r="G4564" s="10" t="n">
        <x:f>SUM(D4564:F4564)</x:f>
        <x:v>560.021375981</x:v>
      </x:c>
    </x:row>
    <x:row r="4565" ht="24" customHeight="1">
      <x:c r="A4565" s="10" t="str">
        <x:v>S07-07</x:v>
      </x:c>
      <x:c r="B4565" s="10" t="str">
        <x:v>B</x:v>
      </x:c>
      <x:c r="C4565" s="18" t="n">
        <x:v>1.330666666</x:v>
      </x:c>
      <x:c r="D4565" s="10" t="n">
        <x:v>560</x:v>
      </x:c>
      <x:c r="E4565" s="10" t="n">
        <x:v>0.01728</x:v>
      </x:c>
      <x:c r="F4565" s="10" t="n">
        <x:v>0.004096</x:v>
      </x:c>
      <x:c r="G4565" s="10" t="n">
        <x:f>SUM(D4565:F4565)</x:f>
        <x:v>560.021376</x:v>
      </x:c>
    </x:row>
    <x:row r="4566" ht="24" customHeight="1">
      <x:c r="A4566" s="10" t="str">
        <x:v>S07-07</x:v>
      </x:c>
      <x:c r="B4566" s="10" t="str">
        <x:v>B</x:v>
      </x:c>
      <x:c r="C4566" s="18" t="n">
        <x:v>1.330666766</x:v>
      </x:c>
      <x:c r="D4566" s="10" t="n">
        <x:v>560</x:v>
      </x:c>
      <x:c r="E4566" s="10" t="n">
        <x:v>0.017280014</x:v>
      </x:c>
      <x:c r="F4566" s="10" t="n">
        <x:v>0.004096</x:v>
      </x:c>
      <x:c r="G4566" s="10" t="n">
        <x:f>SUM(D4566:F4566)</x:f>
        <x:v>560.021376014</x:v>
      </x:c>
    </x:row>
    <x:row r="4567" ht="24" customHeight="1">
      <x:c r="A4567" s="10" t="str">
        <x:v>S07-07</x:v>
      </x:c>
      <x:c r="B4567" s="10" t="str">
        <x:v>B</x:v>
      </x:c>
      <x:c r="C4567" s="18" t="n">
        <x:v>1.995166566</x:v>
      </x:c>
      <x:c r="D4567" s="10" t="n">
        <x:v>560</x:v>
      </x:c>
      <x:c r="E4567" s="10" t="n">
        <x:v>0.112967986</x:v>
      </x:c>
      <x:c r="F4567" s="10" t="n">
        <x:v>0.004096</x:v>
      </x:c>
      <x:c r="G4567" s="10" t="n">
        <x:f>SUM(D4567:F4567)</x:f>
        <x:v>560.117063986</x:v>
      </x:c>
    </x:row>
    <x:row r="4568" ht="24" customHeight="1">
      <x:c r="A4568" s="10" t="str">
        <x:v>S07-07</x:v>
      </x:c>
      <x:c r="B4568" s="10" t="str">
        <x:v>B</x:v>
      </x:c>
      <x:c r="C4568" s="18" t="n">
        <x:v>1.995166666</x:v>
      </x:c>
      <x:c r="D4568" s="10" t="n">
        <x:v>560</x:v>
      </x:c>
      <x:c r="E4568" s="10" t="n">
        <x:v>0.112968</x:v>
      </x:c>
      <x:c r="F4568" s="10" t="n">
        <x:v>0.004096</x:v>
      </x:c>
      <x:c r="G4568" s="10" t="n">
        <x:f>SUM(D4568:F4568)</x:f>
        <x:v>560.117064</x:v>
      </x:c>
    </x:row>
    <x:row r="4569" ht="24" customHeight="1">
      <x:c r="A4569" s="10" t="str">
        <x:v>S07-07</x:v>
      </x:c>
      <x:c r="B4569" s="10" t="str">
        <x:v>B</x:v>
      </x:c>
      <x:c r="C4569" s="18" t="n">
        <x:v>1.995166766</x:v>
      </x:c>
      <x:c r="D4569" s="10" t="n">
        <x:v>560</x:v>
      </x:c>
      <x:c r="E4569" s="10" t="n">
        <x:v>0.112967995</x:v>
      </x:c>
      <x:c r="F4569" s="10" t="n">
        <x:v>0.004096</x:v>
      </x:c>
      <x:c r="G4569" s="10" t="n">
        <x:f>SUM(D4569:F4569)</x:f>
        <x:v>560.117063995</x:v>
      </x:c>
    </x:row>
    <x:row r="4570" ht="24" customHeight="1">
      <x:c r="A4570" s="10" t="str">
        <x:v>S07-07</x:v>
      </x:c>
      <x:c r="B4570" s="10" t="str">
        <x:v>B</x:v>
      </x:c>
      <x:c r="C4570" s="18" t="n">
        <x:v>4.348666566</x:v>
      </x:c>
      <x:c r="D4570" s="10" t="n">
        <x:v>560</x:v>
      </x:c>
      <x:c r="E4570" s="10" t="n">
        <x:v>5e-9</x:v>
      </x:c>
      <x:c r="F4570" s="10" t="n">
        <x:v>0.004096</x:v>
      </x:c>
      <x:c r="G4570" s="10" t="n">
        <x:f>SUM(D4570:F4570)</x:f>
        <x:v>560.004096005</x:v>
      </x:c>
    </x:row>
    <x:row r="4571" ht="24" customHeight="1">
      <x:c r="A4571" s="10" t="str">
        <x:v>S07-07</x:v>
      </x:c>
      <x:c r="B4571" s="10" t="str">
        <x:v>B</x:v>
      </x:c>
      <x:c r="C4571" s="18" t="n">
        <x:v>4.348666666</x:v>
      </x:c>
      <x:c r="D4571" s="10" t="n">
        <x:v>560</x:v>
      </x:c>
      <x:c r="E4571" s="10" t="n">
        <x:v>0</x:v>
      </x:c>
      <x:c r="F4571" s="10" t="n">
        <x:v>0.008192</x:v>
      </x:c>
      <x:c r="G4571" s="10" t="n">
        <x:f>SUM(D4571:F4571)</x:f>
        <x:v>560.008192</x:v>
      </x:c>
    </x:row>
    <x:row r="4572" ht="24" customHeight="1">
      <x:c r="A4572" s="10" t="str">
        <x:v>S07-07</x:v>
      </x:c>
      <x:c r="B4572" s="10" t="str">
        <x:v>B</x:v>
      </x:c>
      <x:c r="C4572" s="18" t="n">
        <x:v>4.348666766</x:v>
      </x:c>
      <x:c r="D4572" s="10" t="n">
        <x:v>560</x:v>
      </x:c>
      <x:c r="E4572" s="10" t="n">
        <x:v>0</x:v>
      </x:c>
      <x:c r="F4572" s="10" t="n">
        <x:v>0.004096</x:v>
      </x:c>
      <x:c r="G4572" s="10" t="n">
        <x:f>SUM(D4572:F4572)</x:f>
        <x:v>560.004096</x:v>
      </x:c>
    </x:row>
    <x:row r="4573" ht="24" customHeight="1">
      <x:c r="A4573" s="10" t="str">
        <x:v>S07-07</x:v>
      </x:c>
      <x:c r="B4573" s="10" t="str">
        <x:v>B</x:v>
      </x:c>
      <x:c r="C4573" s="18" t="n">
        <x:v>4.754666566</x:v>
      </x:c>
      <x:c r="D4573" s="10" t="n">
        <x:v>560</x:v>
      </x:c>
      <x:c r="E4573" s="10" t="n">
        <x:v>0</x:v>
      </x:c>
      <x:c r="F4573" s="10" t="n">
        <x:v>0.004096</x:v>
      </x:c>
      <x:c r="G4573" s="10" t="n">
        <x:f>SUM(D4573:F4573)</x:f>
        <x:v>560.004096</x:v>
      </x:c>
    </x:row>
    <x:row r="4574" ht="24" customHeight="1">
      <x:c r="A4574" s="10" t="str">
        <x:v>S07-07</x:v>
      </x:c>
      <x:c r="B4574" s="10" t="str">
        <x:v>B</x:v>
      </x:c>
      <x:c r="C4574" s="18" t="n">
        <x:v>4.754666666</x:v>
      </x:c>
      <x:c r="D4574" s="10" t="n">
        <x:v>560</x:v>
      </x:c>
      <x:c r="E4574" s="10" t="n">
        <x:v>0.0096</x:v>
      </x:c>
      <x:c r="F4574" s="10" t="n">
        <x:v>0.004096</x:v>
      </x:c>
      <x:c r="G4574" s="10" t="n">
        <x:f>SUM(D4574:F4574)</x:f>
        <x:v>560.013696</x:v>
      </x:c>
    </x:row>
    <x:row r="4575" ht="24" customHeight="1">
      <x:c r="A4575" s="10" t="str">
        <x:v>S07-07</x:v>
      </x:c>
      <x:c r="B4575" s="10" t="str">
        <x:v>B</x:v>
      </x:c>
      <x:c r="C4575" s="18" t="n">
        <x:v>4.754666766</x:v>
      </x:c>
      <x:c r="D4575" s="10" t="n">
        <x:v>560</x:v>
      </x:c>
      <x:c r="E4575" s="10" t="n">
        <x:v>0.009600019</x:v>
      </x:c>
      <x:c r="F4575" s="10" t="n">
        <x:v>0.004096</x:v>
      </x:c>
      <x:c r="G4575" s="10" t="n">
        <x:f>SUM(D4575:F4575)</x:f>
        <x:v>560.013696019</x:v>
      </x:c>
    </x:row>
    <x:row r="4576" ht="24" customHeight="1">
      <x:c r="A4576" s="10" t="str">
        <x:v>S07-07</x:v>
      </x:c>
      <x:c r="B4576" s="10" t="str">
        <x:v>B</x:v>
      </x:c>
      <x:c r="C4576" s="18" t="n">
        <x:v>4.794666566</x:v>
      </x:c>
      <x:c r="D4576" s="10" t="n">
        <x:v>560</x:v>
      </x:c>
      <x:c r="E4576" s="10" t="n">
        <x:v>0.017279981</x:v>
      </x:c>
      <x:c r="F4576" s="10" t="n">
        <x:v>0.004096</x:v>
      </x:c>
      <x:c r="G4576" s="10" t="n">
        <x:f>SUM(D4576:F4576)</x:f>
        <x:v>560.021375981</x:v>
      </x:c>
    </x:row>
    <x:row r="4577" ht="24" customHeight="1">
      <x:c r="A4577" s="10" t="str">
        <x:v>S07-07</x:v>
      </x:c>
      <x:c r="B4577" s="10" t="str">
        <x:v>B</x:v>
      </x:c>
      <x:c r="C4577" s="18" t="n">
        <x:v>4.794666666</x:v>
      </x:c>
      <x:c r="D4577" s="10" t="n">
        <x:v>560</x:v>
      </x:c>
      <x:c r="E4577" s="10" t="n">
        <x:v>0.01728</x:v>
      </x:c>
      <x:c r="F4577" s="10" t="n">
        <x:v>0.004096</x:v>
      </x:c>
      <x:c r="G4577" s="10" t="n">
        <x:f>SUM(D4577:F4577)</x:f>
        <x:v>560.021376</x:v>
      </x:c>
    </x:row>
    <x:row r="4578" ht="24" customHeight="1">
      <x:c r="A4578" s="10" t="str">
        <x:v>S07-07</x:v>
      </x:c>
      <x:c r="B4578" s="10" t="str">
        <x:v>B</x:v>
      </x:c>
      <x:c r="C4578" s="18" t="n">
        <x:v>4.794666766</x:v>
      </x:c>
      <x:c r="D4578" s="10" t="n">
        <x:v>560</x:v>
      </x:c>
      <x:c r="E4578" s="10" t="n">
        <x:v>0.017280014</x:v>
      </x:c>
      <x:c r="F4578" s="10" t="n">
        <x:v>0.004096</x:v>
      </x:c>
      <x:c r="G4578" s="10" t="n">
        <x:f>SUM(D4578:F4578)</x:f>
        <x:v>560.021376014</x:v>
      </x:c>
    </x:row>
    <x:row r="4579" ht="24" customHeight="1">
      <x:c r="A4579" s="10" t="str">
        <x:v>S07-07</x:v>
      </x:c>
      <x:c r="B4579" s="10" t="str">
        <x:v>B</x:v>
      </x:c>
      <x:c r="C4579" s="18" t="n">
        <x:v>5.709166566</x:v>
      </x:c>
      <x:c r="D4579" s="10" t="n">
        <x:v>560</x:v>
      </x:c>
      <x:c r="E4579" s="10" t="n">
        <x:v>0.148967986</x:v>
      </x:c>
      <x:c r="F4579" s="10" t="n">
        <x:v>0.004096</x:v>
      </x:c>
      <x:c r="G4579" s="10" t="n">
        <x:f>SUM(D4579:F4579)</x:f>
        <x:v>560.153063986</x:v>
      </x:c>
    </x:row>
    <x:row r="4580" ht="24" customHeight="1">
      <x:c r="A4580" s="10" t="str">
        <x:v>S07-07</x:v>
      </x:c>
      <x:c r="B4580" s="10" t="str">
        <x:v>B</x:v>
      </x:c>
      <x:c r="C4580" s="18" t="n">
        <x:v>5.709166666</x:v>
      </x:c>
      <x:c r="D4580" s="10" t="n">
        <x:v>560</x:v>
      </x:c>
      <x:c r="E4580" s="10" t="n">
        <x:v>0.148968</x:v>
      </x:c>
      <x:c r="F4580" s="10" t="n">
        <x:v>0.004096</x:v>
      </x:c>
      <x:c r="G4580" s="10" t="n">
        <x:f>SUM(D4580:F4580)</x:f>
        <x:v>560.153064</x:v>
      </x:c>
    </x:row>
    <x:row r="4581" ht="24" customHeight="1">
      <x:c r="A4581" s="10" t="str">
        <x:v>S07-07</x:v>
      </x:c>
      <x:c r="B4581" s="10" t="str">
        <x:v>B</x:v>
      </x:c>
      <x:c r="C4581" s="18" t="n">
        <x:v>5.709166766</x:v>
      </x:c>
      <x:c r="D4581" s="10" t="n">
        <x:v>560</x:v>
      </x:c>
      <x:c r="E4581" s="10" t="n">
        <x:v>0.148967995</x:v>
      </x:c>
      <x:c r="F4581" s="10" t="n">
        <x:v>0.004096</x:v>
      </x:c>
      <x:c r="G4581" s="10" t="n">
        <x:f>SUM(D4581:F4581)</x:f>
        <x:v>560.153063995</x:v>
      </x:c>
    </x:row>
    <x:row r="4582" ht="24" customHeight="1">
      <x:c r="A4582" s="10" t="str">
        <x:v>S07-07</x:v>
      </x:c>
      <x:c r="B4582" s="10" t="str">
        <x:v>B</x:v>
      </x:c>
      <x:c r="C4582" s="18" t="n">
        <x:v>8.812666566</x:v>
      </x:c>
      <x:c r="D4582" s="10" t="n">
        <x:v>560</x:v>
      </x:c>
      <x:c r="E4582" s="10" t="n">
        <x:v>5e-9</x:v>
      </x:c>
      <x:c r="F4582" s="10" t="n">
        <x:v>0.004096</x:v>
      </x:c>
      <x:c r="G4582" s="10" t="n">
        <x:f>SUM(D4582:F4582)</x:f>
        <x:v>560.004096005</x:v>
      </x:c>
    </x:row>
    <x:row r="4583" ht="24" customHeight="1">
      <x:c r="A4583" s="10" t="str">
        <x:v>S07-07</x:v>
      </x:c>
      <x:c r="B4583" s="10" t="str">
        <x:v>B</x:v>
      </x:c>
      <x:c r="C4583" s="18" t="n">
        <x:v>8.812666666</x:v>
      </x:c>
      <x:c r="D4583" s="10" t="n">
        <x:v>560</x:v>
      </x:c>
      <x:c r="E4583" s="10" t="n">
        <x:v>0</x:v>
      </x:c>
      <x:c r="F4583" s="10" t="n">
        <x:v>0.008192</x:v>
      </x:c>
      <x:c r="G4583" s="10" t="n">
        <x:f>SUM(D4583:F4583)</x:f>
        <x:v>560.008192</x:v>
      </x:c>
    </x:row>
    <x:row r="4584" ht="24" customHeight="1">
      <x:c r="A4584" s="10" t="str">
        <x:v>S07-07</x:v>
      </x:c>
      <x:c r="B4584" s="10" t="str">
        <x:v>B</x:v>
      </x:c>
      <x:c r="C4584" s="18" t="n">
        <x:v>8.812666766</x:v>
      </x:c>
      <x:c r="D4584" s="10" t="n">
        <x:v>560</x:v>
      </x:c>
      <x:c r="E4584" s="10" t="n">
        <x:v>0</x:v>
      </x:c>
      <x:c r="F4584" s="10" t="n">
        <x:v>0.004096</x:v>
      </x:c>
      <x:c r="G4584" s="10" t="n">
        <x:f>SUM(D4584:F4584)</x:f>
        <x:v>560.004096</x:v>
      </x:c>
    </x:row>
    <x:row r="4585" ht="24" customHeight="1">
      <x:c r="A4585" s="10" t="str">
        <x:v>S07-07</x:v>
      </x:c>
      <x:c r="B4585" s="10" t="str">
        <x:v>B</x:v>
      </x:c>
      <x:c r="C4585" s="18" t="n">
        <x:v>9.222666566</x:v>
      </x:c>
      <x:c r="D4585" s="10" t="n">
        <x:v>560</x:v>
      </x:c>
      <x:c r="E4585" s="10" t="n">
        <x:v>0</x:v>
      </x:c>
      <x:c r="F4585" s="10" t="n">
        <x:v>0.004096</x:v>
      </x:c>
      <x:c r="G4585" s="10" t="n">
        <x:f>SUM(D4585:F4585)</x:f>
        <x:v>560.004096</x:v>
      </x:c>
    </x:row>
    <x:row r="4586" ht="24" customHeight="1">
      <x:c r="A4586" s="10" t="str">
        <x:v>S07-07</x:v>
      </x:c>
      <x:c r="B4586" s="10" t="str">
        <x:v>B</x:v>
      </x:c>
      <x:c r="C4586" s="18" t="n">
        <x:v>9.222666666</x:v>
      </x:c>
      <x:c r="D4586" s="10" t="n">
        <x:v>560</x:v>
      </x:c>
      <x:c r="E4586" s="10" t="n">
        <x:v>0.0096</x:v>
      </x:c>
      <x:c r="F4586" s="10" t="n">
        <x:v>0.004096</x:v>
      </x:c>
      <x:c r="G4586" s="10" t="n">
        <x:f>SUM(D4586:F4586)</x:f>
        <x:v>560.013696</x:v>
      </x:c>
    </x:row>
    <x:row r="4587" ht="24" customHeight="1">
      <x:c r="A4587" s="10" t="str">
        <x:v>S07-07</x:v>
      </x:c>
      <x:c r="B4587" s="10" t="str">
        <x:v>B</x:v>
      </x:c>
      <x:c r="C4587" s="18" t="n">
        <x:v>9.222666766</x:v>
      </x:c>
      <x:c r="D4587" s="10" t="n">
        <x:v>560</x:v>
      </x:c>
      <x:c r="E4587" s="10" t="n">
        <x:v>0.009600019</x:v>
      </x:c>
      <x:c r="F4587" s="10" t="n">
        <x:v>0.004096</x:v>
      </x:c>
      <x:c r="G4587" s="10" t="n">
        <x:f>SUM(D4587:F4587)</x:f>
        <x:v>560.013696019</x:v>
      </x:c>
    </x:row>
    <x:row r="4588" ht="24" customHeight="1">
      <x:c r="A4588" s="10" t="str">
        <x:v>S07-07</x:v>
      </x:c>
      <x:c r="B4588" s="10" t="str">
        <x:v>B</x:v>
      </x:c>
      <x:c r="C4588" s="18" t="n">
        <x:v>9.262666566</x:v>
      </x:c>
      <x:c r="D4588" s="10" t="n">
        <x:v>560</x:v>
      </x:c>
      <x:c r="E4588" s="10" t="n">
        <x:v>0.017279981</x:v>
      </x:c>
      <x:c r="F4588" s="10" t="n">
        <x:v>0.004096</x:v>
      </x:c>
      <x:c r="G4588" s="10" t="n">
        <x:f>SUM(D4588:F4588)</x:f>
        <x:v>560.021375981</x:v>
      </x:c>
    </x:row>
    <x:row r="4589" ht="24" customHeight="1">
      <x:c r="A4589" s="10" t="str">
        <x:v>S07-07</x:v>
      </x:c>
      <x:c r="B4589" s="10" t="str">
        <x:v>B</x:v>
      </x:c>
      <x:c r="C4589" s="18" t="n">
        <x:v>9.262666666</x:v>
      </x:c>
      <x:c r="D4589" s="10" t="n">
        <x:v>560</x:v>
      </x:c>
      <x:c r="E4589" s="10" t="n">
        <x:v>0.01728</x:v>
      </x:c>
      <x:c r="F4589" s="10" t="n">
        <x:v>0.004096</x:v>
      </x:c>
      <x:c r="G4589" s="10" t="n">
        <x:f>SUM(D4589:F4589)</x:f>
        <x:v>560.021376</x:v>
      </x:c>
    </x:row>
    <x:row r="4590" ht="24" customHeight="1">
      <x:c r="A4590" s="10" t="str">
        <x:v>S07-07</x:v>
      </x:c>
      <x:c r="B4590" s="10" t="str">
        <x:v>B</x:v>
      </x:c>
      <x:c r="C4590" s="18" t="n">
        <x:v>9.262666766</x:v>
      </x:c>
      <x:c r="D4590" s="10" t="n">
        <x:v>560</x:v>
      </x:c>
      <x:c r="E4590" s="10" t="n">
        <x:v>0.017280014</x:v>
      </x:c>
      <x:c r="F4590" s="10" t="n">
        <x:v>0.004096</x:v>
      </x:c>
      <x:c r="G4590" s="10" t="n">
        <x:f>SUM(D4590:F4590)</x:f>
        <x:v>560.021376014</x:v>
      </x:c>
    </x:row>
    <x:row r="4591" ht="24" customHeight="1">
      <x:c r="A4591" s="10" t="str">
        <x:v>S07-07</x:v>
      </x:c>
      <x:c r="B4591" s="10" t="str">
        <x:v>B</x:v>
      </x:c>
      <x:c r="C4591" s="18" t="n">
        <x:v>10.927166566</x:v>
      </x:c>
      <x:c r="D4591" s="10" t="n">
        <x:v>560</x:v>
      </x:c>
      <x:c r="E4591" s="10" t="n">
        <x:v>0.256967986</x:v>
      </x:c>
      <x:c r="F4591" s="10" t="n">
        <x:v>0.004096</x:v>
      </x:c>
      <x:c r="G4591" s="10" t="n">
        <x:f>SUM(D4591:F4591)</x:f>
        <x:v>560.261063986</x:v>
      </x:c>
    </x:row>
    <x:row r="4592" ht="24" customHeight="1">
      <x:c r="A4592" s="10" t="str">
        <x:v>S07-07</x:v>
      </x:c>
      <x:c r="B4592" s="10" t="str">
        <x:v>B</x:v>
      </x:c>
      <x:c r="C4592" s="18" t="n">
        <x:v>10.927166666</x:v>
      </x:c>
      <x:c r="D4592" s="10" t="n">
        <x:v>560</x:v>
      </x:c>
      <x:c r="E4592" s="10" t="n">
        <x:v>0.256968</x:v>
      </x:c>
      <x:c r="F4592" s="10" t="n">
        <x:v>0.004096</x:v>
      </x:c>
      <x:c r="G4592" s="10" t="n">
        <x:f>SUM(D4592:F4592)</x:f>
        <x:v>560.261064</x:v>
      </x:c>
    </x:row>
    <x:row r="4593" ht="24" customHeight="1">
      <x:c r="A4593" s="10" t="str">
        <x:v>S07-07</x:v>
      </x:c>
      <x:c r="B4593" s="10" t="str">
        <x:v>B</x:v>
      </x:c>
      <x:c r="C4593" s="18" t="n">
        <x:v>10.927166766</x:v>
      </x:c>
      <x:c r="D4593" s="10" t="n">
        <x:v>560</x:v>
      </x:c>
      <x:c r="E4593" s="10" t="n">
        <x:v>0.256967995</x:v>
      </x:c>
      <x:c r="F4593" s="10" t="n">
        <x:v>0.004096</x:v>
      </x:c>
      <x:c r="G4593" s="10" t="n">
        <x:f>SUM(D4593:F4593)</x:f>
        <x:v>560.261063995</x:v>
      </x:c>
    </x:row>
    <x:row r="4594" ht="24" customHeight="1">
      <x:c r="A4594" s="10" t="str">
        <x:v>S07-07</x:v>
      </x:c>
      <x:c r="B4594" s="10" t="str">
        <x:v>B</x:v>
      </x:c>
      <x:c r="C4594" s="18" t="n">
        <x:v>16.280666566</x:v>
      </x:c>
      <x:c r="D4594" s="10" t="n">
        <x:v>560</x:v>
      </x:c>
      <x:c r="E4594" s="10" t="n">
        <x:v>5e-9</x:v>
      </x:c>
      <x:c r="F4594" s="10" t="n">
        <x:v>0.004096</x:v>
      </x:c>
      <x:c r="G4594" s="10" t="n">
        <x:f>SUM(D4594:F4594)</x:f>
        <x:v>560.004096005</x:v>
      </x:c>
    </x:row>
    <x:row r="4595" ht="24" customHeight="1">
      <x:c r="A4595" s="10" t="str">
        <x:v>S07-07</x:v>
      </x:c>
      <x:c r="B4595" s="10" t="str">
        <x:v>B</x:v>
      </x:c>
      <x:c r="C4595" s="18" t="n">
        <x:v>16.280666666</x:v>
      </x:c>
      <x:c r="D4595" s="10" t="n">
        <x:v>560</x:v>
      </x:c>
      <x:c r="E4595" s="10" t="n">
        <x:v>0</x:v>
      </x:c>
      <x:c r="F4595" s="10" t="n">
        <x:v>0.004096</x:v>
      </x:c>
      <x:c r="G4595" s="10" t="n">
        <x:f>SUM(D4595:F4595)</x:f>
        <x:v>560.004096</x:v>
      </x:c>
    </x:row>
    <x:row r="4596" ht="24" customHeight="1">
      <x:c r="A4596" s="10" t="str">
        <x:v>S07-07</x:v>
      </x:c>
      <x:c r="B4596" s="10" t="str">
        <x:v>B</x:v>
      </x:c>
      <x:c r="C4596" s="18" t="n">
        <x:v>16.280666766</x:v>
      </x:c>
      <x:c r="D4596" s="10" t="n">
        <x:v>560</x:v>
      </x:c>
      <x:c r="E4596" s="10" t="n">
        <x:v>0</x:v>
      </x:c>
      <x:c r="F4596" s="10" t="n">
        <x:v>0</x:v>
      </x:c>
      <x:c r="G4596" s="10" t="n">
        <x:f>SUM(D4596:F4596)</x:f>
        <x:v>560</x:v>
      </x:c>
    </x:row>
    <x:row r="4597" ht="24" customHeight="1">
      <x:c r="A4597" s="10" t="str">
        <x:v>S07-08</x:v>
      </x:c>
      <x:c r="B4597" s="10" t="str">
        <x:v>A</x:v>
      </x:c>
      <x:c r="C4597" s="18" t="n">
        <x:v>-6.0000001</x:v>
      </x:c>
      <x:c r="D4597" s="10" t="n">
        <x:v>560</x:v>
      </x:c>
      <x:c r="E4597" s="10" t="n">
        <x:v>0</x:v>
      </x:c>
      <x:c r="F4597" s="10" t="n">
        <x:v>0</x:v>
      </x:c>
      <x:c r="G4597" s="10" t="n">
        <x:f>SUM(D4597:F4597)</x:f>
        <x:v>560</x:v>
      </x:c>
    </x:row>
    <x:row r="4598" ht="24" customHeight="1">
      <x:c r="A4598" s="10" t="str">
        <x:v>S07-08</x:v>
      </x:c>
      <x:c r="B4598" s="10" t="str">
        <x:v>A</x:v>
      </x:c>
      <x:c r="C4598" s="18" t="n">
        <x:v>-6</x:v>
      </x:c>
      <x:c r="D4598" s="10" t="n">
        <x:v>560</x:v>
      </x:c>
      <x:c r="E4598" s="10" t="n">
        <x:v>0</x:v>
      </x:c>
      <x:c r="F4598" s="10" t="n">
        <x:v>0</x:v>
      </x:c>
      <x:c r="G4598" s="10" t="n">
        <x:f>SUM(D4598:F4598)</x:f>
        <x:v>560</x:v>
      </x:c>
    </x:row>
    <x:row r="4599" ht="24" customHeight="1">
      <x:c r="A4599" s="10" t="str">
        <x:v>S07-08</x:v>
      </x:c>
      <x:c r="B4599" s="10" t="str">
        <x:v>A</x:v>
      </x:c>
      <x:c r="C4599" s="18" t="n">
        <x:v>-5.9999999</x:v>
      </x:c>
      <x:c r="D4599" s="10" t="n">
        <x:v>560</x:v>
      </x:c>
      <x:c r="E4599" s="10" t="n">
        <x:v>0</x:v>
      </x:c>
      <x:c r="F4599" s="10" t="n">
        <x:v>0</x:v>
      </x:c>
      <x:c r="G4599" s="10" t="n">
        <x:f>SUM(D4599:F4599)</x:f>
        <x:v>560</x:v>
      </x:c>
    </x:row>
    <x:row r="4600" ht="24" customHeight="1">
      <x:c r="A4600" s="10" t="str">
        <x:v>S07-08</x:v>
      </x:c>
      <x:c r="B4600" s="10" t="str">
        <x:v>A</x:v>
      </x:c>
      <x:c r="C4600" s="18" t="n">
        <x:v>-1.4000001</x:v>
      </x:c>
      <x:c r="D4600" s="10" t="n">
        <x:v>560</x:v>
      </x:c>
      <x:c r="E4600" s="10" t="n">
        <x:v>0</x:v>
      </x:c>
      <x:c r="F4600" s="10" t="n">
        <x:v>0</x:v>
      </x:c>
      <x:c r="G4600" s="10" t="n">
        <x:f>SUM(D4600:F4600)</x:f>
        <x:v>560</x:v>
      </x:c>
    </x:row>
    <x:row r="4601" ht="24" customHeight="1">
      <x:c r="A4601" s="10" t="str">
        <x:v>S07-08</x:v>
      </x:c>
      <x:c r="B4601" s="10" t="str">
        <x:v>A</x:v>
      </x:c>
      <x:c r="C4601" s="18" t="n">
        <x:v>-1.4</x:v>
      </x:c>
      <x:c r="D4601" s="10" t="n">
        <x:v>560</x:v>
      </x:c>
      <x:c r="E4601" s="10" t="n">
        <x:v>0</x:v>
      </x:c>
      <x:c r="F4601" s="10" t="n">
        <x:v>0.004096</x:v>
      </x:c>
      <x:c r="G4601" s="10" t="n">
        <x:f>SUM(D4601:F4601)</x:f>
        <x:v>560.004096</x:v>
      </x:c>
    </x:row>
    <x:row r="4602" ht="24" customHeight="1">
      <x:c r="A4602" s="10" t="str">
        <x:v>S07-08</x:v>
      </x:c>
      <x:c r="B4602" s="10" t="str">
        <x:v>A</x:v>
      </x:c>
      <x:c r="C4602" s="18" t="n">
        <x:v>-1.3999999</x:v>
      </x:c>
      <x:c r="D4602" s="10" t="n">
        <x:v>560</x:v>
      </x:c>
      <x:c r="E4602" s="10" t="n">
        <x:v>0</x:v>
      </x:c>
      <x:c r="F4602" s="10" t="n">
        <x:v>0.004096</x:v>
      </x:c>
      <x:c r="G4602" s="10" t="n">
        <x:f>SUM(D4602:F4602)</x:f>
        <x:v>560.004096</x:v>
      </x:c>
    </x:row>
    <x:row r="4603" ht="24" customHeight="1">
      <x:c r="A4603" s="10" t="str">
        <x:v>S07-08</x:v>
      </x:c>
      <x:c r="B4603" s="10" t="str">
        <x:v>A</x:v>
      </x:c>
      <x:c r="C4603" s="18" t="n">
        <x:v>-1.2000001</x:v>
      </x:c>
      <x:c r="D4603" s="10" t="n">
        <x:v>560</x:v>
      </x:c>
      <x:c r="E4603" s="10" t="n">
        <x:v>0</x:v>
      </x:c>
      <x:c r="F4603" s="10" t="n">
        <x:v>0.004096</x:v>
      </x:c>
      <x:c r="G4603" s="10" t="n">
        <x:f>SUM(D4603:F4603)</x:f>
        <x:v>560.004096</x:v>
      </x:c>
    </x:row>
    <x:row r="4604" ht="24" customHeight="1">
      <x:c r="A4604" s="10" t="str">
        <x:v>S07-08</x:v>
      </x:c>
      <x:c r="B4604" s="10" t="str">
        <x:v>A</x:v>
      </x:c>
      <x:c r="C4604" s="18" t="n">
        <x:v>-1.2</x:v>
      </x:c>
      <x:c r="D4604" s="10" t="n">
        <x:v>560</x:v>
      </x:c>
      <x:c r="E4604" s="10" t="n">
        <x:v>0</x:v>
      </x:c>
      <x:c r="F4604" s="10" t="n">
        <x:v>0.008192</x:v>
      </x:c>
      <x:c r="G4604" s="10" t="n">
        <x:f>SUM(D4604:F4604)</x:f>
        <x:v>560.008192</x:v>
      </x:c>
    </x:row>
    <x:row r="4605" ht="24" customHeight="1">
      <x:c r="A4605" s="10" t="str">
        <x:v>S07-08</x:v>
      </x:c>
      <x:c r="B4605" s="10" t="str">
        <x:v>A</x:v>
      </x:c>
      <x:c r="C4605" s="18" t="n">
        <x:v>-1.1999999</x:v>
      </x:c>
      <x:c r="D4605" s="10" t="n">
        <x:v>560</x:v>
      </x:c>
      <x:c r="E4605" s="10" t="n">
        <x:v>0</x:v>
      </x:c>
      <x:c r="F4605" s="10" t="n">
        <x:v>0.008192</x:v>
      </x:c>
      <x:c r="G4605" s="10" t="n">
        <x:f>SUM(D4605:F4605)</x:f>
        <x:v>560.008192</x:v>
      </x:c>
    </x:row>
    <x:row r="4606" ht="24" customHeight="1">
      <x:c r="A4606" s="10" t="str">
        <x:v>S07-08</x:v>
      </x:c>
      <x:c r="B4606" s="10" t="str">
        <x:v>A</x:v>
      </x:c>
      <x:c r="C4606" s="18" t="n">
        <x:v>-0.997666767</x:v>
      </x:c>
      <x:c r="D4606" s="10" t="n">
        <x:v>560</x:v>
      </x:c>
      <x:c r="E4606" s="10" t="n">
        <x:v>0</x:v>
      </x:c>
      <x:c r="F4606" s="10" t="n">
        <x:v>0.008192</x:v>
      </x:c>
      <x:c r="G4606" s="10" t="n">
        <x:f>SUM(D4606:F4606)</x:f>
        <x:v>560.008192</x:v>
      </x:c>
    </x:row>
    <x:row r="4607" ht="24" customHeight="1">
      <x:c r="A4607" s="10" t="str">
        <x:v>S07-08</x:v>
      </x:c>
      <x:c r="B4607" s="10" t="str">
        <x:v>A</x:v>
      </x:c>
      <x:c r="C4607" s="18" t="n">
        <x:v>-0.997666667</x:v>
      </x:c>
      <x:c r="D4607" s="10" t="n">
        <x:v>560</x:v>
      </x:c>
      <x:c r="E4607" s="10" t="n">
        <x:v>0.0096</x:v>
      </x:c>
      <x:c r="F4607" s="10" t="n">
        <x:v>0.008192</x:v>
      </x:c>
      <x:c r="G4607" s="10" t="n">
        <x:f>SUM(D4607:F4607)</x:f>
        <x:v>560.017792</x:v>
      </x:c>
    </x:row>
    <x:row r="4608" ht="24" customHeight="1">
      <x:c r="A4608" s="10" t="str">
        <x:v>S07-08</x:v>
      </x:c>
      <x:c r="B4608" s="10" t="str">
        <x:v>A</x:v>
      </x:c>
      <x:c r="C4608" s="18" t="n">
        <x:v>-0.997666567</x:v>
      </x:c>
      <x:c r="D4608" s="10" t="n">
        <x:v>560</x:v>
      </x:c>
      <x:c r="E4608" s="10" t="n">
        <x:v>0.009600019</x:v>
      </x:c>
      <x:c r="F4608" s="10" t="n">
        <x:v>0.008192</x:v>
      </x:c>
      <x:c r="G4608" s="10" t="n">
        <x:f>SUM(D4608:F4608)</x:f>
        <x:v>560.017792019</x:v>
      </x:c>
    </x:row>
    <x:row r="4609" ht="24" customHeight="1">
      <x:c r="A4609" s="10" t="str">
        <x:v>S07-08</x:v>
      </x:c>
      <x:c r="B4609" s="10" t="str">
        <x:v>A</x:v>
      </x:c>
      <x:c r="C4609" s="18" t="n">
        <x:v>-0.9000001</x:v>
      </x:c>
      <x:c r="D4609" s="10" t="n">
        <x:v>560</x:v>
      </x:c>
      <x:c r="E4609" s="10" t="n">
        <x:v>0.028351981</x:v>
      </x:c>
      <x:c r="F4609" s="10" t="n">
        <x:v>0.008192</x:v>
      </x:c>
      <x:c r="G4609" s="10" t="n">
        <x:f>SUM(D4609:F4609)</x:f>
        <x:v>560.036543981</x:v>
      </x:c>
    </x:row>
    <x:row r="4610" ht="24" customHeight="1">
      <x:c r="A4610" s="10" t="str">
        <x:v>S07-08</x:v>
      </x:c>
      <x:c r="B4610" s="10" t="str">
        <x:v>A</x:v>
      </x:c>
      <x:c r="C4610" s="18" t="n">
        <x:v>-0.9</x:v>
      </x:c>
      <x:c r="D4610" s="10" t="n">
        <x:v>560</x:v>
      </x:c>
      <x:c r="E4610" s="10" t="n">
        <x:v>0.028352</x:v>
      </x:c>
      <x:c r="F4610" s="10" t="n">
        <x:v>0.012288</x:v>
      </x:c>
      <x:c r="G4610" s="10" t="n">
        <x:f>SUM(D4610:F4610)</x:f>
        <x:v>560.04064</x:v>
      </x:c>
    </x:row>
    <x:row r="4611" ht="24" customHeight="1">
      <x:c r="A4611" s="10" t="str">
        <x:v>S07-08</x:v>
      </x:c>
      <x:c r="B4611" s="10" t="str">
        <x:v>A</x:v>
      </x:c>
      <x:c r="C4611" s="18" t="n">
        <x:v>-0.8999999</x:v>
      </x:c>
      <x:c r="D4611" s="10" t="n">
        <x:v>560</x:v>
      </x:c>
      <x:c r="E4611" s="10" t="n">
        <x:v>0.028352019</x:v>
      </x:c>
      <x:c r="F4611" s="10" t="n">
        <x:v>0.012288</x:v>
      </x:c>
      <x:c r="G4611" s="10" t="n">
        <x:f>SUM(D4611:F4611)</x:f>
        <x:v>560.040640019</x:v>
      </x:c>
    </x:row>
    <x:row r="4612" ht="24" customHeight="1">
      <x:c r="A4612" s="10" t="str">
        <x:v>S07-08</x:v>
      </x:c>
      <x:c r="B4612" s="10" t="str">
        <x:v>A</x:v>
      </x:c>
      <x:c r="C4612" s="18" t="n">
        <x:v>-0.7940001</x:v>
      </x:c>
      <x:c r="D4612" s="10" t="n">
        <x:v>560</x:v>
      </x:c>
      <x:c r="E4612" s="10" t="n">
        <x:v>0.048703981</x:v>
      </x:c>
      <x:c r="F4612" s="10" t="n">
        <x:v>0.012288</x:v>
      </x:c>
      <x:c r="G4612" s="10" t="n">
        <x:f>SUM(D4612:F4612)</x:f>
        <x:v>560.060991981</x:v>
      </x:c>
    </x:row>
    <x:row r="4613" ht="24" customHeight="1">
      <x:c r="A4613" s="10" t="str">
        <x:v>S07-08</x:v>
      </x:c>
      <x:c r="B4613" s="10" t="str">
        <x:v>A</x:v>
      </x:c>
      <x:c r="C4613" s="18" t="n">
        <x:v>-0.794</x:v>
      </x:c>
      <x:c r="D4613" s="10" t="n">
        <x:v>560</x:v>
      </x:c>
      <x:c r="E4613" s="10" t="n">
        <x:v>0.058304</x:v>
      </x:c>
      <x:c r="F4613" s="10" t="n">
        <x:v>0.012288</x:v>
      </x:c>
      <x:c r="G4613" s="10" t="n">
        <x:f>SUM(D4613:F4613)</x:f>
        <x:v>560.070592</x:v>
      </x:c>
    </x:row>
    <x:row r="4614" ht="24" customHeight="1">
      <x:c r="A4614" s="10" t="str">
        <x:v>S07-08</x:v>
      </x:c>
      <x:c r="B4614" s="10" t="str">
        <x:v>A</x:v>
      </x:c>
      <x:c r="C4614" s="18" t="n">
        <x:v>-0.7939999</x:v>
      </x:c>
      <x:c r="D4614" s="10" t="n">
        <x:v>560</x:v>
      </x:c>
      <x:c r="E4614" s="10" t="n">
        <x:v>0.058304038</x:v>
      </x:c>
      <x:c r="F4614" s="10" t="n">
        <x:v>0.012288</x:v>
      </x:c>
      <x:c r="G4614" s="10" t="n">
        <x:f>SUM(D4614:F4614)</x:f>
        <x:v>560.070592038</x:v>
      </x:c>
    </x:row>
    <x:row r="4615" ht="24" customHeight="1">
      <x:c r="A4615" s="10" t="str">
        <x:v>S07-08</x:v>
      </x:c>
      <x:c r="B4615" s="10" t="str">
        <x:v>A</x:v>
      </x:c>
      <x:c r="C4615" s="18" t="n">
        <x:v>-0.4900001</x:v>
      </x:c>
      <x:c r="D4615" s="10" t="n">
        <x:v>560</x:v>
      </x:c>
      <x:c r="E4615" s="10" t="n">
        <x:v>0.175039962</x:v>
      </x:c>
      <x:c r="F4615" s="10" t="n">
        <x:v>0.012288</x:v>
      </x:c>
      <x:c r="G4615" s="10" t="n">
        <x:f>SUM(D4615:F4615)</x:f>
        <x:v>560.187327962</x:v>
      </x:c>
    </x:row>
    <x:row r="4616" ht="24" customHeight="1">
      <x:c r="A4616" s="10" t="str">
        <x:v>S07-08</x:v>
      </x:c>
      <x:c r="B4616" s="10" t="str">
        <x:v>A</x:v>
      </x:c>
      <x:c r="C4616" s="18" t="n">
        <x:v>-0.49</x:v>
      </x:c>
      <x:c r="D4616" s="10" t="n">
        <x:v>560</x:v>
      </x:c>
      <x:c r="E4616" s="10" t="n">
        <x:v>0.18464</x:v>
      </x:c>
      <x:c r="F4616" s="10" t="n">
        <x:v>0.012288</x:v>
      </x:c>
      <x:c r="G4616" s="10" t="n">
        <x:f>SUM(D4616:F4616)</x:f>
        <x:v>560.196928</x:v>
      </x:c>
    </x:row>
    <x:row r="4617" ht="24" customHeight="1">
      <x:c r="A4617" s="10" t="str">
        <x:v>S07-08</x:v>
      </x:c>
      <x:c r="B4617" s="10" t="str">
        <x:v>A</x:v>
      </x:c>
      <x:c r="C4617" s="18" t="n">
        <x:v>-0.4899999</x:v>
      </x:c>
      <x:c r="D4617" s="10" t="n">
        <x:v>560</x:v>
      </x:c>
      <x:c r="E4617" s="10" t="n">
        <x:v>0.184640058</x:v>
      </x:c>
      <x:c r="F4617" s="10" t="n">
        <x:v>0.012288</x:v>
      </x:c>
      <x:c r="G4617" s="10" t="n">
        <x:f>SUM(D4617:F4617)</x:f>
        <x:v>560.196928058</x:v>
      </x:c>
    </x:row>
    <x:row r="4618" ht="24" customHeight="1">
      <x:c r="A4618" s="10" t="str">
        <x:v>S07-08</x:v>
      </x:c>
      <x:c r="B4618" s="10" t="str">
        <x:v>A</x:v>
      </x:c>
      <x:c r="C4618" s="18" t="n">
        <x:v>-0.290166767</x:v>
      </x:c>
      <x:c r="D4618" s="10" t="n">
        <x:v>560</x:v>
      </x:c>
      <x:c r="E4618" s="10" t="n">
        <x:v>0.299743942</x:v>
      </x:c>
      <x:c r="F4618" s="10" t="n">
        <x:v>0.012288</x:v>
      </x:c>
      <x:c r="G4618" s="10" t="n">
        <x:f>SUM(D4618:F4618)</x:f>
        <x:v>560.312031942</x:v>
      </x:c>
    </x:row>
    <x:row r="4619" ht="24" customHeight="1">
      <x:c r="A4619" s="10" t="str">
        <x:v>S07-08</x:v>
      </x:c>
      <x:c r="B4619" s="10" t="str">
        <x:v>A</x:v>
      </x:c>
      <x:c r="C4619" s="18" t="n">
        <x:v>-0.290166667</x:v>
      </x:c>
      <x:c r="D4619" s="10" t="n">
        <x:v>560</x:v>
      </x:c>
      <x:c r="E4619" s="10" t="n">
        <x:v>0.299744</x:v>
      </x:c>
      <x:c r="F4619" s="10" t="n">
        <x:v>0.012288</x:v>
      </x:c>
      <x:c r="G4619" s="10" t="n">
        <x:f>SUM(D4619:F4619)</x:f>
        <x:v>560.312032</x:v>
      </x:c>
    </x:row>
    <x:row r="4620" ht="24" customHeight="1">
      <x:c r="A4620" s="10" t="str">
        <x:v>S07-08</x:v>
      </x:c>
      <x:c r="B4620" s="10" t="str">
        <x:v>A</x:v>
      </x:c>
      <x:c r="C4620" s="18" t="n">
        <x:v>-0.290166567</x:v>
      </x:c>
      <x:c r="D4620" s="10" t="n">
        <x:v>560</x:v>
      </x:c>
      <x:c r="E4620" s="10" t="n">
        <x:v>0.299744038</x:v>
      </x:c>
      <x:c r="F4620" s="10" t="n">
        <x:v>0.012288</x:v>
      </x:c>
      <x:c r="G4620" s="10" t="n">
        <x:f>SUM(D4620:F4620)</x:f>
        <x:v>560.312032038</x:v>
      </x:c>
    </x:row>
    <x:row r="4621" ht="24" customHeight="1">
      <x:c r="A4621" s="10" t="str">
        <x:v>S07-08</x:v>
      </x:c>
      <x:c r="B4621" s="10" t="str">
        <x:v>A</x:v>
      </x:c>
      <x:c r="C4621" s="18" t="n">
        <x:v>-1e-7</x:v>
      </x:c>
      <x:c r="D4621" s="10" t="n">
        <x:v>560</x:v>
      </x:c>
      <x:c r="E4621" s="10" t="n">
        <x:v>0.411167962</x:v>
      </x:c>
      <x:c r="F4621" s="10" t="n">
        <x:v>0.012288</x:v>
      </x:c>
      <x:c r="G4621" s="10" t="n">
        <x:f>SUM(D4621:F4621)</x:f>
        <x:v>560.423455962</x:v>
      </x:c>
    </x:row>
    <x:row r="4622" ht="24" customHeight="1">
      <x:c r="A4622" s="10" t="str">
        <x:v>S07-08</x:v>
      </x:c>
      <x:c r="B4622" s="10" t="str">
        <x:v>A</x:v>
      </x:c>
      <x:c r="C4622" s="18" t="n">
        <x:v>0</x:v>
      </x:c>
      <x:c r="D4622" s="10" t="n">
        <x:v>560</x:v>
      </x:c>
      <x:c r="E4622" s="10" t="n">
        <x:v>0.411168</x:v>
      </x:c>
      <x:c r="F4622" s="10" t="n">
        <x:v>0.012288</x:v>
      </x:c>
      <x:c r="G4622" s="10" t="n">
        <x:f>SUM(D4622:F4622)</x:f>
        <x:v>560.423456</x:v>
      </x:c>
    </x:row>
    <x:row r="4623" ht="24" customHeight="1">
      <x:c r="A4623" s="10" t="str">
        <x:v>S07-08</x:v>
      </x:c>
      <x:c r="B4623" s="10" t="str">
        <x:v>A</x:v>
      </x:c>
      <x:c r="C4623" s="18" t="n">
        <x:v>1e-7</x:v>
      </x:c>
      <x:c r="D4623" s="10" t="n">
        <x:v>560</x:v>
      </x:c>
      <x:c r="E4623" s="10" t="n">
        <x:v>0.411168038</x:v>
      </x:c>
      <x:c r="F4623" s="10" t="n">
        <x:v>0.012288</x:v>
      </x:c>
      <x:c r="G4623" s="10" t="n">
        <x:f>SUM(D4623:F4623)</x:f>
        <x:v>560.423456038</x:v>
      </x:c>
    </x:row>
    <x:row r="4624" ht="24" customHeight="1">
      <x:c r="A4624" s="10" t="str">
        <x:v>S07-08</x:v>
      </x:c>
      <x:c r="B4624" s="10" t="str">
        <x:v>A</x:v>
      </x:c>
      <x:c r="C4624" s="18" t="n">
        <x:v>0.1634999</x:v>
      </x:c>
      <x:c r="D4624" s="10" t="n">
        <x:v>560</x:v>
      </x:c>
      <x:c r="E4624" s="10" t="n">
        <x:v>0.473951962</x:v>
      </x:c>
      <x:c r="F4624" s="10" t="n">
        <x:v>0.012288</x:v>
      </x:c>
      <x:c r="G4624" s="10" t="n">
        <x:f>SUM(D4624:F4624)</x:f>
        <x:v>560.486239962</x:v>
      </x:c>
    </x:row>
    <x:row r="4625" ht="24" customHeight="1">
      <x:c r="A4625" s="10" t="str">
        <x:v>S07-08</x:v>
      </x:c>
      <x:c r="B4625" s="10" t="str">
        <x:v>A</x:v>
      </x:c>
      <x:c r="C4625" s="18" t="n">
        <x:v>0.1635</x:v>
      </x:c>
      <x:c r="D4625" s="10" t="n">
        <x:v>560</x:v>
      </x:c>
      <x:c r="E4625" s="10" t="n">
        <x:v>0.473952</x:v>
      </x:c>
      <x:c r="F4625" s="10" t="n">
        <x:v>0.012288</x:v>
      </x:c>
      <x:c r="G4625" s="10" t="n">
        <x:f>SUM(D4625:F4625)</x:f>
        <x:v>560.4862400000001</x:v>
      </x:c>
    </x:row>
    <x:row r="4626" ht="24" customHeight="1">
      <x:c r="A4626" s="10" t="str">
        <x:v>S07-08</x:v>
      </x:c>
      <x:c r="B4626" s="10" t="str">
        <x:v>A</x:v>
      </x:c>
      <x:c r="C4626" s="18" t="n">
        <x:v>0.1635001</x:v>
      </x:c>
      <x:c r="D4626" s="10" t="n">
        <x:v>560</x:v>
      </x:c>
      <x:c r="E4626" s="10" t="n">
        <x:v>0.473952019</x:v>
      </x:c>
      <x:c r="F4626" s="10" t="n">
        <x:v>0.012288</x:v>
      </x:c>
      <x:c r="G4626" s="10" t="n">
        <x:f>SUM(D4626:F4626)</x:f>
        <x:v>560.486240019</x:v>
      </x:c>
    </x:row>
    <x:row r="4627" ht="24" customHeight="1">
      <x:c r="A4627" s="10" t="str">
        <x:v>S07-08</x:v>
      </x:c>
      <x:c r="B4627" s="10" t="str">
        <x:v>A</x:v>
      </x:c>
      <x:c r="C4627" s="18" t="n">
        <x:v>0.916666567</x:v>
      </x:c>
      <x:c r="D4627" s="10" t="n">
        <x:v>560</x:v>
      </x:c>
      <x:c r="E4627" s="10" t="n">
        <x:v>0.618559981</x:v>
      </x:c>
      <x:c r="F4627" s="10" t="n">
        <x:v>0.012288</x:v>
      </x:c>
      <x:c r="G4627" s="10" t="n">
        <x:f>SUM(D4627:F4627)</x:f>
        <x:v>560.630847981</x:v>
      </x:c>
    </x:row>
    <x:row r="4628" ht="24" customHeight="1">
      <x:c r="A4628" s="10" t="str">
        <x:v>S07-08</x:v>
      </x:c>
      <x:c r="B4628" s="10" t="str">
        <x:v>A</x:v>
      </x:c>
      <x:c r="C4628" s="18" t="n">
        <x:v>0.916666667</x:v>
      </x:c>
      <x:c r="D4628" s="10" t="n">
        <x:v>560</x:v>
      </x:c>
      <x:c r="E4628" s="10" t="n">
        <x:v>0.61856</x:v>
      </x:c>
      <x:c r="F4628" s="10" t="n">
        <x:v>0.012288</x:v>
      </x:c>
      <x:c r="G4628" s="10" t="n">
        <x:f>SUM(D4628:F4628)</x:f>
        <x:v>560.630848</x:v>
      </x:c>
    </x:row>
    <x:row r="4629" ht="24" customHeight="1">
      <x:c r="A4629" s="10" t="str">
        <x:v>S07-08</x:v>
      </x:c>
      <x:c r="B4629" s="10" t="str">
        <x:v>A</x:v>
      </x:c>
      <x:c r="C4629" s="18" t="n">
        <x:v>0.916666767</x:v>
      </x:c>
      <x:c r="D4629" s="10" t="n">
        <x:v>560</x:v>
      </x:c>
      <x:c r="E4629" s="10" t="n">
        <x:v>0.618560019</x:v>
      </x:c>
      <x:c r="F4629" s="10" t="n">
        <x:v>0.012288</x:v>
      </x:c>
      <x:c r="G4629" s="10" t="n">
        <x:f>SUM(D4629:F4629)</x:f>
        <x:v>560.630848019</x:v>
      </x:c>
    </x:row>
    <x:row r="4630" ht="24" customHeight="1">
      <x:c r="A4630" s="10" t="str">
        <x:v>S07-08</x:v>
      </x:c>
      <x:c r="B4630" s="10" t="str">
        <x:v>A</x:v>
      </x:c>
      <x:c r="C4630" s="18" t="n">
        <x:v>0.956666567</x:v>
      </x:c>
      <x:c r="D4630" s="10" t="n">
        <x:v>560</x:v>
      </x:c>
      <x:c r="E4630" s="10" t="n">
        <x:v>0.626239981</x:v>
      </x:c>
      <x:c r="F4630" s="10" t="n">
        <x:v>0.012288</x:v>
      </x:c>
      <x:c r="G4630" s="10" t="n">
        <x:f>SUM(D4630:F4630)</x:f>
        <x:v>560.638527981</x:v>
      </x:c>
    </x:row>
    <x:row r="4631" ht="24" customHeight="1">
      <x:c r="A4631" s="10" t="str">
        <x:v>S07-08</x:v>
      </x:c>
      <x:c r="B4631" s="10" t="str">
        <x:v>A</x:v>
      </x:c>
      <x:c r="C4631" s="18" t="n">
        <x:v>0.956666667</x:v>
      </x:c>
      <x:c r="D4631" s="10" t="n">
        <x:v>560</x:v>
      </x:c>
      <x:c r="E4631" s="10" t="n">
        <x:v>0.62624</x:v>
      </x:c>
      <x:c r="F4631" s="10" t="n">
        <x:v>0.012288</x:v>
      </x:c>
      <x:c r="G4631" s="10" t="n">
        <x:f>SUM(D4631:F4631)</x:f>
        <x:v>560.6385280000001</x:v>
      </x:c>
    </x:row>
    <x:row r="4632" ht="24" customHeight="1">
      <x:c r="A4632" s="10" t="str">
        <x:v>S07-08</x:v>
      </x:c>
      <x:c r="B4632" s="10" t="str">
        <x:v>A</x:v>
      </x:c>
      <x:c r="C4632" s="18" t="n">
        <x:v>0.956666767</x:v>
      </x:c>
      <x:c r="D4632" s="10" t="n">
        <x:v>560</x:v>
      </x:c>
      <x:c r="E4632" s="10" t="n">
        <x:v>0.626240014</x:v>
      </x:c>
      <x:c r="F4632" s="10" t="n">
        <x:v>0.012288</x:v>
      </x:c>
      <x:c r="G4632" s="10" t="n">
        <x:f>SUM(D4632:F4632)</x:f>
        <x:v>560.638528014</x:v>
      </x:c>
    </x:row>
    <x:row r="4633" ht="24" customHeight="1">
      <x:c r="A4633" s="10" t="str">
        <x:v>S07-08</x:v>
      </x:c>
      <x:c r="B4633" s="10" t="str">
        <x:v>A</x:v>
      </x:c>
      <x:c r="C4633" s="18" t="n">
        <x:v>1.2174999</x:v>
      </x:c>
      <x:c r="D4633" s="10" t="n">
        <x:v>560</x:v>
      </x:c>
      <x:c r="E4633" s="10" t="n">
        <x:v>0.663799986</x:v>
      </x:c>
      <x:c r="F4633" s="10" t="n">
        <x:v>0.012288</x:v>
      </x:c>
      <x:c r="G4633" s="10" t="n">
        <x:f>SUM(D4633:F4633)</x:f>
        <x:v>560.676087986</x:v>
      </x:c>
    </x:row>
    <x:row r="4634" ht="24" customHeight="1">
      <x:c r="A4634" s="10" t="str">
        <x:v>S07-08</x:v>
      </x:c>
      <x:c r="B4634" s="10" t="str">
        <x:v>A</x:v>
      </x:c>
      <x:c r="C4634" s="18" t="n">
        <x:v>1.2175</x:v>
      </x:c>
      <x:c r="D4634" s="10" t="n">
        <x:v>560</x:v>
      </x:c>
      <x:c r="E4634" s="10" t="n">
        <x:v>0.6638</x:v>
      </x:c>
      <x:c r="F4634" s="10" t="n">
        <x:v>0.012288</x:v>
      </x:c>
      <x:c r="G4634" s="10" t="n">
        <x:f>SUM(D4634:F4634)</x:f>
        <x:v>560.676088</x:v>
      </x:c>
    </x:row>
    <x:row r="4635" ht="24" customHeight="1">
      <x:c r="A4635" s="10" t="str">
        <x:v>S07-08</x:v>
      </x:c>
      <x:c r="B4635" s="10" t="str">
        <x:v>A</x:v>
      </x:c>
      <x:c r="C4635" s="18" t="n">
        <x:v>1.2175001</x:v>
      </x:c>
      <x:c r="D4635" s="10" t="n">
        <x:v>560</x:v>
      </x:c>
      <x:c r="E4635" s="10" t="n">
        <x:v>0.663799995</x:v>
      </x:c>
      <x:c r="F4635" s="10" t="n">
        <x:v>0.012288</x:v>
      </x:c>
      <x:c r="G4635" s="10" t="n">
        <x:f>SUM(D4635:F4635)</x:f>
        <x:v>560.676087995</x:v>
      </x:c>
    </x:row>
    <x:row r="4636" ht="24" customHeight="1">
      <x:c r="A4636" s="10" t="str">
        <x:v>S07-08</x:v>
      </x:c>
      <x:c r="B4636" s="10" t="str">
        <x:v>A</x:v>
      </x:c>
      <x:c r="C4636" s="18" t="n">
        <x:v>3.986666567</x:v>
      </x:c>
      <x:c r="D4636" s="10" t="n">
        <x:v>560</x:v>
      </x:c>
      <x:c r="E4636" s="10" t="n">
        <x:v>0.530880005</x:v>
      </x:c>
      <x:c r="F4636" s="10" t="n">
        <x:v>0.012288</x:v>
      </x:c>
      <x:c r="G4636" s="10" t="n">
        <x:f>SUM(D4636:F4636)</x:f>
        <x:v>560.543168005</x:v>
      </x:c>
    </x:row>
    <x:row r="4637" ht="24" customHeight="1">
      <x:c r="A4637" s="10" t="str">
        <x:v>S07-08</x:v>
      </x:c>
      <x:c r="B4637" s="10" t="str">
        <x:v>A</x:v>
      </x:c>
      <x:c r="C4637" s="18" t="n">
        <x:v>3.986666667</x:v>
      </x:c>
      <x:c r="D4637" s="10" t="n">
        <x:v>560</x:v>
      </x:c>
      <x:c r="E4637" s="10" t="n">
        <x:v>0.53088</x:v>
      </x:c>
      <x:c r="F4637" s="10" t="n">
        <x:v>0.012288</x:v>
      </x:c>
      <x:c r="G4637" s="10" t="n">
        <x:f>SUM(D4637:F4637)</x:f>
        <x:v>560.543168</x:v>
      </x:c>
    </x:row>
    <x:row r="4638" ht="24" customHeight="1">
      <x:c r="A4638" s="10" t="str">
        <x:v>S07-08</x:v>
      </x:c>
      <x:c r="B4638" s="10" t="str">
        <x:v>A</x:v>
      </x:c>
      <x:c r="C4638" s="18" t="n">
        <x:v>3.986666767</x:v>
      </x:c>
      <x:c r="D4638" s="10" t="n">
        <x:v>560</x:v>
      </x:c>
      <x:c r="E4638" s="10" t="n">
        <x:v>0.53088</x:v>
      </x:c>
      <x:c r="F4638" s="10" t="n">
        <x:v>0.008192</x:v>
      </x:c>
      <x:c r="G4638" s="10" t="n">
        <x:f>SUM(D4638:F4638)</x:f>
        <x:v>560.539072</x:v>
      </x:c>
    </x:row>
    <x:row r="4639" ht="24" customHeight="1">
      <x:c r="A4639" s="10" t="str">
        <x:v>S07-08</x:v>
      </x:c>
      <x:c r="B4639" s="10" t="str">
        <x:v>A</x:v>
      </x:c>
      <x:c r="C4639" s="18" t="n">
        <x:v>4.026666567</x:v>
      </x:c>
      <x:c r="D4639" s="10" t="n">
        <x:v>560</x:v>
      </x:c>
      <x:c r="E4639" s="10" t="n">
        <x:v>0.53088</x:v>
      </x:c>
      <x:c r="F4639" s="10" t="n">
        <x:v>0.008192</x:v>
      </x:c>
      <x:c r="G4639" s="10" t="n">
        <x:f>SUM(D4639:F4639)</x:f>
        <x:v>560.539072</x:v>
      </x:c>
    </x:row>
    <x:row r="4640" ht="24" customHeight="1">
      <x:c r="A4640" s="10" t="str">
        <x:v>S07-08</x:v>
      </x:c>
      <x:c r="B4640" s="10" t="str">
        <x:v>A</x:v>
      </x:c>
      <x:c r="C4640" s="18" t="n">
        <x:v>4.026666667</x:v>
      </x:c>
      <x:c r="D4640" s="10" t="n">
        <x:v>560</x:v>
      </x:c>
      <x:c r="E4640" s="10" t="n">
        <x:v>0.53088</x:v>
      </x:c>
      <x:c r="F4640" s="10" t="n">
        <x:v>0.008192</x:v>
      </x:c>
      <x:c r="G4640" s="10" t="n">
        <x:f>SUM(D4640:F4640)</x:f>
        <x:v>560.539072</x:v>
      </x:c>
    </x:row>
    <x:row r="4641" ht="24" customHeight="1">
      <x:c r="A4641" s="10" t="str">
        <x:v>S07-08</x:v>
      </x:c>
      <x:c r="B4641" s="10" t="str">
        <x:v>A</x:v>
      </x:c>
      <x:c r="C4641" s="18" t="n">
        <x:v>4.026666767</x:v>
      </x:c>
      <x:c r="D4641" s="10" t="n">
        <x:v>560</x:v>
      </x:c>
      <x:c r="E4641" s="10" t="n">
        <x:v>0.530879995</x:v>
      </x:c>
      <x:c r="F4641" s="10" t="n">
        <x:v>0.008192</x:v>
      </x:c>
      <x:c r="G4641" s="10" t="n">
        <x:f>SUM(D4641:F4641)</x:f>
        <x:v>560.539071995</x:v>
      </x:c>
    </x:row>
    <x:row r="4642" ht="24" customHeight="1">
      <x:c r="A4642" s="10" t="str">
        <x:v>S07-08</x:v>
      </x:c>
      <x:c r="B4642" s="10" t="str">
        <x:v>A</x:v>
      </x:c>
      <x:c r="C4642" s="18" t="n">
        <x:v>8.056666567</x:v>
      </x:c>
      <x:c r="D4642" s="10" t="n">
        <x:v>560</x:v>
      </x:c>
      <x:c r="E4642" s="10" t="n">
        <x:v>0.337440005</x:v>
      </x:c>
      <x:c r="F4642" s="10" t="n">
        <x:v>0.008192</x:v>
      </x:c>
      <x:c r="G4642" s="10" t="n">
        <x:f>SUM(D4642:F4642)</x:f>
        <x:v>560.345632005</x:v>
      </x:c>
    </x:row>
    <x:row r="4643" ht="24" customHeight="1">
      <x:c r="A4643" s="10" t="str">
        <x:v>S07-08</x:v>
      </x:c>
      <x:c r="B4643" s="10" t="str">
        <x:v>A</x:v>
      </x:c>
      <x:c r="C4643" s="18" t="n">
        <x:v>8.056666667</x:v>
      </x:c>
      <x:c r="D4643" s="10" t="n">
        <x:v>560</x:v>
      </x:c>
      <x:c r="E4643" s="10" t="n">
        <x:v>0.33744</x:v>
      </x:c>
      <x:c r="F4643" s="10" t="n">
        <x:v>0.008192</x:v>
      </x:c>
      <x:c r="G4643" s="10" t="n">
        <x:f>SUM(D4643:F4643)</x:f>
        <x:v>560.345632</x:v>
      </x:c>
    </x:row>
    <x:row r="4644" ht="24" customHeight="1">
      <x:c r="A4644" s="10" t="str">
        <x:v>S07-08</x:v>
      </x:c>
      <x:c r="B4644" s="10" t="str">
        <x:v>A</x:v>
      </x:c>
      <x:c r="C4644" s="18" t="n">
        <x:v>8.056666767</x:v>
      </x:c>
      <x:c r="D4644" s="10" t="n">
        <x:v>560</x:v>
      </x:c>
      <x:c r="E4644" s="10" t="n">
        <x:v>0.33744</x:v>
      </x:c>
      <x:c r="F4644" s="10" t="n">
        <x:v>0.004096</x:v>
      </x:c>
      <x:c r="G4644" s="10" t="n">
        <x:f>SUM(D4644:F4644)</x:f>
        <x:v>560.341536</x:v>
      </x:c>
    </x:row>
    <x:row r="4645" ht="24" customHeight="1">
      <x:c r="A4645" s="10" t="str">
        <x:v>S07-08</x:v>
      </x:c>
      <x:c r="B4645" s="10" t="str">
        <x:v>A</x:v>
      </x:c>
      <x:c r="C4645" s="18" t="n">
        <x:v>8.096666567</x:v>
      </x:c>
      <x:c r="D4645" s="10" t="n">
        <x:v>560</x:v>
      </x:c>
      <x:c r="E4645" s="10" t="n">
        <x:v>0.33744</x:v>
      </x:c>
      <x:c r="F4645" s="10" t="n">
        <x:v>0.004096</x:v>
      </x:c>
      <x:c r="G4645" s="10" t="n">
        <x:f>SUM(D4645:F4645)</x:f>
        <x:v>560.341536</x:v>
      </x:c>
    </x:row>
    <x:row r="4646" ht="24" customHeight="1">
      <x:c r="A4646" s="10" t="str">
        <x:v>S07-08</x:v>
      </x:c>
      <x:c r="B4646" s="10" t="str">
        <x:v>A</x:v>
      </x:c>
      <x:c r="C4646" s="18" t="n">
        <x:v>8.096666667</x:v>
      </x:c>
      <x:c r="D4646" s="10" t="n">
        <x:v>560</x:v>
      </x:c>
      <x:c r="E4646" s="10" t="n">
        <x:v>0.33744</x:v>
      </x:c>
      <x:c r="F4646" s="10" t="n">
        <x:v>0.004096</x:v>
      </x:c>
      <x:c r="G4646" s="10" t="n">
        <x:f>SUM(D4646:F4646)</x:f>
        <x:v>560.341536</x:v>
      </x:c>
    </x:row>
    <x:row r="4647" ht="24" customHeight="1">
      <x:c r="A4647" s="10" t="str">
        <x:v>S07-08</x:v>
      </x:c>
      <x:c r="B4647" s="10" t="str">
        <x:v>A</x:v>
      </x:c>
      <x:c r="C4647" s="18" t="n">
        <x:v>8.096666767</x:v>
      </x:c>
      <x:c r="D4647" s="10" t="n">
        <x:v>560</x:v>
      </x:c>
      <x:c r="E4647" s="10" t="n">
        <x:v>0.337439995</x:v>
      </x:c>
      <x:c r="F4647" s="10" t="n">
        <x:v>0.004096</x:v>
      </x:c>
      <x:c r="G4647" s="10" t="n">
        <x:f>SUM(D4647:F4647)</x:f>
        <x:v>560.341535995</x:v>
      </x:c>
    </x:row>
    <x:row r="4648" ht="24" customHeight="1">
      <x:c r="A4648" s="10" t="str">
        <x:v>S07-08</x:v>
      </x:c>
      <x:c r="B4648" s="10" t="str">
        <x:v>A</x:v>
      </x:c>
      <x:c r="C4648" s="18" t="n">
        <x:v>15.126666567</x:v>
      </x:c>
      <x:c r="D4648" s="10" t="n">
        <x:v>560</x:v>
      </x:c>
      <x:c r="E4648" s="10" t="n">
        <x:v>5e-9</x:v>
      </x:c>
      <x:c r="F4648" s="10" t="n">
        <x:v>0.004096</x:v>
      </x:c>
      <x:c r="G4648" s="10" t="n">
        <x:f>SUM(D4648:F4648)</x:f>
        <x:v>560.004096005</x:v>
      </x:c>
    </x:row>
    <x:row r="4649" ht="24" customHeight="1">
      <x:c r="A4649" s="10" t="str">
        <x:v>S07-08</x:v>
      </x:c>
      <x:c r="B4649" s="10" t="str">
        <x:v>A</x:v>
      </x:c>
      <x:c r="C4649" s="18" t="n">
        <x:v>15.126666667</x:v>
      </x:c>
      <x:c r="D4649" s="10" t="n">
        <x:v>560</x:v>
      </x:c>
      <x:c r="E4649" s="10" t="n">
        <x:v>0</x:v>
      </x:c>
      <x:c r="F4649" s="10" t="n">
        <x:v>0.004096</x:v>
      </x:c>
      <x:c r="G4649" s="10" t="n">
        <x:f>SUM(D4649:F4649)</x:f>
        <x:v>560.004096</x:v>
      </x:c>
    </x:row>
    <x:row r="4650" ht="24" customHeight="1">
      <x:c r="A4650" s="10" t="str">
        <x:v>S07-08</x:v>
      </x:c>
      <x:c r="B4650" s="10" t="str">
        <x:v>A</x:v>
      </x:c>
      <x:c r="C4650" s="18" t="n">
        <x:v>15.126666767</x:v>
      </x:c>
      <x:c r="D4650" s="10" t="n">
        <x:v>560</x:v>
      </x:c>
      <x:c r="E4650" s="10" t="n">
        <x:v>0</x:v>
      </x:c>
      <x:c r="F4650" s="10" t="n">
        <x:v>0</x:v>
      </x:c>
      <x:c r="G4650" s="10" t="n">
        <x:f>SUM(D4650:F4650)</x:f>
        <x:v>560</x:v>
      </x:c>
    </x:row>
    <x:row r="4651" ht="24" customHeight="1">
      <x:c r="A4651" s="10" t="str">
        <x:v>S07-08</x:v>
      </x:c>
      <x:c r="B4651" s="10" t="str">
        <x:v>B</x:v>
      </x:c>
      <x:c r="C4651" s="18" t="n">
        <x:v>-6.0000001</x:v>
      </x:c>
      <x:c r="D4651" s="10" t="n">
        <x:v>560</x:v>
      </x:c>
      <x:c r="E4651" s="10" t="n">
        <x:v>0</x:v>
      </x:c>
      <x:c r="F4651" s="10" t="n">
        <x:v>0</x:v>
      </x:c>
      <x:c r="G4651" s="10" t="n">
        <x:f>SUM(D4651:F4651)</x:f>
        <x:v>560</x:v>
      </x:c>
    </x:row>
    <x:row r="4652" ht="24" customHeight="1">
      <x:c r="A4652" s="10" t="str">
        <x:v>S07-08</x:v>
      </x:c>
      <x:c r="B4652" s="10" t="str">
        <x:v>B</x:v>
      </x:c>
      <x:c r="C4652" s="18" t="n">
        <x:v>-6</x:v>
      </x:c>
      <x:c r="D4652" s="10" t="n">
        <x:v>560</x:v>
      </x:c>
      <x:c r="E4652" s="10" t="n">
        <x:v>0</x:v>
      </x:c>
      <x:c r="F4652" s="10" t="n">
        <x:v>0</x:v>
      </x:c>
      <x:c r="G4652" s="10" t="n">
        <x:f>SUM(D4652:F4652)</x:f>
        <x:v>560</x:v>
      </x:c>
    </x:row>
    <x:row r="4653" ht="24" customHeight="1">
      <x:c r="A4653" s="10" t="str">
        <x:v>S07-08</x:v>
      </x:c>
      <x:c r="B4653" s="10" t="str">
        <x:v>B</x:v>
      </x:c>
      <x:c r="C4653" s="18" t="n">
        <x:v>-5.9999999</x:v>
      </x:c>
      <x:c r="D4653" s="10" t="n">
        <x:v>560</x:v>
      </x:c>
      <x:c r="E4653" s="10" t="n">
        <x:v>0</x:v>
      </x:c>
      <x:c r="F4653" s="10" t="n">
        <x:v>0</x:v>
      </x:c>
      <x:c r="G4653" s="10" t="n">
        <x:f>SUM(D4653:F4653)</x:f>
        <x:v>560</x:v>
      </x:c>
    </x:row>
    <x:row r="4654" ht="24" customHeight="1">
      <x:c r="A4654" s="10" t="str">
        <x:v>S07-08</x:v>
      </x:c>
      <x:c r="B4654" s="10" t="str">
        <x:v>B</x:v>
      </x:c>
      <x:c r="C4654" s="18" t="n">
        <x:v>-1e-7</x:v>
      </x:c>
      <x:c r="D4654" s="10" t="n">
        <x:v>560</x:v>
      </x:c>
      <x:c r="E4654" s="10" t="n">
        <x:v>0</x:v>
      </x:c>
      <x:c r="F4654" s="10" t="n">
        <x:v>0</x:v>
      </x:c>
      <x:c r="G4654" s="10" t="n">
        <x:f>SUM(D4654:F4654)</x:f>
        <x:v>560</x:v>
      </x:c>
    </x:row>
    <x:row r="4655" ht="24" customHeight="1">
      <x:c r="A4655" s="10" t="str">
        <x:v>S07-08</x:v>
      </x:c>
      <x:c r="B4655" s="10" t="str">
        <x:v>B</x:v>
      </x:c>
      <x:c r="C4655" s="18" t="n">
        <x:v>0</x:v>
      </x:c>
      <x:c r="D4655" s="10" t="n">
        <x:v>560</x:v>
      </x:c>
      <x:c r="E4655" s="10" t="n">
        <x:v>0</x:v>
      </x:c>
      <x:c r="F4655" s="10" t="n">
        <x:v>0</x:v>
      </x:c>
      <x:c r="G4655" s="10" t="n">
        <x:f>SUM(D4655:F4655)</x:f>
        <x:v>560</x:v>
      </x:c>
    </x:row>
    <x:row r="4656" ht="24" customHeight="1">
      <x:c r="A4656" s="10" t="str">
        <x:v>S07-08</x:v>
      </x:c>
      <x:c r="B4656" s="10" t="str">
        <x:v>B</x:v>
      </x:c>
      <x:c r="C4656" s="18" t="n">
        <x:v>1e-7</x:v>
      </x:c>
      <x:c r="D4656" s="10" t="n">
        <x:v>560</x:v>
      </x:c>
      <x:c r="E4656" s="10" t="n">
        <x:v>0</x:v>
      </x:c>
      <x:c r="F4656" s="10" t="n">
        <x:v>0</x:v>
      </x:c>
      <x:c r="G4656" s="10" t="n">
        <x:f>SUM(D4656:F4656)</x:f>
        <x:v>560</x:v>
      </x:c>
    </x:row>
    <x:row r="4657" ht="24" customHeight="1">
      <x:c r="A4657" s="10" t="str">
        <x:v>S07-08</x:v>
      </x:c>
      <x:c r="B4657" s="10" t="str">
        <x:v>B</x:v>
      </x:c>
      <x:c r="C4657" s="18" t="n">
        <x:v>0.916666567</x:v>
      </x:c>
      <x:c r="D4657" s="10" t="n">
        <x:v>560</x:v>
      </x:c>
      <x:c r="E4657" s="10" t="n">
        <x:v>0</x:v>
      </x:c>
      <x:c r="F4657" s="10" t="n">
        <x:v>0</x:v>
      </x:c>
      <x:c r="G4657" s="10" t="n">
        <x:f>SUM(D4657:F4657)</x:f>
        <x:v>560</x:v>
      </x:c>
    </x:row>
    <x:row r="4658" ht="24" customHeight="1">
      <x:c r="A4658" s="10" t="str">
        <x:v>S07-08</x:v>
      </x:c>
      <x:c r="B4658" s="10" t="str">
        <x:v>B</x:v>
      </x:c>
      <x:c r="C4658" s="18" t="n">
        <x:v>0.916666667</x:v>
      </x:c>
      <x:c r="D4658" s="10" t="n">
        <x:v>560</x:v>
      </x:c>
      <x:c r="E4658" s="10" t="n">
        <x:v>0</x:v>
      </x:c>
      <x:c r="F4658" s="10" t="n">
        <x:v>0.004096</x:v>
      </x:c>
      <x:c r="G4658" s="10" t="n">
        <x:f>SUM(D4658:F4658)</x:f>
        <x:v>560.004096</x:v>
      </x:c>
    </x:row>
    <x:row r="4659" ht="24" customHeight="1">
      <x:c r="A4659" s="10" t="str">
        <x:v>S07-08</x:v>
      </x:c>
      <x:c r="B4659" s="10" t="str">
        <x:v>B</x:v>
      </x:c>
      <x:c r="C4659" s="18" t="n">
        <x:v>0.916666767</x:v>
      </x:c>
      <x:c r="D4659" s="10" t="n">
        <x:v>560</x:v>
      </x:c>
      <x:c r="E4659" s="10" t="n">
        <x:v>0</x:v>
      </x:c>
      <x:c r="F4659" s="10" t="n">
        <x:v>0.004096</x:v>
      </x:c>
      <x:c r="G4659" s="10" t="n">
        <x:f>SUM(D4659:F4659)</x:f>
        <x:v>560.004096</x:v>
      </x:c>
    </x:row>
    <x:row r="4660" ht="24" customHeight="1">
      <x:c r="A4660" s="10" t="str">
        <x:v>S07-08</x:v>
      </x:c>
      <x:c r="B4660" s="10" t="str">
        <x:v>B</x:v>
      </x:c>
      <x:c r="C4660" s="18" t="n">
        <x:v>1.3189999</x:v>
      </x:c>
      <x:c r="D4660" s="10" t="n">
        <x:v>560</x:v>
      </x:c>
      <x:c r="E4660" s="10" t="n">
        <x:v>0</x:v>
      </x:c>
      <x:c r="F4660" s="10" t="n">
        <x:v>0.004096</x:v>
      </x:c>
      <x:c r="G4660" s="10" t="n">
        <x:f>SUM(D4660:F4660)</x:f>
        <x:v>560.004096</x:v>
      </x:c>
    </x:row>
    <x:row r="4661" ht="24" customHeight="1">
      <x:c r="A4661" s="10" t="str">
        <x:v>S07-08</x:v>
      </x:c>
      <x:c r="B4661" s="10" t="str">
        <x:v>B</x:v>
      </x:c>
      <x:c r="C4661" s="18" t="n">
        <x:v>1.319</x:v>
      </x:c>
      <x:c r="D4661" s="10" t="n">
        <x:v>560</x:v>
      </x:c>
      <x:c r="E4661" s="10" t="n">
        <x:v>0.0096</x:v>
      </x:c>
      <x:c r="F4661" s="10" t="n">
        <x:v>0.004096</x:v>
      </x:c>
      <x:c r="G4661" s="10" t="n">
        <x:f>SUM(D4661:F4661)</x:f>
        <x:v>560.013696</x:v>
      </x:c>
    </x:row>
    <x:row r="4662" ht="24" customHeight="1">
      <x:c r="A4662" s="10" t="str">
        <x:v>S07-08</x:v>
      </x:c>
      <x:c r="B4662" s="10" t="str">
        <x:v>B</x:v>
      </x:c>
      <x:c r="C4662" s="18" t="n">
        <x:v>1.3190001</x:v>
      </x:c>
      <x:c r="D4662" s="10" t="n">
        <x:v>560</x:v>
      </x:c>
      <x:c r="E4662" s="10" t="n">
        <x:v>0.009600019</x:v>
      </x:c>
      <x:c r="F4662" s="10" t="n">
        <x:v>0.004096</x:v>
      </x:c>
      <x:c r="G4662" s="10" t="n">
        <x:f>SUM(D4662:F4662)</x:f>
        <x:v>560.013696019</x:v>
      </x:c>
    </x:row>
    <x:row r="4663" ht="24" customHeight="1">
      <x:c r="A4663" s="10" t="str">
        <x:v>S07-08</x:v>
      </x:c>
      <x:c r="B4663" s="10" t="str">
        <x:v>B</x:v>
      </x:c>
      <x:c r="C4663" s="18" t="n">
        <x:v>1.3589999</x:v>
      </x:c>
      <x:c r="D4663" s="10" t="n">
        <x:v>560</x:v>
      </x:c>
      <x:c r="E4663" s="10" t="n">
        <x:v>0.017279981</x:v>
      </x:c>
      <x:c r="F4663" s="10" t="n">
        <x:v>0.004096</x:v>
      </x:c>
      <x:c r="G4663" s="10" t="n">
        <x:f>SUM(D4663:F4663)</x:f>
        <x:v>560.021375981</x:v>
      </x:c>
    </x:row>
    <x:row r="4664" ht="24" customHeight="1">
      <x:c r="A4664" s="10" t="str">
        <x:v>S07-08</x:v>
      </x:c>
      <x:c r="B4664" s="10" t="str">
        <x:v>B</x:v>
      </x:c>
      <x:c r="C4664" s="18" t="n">
        <x:v>1.359</x:v>
      </x:c>
      <x:c r="D4664" s="10" t="n">
        <x:v>560</x:v>
      </x:c>
      <x:c r="E4664" s="10" t="n">
        <x:v>0.01728</x:v>
      </x:c>
      <x:c r="F4664" s="10" t="n">
        <x:v>0.004096</x:v>
      </x:c>
      <x:c r="G4664" s="10" t="n">
        <x:f>SUM(D4664:F4664)</x:f>
        <x:v>560.021376</x:v>
      </x:c>
    </x:row>
    <x:row r="4665" ht="24" customHeight="1">
      <x:c r="A4665" s="10" t="str">
        <x:v>S07-08</x:v>
      </x:c>
      <x:c r="B4665" s="10" t="str">
        <x:v>B</x:v>
      </x:c>
      <x:c r="C4665" s="18" t="n">
        <x:v>1.3590001</x:v>
      </x:c>
      <x:c r="D4665" s="10" t="n">
        <x:v>560</x:v>
      </x:c>
      <x:c r="E4665" s="10" t="n">
        <x:v>0.017280014</x:v>
      </x:c>
      <x:c r="F4665" s="10" t="n">
        <x:v>0.004096</x:v>
      </x:c>
      <x:c r="G4665" s="10" t="n">
        <x:f>SUM(D4665:F4665)</x:f>
        <x:v>560.021376014</x:v>
      </x:c>
    </x:row>
    <x:row r="4666" ht="24" customHeight="1">
      <x:c r="A4666" s="10" t="str">
        <x:v>S07-08</x:v>
      </x:c>
      <x:c r="B4666" s="10" t="str">
        <x:v>B</x:v>
      </x:c>
      <x:c r="C4666" s="18" t="n">
        <x:v>2.0264999</x:v>
      </x:c>
      <x:c r="D4666" s="10" t="n">
        <x:v>560</x:v>
      </x:c>
      <x:c r="E4666" s="10" t="n">
        <x:v>0.113399986</x:v>
      </x:c>
      <x:c r="F4666" s="10" t="n">
        <x:v>0.004096</x:v>
      </x:c>
      <x:c r="G4666" s="10" t="n">
        <x:f>SUM(D4666:F4666)</x:f>
        <x:v>560.117495986</x:v>
      </x:c>
    </x:row>
    <x:row r="4667" ht="24" customHeight="1">
      <x:c r="A4667" s="10" t="str">
        <x:v>S07-08</x:v>
      </x:c>
      <x:c r="B4667" s="10" t="str">
        <x:v>B</x:v>
      </x:c>
      <x:c r="C4667" s="18" t="n">
        <x:v>2.0265</x:v>
      </x:c>
      <x:c r="D4667" s="10" t="n">
        <x:v>560</x:v>
      </x:c>
      <x:c r="E4667" s="10" t="n">
        <x:v>0.1134</x:v>
      </x:c>
      <x:c r="F4667" s="10" t="n">
        <x:v>0.004096</x:v>
      </x:c>
      <x:c r="G4667" s="10" t="n">
        <x:f>SUM(D4667:F4667)</x:f>
        <x:v>560.117496</x:v>
      </x:c>
    </x:row>
    <x:row r="4668" ht="24" customHeight="1">
      <x:c r="A4668" s="10" t="str">
        <x:v>S07-08</x:v>
      </x:c>
      <x:c r="B4668" s="10" t="str">
        <x:v>B</x:v>
      </x:c>
      <x:c r="C4668" s="18" t="n">
        <x:v>2.0265001</x:v>
      </x:c>
      <x:c r="D4668" s="10" t="n">
        <x:v>560</x:v>
      </x:c>
      <x:c r="E4668" s="10" t="n">
        <x:v>0.113399995</x:v>
      </x:c>
      <x:c r="F4668" s="10" t="n">
        <x:v>0.004096</x:v>
      </x:c>
      <x:c r="G4668" s="10" t="n">
        <x:f>SUM(D4668:F4668)</x:f>
        <x:v>560.117495995</x:v>
      </x:c>
    </x:row>
    <x:row r="4669" ht="24" customHeight="1">
      <x:c r="A4669" s="10" t="str">
        <x:v>S07-08</x:v>
      </x:c>
      <x:c r="B4669" s="10" t="str">
        <x:v>B</x:v>
      </x:c>
      <x:c r="C4669" s="18" t="n">
        <x:v>4.3889999</x:v>
      </x:c>
      <x:c r="D4669" s="10" t="n">
        <x:v>560</x:v>
      </x:c>
      <x:c r="E4669" s="10" t="n">
        <x:v>5e-9</x:v>
      </x:c>
      <x:c r="F4669" s="10" t="n">
        <x:v>0.004096</x:v>
      </x:c>
      <x:c r="G4669" s="10" t="n">
        <x:f>SUM(D4669:F4669)</x:f>
        <x:v>560.004096005</x:v>
      </x:c>
    </x:row>
    <x:row r="4670" ht="24" customHeight="1">
      <x:c r="A4670" s="10" t="str">
        <x:v>S07-08</x:v>
      </x:c>
      <x:c r="B4670" s="10" t="str">
        <x:v>B</x:v>
      </x:c>
      <x:c r="C4670" s="18" t="n">
        <x:v>4.389</x:v>
      </x:c>
      <x:c r="D4670" s="10" t="n">
        <x:v>560</x:v>
      </x:c>
      <x:c r="E4670" s="10" t="n">
        <x:v>0</x:v>
      </x:c>
      <x:c r="F4670" s="10" t="n">
        <x:v>0.008192</x:v>
      </x:c>
      <x:c r="G4670" s="10" t="n">
        <x:f>SUM(D4670:F4670)</x:f>
        <x:v>560.008192</x:v>
      </x:c>
    </x:row>
    <x:row r="4671" ht="24" customHeight="1">
      <x:c r="A4671" s="10" t="str">
        <x:v>S07-08</x:v>
      </x:c>
      <x:c r="B4671" s="10" t="str">
        <x:v>B</x:v>
      </x:c>
      <x:c r="C4671" s="18" t="n">
        <x:v>4.3890001</x:v>
      </x:c>
      <x:c r="D4671" s="10" t="n">
        <x:v>560</x:v>
      </x:c>
      <x:c r="E4671" s="10" t="n">
        <x:v>0</x:v>
      </x:c>
      <x:c r="F4671" s="10" t="n">
        <x:v>0.004096</x:v>
      </x:c>
      <x:c r="G4671" s="10" t="n">
        <x:f>SUM(D4671:F4671)</x:f>
        <x:v>560.004096</x:v>
      </x:c>
    </x:row>
    <x:row r="4672" ht="24" customHeight="1">
      <x:c r="A4672" s="10" t="str">
        <x:v>S07-08</x:v>
      </x:c>
      <x:c r="B4672" s="10" t="str">
        <x:v>B</x:v>
      </x:c>
      <x:c r="C4672" s="18" t="n">
        <x:v>4.7949999</x:v>
      </x:c>
      <x:c r="D4672" s="10" t="n">
        <x:v>560</x:v>
      </x:c>
      <x:c r="E4672" s="10" t="n">
        <x:v>0</x:v>
      </x:c>
      <x:c r="F4672" s="10" t="n">
        <x:v>0.004096</x:v>
      </x:c>
      <x:c r="G4672" s="10" t="n">
        <x:f>SUM(D4672:F4672)</x:f>
        <x:v>560.004096</x:v>
      </x:c>
    </x:row>
    <x:row r="4673" ht="24" customHeight="1">
      <x:c r="A4673" s="10" t="str">
        <x:v>S07-08</x:v>
      </x:c>
      <x:c r="B4673" s="10" t="str">
        <x:v>B</x:v>
      </x:c>
      <x:c r="C4673" s="18" t="n">
        <x:v>4.795</x:v>
      </x:c>
      <x:c r="D4673" s="10" t="n">
        <x:v>560</x:v>
      </x:c>
      <x:c r="E4673" s="10" t="n">
        <x:v>0.0096</x:v>
      </x:c>
      <x:c r="F4673" s="10" t="n">
        <x:v>0.004096</x:v>
      </x:c>
      <x:c r="G4673" s="10" t="n">
        <x:f>SUM(D4673:F4673)</x:f>
        <x:v>560.013696</x:v>
      </x:c>
    </x:row>
    <x:row r="4674" ht="24" customHeight="1">
      <x:c r="A4674" s="10" t="str">
        <x:v>S07-08</x:v>
      </x:c>
      <x:c r="B4674" s="10" t="str">
        <x:v>B</x:v>
      </x:c>
      <x:c r="C4674" s="18" t="n">
        <x:v>4.7950001</x:v>
      </x:c>
      <x:c r="D4674" s="10" t="n">
        <x:v>560</x:v>
      </x:c>
      <x:c r="E4674" s="10" t="n">
        <x:v>0.009600019</x:v>
      </x:c>
      <x:c r="F4674" s="10" t="n">
        <x:v>0.004096</x:v>
      </x:c>
      <x:c r="G4674" s="10" t="n">
        <x:f>SUM(D4674:F4674)</x:f>
        <x:v>560.013696019</x:v>
      </x:c>
    </x:row>
    <x:row r="4675" ht="24" customHeight="1">
      <x:c r="A4675" s="10" t="str">
        <x:v>S07-08</x:v>
      </x:c>
      <x:c r="B4675" s="10" t="str">
        <x:v>B</x:v>
      </x:c>
      <x:c r="C4675" s="18" t="n">
        <x:v>4.8349999</x:v>
      </x:c>
      <x:c r="D4675" s="10" t="n">
        <x:v>560</x:v>
      </x:c>
      <x:c r="E4675" s="10" t="n">
        <x:v>0.017279981</x:v>
      </x:c>
      <x:c r="F4675" s="10" t="n">
        <x:v>0.004096</x:v>
      </x:c>
      <x:c r="G4675" s="10" t="n">
        <x:f>SUM(D4675:F4675)</x:f>
        <x:v>560.021375981</x:v>
      </x:c>
    </x:row>
    <x:row r="4676" ht="24" customHeight="1">
      <x:c r="A4676" s="10" t="str">
        <x:v>S07-08</x:v>
      </x:c>
      <x:c r="B4676" s="10" t="str">
        <x:v>B</x:v>
      </x:c>
      <x:c r="C4676" s="18" t="n">
        <x:v>4.835</x:v>
      </x:c>
      <x:c r="D4676" s="10" t="n">
        <x:v>560</x:v>
      </x:c>
      <x:c r="E4676" s="10" t="n">
        <x:v>0.01728</x:v>
      </x:c>
      <x:c r="F4676" s="10" t="n">
        <x:v>0.004096</x:v>
      </x:c>
      <x:c r="G4676" s="10" t="n">
        <x:f>SUM(D4676:F4676)</x:f>
        <x:v>560.021376</x:v>
      </x:c>
    </x:row>
    <x:row r="4677" ht="24" customHeight="1">
      <x:c r="A4677" s="10" t="str">
        <x:v>S07-08</x:v>
      </x:c>
      <x:c r="B4677" s="10" t="str">
        <x:v>B</x:v>
      </x:c>
      <x:c r="C4677" s="18" t="n">
        <x:v>4.8350001</x:v>
      </x:c>
      <x:c r="D4677" s="10" t="n">
        <x:v>560</x:v>
      </x:c>
      <x:c r="E4677" s="10" t="n">
        <x:v>0.017280014</x:v>
      </x:c>
      <x:c r="F4677" s="10" t="n">
        <x:v>0.004096</x:v>
      </x:c>
      <x:c r="G4677" s="10" t="n">
        <x:f>SUM(D4677:F4677)</x:f>
        <x:v>560.021376014</x:v>
      </x:c>
    </x:row>
    <x:row r="4678" ht="24" customHeight="1">
      <x:c r="A4678" s="10" t="str">
        <x:v>S07-08</x:v>
      </x:c>
      <x:c r="B4678" s="10" t="str">
        <x:v>B</x:v>
      </x:c>
      <x:c r="C4678" s="18" t="n">
        <x:v>5.7524999</x:v>
      </x:c>
      <x:c r="D4678" s="10" t="n">
        <x:v>560</x:v>
      </x:c>
      <x:c r="E4678" s="10" t="n">
        <x:v>0.149399986</x:v>
      </x:c>
      <x:c r="F4678" s="10" t="n">
        <x:v>0.004096</x:v>
      </x:c>
      <x:c r="G4678" s="10" t="n">
        <x:f>SUM(D4678:F4678)</x:f>
        <x:v>560.153495986</x:v>
      </x:c>
    </x:row>
    <x:row r="4679" ht="24" customHeight="1">
      <x:c r="A4679" s="10" t="str">
        <x:v>S07-08</x:v>
      </x:c>
      <x:c r="B4679" s="10" t="str">
        <x:v>B</x:v>
      </x:c>
      <x:c r="C4679" s="18" t="n">
        <x:v>5.7525</x:v>
      </x:c>
      <x:c r="D4679" s="10" t="n">
        <x:v>560</x:v>
      </x:c>
      <x:c r="E4679" s="10" t="n">
        <x:v>0.1494</x:v>
      </x:c>
      <x:c r="F4679" s="10" t="n">
        <x:v>0.004096</x:v>
      </x:c>
      <x:c r="G4679" s="10" t="n">
        <x:f>SUM(D4679:F4679)</x:f>
        <x:v>560.153496</x:v>
      </x:c>
    </x:row>
    <x:row r="4680" ht="24" customHeight="1">
      <x:c r="A4680" s="10" t="str">
        <x:v>S07-08</x:v>
      </x:c>
      <x:c r="B4680" s="10" t="str">
        <x:v>B</x:v>
      </x:c>
      <x:c r="C4680" s="18" t="n">
        <x:v>5.7525001</x:v>
      </x:c>
      <x:c r="D4680" s="10" t="n">
        <x:v>560</x:v>
      </x:c>
      <x:c r="E4680" s="10" t="n">
        <x:v>0.149399995</x:v>
      </x:c>
      <x:c r="F4680" s="10" t="n">
        <x:v>0.004096</x:v>
      </x:c>
      <x:c r="G4680" s="10" t="n">
        <x:f>SUM(D4680:F4680)</x:f>
        <x:v>560.153495995</x:v>
      </x:c>
    </x:row>
    <x:row r="4681" ht="24" customHeight="1">
      <x:c r="A4681" s="10" t="str">
        <x:v>S07-08</x:v>
      </x:c>
      <x:c r="B4681" s="10" t="str">
        <x:v>B</x:v>
      </x:c>
      <x:c r="C4681" s="18" t="n">
        <x:v>8.8649999</x:v>
      </x:c>
      <x:c r="D4681" s="10" t="n">
        <x:v>560</x:v>
      </x:c>
      <x:c r="E4681" s="10" t="n">
        <x:v>5e-9</x:v>
      </x:c>
      <x:c r="F4681" s="10" t="n">
        <x:v>0.004096</x:v>
      </x:c>
      <x:c r="G4681" s="10" t="n">
        <x:f>SUM(D4681:F4681)</x:f>
        <x:v>560.004096005</x:v>
      </x:c>
    </x:row>
    <x:row r="4682" ht="24" customHeight="1">
      <x:c r="A4682" s="10" t="str">
        <x:v>S07-08</x:v>
      </x:c>
      <x:c r="B4682" s="10" t="str">
        <x:v>B</x:v>
      </x:c>
      <x:c r="C4682" s="18" t="n">
        <x:v>8.865</x:v>
      </x:c>
      <x:c r="D4682" s="10" t="n">
        <x:v>560</x:v>
      </x:c>
      <x:c r="E4682" s="10" t="n">
        <x:v>0</x:v>
      </x:c>
      <x:c r="F4682" s="10" t="n">
        <x:v>0.008192</x:v>
      </x:c>
      <x:c r="G4682" s="10" t="n">
        <x:f>SUM(D4682:F4682)</x:f>
        <x:v>560.008192</x:v>
      </x:c>
    </x:row>
    <x:row r="4683" ht="24" customHeight="1">
      <x:c r="A4683" s="10" t="str">
        <x:v>S07-08</x:v>
      </x:c>
      <x:c r="B4683" s="10" t="str">
        <x:v>B</x:v>
      </x:c>
      <x:c r="C4683" s="18" t="n">
        <x:v>8.8650001</x:v>
      </x:c>
      <x:c r="D4683" s="10" t="n">
        <x:v>560</x:v>
      </x:c>
      <x:c r="E4683" s="10" t="n">
        <x:v>0</x:v>
      </x:c>
      <x:c r="F4683" s="10" t="n">
        <x:v>0.004096</x:v>
      </x:c>
      <x:c r="G4683" s="10" t="n">
        <x:f>SUM(D4683:F4683)</x:f>
        <x:v>560.004096</x:v>
      </x:c>
    </x:row>
    <x:row r="4684" ht="24" customHeight="1">
      <x:c r="A4684" s="10" t="str">
        <x:v>S07-08</x:v>
      </x:c>
      <x:c r="B4684" s="10" t="str">
        <x:v>B</x:v>
      </x:c>
      <x:c r="C4684" s="18" t="n">
        <x:v>9.2749999</x:v>
      </x:c>
      <x:c r="D4684" s="10" t="n">
        <x:v>560</x:v>
      </x:c>
      <x:c r="E4684" s="10" t="n">
        <x:v>0</x:v>
      </x:c>
      <x:c r="F4684" s="10" t="n">
        <x:v>0.004096</x:v>
      </x:c>
      <x:c r="G4684" s="10" t="n">
        <x:f>SUM(D4684:F4684)</x:f>
        <x:v>560.004096</x:v>
      </x:c>
    </x:row>
    <x:row r="4685" ht="24" customHeight="1">
      <x:c r="A4685" s="10" t="str">
        <x:v>S07-08</x:v>
      </x:c>
      <x:c r="B4685" s="10" t="str">
        <x:v>B</x:v>
      </x:c>
      <x:c r="C4685" s="18" t="n">
        <x:v>9.275</x:v>
      </x:c>
      <x:c r="D4685" s="10" t="n">
        <x:v>560</x:v>
      </x:c>
      <x:c r="E4685" s="10" t="n">
        <x:v>0.0096</x:v>
      </x:c>
      <x:c r="F4685" s="10" t="n">
        <x:v>0.004096</x:v>
      </x:c>
      <x:c r="G4685" s="10" t="n">
        <x:f>SUM(D4685:F4685)</x:f>
        <x:v>560.013696</x:v>
      </x:c>
    </x:row>
    <x:row r="4686" ht="24" customHeight="1">
      <x:c r="A4686" s="10" t="str">
        <x:v>S07-08</x:v>
      </x:c>
      <x:c r="B4686" s="10" t="str">
        <x:v>B</x:v>
      </x:c>
      <x:c r="C4686" s="18" t="n">
        <x:v>9.2750001</x:v>
      </x:c>
      <x:c r="D4686" s="10" t="n">
        <x:v>560</x:v>
      </x:c>
      <x:c r="E4686" s="10" t="n">
        <x:v>0.009600019</x:v>
      </x:c>
      <x:c r="F4686" s="10" t="n">
        <x:v>0.004096</x:v>
      </x:c>
      <x:c r="G4686" s="10" t="n">
        <x:f>SUM(D4686:F4686)</x:f>
        <x:v>560.013696019</x:v>
      </x:c>
    </x:row>
    <x:row r="4687" ht="24" customHeight="1">
      <x:c r="A4687" s="10" t="str">
        <x:v>S07-08</x:v>
      </x:c>
      <x:c r="B4687" s="10" t="str">
        <x:v>B</x:v>
      </x:c>
      <x:c r="C4687" s="18" t="n">
        <x:v>9.3149999</x:v>
      </x:c>
      <x:c r="D4687" s="10" t="n">
        <x:v>560</x:v>
      </x:c>
      <x:c r="E4687" s="10" t="n">
        <x:v>0.017279981</x:v>
      </x:c>
      <x:c r="F4687" s="10" t="n">
        <x:v>0.004096</x:v>
      </x:c>
      <x:c r="G4687" s="10" t="n">
        <x:f>SUM(D4687:F4687)</x:f>
        <x:v>560.021375981</x:v>
      </x:c>
    </x:row>
    <x:row r="4688" ht="24" customHeight="1">
      <x:c r="A4688" s="10" t="str">
        <x:v>S07-08</x:v>
      </x:c>
      <x:c r="B4688" s="10" t="str">
        <x:v>B</x:v>
      </x:c>
      <x:c r="C4688" s="18" t="n">
        <x:v>9.315</x:v>
      </x:c>
      <x:c r="D4688" s="10" t="n">
        <x:v>560</x:v>
      </x:c>
      <x:c r="E4688" s="10" t="n">
        <x:v>0.01728</x:v>
      </x:c>
      <x:c r="F4688" s="10" t="n">
        <x:v>0.004096</x:v>
      </x:c>
      <x:c r="G4688" s="10" t="n">
        <x:f>SUM(D4688:F4688)</x:f>
        <x:v>560.021376</x:v>
      </x:c>
    </x:row>
    <x:row r="4689" ht="24" customHeight="1">
      <x:c r="A4689" s="10" t="str">
        <x:v>S07-08</x:v>
      </x:c>
      <x:c r="B4689" s="10" t="str">
        <x:v>B</x:v>
      </x:c>
      <x:c r="C4689" s="18" t="n">
        <x:v>9.3150001</x:v>
      </x:c>
      <x:c r="D4689" s="10" t="n">
        <x:v>560</x:v>
      </x:c>
      <x:c r="E4689" s="10" t="n">
        <x:v>0.017280014</x:v>
      </x:c>
      <x:c r="F4689" s="10" t="n">
        <x:v>0.004096</x:v>
      </x:c>
      <x:c r="G4689" s="10" t="n">
        <x:f>SUM(D4689:F4689)</x:f>
        <x:v>560.021376014</x:v>
      </x:c>
    </x:row>
    <x:row r="4690" ht="24" customHeight="1">
      <x:c r="A4690" s="10" t="str">
        <x:v>S07-08</x:v>
      </x:c>
      <x:c r="B4690" s="10" t="str">
        <x:v>B</x:v>
      </x:c>
      <x:c r="C4690" s="18" t="n">
        <x:v>10.9824999</x:v>
      </x:c>
      <x:c r="D4690" s="10" t="n">
        <x:v>560</x:v>
      </x:c>
      <x:c r="E4690" s="10" t="n">
        <x:v>0.257399986</x:v>
      </x:c>
      <x:c r="F4690" s="10" t="n">
        <x:v>0.004096</x:v>
      </x:c>
      <x:c r="G4690" s="10" t="n">
        <x:f>SUM(D4690:F4690)</x:f>
        <x:v>560.261495986</x:v>
      </x:c>
    </x:row>
    <x:row r="4691" ht="24" customHeight="1">
      <x:c r="A4691" s="10" t="str">
        <x:v>S07-08</x:v>
      </x:c>
      <x:c r="B4691" s="10" t="str">
        <x:v>B</x:v>
      </x:c>
      <x:c r="C4691" s="18" t="n">
        <x:v>10.9825</x:v>
      </x:c>
      <x:c r="D4691" s="10" t="n">
        <x:v>560</x:v>
      </x:c>
      <x:c r="E4691" s="10" t="n">
        <x:v>0.2574</x:v>
      </x:c>
      <x:c r="F4691" s="10" t="n">
        <x:v>0.004096</x:v>
      </x:c>
      <x:c r="G4691" s="10" t="n">
        <x:f>SUM(D4691:F4691)</x:f>
        <x:v>560.261496</x:v>
      </x:c>
    </x:row>
    <x:row r="4692" ht="24" customHeight="1">
      <x:c r="A4692" s="10" t="str">
        <x:v>S07-08</x:v>
      </x:c>
      <x:c r="B4692" s="10" t="str">
        <x:v>B</x:v>
      </x:c>
      <x:c r="C4692" s="18" t="n">
        <x:v>10.9825001</x:v>
      </x:c>
      <x:c r="D4692" s="10" t="n">
        <x:v>560</x:v>
      </x:c>
      <x:c r="E4692" s="10" t="n">
        <x:v>0.257399995</x:v>
      </x:c>
      <x:c r="F4692" s="10" t="n">
        <x:v>0.004096</x:v>
      </x:c>
      <x:c r="G4692" s="10" t="n">
        <x:f>SUM(D4692:F4692)</x:f>
        <x:v>560.261495995</x:v>
      </x:c>
    </x:row>
    <x:row r="4693" ht="24" customHeight="1">
      <x:c r="A4693" s="10" t="str">
        <x:v>S07-08</x:v>
      </x:c>
      <x:c r="B4693" s="10" t="str">
        <x:v>B</x:v>
      </x:c>
      <x:c r="C4693" s="18" t="n">
        <x:v>16.3449999</x:v>
      </x:c>
      <x:c r="D4693" s="10" t="n">
        <x:v>560</x:v>
      </x:c>
      <x:c r="E4693" s="10" t="n">
        <x:v>5e-9</x:v>
      </x:c>
      <x:c r="F4693" s="10" t="n">
        <x:v>0.004096</x:v>
      </x:c>
      <x:c r="G4693" s="10" t="n">
        <x:f>SUM(D4693:F4693)</x:f>
        <x:v>560.004096005</x:v>
      </x:c>
    </x:row>
    <x:row r="4694" ht="24" customHeight="1">
      <x:c r="A4694" s="10" t="str">
        <x:v>S07-08</x:v>
      </x:c>
      <x:c r="B4694" s="10" t="str">
        <x:v>B</x:v>
      </x:c>
      <x:c r="C4694" s="18" t="n">
        <x:v>16.345</x:v>
      </x:c>
      <x:c r="D4694" s="10" t="n">
        <x:v>560</x:v>
      </x:c>
      <x:c r="E4694" s="10" t="n">
        <x:v>0</x:v>
      </x:c>
      <x:c r="F4694" s="10" t="n">
        <x:v>0.004096</x:v>
      </x:c>
      <x:c r="G4694" s="10" t="n">
        <x:f>SUM(D4694:F4694)</x:f>
        <x:v>560.004096</x:v>
      </x:c>
    </x:row>
    <x:row r="4695" ht="24" customHeight="1">
      <x:c r="A4695" s="10" t="str">
        <x:v>S07-08</x:v>
      </x:c>
      <x:c r="B4695" s="10" t="str">
        <x:v>B</x:v>
      </x:c>
      <x:c r="C4695" s="18" t="n">
        <x:v>16.3450001</x:v>
      </x:c>
      <x:c r="D4695" s="10" t="n">
        <x:v>560</x:v>
      </x:c>
      <x:c r="E4695" s="10" t="n">
        <x:v>0</x:v>
      </x:c>
      <x:c r="F4695" s="10" t="n">
        <x:v>0</x:v>
      </x:c>
      <x:c r="G4695" s="10" t="n">
        <x:f>SUM(D4695:F4695)</x:f>
        <x:v>560</x:v>
      </x:c>
    </x:row>
    <x:row r="4696" ht="24" customHeight="1">
      <x:c r="A4696" s="10" t="str">
        <x:v>S07-09</x:v>
      </x:c>
      <x:c r="B4696" s="10" t="str">
        <x:v>A</x:v>
      </x:c>
      <x:c r="C4696" s="18" t="n">
        <x:v>-6.0000001</x:v>
      </x:c>
      <x:c r="D4696" s="10" t="n">
        <x:v>560</x:v>
      </x:c>
      <x:c r="E4696" s="10" t="n">
        <x:v>0</x:v>
      </x:c>
      <x:c r="F4696" s="10" t="n">
        <x:v>0</x:v>
      </x:c>
      <x:c r="G4696" s="10" t="n">
        <x:f>SUM(D4696:F4696)</x:f>
        <x:v>560</x:v>
      </x:c>
    </x:row>
    <x:row r="4697" ht="24" customHeight="1">
      <x:c r="A4697" s="10" t="str">
        <x:v>S07-09</x:v>
      </x:c>
      <x:c r="B4697" s="10" t="str">
        <x:v>A</x:v>
      </x:c>
      <x:c r="C4697" s="18" t="n">
        <x:v>-6</x:v>
      </x:c>
      <x:c r="D4697" s="10" t="n">
        <x:v>560</x:v>
      </x:c>
      <x:c r="E4697" s="10" t="n">
        <x:v>0</x:v>
      </x:c>
      <x:c r="F4697" s="10" t="n">
        <x:v>0</x:v>
      </x:c>
      <x:c r="G4697" s="10" t="n">
        <x:f>SUM(D4697:F4697)</x:f>
        <x:v>560</x:v>
      </x:c>
    </x:row>
    <x:row r="4698" ht="24" customHeight="1">
      <x:c r="A4698" s="10" t="str">
        <x:v>S07-09</x:v>
      </x:c>
      <x:c r="B4698" s="10" t="str">
        <x:v>A</x:v>
      </x:c>
      <x:c r="C4698" s="18" t="n">
        <x:v>-5.9999999</x:v>
      </x:c>
      <x:c r="D4698" s="10" t="n">
        <x:v>560</x:v>
      </x:c>
      <x:c r="E4698" s="10" t="n">
        <x:v>0</x:v>
      </x:c>
      <x:c r="F4698" s="10" t="n">
        <x:v>0</x:v>
      </x:c>
      <x:c r="G4698" s="10" t="n">
        <x:f>SUM(D4698:F4698)</x:f>
        <x:v>560</x:v>
      </x:c>
    </x:row>
    <x:row r="4699" ht="24" customHeight="1">
      <x:c r="A4699" s="10" t="str">
        <x:v>S07-09</x:v>
      </x:c>
      <x:c r="B4699" s="10" t="str">
        <x:v>A</x:v>
      </x:c>
      <x:c r="C4699" s="18" t="n">
        <x:v>-1.4000001</x:v>
      </x:c>
      <x:c r="D4699" s="10" t="n">
        <x:v>560</x:v>
      </x:c>
      <x:c r="E4699" s="10" t="n">
        <x:v>0</x:v>
      </x:c>
      <x:c r="F4699" s="10" t="n">
        <x:v>0</x:v>
      </x:c>
      <x:c r="G4699" s="10" t="n">
        <x:f>SUM(D4699:F4699)</x:f>
        <x:v>560</x:v>
      </x:c>
    </x:row>
    <x:row r="4700" ht="24" customHeight="1">
      <x:c r="A4700" s="10" t="str">
        <x:v>S07-09</x:v>
      </x:c>
      <x:c r="B4700" s="10" t="str">
        <x:v>A</x:v>
      </x:c>
      <x:c r="C4700" s="18" t="n">
        <x:v>-1.4</x:v>
      </x:c>
      <x:c r="D4700" s="10" t="n">
        <x:v>560</x:v>
      </x:c>
      <x:c r="E4700" s="10" t="n">
        <x:v>0</x:v>
      </x:c>
      <x:c r="F4700" s="10" t="n">
        <x:v>0.004096</x:v>
      </x:c>
      <x:c r="G4700" s="10" t="n">
        <x:f>SUM(D4700:F4700)</x:f>
        <x:v>560.004096</x:v>
      </x:c>
    </x:row>
    <x:row r="4701" ht="24" customHeight="1">
      <x:c r="A4701" s="10" t="str">
        <x:v>S07-09</x:v>
      </x:c>
      <x:c r="B4701" s="10" t="str">
        <x:v>A</x:v>
      </x:c>
      <x:c r="C4701" s="18" t="n">
        <x:v>-1.3999999</x:v>
      </x:c>
      <x:c r="D4701" s="10" t="n">
        <x:v>560</x:v>
      </x:c>
      <x:c r="E4701" s="10" t="n">
        <x:v>0</x:v>
      </x:c>
      <x:c r="F4701" s="10" t="n">
        <x:v>0.004096</x:v>
      </x:c>
      <x:c r="G4701" s="10" t="n">
        <x:f>SUM(D4701:F4701)</x:f>
        <x:v>560.004096</x:v>
      </x:c>
    </x:row>
    <x:row r="4702" ht="24" customHeight="1">
      <x:c r="A4702" s="10" t="str">
        <x:v>S07-09</x:v>
      </x:c>
      <x:c r="B4702" s="10" t="str">
        <x:v>A</x:v>
      </x:c>
      <x:c r="C4702" s="18" t="n">
        <x:v>-1.2000001</x:v>
      </x:c>
      <x:c r="D4702" s="10" t="n">
        <x:v>560</x:v>
      </x:c>
      <x:c r="E4702" s="10" t="n">
        <x:v>0</x:v>
      </x:c>
      <x:c r="F4702" s="10" t="n">
        <x:v>0.004096</x:v>
      </x:c>
      <x:c r="G4702" s="10" t="n">
        <x:f>SUM(D4702:F4702)</x:f>
        <x:v>560.004096</x:v>
      </x:c>
    </x:row>
    <x:row r="4703" ht="24" customHeight="1">
      <x:c r="A4703" s="10" t="str">
        <x:v>S07-09</x:v>
      </x:c>
      <x:c r="B4703" s="10" t="str">
        <x:v>A</x:v>
      </x:c>
      <x:c r="C4703" s="18" t="n">
        <x:v>-1.2</x:v>
      </x:c>
      <x:c r="D4703" s="10" t="n">
        <x:v>560</x:v>
      </x:c>
      <x:c r="E4703" s="10" t="n">
        <x:v>0</x:v>
      </x:c>
      <x:c r="F4703" s="10" t="n">
        <x:v>0.008192</x:v>
      </x:c>
      <x:c r="G4703" s="10" t="n">
        <x:f>SUM(D4703:F4703)</x:f>
        <x:v>560.008192</x:v>
      </x:c>
    </x:row>
    <x:row r="4704" ht="24" customHeight="1">
      <x:c r="A4704" s="10" t="str">
        <x:v>S07-09</x:v>
      </x:c>
      <x:c r="B4704" s="10" t="str">
        <x:v>A</x:v>
      </x:c>
      <x:c r="C4704" s="18" t="n">
        <x:v>-1.1999999</x:v>
      </x:c>
      <x:c r="D4704" s="10" t="n">
        <x:v>560</x:v>
      </x:c>
      <x:c r="E4704" s="10" t="n">
        <x:v>0</x:v>
      </x:c>
      <x:c r="F4704" s="10" t="n">
        <x:v>0.008192</x:v>
      </x:c>
      <x:c r="G4704" s="10" t="n">
        <x:f>SUM(D4704:F4704)</x:f>
        <x:v>560.008192</x:v>
      </x:c>
    </x:row>
    <x:row r="4705" ht="24" customHeight="1">
      <x:c r="A4705" s="10" t="str">
        <x:v>S07-09</x:v>
      </x:c>
      <x:c r="B4705" s="10" t="str">
        <x:v>A</x:v>
      </x:c>
      <x:c r="C4705" s="18" t="n">
        <x:v>-0.997666767</x:v>
      </x:c>
      <x:c r="D4705" s="10" t="n">
        <x:v>560</x:v>
      </x:c>
      <x:c r="E4705" s="10" t="n">
        <x:v>0</x:v>
      </x:c>
      <x:c r="F4705" s="10" t="n">
        <x:v>0.008192</x:v>
      </x:c>
      <x:c r="G4705" s="10" t="n">
        <x:f>SUM(D4705:F4705)</x:f>
        <x:v>560.008192</x:v>
      </x:c>
    </x:row>
    <x:row r="4706" ht="24" customHeight="1">
      <x:c r="A4706" s="10" t="str">
        <x:v>S07-09</x:v>
      </x:c>
      <x:c r="B4706" s="10" t="str">
        <x:v>A</x:v>
      </x:c>
      <x:c r="C4706" s="18" t="n">
        <x:v>-0.997666667</x:v>
      </x:c>
      <x:c r="D4706" s="10" t="n">
        <x:v>560</x:v>
      </x:c>
      <x:c r="E4706" s="10" t="n">
        <x:v>0.0096</x:v>
      </x:c>
      <x:c r="F4706" s="10" t="n">
        <x:v>0.008192</x:v>
      </x:c>
      <x:c r="G4706" s="10" t="n">
        <x:f>SUM(D4706:F4706)</x:f>
        <x:v>560.017792</x:v>
      </x:c>
    </x:row>
    <x:row r="4707" ht="24" customHeight="1">
      <x:c r="A4707" s="10" t="str">
        <x:v>S07-09</x:v>
      </x:c>
      <x:c r="B4707" s="10" t="str">
        <x:v>A</x:v>
      </x:c>
      <x:c r="C4707" s="18" t="n">
        <x:v>-0.997666567</x:v>
      </x:c>
      <x:c r="D4707" s="10" t="n">
        <x:v>560</x:v>
      </x:c>
      <x:c r="E4707" s="10" t="n">
        <x:v>0.009600019</x:v>
      </x:c>
      <x:c r="F4707" s="10" t="n">
        <x:v>0.008192</x:v>
      </x:c>
      <x:c r="G4707" s="10" t="n">
        <x:f>SUM(D4707:F4707)</x:f>
        <x:v>560.017792019</x:v>
      </x:c>
    </x:row>
    <x:row r="4708" ht="24" customHeight="1">
      <x:c r="A4708" s="10" t="str">
        <x:v>S07-09</x:v>
      </x:c>
      <x:c r="B4708" s="10" t="str">
        <x:v>A</x:v>
      </x:c>
      <x:c r="C4708" s="18" t="n">
        <x:v>-0.9000001</x:v>
      </x:c>
      <x:c r="D4708" s="10" t="n">
        <x:v>560</x:v>
      </x:c>
      <x:c r="E4708" s="10" t="n">
        <x:v>0.028351981</x:v>
      </x:c>
      <x:c r="F4708" s="10" t="n">
        <x:v>0.008192</x:v>
      </x:c>
      <x:c r="G4708" s="10" t="n">
        <x:f>SUM(D4708:F4708)</x:f>
        <x:v>560.036543981</x:v>
      </x:c>
    </x:row>
    <x:row r="4709" ht="24" customHeight="1">
      <x:c r="A4709" s="10" t="str">
        <x:v>S07-09</x:v>
      </x:c>
      <x:c r="B4709" s="10" t="str">
        <x:v>A</x:v>
      </x:c>
      <x:c r="C4709" s="18" t="n">
        <x:v>-0.9</x:v>
      </x:c>
      <x:c r="D4709" s="10" t="n">
        <x:v>560</x:v>
      </x:c>
      <x:c r="E4709" s="10" t="n">
        <x:v>0.028352</x:v>
      </x:c>
      <x:c r="F4709" s="10" t="n">
        <x:v>0.012288</x:v>
      </x:c>
      <x:c r="G4709" s="10" t="n">
        <x:f>SUM(D4709:F4709)</x:f>
        <x:v>560.04064</x:v>
      </x:c>
    </x:row>
    <x:row r="4710" ht="24" customHeight="1">
      <x:c r="A4710" s="10" t="str">
        <x:v>S07-09</x:v>
      </x:c>
      <x:c r="B4710" s="10" t="str">
        <x:v>A</x:v>
      </x:c>
      <x:c r="C4710" s="18" t="n">
        <x:v>-0.8999999</x:v>
      </x:c>
      <x:c r="D4710" s="10" t="n">
        <x:v>560</x:v>
      </x:c>
      <x:c r="E4710" s="10" t="n">
        <x:v>0.028352019</x:v>
      </x:c>
      <x:c r="F4710" s="10" t="n">
        <x:v>0.012288</x:v>
      </x:c>
      <x:c r="G4710" s="10" t="n">
        <x:f>SUM(D4710:F4710)</x:f>
        <x:v>560.040640019</x:v>
      </x:c>
    </x:row>
    <x:row r="4711" ht="24" customHeight="1">
      <x:c r="A4711" s="10" t="str">
        <x:v>S07-09</x:v>
      </x:c>
      <x:c r="B4711" s="10" t="str">
        <x:v>A</x:v>
      </x:c>
      <x:c r="C4711" s="18" t="n">
        <x:v>-0.7940001</x:v>
      </x:c>
      <x:c r="D4711" s="10" t="n">
        <x:v>560</x:v>
      </x:c>
      <x:c r="E4711" s="10" t="n">
        <x:v>0.048703981</x:v>
      </x:c>
      <x:c r="F4711" s="10" t="n">
        <x:v>0.012288</x:v>
      </x:c>
      <x:c r="G4711" s="10" t="n">
        <x:f>SUM(D4711:F4711)</x:f>
        <x:v>560.060991981</x:v>
      </x:c>
    </x:row>
    <x:row r="4712" ht="24" customHeight="1">
      <x:c r="A4712" s="10" t="str">
        <x:v>S07-09</x:v>
      </x:c>
      <x:c r="B4712" s="10" t="str">
        <x:v>A</x:v>
      </x:c>
      <x:c r="C4712" s="18" t="n">
        <x:v>-0.794</x:v>
      </x:c>
      <x:c r="D4712" s="10" t="n">
        <x:v>560</x:v>
      </x:c>
      <x:c r="E4712" s="10" t="n">
        <x:v>0.058304</x:v>
      </x:c>
      <x:c r="F4712" s="10" t="n">
        <x:v>0.012288</x:v>
      </x:c>
      <x:c r="G4712" s="10" t="n">
        <x:f>SUM(D4712:F4712)</x:f>
        <x:v>560.070592</x:v>
      </x:c>
    </x:row>
    <x:row r="4713" ht="24" customHeight="1">
      <x:c r="A4713" s="10" t="str">
        <x:v>S07-09</x:v>
      </x:c>
      <x:c r="B4713" s="10" t="str">
        <x:v>A</x:v>
      </x:c>
      <x:c r="C4713" s="18" t="n">
        <x:v>-0.7939999</x:v>
      </x:c>
      <x:c r="D4713" s="10" t="n">
        <x:v>560</x:v>
      </x:c>
      <x:c r="E4713" s="10" t="n">
        <x:v>0.058304038</x:v>
      </x:c>
      <x:c r="F4713" s="10" t="n">
        <x:v>0.012288</x:v>
      </x:c>
      <x:c r="G4713" s="10" t="n">
        <x:f>SUM(D4713:F4713)</x:f>
        <x:v>560.070592038</x:v>
      </x:c>
    </x:row>
    <x:row r="4714" ht="24" customHeight="1">
      <x:c r="A4714" s="10" t="str">
        <x:v>S07-09</x:v>
      </x:c>
      <x:c r="B4714" s="10" t="str">
        <x:v>A</x:v>
      </x:c>
      <x:c r="C4714" s="18" t="n">
        <x:v>-0.4900001</x:v>
      </x:c>
      <x:c r="D4714" s="10" t="n">
        <x:v>560</x:v>
      </x:c>
      <x:c r="E4714" s="10" t="n">
        <x:v>0.175039962</x:v>
      </x:c>
      <x:c r="F4714" s="10" t="n">
        <x:v>0.012288</x:v>
      </x:c>
      <x:c r="G4714" s="10" t="n">
        <x:f>SUM(D4714:F4714)</x:f>
        <x:v>560.187327962</x:v>
      </x:c>
    </x:row>
    <x:row r="4715" ht="24" customHeight="1">
      <x:c r="A4715" s="10" t="str">
        <x:v>S07-09</x:v>
      </x:c>
      <x:c r="B4715" s="10" t="str">
        <x:v>A</x:v>
      </x:c>
      <x:c r="C4715" s="18" t="n">
        <x:v>-0.49</x:v>
      </x:c>
      <x:c r="D4715" s="10" t="n">
        <x:v>560</x:v>
      </x:c>
      <x:c r="E4715" s="10" t="n">
        <x:v>0.18464</x:v>
      </x:c>
      <x:c r="F4715" s="10" t="n">
        <x:v>0.012288</x:v>
      </x:c>
      <x:c r="G4715" s="10" t="n">
        <x:f>SUM(D4715:F4715)</x:f>
        <x:v>560.196928</x:v>
      </x:c>
    </x:row>
    <x:row r="4716" ht="24" customHeight="1">
      <x:c r="A4716" s="10" t="str">
        <x:v>S07-09</x:v>
      </x:c>
      <x:c r="B4716" s="10" t="str">
        <x:v>A</x:v>
      </x:c>
      <x:c r="C4716" s="18" t="n">
        <x:v>-0.4899999</x:v>
      </x:c>
      <x:c r="D4716" s="10" t="n">
        <x:v>560</x:v>
      </x:c>
      <x:c r="E4716" s="10" t="n">
        <x:v>0.184640058</x:v>
      </x:c>
      <x:c r="F4716" s="10" t="n">
        <x:v>0.012288</x:v>
      </x:c>
      <x:c r="G4716" s="10" t="n">
        <x:f>SUM(D4716:F4716)</x:f>
        <x:v>560.196928058</x:v>
      </x:c>
    </x:row>
    <x:row r="4717" ht="24" customHeight="1">
      <x:c r="A4717" s="10" t="str">
        <x:v>S07-09</x:v>
      </x:c>
      <x:c r="B4717" s="10" t="str">
        <x:v>A</x:v>
      </x:c>
      <x:c r="C4717" s="18" t="n">
        <x:v>-0.287166767</x:v>
      </x:c>
      <x:c r="D4717" s="10" t="n">
        <x:v>560</x:v>
      </x:c>
      <x:c r="E4717" s="10" t="n">
        <x:v>0.301471942</x:v>
      </x:c>
      <x:c r="F4717" s="10" t="n">
        <x:v>0.012288</x:v>
      </x:c>
      <x:c r="G4717" s="10" t="n">
        <x:f>SUM(D4717:F4717)</x:f>
        <x:v>560.313759942</x:v>
      </x:c>
    </x:row>
    <x:row r="4718" ht="24" customHeight="1">
      <x:c r="A4718" s="10" t="str">
        <x:v>S07-09</x:v>
      </x:c>
      <x:c r="B4718" s="10" t="str">
        <x:v>A</x:v>
      </x:c>
      <x:c r="C4718" s="18" t="n">
        <x:v>-0.287166667</x:v>
      </x:c>
      <x:c r="D4718" s="10" t="n">
        <x:v>560</x:v>
      </x:c>
      <x:c r="E4718" s="10" t="n">
        <x:v>0.301472</x:v>
      </x:c>
      <x:c r="F4718" s="10" t="n">
        <x:v>0.012288</x:v>
      </x:c>
      <x:c r="G4718" s="10" t="n">
        <x:f>SUM(D4718:F4718)</x:f>
        <x:v>560.31376</x:v>
      </x:c>
    </x:row>
    <x:row r="4719" ht="24" customHeight="1">
      <x:c r="A4719" s="10" t="str">
        <x:v>S07-09</x:v>
      </x:c>
      <x:c r="B4719" s="10" t="str">
        <x:v>A</x:v>
      </x:c>
      <x:c r="C4719" s="18" t="n">
        <x:v>-0.287166567</x:v>
      </x:c>
      <x:c r="D4719" s="10" t="n">
        <x:v>560</x:v>
      </x:c>
      <x:c r="E4719" s="10" t="n">
        <x:v>0.301472038</x:v>
      </x:c>
      <x:c r="F4719" s="10" t="n">
        <x:v>0.012288</x:v>
      </x:c>
      <x:c r="G4719" s="10" t="n">
        <x:f>SUM(D4719:F4719)</x:f>
        <x:v>560.313760038</x:v>
      </x:c>
    </x:row>
    <x:row r="4720" ht="24" customHeight="1">
      <x:c r="A4720" s="10" t="str">
        <x:v>S07-09</x:v>
      </x:c>
      <x:c r="B4720" s="10" t="str">
        <x:v>A</x:v>
      </x:c>
      <x:c r="C4720" s="18" t="n">
        <x:v>-1e-7</x:v>
      </x:c>
      <x:c r="D4720" s="10" t="n">
        <x:v>560</x:v>
      </x:c>
      <x:c r="E4720" s="10" t="n">
        <x:v>0.411743962</x:v>
      </x:c>
      <x:c r="F4720" s="10" t="n">
        <x:v>0.012288</x:v>
      </x:c>
      <x:c r="G4720" s="10" t="n">
        <x:f>SUM(D4720:F4720)</x:f>
        <x:v>560.424031962</x:v>
      </x:c>
    </x:row>
    <x:row r="4721" ht="24" customHeight="1">
      <x:c r="A4721" s="10" t="str">
        <x:v>S07-09</x:v>
      </x:c>
      <x:c r="B4721" s="10" t="str">
        <x:v>A</x:v>
      </x:c>
      <x:c r="C4721" s="18" t="n">
        <x:v>0</x:v>
      </x:c>
      <x:c r="D4721" s="10" t="n">
        <x:v>560</x:v>
      </x:c>
      <x:c r="E4721" s="10" t="n">
        <x:v>0.411744</x:v>
      </x:c>
      <x:c r="F4721" s="10" t="n">
        <x:v>0.012288</x:v>
      </x:c>
      <x:c r="G4721" s="10" t="n">
        <x:f>SUM(D4721:F4721)</x:f>
        <x:v>560.424032</x:v>
      </x:c>
    </x:row>
    <x:row r="4722" ht="24" customHeight="1">
      <x:c r="A4722" s="10" t="str">
        <x:v>S07-09</x:v>
      </x:c>
      <x:c r="B4722" s="10" t="str">
        <x:v>A</x:v>
      </x:c>
      <x:c r="C4722" s="18" t="n">
        <x:v>1e-7</x:v>
      </x:c>
      <x:c r="D4722" s="10" t="n">
        <x:v>560</x:v>
      </x:c>
      <x:c r="E4722" s="10" t="n">
        <x:v>0.411744038</x:v>
      </x:c>
      <x:c r="F4722" s="10" t="n">
        <x:v>0.012288</x:v>
      </x:c>
      <x:c r="G4722" s="10" t="n">
        <x:f>SUM(D4722:F4722)</x:f>
        <x:v>560.4240320380001</x:v>
      </x:c>
    </x:row>
    <x:row r="4723" ht="24" customHeight="1">
      <x:c r="A4723" s="10" t="str">
        <x:v>S07-09</x:v>
      </x:c>
      <x:c r="B4723" s="10" t="str">
        <x:v>A</x:v>
      </x:c>
      <x:c r="C4723" s="18" t="n">
        <x:v>0.1664999</x:v>
      </x:c>
      <x:c r="D4723" s="10" t="n">
        <x:v>560</x:v>
      </x:c>
      <x:c r="E4723" s="10" t="n">
        <x:v>0.475679962</x:v>
      </x:c>
      <x:c r="F4723" s="10" t="n">
        <x:v>0.012288</x:v>
      </x:c>
      <x:c r="G4723" s="10" t="n">
        <x:f>SUM(D4723:F4723)</x:f>
        <x:v>560.487967962</x:v>
      </x:c>
    </x:row>
    <x:row r="4724" ht="24" customHeight="1">
      <x:c r="A4724" s="10" t="str">
        <x:v>S07-09</x:v>
      </x:c>
      <x:c r="B4724" s="10" t="str">
        <x:v>A</x:v>
      </x:c>
      <x:c r="C4724" s="18" t="n">
        <x:v>0.1665</x:v>
      </x:c>
      <x:c r="D4724" s="10" t="n">
        <x:v>560</x:v>
      </x:c>
      <x:c r="E4724" s="10" t="n">
        <x:v>0.47568</x:v>
      </x:c>
      <x:c r="F4724" s="10" t="n">
        <x:v>0.012288</x:v>
      </x:c>
      <x:c r="G4724" s="10" t="n">
        <x:f>SUM(D4724:F4724)</x:f>
        <x:v>560.487968</x:v>
      </x:c>
    </x:row>
    <x:row r="4725" ht="24" customHeight="1">
      <x:c r="A4725" s="10" t="str">
        <x:v>S07-09</x:v>
      </x:c>
      <x:c r="B4725" s="10" t="str">
        <x:v>A</x:v>
      </x:c>
      <x:c r="C4725" s="18" t="n">
        <x:v>0.1665001</x:v>
      </x:c>
      <x:c r="D4725" s="10" t="n">
        <x:v>560</x:v>
      </x:c>
      <x:c r="E4725" s="10" t="n">
        <x:v>0.475680019</x:v>
      </x:c>
      <x:c r="F4725" s="10" t="n">
        <x:v>0.012288</x:v>
      </x:c>
      <x:c r="G4725" s="10" t="n">
        <x:f>SUM(D4725:F4725)</x:f>
        <x:v>560.487968019</x:v>
      </x:c>
    </x:row>
    <x:row r="4726" ht="24" customHeight="1">
      <x:c r="A4726" s="10" t="str">
        <x:v>S07-09</x:v>
      </x:c>
      <x:c r="B4726" s="10" t="str">
        <x:v>A</x:v>
      </x:c>
      <x:c r="C4726" s="18" t="n">
        <x:v>0.8699999</x:v>
      </x:c>
      <x:c r="D4726" s="10" t="n">
        <x:v>560</x:v>
      </x:c>
      <x:c r="E4726" s="10" t="n">
        <x:v>0.610751981</x:v>
      </x:c>
      <x:c r="F4726" s="10" t="n">
        <x:v>0.012288</x:v>
      </x:c>
      <x:c r="G4726" s="10" t="n">
        <x:f>SUM(D4726:F4726)</x:f>
        <x:v>560.623039981</x:v>
      </x:c>
    </x:row>
    <x:row r="4727" ht="24" customHeight="1">
      <x:c r="A4727" s="10" t="str">
        <x:v>S07-09</x:v>
      </x:c>
      <x:c r="B4727" s="10" t="str">
        <x:v>A</x:v>
      </x:c>
      <x:c r="C4727" s="18" t="n">
        <x:v>0.87</x:v>
      </x:c>
      <x:c r="D4727" s="10" t="n">
        <x:v>560</x:v>
      </x:c>
      <x:c r="E4727" s="10" t="n">
        <x:v>0.610752</x:v>
      </x:c>
      <x:c r="F4727" s="10" t="n">
        <x:v>0.012288</x:v>
      </x:c>
      <x:c r="G4727" s="10" t="n">
        <x:f>SUM(D4727:F4727)</x:f>
        <x:v>560.6230400000001</x:v>
      </x:c>
    </x:row>
    <x:row r="4728" ht="24" customHeight="1">
      <x:c r="A4728" s="10" t="str">
        <x:v>S07-09</x:v>
      </x:c>
      <x:c r="B4728" s="10" t="str">
        <x:v>A</x:v>
      </x:c>
      <x:c r="C4728" s="18" t="n">
        <x:v>0.8700001</x:v>
      </x:c>
      <x:c r="D4728" s="10" t="n">
        <x:v>560</x:v>
      </x:c>
      <x:c r="E4728" s="10" t="n">
        <x:v>0.610752019</x:v>
      </x:c>
      <x:c r="F4728" s="10" t="n">
        <x:v>0.012288</x:v>
      </x:c>
      <x:c r="G4728" s="10" t="n">
        <x:f>SUM(D4728:F4728)</x:f>
        <x:v>560.623040019</x:v>
      </x:c>
    </x:row>
    <x:row r="4729" ht="24" customHeight="1">
      <x:c r="A4729" s="10" t="str">
        <x:v>S07-09</x:v>
      </x:c>
      <x:c r="B4729" s="10" t="str">
        <x:v>A</x:v>
      </x:c>
      <x:c r="C4729" s="18" t="n">
        <x:v>0.9099999</x:v>
      </x:c>
      <x:c r="D4729" s="10" t="n">
        <x:v>560</x:v>
      </x:c>
      <x:c r="E4729" s="10" t="n">
        <x:v>0.618431981</x:v>
      </x:c>
      <x:c r="F4729" s="10" t="n">
        <x:v>0.012288</x:v>
      </x:c>
      <x:c r="G4729" s="10" t="n">
        <x:f>SUM(D4729:F4729)</x:f>
        <x:v>560.630719981</x:v>
      </x:c>
    </x:row>
    <x:row r="4730" ht="24" customHeight="1">
      <x:c r="A4730" s="10" t="str">
        <x:v>S07-09</x:v>
      </x:c>
      <x:c r="B4730" s="10" t="str">
        <x:v>A</x:v>
      </x:c>
      <x:c r="C4730" s="18" t="n">
        <x:v>0.91</x:v>
      </x:c>
      <x:c r="D4730" s="10" t="n">
        <x:v>560</x:v>
      </x:c>
      <x:c r="E4730" s="10" t="n">
        <x:v>0.618432</x:v>
      </x:c>
      <x:c r="F4730" s="10" t="n">
        <x:v>0.012288</x:v>
      </x:c>
      <x:c r="G4730" s="10" t="n">
        <x:f>SUM(D4730:F4730)</x:f>
        <x:v>560.63072</x:v>
      </x:c>
    </x:row>
    <x:row r="4731" ht="24" customHeight="1">
      <x:c r="A4731" s="10" t="str">
        <x:v>S07-09</x:v>
      </x:c>
      <x:c r="B4731" s="10" t="str">
        <x:v>A</x:v>
      </x:c>
      <x:c r="C4731" s="18" t="n">
        <x:v>0.9100001</x:v>
      </x:c>
      <x:c r="D4731" s="10" t="n">
        <x:v>560</x:v>
      </x:c>
      <x:c r="E4731" s="10" t="n">
        <x:v>0.618432014</x:v>
      </x:c>
      <x:c r="F4731" s="10" t="n">
        <x:v>0.012288</x:v>
      </x:c>
      <x:c r="G4731" s="10" t="n">
        <x:f>SUM(D4731:F4731)</x:f>
        <x:v>560.630720014</x:v>
      </x:c>
    </x:row>
    <x:row r="4732" ht="24" customHeight="1">
      <x:c r="A4732" s="10" t="str">
        <x:v>S07-09</x:v>
      </x:c>
      <x:c r="B4732" s="10" t="str">
        <x:v>A</x:v>
      </x:c>
      <x:c r="C4732" s="18" t="n">
        <x:v>1.2204999</x:v>
      </x:c>
      <x:c r="D4732" s="10" t="n">
        <x:v>560</x:v>
      </x:c>
      <x:c r="E4732" s="10" t="n">
        <x:v>0.663143986</x:v>
      </x:c>
      <x:c r="F4732" s="10" t="n">
        <x:v>0.012288</x:v>
      </x:c>
      <x:c r="G4732" s="10" t="n">
        <x:f>SUM(D4732:F4732)</x:f>
        <x:v>560.675431986</x:v>
      </x:c>
    </x:row>
    <x:row r="4733" ht="24" customHeight="1">
      <x:c r="A4733" s="10" t="str">
        <x:v>S07-09</x:v>
      </x:c>
      <x:c r="B4733" s="10" t="str">
        <x:v>A</x:v>
      </x:c>
      <x:c r="C4733" s="18" t="n">
        <x:v>1.2205</x:v>
      </x:c>
      <x:c r="D4733" s="10" t="n">
        <x:v>560</x:v>
      </x:c>
      <x:c r="E4733" s="10" t="n">
        <x:v>0.663144</x:v>
      </x:c>
      <x:c r="F4733" s="10" t="n">
        <x:v>0.012288</x:v>
      </x:c>
      <x:c r="G4733" s="10" t="n">
        <x:f>SUM(D4733:F4733)</x:f>
        <x:v>560.675432</x:v>
      </x:c>
    </x:row>
    <x:row r="4734" ht="24" customHeight="1">
      <x:c r="A4734" s="10" t="str">
        <x:v>S07-09</x:v>
      </x:c>
      <x:c r="B4734" s="10" t="str">
        <x:v>A</x:v>
      </x:c>
      <x:c r="C4734" s="18" t="n">
        <x:v>1.2205001</x:v>
      </x:c>
      <x:c r="D4734" s="10" t="n">
        <x:v>560</x:v>
      </x:c>
      <x:c r="E4734" s="10" t="n">
        <x:v>0.663143995</x:v>
      </x:c>
      <x:c r="F4734" s="10" t="n">
        <x:v>0.012288</x:v>
      </x:c>
      <x:c r="G4734" s="10" t="n">
        <x:f>SUM(D4734:F4734)</x:f>
        <x:v>560.675431995</x:v>
      </x:c>
    </x:row>
    <x:row r="4735" ht="24" customHeight="1">
      <x:c r="A4735" s="10" t="str">
        <x:v>S07-09</x:v>
      </x:c>
      <x:c r="B4735" s="10" t="str">
        <x:v>A</x:v>
      </x:c>
      <x:c r="C4735" s="18" t="n">
        <x:v>3.9519999</x:v>
      </x:c>
      <x:c r="D4735" s="10" t="n">
        <x:v>560</x:v>
      </x:c>
      <x:c r="E4735" s="10" t="n">
        <x:v>0.532032005</x:v>
      </x:c>
      <x:c r="F4735" s="10" t="n">
        <x:v>0.012288</x:v>
      </x:c>
      <x:c r="G4735" s="10" t="n">
        <x:f>SUM(D4735:F4735)</x:f>
        <x:v>560.544320005</x:v>
      </x:c>
    </x:row>
    <x:row r="4736" ht="24" customHeight="1">
      <x:c r="A4736" s="10" t="str">
        <x:v>S07-09</x:v>
      </x:c>
      <x:c r="B4736" s="10" t="str">
        <x:v>A</x:v>
      </x:c>
      <x:c r="C4736" s="18" t="n">
        <x:v>3.952</x:v>
      </x:c>
      <x:c r="D4736" s="10" t="n">
        <x:v>560</x:v>
      </x:c>
      <x:c r="E4736" s="10" t="n">
        <x:v>0.532032</x:v>
      </x:c>
      <x:c r="F4736" s="10" t="n">
        <x:v>0.012288</x:v>
      </x:c>
      <x:c r="G4736" s="10" t="n">
        <x:f>SUM(D4736:F4736)</x:f>
        <x:v>560.54432</x:v>
      </x:c>
    </x:row>
    <x:row r="4737" ht="24" customHeight="1">
      <x:c r="A4737" s="10" t="str">
        <x:v>S07-09</x:v>
      </x:c>
      <x:c r="B4737" s="10" t="str">
        <x:v>A</x:v>
      </x:c>
      <x:c r="C4737" s="18" t="n">
        <x:v>3.9520001</x:v>
      </x:c>
      <x:c r="D4737" s="10" t="n">
        <x:v>560</x:v>
      </x:c>
      <x:c r="E4737" s="10" t="n">
        <x:v>0.532032</x:v>
      </x:c>
      <x:c r="F4737" s="10" t="n">
        <x:v>0.008192</x:v>
      </x:c>
      <x:c r="G4737" s="10" t="n">
        <x:f>SUM(D4737:F4737)</x:f>
        <x:v>560.540224</x:v>
      </x:c>
    </x:row>
    <x:row r="4738" ht="24" customHeight="1">
      <x:c r="A4738" s="10" t="str">
        <x:v>S07-09</x:v>
      </x:c>
      <x:c r="B4738" s="10" t="str">
        <x:v>A</x:v>
      </x:c>
      <x:c r="C4738" s="18" t="n">
        <x:v>3.9919999</x:v>
      </x:c>
      <x:c r="D4738" s="10" t="n">
        <x:v>560</x:v>
      </x:c>
      <x:c r="E4738" s="10" t="n">
        <x:v>0.532032</x:v>
      </x:c>
      <x:c r="F4738" s="10" t="n">
        <x:v>0.008192</x:v>
      </x:c>
      <x:c r="G4738" s="10" t="n">
        <x:f>SUM(D4738:F4738)</x:f>
        <x:v>560.540224</x:v>
      </x:c>
    </x:row>
    <x:row r="4739" ht="24" customHeight="1">
      <x:c r="A4739" s="10" t="str">
        <x:v>S07-09</x:v>
      </x:c>
      <x:c r="B4739" s="10" t="str">
        <x:v>A</x:v>
      </x:c>
      <x:c r="C4739" s="18" t="n">
        <x:v>3.992</x:v>
      </x:c>
      <x:c r="D4739" s="10" t="n">
        <x:v>560</x:v>
      </x:c>
      <x:c r="E4739" s="10" t="n">
        <x:v>0.532032</x:v>
      </x:c>
      <x:c r="F4739" s="10" t="n">
        <x:v>0.008192</x:v>
      </x:c>
      <x:c r="G4739" s="10" t="n">
        <x:f>SUM(D4739:F4739)</x:f>
        <x:v>560.540224</x:v>
      </x:c>
    </x:row>
    <x:row r="4740" ht="24" customHeight="1">
      <x:c r="A4740" s="10" t="str">
        <x:v>S07-09</x:v>
      </x:c>
      <x:c r="B4740" s="10" t="str">
        <x:v>A</x:v>
      </x:c>
      <x:c r="C4740" s="18" t="n">
        <x:v>3.9920001</x:v>
      </x:c>
      <x:c r="D4740" s="10" t="n">
        <x:v>560</x:v>
      </x:c>
      <x:c r="E4740" s="10" t="n">
        <x:v>0.532031995</x:v>
      </x:c>
      <x:c r="F4740" s="10" t="n">
        <x:v>0.008192</x:v>
      </x:c>
      <x:c r="G4740" s="10" t="n">
        <x:f>SUM(D4740:F4740)</x:f>
        <x:v>560.540223995</x:v>
      </x:c>
    </x:row>
    <x:row r="4741" ht="24" customHeight="1">
      <x:c r="A4741" s="10" t="str">
        <x:v>S07-09</x:v>
      </x:c>
      <x:c r="B4741" s="10" t="str">
        <x:v>A</x:v>
      </x:c>
      <x:c r="C4741" s="18" t="n">
        <x:v>8.0339999</x:v>
      </x:c>
      <x:c r="D4741" s="10" t="n">
        <x:v>560</x:v>
      </x:c>
      <x:c r="E4741" s="10" t="n">
        <x:v>0.338016005</x:v>
      </x:c>
      <x:c r="F4741" s="10" t="n">
        <x:v>0.008192</x:v>
      </x:c>
      <x:c r="G4741" s="10" t="n">
        <x:f>SUM(D4741:F4741)</x:f>
        <x:v>560.346208005</x:v>
      </x:c>
    </x:row>
    <x:row r="4742" ht="24" customHeight="1">
      <x:c r="A4742" s="10" t="str">
        <x:v>S07-09</x:v>
      </x:c>
      <x:c r="B4742" s="10" t="str">
        <x:v>A</x:v>
      </x:c>
      <x:c r="C4742" s="18" t="n">
        <x:v>8.034</x:v>
      </x:c>
      <x:c r="D4742" s="10" t="n">
        <x:v>560</x:v>
      </x:c>
      <x:c r="E4742" s="10" t="n">
        <x:v>0.338016</x:v>
      </x:c>
      <x:c r="F4742" s="10" t="n">
        <x:v>0.008192</x:v>
      </x:c>
      <x:c r="G4742" s="10" t="n">
        <x:f>SUM(D4742:F4742)</x:f>
        <x:v>560.346208</x:v>
      </x:c>
    </x:row>
    <x:row r="4743" ht="24" customHeight="1">
      <x:c r="A4743" s="10" t="str">
        <x:v>S07-09</x:v>
      </x:c>
      <x:c r="B4743" s="10" t="str">
        <x:v>A</x:v>
      </x:c>
      <x:c r="C4743" s="18" t="n">
        <x:v>8.0340001</x:v>
      </x:c>
      <x:c r="D4743" s="10" t="n">
        <x:v>560</x:v>
      </x:c>
      <x:c r="E4743" s="10" t="n">
        <x:v>0.338016</x:v>
      </x:c>
      <x:c r="F4743" s="10" t="n">
        <x:v>0.004096</x:v>
      </x:c>
      <x:c r="G4743" s="10" t="n">
        <x:f>SUM(D4743:F4743)</x:f>
        <x:v>560.342112</x:v>
      </x:c>
    </x:row>
    <x:row r="4744" ht="24" customHeight="1">
      <x:c r="A4744" s="10" t="str">
        <x:v>S07-09</x:v>
      </x:c>
      <x:c r="B4744" s="10" t="str">
        <x:v>A</x:v>
      </x:c>
      <x:c r="C4744" s="18" t="n">
        <x:v>8.0739999</x:v>
      </x:c>
      <x:c r="D4744" s="10" t="n">
        <x:v>560</x:v>
      </x:c>
      <x:c r="E4744" s="10" t="n">
        <x:v>0.338016</x:v>
      </x:c>
      <x:c r="F4744" s="10" t="n">
        <x:v>0.004096</x:v>
      </x:c>
      <x:c r="G4744" s="10" t="n">
        <x:f>SUM(D4744:F4744)</x:f>
        <x:v>560.342112</x:v>
      </x:c>
    </x:row>
    <x:row r="4745" ht="24" customHeight="1">
      <x:c r="A4745" s="10" t="str">
        <x:v>S07-09</x:v>
      </x:c>
      <x:c r="B4745" s="10" t="str">
        <x:v>A</x:v>
      </x:c>
      <x:c r="C4745" s="18" t="n">
        <x:v>8.074</x:v>
      </x:c>
      <x:c r="D4745" s="10" t="n">
        <x:v>560</x:v>
      </x:c>
      <x:c r="E4745" s="10" t="n">
        <x:v>0.338016</x:v>
      </x:c>
      <x:c r="F4745" s="10" t="n">
        <x:v>0.004096</x:v>
      </x:c>
      <x:c r="G4745" s="10" t="n">
        <x:f>SUM(D4745:F4745)</x:f>
        <x:v>560.342112</x:v>
      </x:c>
    </x:row>
    <x:row r="4746" ht="24" customHeight="1">
      <x:c r="A4746" s="10" t="str">
        <x:v>S07-09</x:v>
      </x:c>
      <x:c r="B4746" s="10" t="str">
        <x:v>A</x:v>
      </x:c>
      <x:c r="C4746" s="18" t="n">
        <x:v>8.0740001</x:v>
      </x:c>
      <x:c r="D4746" s="10" t="n">
        <x:v>560</x:v>
      </x:c>
      <x:c r="E4746" s="10" t="n">
        <x:v>0.338015995</x:v>
      </x:c>
      <x:c r="F4746" s="10" t="n">
        <x:v>0.004096</x:v>
      </x:c>
      <x:c r="G4746" s="10" t="n">
        <x:f>SUM(D4746:F4746)</x:f>
        <x:v>560.342111995</x:v>
      </x:c>
    </x:row>
    <x:row r="4747" ht="24" customHeight="1">
      <x:c r="A4747" s="10" t="str">
        <x:v>S07-09</x:v>
      </x:c>
      <x:c r="B4747" s="10" t="str">
        <x:v>A</x:v>
      </x:c>
      <x:c r="C4747" s="18" t="n">
        <x:v>15.1159999</x:v>
      </x:c>
      <x:c r="D4747" s="10" t="n">
        <x:v>560</x:v>
      </x:c>
      <x:c r="E4747" s="10" t="n">
        <x:v>5e-9</x:v>
      </x:c>
      <x:c r="F4747" s="10" t="n">
        <x:v>0.004096</x:v>
      </x:c>
      <x:c r="G4747" s="10" t="n">
        <x:f>SUM(D4747:F4747)</x:f>
        <x:v>560.004096005</x:v>
      </x:c>
    </x:row>
    <x:row r="4748" ht="24" customHeight="1">
      <x:c r="A4748" s="10" t="str">
        <x:v>S07-09</x:v>
      </x:c>
      <x:c r="B4748" s="10" t="str">
        <x:v>A</x:v>
      </x:c>
      <x:c r="C4748" s="18" t="n">
        <x:v>15.116</x:v>
      </x:c>
      <x:c r="D4748" s="10" t="n">
        <x:v>560</x:v>
      </x:c>
      <x:c r="E4748" s="10" t="n">
        <x:v>0</x:v>
      </x:c>
      <x:c r="F4748" s="10" t="n">
        <x:v>0.004096</x:v>
      </x:c>
      <x:c r="G4748" s="10" t="n">
        <x:f>SUM(D4748:F4748)</x:f>
        <x:v>560.004096</x:v>
      </x:c>
    </x:row>
    <x:row r="4749" ht="24" customHeight="1">
      <x:c r="A4749" s="10" t="str">
        <x:v>S07-09</x:v>
      </x:c>
      <x:c r="B4749" s="10" t="str">
        <x:v>A</x:v>
      </x:c>
      <x:c r="C4749" s="18" t="n">
        <x:v>15.1160001</x:v>
      </x:c>
      <x:c r="D4749" s="10" t="n">
        <x:v>560</x:v>
      </x:c>
      <x:c r="E4749" s="10" t="n">
        <x:v>0</x:v>
      </x:c>
      <x:c r="F4749" s="10" t="n">
        <x:v>0</x:v>
      </x:c>
      <x:c r="G4749" s="10" t="n">
        <x:f>SUM(D4749:F4749)</x:f>
        <x:v>560</x:v>
      </x:c>
    </x:row>
    <x:row r="4750" ht="24" customHeight="1">
      <x:c r="A4750" s="10" t="str">
        <x:v>S07-09</x:v>
      </x:c>
      <x:c r="B4750" s="10" t="str">
        <x:v>B</x:v>
      </x:c>
      <x:c r="C4750" s="18" t="n">
        <x:v>-6.0000001</x:v>
      </x:c>
      <x:c r="D4750" s="10" t="n">
        <x:v>560</x:v>
      </x:c>
      <x:c r="E4750" s="10" t="n">
        <x:v>0</x:v>
      </x:c>
      <x:c r="F4750" s="10" t="n">
        <x:v>0</x:v>
      </x:c>
      <x:c r="G4750" s="10" t="n">
        <x:f>SUM(D4750:F4750)</x:f>
        <x:v>560</x:v>
      </x:c>
    </x:row>
    <x:row r="4751" ht="24" customHeight="1">
      <x:c r="A4751" s="10" t="str">
        <x:v>S07-09</x:v>
      </x:c>
      <x:c r="B4751" s="10" t="str">
        <x:v>B</x:v>
      </x:c>
      <x:c r="C4751" s="18" t="n">
        <x:v>-6</x:v>
      </x:c>
      <x:c r="D4751" s="10" t="n">
        <x:v>560</x:v>
      </x:c>
      <x:c r="E4751" s="10" t="n">
        <x:v>0</x:v>
      </x:c>
      <x:c r="F4751" s="10" t="n">
        <x:v>0</x:v>
      </x:c>
      <x:c r="G4751" s="10" t="n">
        <x:f>SUM(D4751:F4751)</x:f>
        <x:v>560</x:v>
      </x:c>
    </x:row>
    <x:row r="4752" ht="24" customHeight="1">
      <x:c r="A4752" s="10" t="str">
        <x:v>S07-09</x:v>
      </x:c>
      <x:c r="B4752" s="10" t="str">
        <x:v>B</x:v>
      </x:c>
      <x:c r="C4752" s="18" t="n">
        <x:v>-5.9999999</x:v>
      </x:c>
      <x:c r="D4752" s="10" t="n">
        <x:v>560</x:v>
      </x:c>
      <x:c r="E4752" s="10" t="n">
        <x:v>0</x:v>
      </x:c>
      <x:c r="F4752" s="10" t="n">
        <x:v>0</x:v>
      </x:c>
      <x:c r="G4752" s="10" t="n">
        <x:f>SUM(D4752:F4752)</x:f>
        <x:v>560</x:v>
      </x:c>
    </x:row>
    <x:row r="4753" ht="24" customHeight="1">
      <x:c r="A4753" s="10" t="str">
        <x:v>S07-09</x:v>
      </x:c>
      <x:c r="B4753" s="10" t="str">
        <x:v>B</x:v>
      </x:c>
      <x:c r="C4753" s="18" t="n">
        <x:v>-1e-7</x:v>
      </x:c>
      <x:c r="D4753" s="10" t="n">
        <x:v>560</x:v>
      </x:c>
      <x:c r="E4753" s="10" t="n">
        <x:v>0</x:v>
      </x:c>
      <x:c r="F4753" s="10" t="n">
        <x:v>0</x:v>
      </x:c>
      <x:c r="G4753" s="10" t="n">
        <x:f>SUM(D4753:F4753)</x:f>
        <x:v>560</x:v>
      </x:c>
    </x:row>
    <x:row r="4754" ht="24" customHeight="1">
      <x:c r="A4754" s="10" t="str">
        <x:v>S07-09</x:v>
      </x:c>
      <x:c r="B4754" s="10" t="str">
        <x:v>B</x:v>
      </x:c>
      <x:c r="C4754" s="18" t="n">
        <x:v>0</x:v>
      </x:c>
      <x:c r="D4754" s="10" t="n">
        <x:v>560</x:v>
      </x:c>
      <x:c r="E4754" s="10" t="n">
        <x:v>0</x:v>
      </x:c>
      <x:c r="F4754" s="10" t="n">
        <x:v>0</x:v>
      </x:c>
      <x:c r="G4754" s="10" t="n">
        <x:f>SUM(D4754:F4754)</x:f>
        <x:v>560</x:v>
      </x:c>
    </x:row>
    <x:row r="4755" ht="24" customHeight="1">
      <x:c r="A4755" s="10" t="str">
        <x:v>S07-09</x:v>
      </x:c>
      <x:c r="B4755" s="10" t="str">
        <x:v>B</x:v>
      </x:c>
      <x:c r="C4755" s="18" t="n">
        <x:v>1e-7</x:v>
      </x:c>
      <x:c r="D4755" s="10" t="n">
        <x:v>560</x:v>
      </x:c>
      <x:c r="E4755" s="10" t="n">
        <x:v>0</x:v>
      </x:c>
      <x:c r="F4755" s="10" t="n">
        <x:v>0</x:v>
      </x:c>
      <x:c r="G4755" s="10" t="n">
        <x:f>SUM(D4755:F4755)</x:f>
        <x:v>560</x:v>
      </x:c>
    </x:row>
    <x:row r="4756" ht="24" customHeight="1">
      <x:c r="A4756" s="10" t="str">
        <x:v>S07-09</x:v>
      </x:c>
      <x:c r="B4756" s="10" t="str">
        <x:v>B</x:v>
      </x:c>
      <x:c r="C4756" s="18" t="n">
        <x:v>0.8699999</x:v>
      </x:c>
      <x:c r="D4756" s="10" t="n">
        <x:v>560</x:v>
      </x:c>
      <x:c r="E4756" s="10" t="n">
        <x:v>0</x:v>
      </x:c>
      <x:c r="F4756" s="10" t="n">
        <x:v>0</x:v>
      </x:c>
      <x:c r="G4756" s="10" t="n">
        <x:f>SUM(D4756:F4756)</x:f>
        <x:v>560</x:v>
      </x:c>
    </x:row>
    <x:row r="4757" ht="24" customHeight="1">
      <x:c r="A4757" s="10" t="str">
        <x:v>S07-09</x:v>
      </x:c>
      <x:c r="B4757" s="10" t="str">
        <x:v>B</x:v>
      </x:c>
      <x:c r="C4757" s="18" t="n">
        <x:v>0.87</x:v>
      </x:c>
      <x:c r="D4757" s="10" t="n">
        <x:v>560</x:v>
      </x:c>
      <x:c r="E4757" s="10" t="n">
        <x:v>0</x:v>
      </x:c>
      <x:c r="F4757" s="10" t="n">
        <x:v>0.004096</x:v>
      </x:c>
      <x:c r="G4757" s="10" t="n">
        <x:f>SUM(D4757:F4757)</x:f>
        <x:v>560.004096</x:v>
      </x:c>
    </x:row>
    <x:row r="4758" ht="24" customHeight="1">
      <x:c r="A4758" s="10" t="str">
        <x:v>S07-09</x:v>
      </x:c>
      <x:c r="B4758" s="10" t="str">
        <x:v>B</x:v>
      </x:c>
      <x:c r="C4758" s="18" t="n">
        <x:v>0.8700001</x:v>
      </x:c>
      <x:c r="D4758" s="10" t="n">
        <x:v>560</x:v>
      </x:c>
      <x:c r="E4758" s="10" t="n">
        <x:v>0</x:v>
      </x:c>
      <x:c r="F4758" s="10" t="n">
        <x:v>0.004096</x:v>
      </x:c>
      <x:c r="G4758" s="10" t="n">
        <x:f>SUM(D4758:F4758)</x:f>
        <x:v>560.004096</x:v>
      </x:c>
    </x:row>
    <x:row r="4759" ht="24" customHeight="1">
      <x:c r="A4759" s="10" t="str">
        <x:v>S07-09</x:v>
      </x:c>
      <x:c r="B4759" s="10" t="str">
        <x:v>B</x:v>
      </x:c>
      <x:c r="C4759" s="18" t="n">
        <x:v>1.272333233</x:v>
      </x:c>
      <x:c r="D4759" s="10" t="n">
        <x:v>560</x:v>
      </x:c>
      <x:c r="E4759" s="10" t="n">
        <x:v>0</x:v>
      </x:c>
      <x:c r="F4759" s="10" t="n">
        <x:v>0.004096</x:v>
      </x:c>
      <x:c r="G4759" s="10" t="n">
        <x:f>SUM(D4759:F4759)</x:f>
        <x:v>560.004096</x:v>
      </x:c>
    </x:row>
    <x:row r="4760" ht="24" customHeight="1">
      <x:c r="A4760" s="10" t="str">
        <x:v>S07-09</x:v>
      </x:c>
      <x:c r="B4760" s="10" t="str">
        <x:v>B</x:v>
      </x:c>
      <x:c r="C4760" s="18" t="n">
        <x:v>1.272333333</x:v>
      </x:c>
      <x:c r="D4760" s="10" t="n">
        <x:v>560</x:v>
      </x:c>
      <x:c r="E4760" s="10" t="n">
        <x:v>0.0096</x:v>
      </x:c>
      <x:c r="F4760" s="10" t="n">
        <x:v>0.004096</x:v>
      </x:c>
      <x:c r="G4760" s="10" t="n">
        <x:f>SUM(D4760:F4760)</x:f>
        <x:v>560.013696</x:v>
      </x:c>
    </x:row>
    <x:row r="4761" ht="24" customHeight="1">
      <x:c r="A4761" s="10" t="str">
        <x:v>S07-09</x:v>
      </x:c>
      <x:c r="B4761" s="10" t="str">
        <x:v>B</x:v>
      </x:c>
      <x:c r="C4761" s="18" t="n">
        <x:v>1.272333433</x:v>
      </x:c>
      <x:c r="D4761" s="10" t="n">
        <x:v>560</x:v>
      </x:c>
      <x:c r="E4761" s="10" t="n">
        <x:v>0.009600019</x:v>
      </x:c>
      <x:c r="F4761" s="10" t="n">
        <x:v>0.004096</x:v>
      </x:c>
      <x:c r="G4761" s="10" t="n">
        <x:f>SUM(D4761:F4761)</x:f>
        <x:v>560.013696019</x:v>
      </x:c>
    </x:row>
    <x:row r="4762" ht="24" customHeight="1">
      <x:c r="A4762" s="10" t="str">
        <x:v>S07-09</x:v>
      </x:c>
      <x:c r="B4762" s="10" t="str">
        <x:v>B</x:v>
      </x:c>
      <x:c r="C4762" s="18" t="n">
        <x:v>1.312333233</x:v>
      </x:c>
      <x:c r="D4762" s="10" t="n">
        <x:v>560</x:v>
      </x:c>
      <x:c r="E4762" s="10" t="n">
        <x:v>0.017279981</x:v>
      </x:c>
      <x:c r="F4762" s="10" t="n">
        <x:v>0.004096</x:v>
      </x:c>
      <x:c r="G4762" s="10" t="n">
        <x:f>SUM(D4762:F4762)</x:f>
        <x:v>560.021375981</x:v>
      </x:c>
    </x:row>
    <x:row r="4763" ht="24" customHeight="1">
      <x:c r="A4763" s="10" t="str">
        <x:v>S07-09</x:v>
      </x:c>
      <x:c r="B4763" s="10" t="str">
        <x:v>B</x:v>
      </x:c>
      <x:c r="C4763" s="18" t="n">
        <x:v>1.312333333</x:v>
      </x:c>
      <x:c r="D4763" s="10" t="n">
        <x:v>560</x:v>
      </x:c>
      <x:c r="E4763" s="10" t="n">
        <x:v>0.01728</x:v>
      </x:c>
      <x:c r="F4763" s="10" t="n">
        <x:v>0.004096</x:v>
      </x:c>
      <x:c r="G4763" s="10" t="n">
        <x:f>SUM(D4763:F4763)</x:f>
        <x:v>560.021376</x:v>
      </x:c>
    </x:row>
    <x:row r="4764" ht="24" customHeight="1">
      <x:c r="A4764" s="10" t="str">
        <x:v>S07-09</x:v>
      </x:c>
      <x:c r="B4764" s="10" t="str">
        <x:v>B</x:v>
      </x:c>
      <x:c r="C4764" s="18" t="n">
        <x:v>1.312333433</x:v>
      </x:c>
      <x:c r="D4764" s="10" t="n">
        <x:v>560</x:v>
      </x:c>
      <x:c r="E4764" s="10" t="n">
        <x:v>0.017280014</x:v>
      </x:c>
      <x:c r="F4764" s="10" t="n">
        <x:v>0.004096</x:v>
      </x:c>
      <x:c r="G4764" s="10" t="n">
        <x:f>SUM(D4764:F4764)</x:f>
        <x:v>560.021376014</x:v>
      </x:c>
    </x:row>
    <x:row r="4765" ht="24" customHeight="1">
      <x:c r="A4765" s="10" t="str">
        <x:v>S07-09</x:v>
      </x:c>
      <x:c r="B4765" s="10" t="str">
        <x:v>B</x:v>
      </x:c>
      <x:c r="C4765" s="18" t="n">
        <x:v>1.982833233</x:v>
      </x:c>
      <x:c r="D4765" s="10" t="n">
        <x:v>560</x:v>
      </x:c>
      <x:c r="E4765" s="10" t="n">
        <x:v>0.113831986</x:v>
      </x:c>
      <x:c r="F4765" s="10" t="n">
        <x:v>0.004096</x:v>
      </x:c>
      <x:c r="G4765" s="10" t="n">
        <x:f>SUM(D4765:F4765)</x:f>
        <x:v>560.117927986</x:v>
      </x:c>
    </x:row>
    <x:row r="4766" ht="24" customHeight="1">
      <x:c r="A4766" s="10" t="str">
        <x:v>S07-09</x:v>
      </x:c>
      <x:c r="B4766" s="10" t="str">
        <x:v>B</x:v>
      </x:c>
      <x:c r="C4766" s="18" t="n">
        <x:v>1.982833333</x:v>
      </x:c>
      <x:c r="D4766" s="10" t="n">
        <x:v>560</x:v>
      </x:c>
      <x:c r="E4766" s="10" t="n">
        <x:v>0.113832</x:v>
      </x:c>
      <x:c r="F4766" s="10" t="n">
        <x:v>0.004096</x:v>
      </x:c>
      <x:c r="G4766" s="10" t="n">
        <x:f>SUM(D4766:F4766)</x:f>
        <x:v>560.117928</x:v>
      </x:c>
    </x:row>
    <x:row r="4767" ht="24" customHeight="1">
      <x:c r="A4767" s="10" t="str">
        <x:v>S07-09</x:v>
      </x:c>
      <x:c r="B4767" s="10" t="str">
        <x:v>B</x:v>
      </x:c>
      <x:c r="C4767" s="18" t="n">
        <x:v>1.982833433</x:v>
      </x:c>
      <x:c r="D4767" s="10" t="n">
        <x:v>560</x:v>
      </x:c>
      <x:c r="E4767" s="10" t="n">
        <x:v>0.113831995</x:v>
      </x:c>
      <x:c r="F4767" s="10" t="n">
        <x:v>0.004096</x:v>
      </x:c>
      <x:c r="G4767" s="10" t="n">
        <x:f>SUM(D4767:F4767)</x:f>
        <x:v>560.1179279950001</x:v>
      </x:c>
    </x:row>
    <x:row r="4768" ht="24" customHeight="1">
      <x:c r="A4768" s="10" t="str">
        <x:v>S07-09</x:v>
      </x:c>
      <x:c r="B4768" s="10" t="str">
        <x:v>B</x:v>
      </x:c>
      <x:c r="C4768" s="18" t="n">
        <x:v>4.354333233</x:v>
      </x:c>
      <x:c r="D4768" s="10" t="n">
        <x:v>560</x:v>
      </x:c>
      <x:c r="E4768" s="10" t="n">
        <x:v>5e-9</x:v>
      </x:c>
      <x:c r="F4768" s="10" t="n">
        <x:v>0.004096</x:v>
      </x:c>
      <x:c r="G4768" s="10" t="n">
        <x:f>SUM(D4768:F4768)</x:f>
        <x:v>560.004096005</x:v>
      </x:c>
    </x:row>
    <x:row r="4769" ht="24" customHeight="1">
      <x:c r="A4769" s="10" t="str">
        <x:v>S07-09</x:v>
      </x:c>
      <x:c r="B4769" s="10" t="str">
        <x:v>B</x:v>
      </x:c>
      <x:c r="C4769" s="18" t="n">
        <x:v>4.354333333</x:v>
      </x:c>
      <x:c r="D4769" s="10" t="n">
        <x:v>560</x:v>
      </x:c>
      <x:c r="E4769" s="10" t="n">
        <x:v>0</x:v>
      </x:c>
      <x:c r="F4769" s="10" t="n">
        <x:v>0.008192</x:v>
      </x:c>
      <x:c r="G4769" s="10" t="n">
        <x:f>SUM(D4769:F4769)</x:f>
        <x:v>560.008192</x:v>
      </x:c>
    </x:row>
    <x:row r="4770" ht="24" customHeight="1">
      <x:c r="A4770" s="10" t="str">
        <x:v>S07-09</x:v>
      </x:c>
      <x:c r="B4770" s="10" t="str">
        <x:v>B</x:v>
      </x:c>
      <x:c r="C4770" s="18" t="n">
        <x:v>4.354333433</x:v>
      </x:c>
      <x:c r="D4770" s="10" t="n">
        <x:v>560</x:v>
      </x:c>
      <x:c r="E4770" s="10" t="n">
        <x:v>0</x:v>
      </x:c>
      <x:c r="F4770" s="10" t="n">
        <x:v>0.004096</x:v>
      </x:c>
      <x:c r="G4770" s="10" t="n">
        <x:f>SUM(D4770:F4770)</x:f>
        <x:v>560.004096</x:v>
      </x:c>
    </x:row>
    <x:row r="4771" ht="24" customHeight="1">
      <x:c r="A4771" s="10" t="str">
        <x:v>S07-09</x:v>
      </x:c>
      <x:c r="B4771" s="10" t="str">
        <x:v>B</x:v>
      </x:c>
      <x:c r="C4771" s="18" t="n">
        <x:v>4.760333233</x:v>
      </x:c>
      <x:c r="D4771" s="10" t="n">
        <x:v>560</x:v>
      </x:c>
      <x:c r="E4771" s="10" t="n">
        <x:v>0</x:v>
      </x:c>
      <x:c r="F4771" s="10" t="n">
        <x:v>0.004096</x:v>
      </x:c>
      <x:c r="G4771" s="10" t="n">
        <x:f>SUM(D4771:F4771)</x:f>
        <x:v>560.004096</x:v>
      </x:c>
    </x:row>
    <x:row r="4772" ht="24" customHeight="1">
      <x:c r="A4772" s="10" t="str">
        <x:v>S07-09</x:v>
      </x:c>
      <x:c r="B4772" s="10" t="str">
        <x:v>B</x:v>
      </x:c>
      <x:c r="C4772" s="18" t="n">
        <x:v>4.760333333</x:v>
      </x:c>
      <x:c r="D4772" s="10" t="n">
        <x:v>560</x:v>
      </x:c>
      <x:c r="E4772" s="10" t="n">
        <x:v>0.0096</x:v>
      </x:c>
      <x:c r="F4772" s="10" t="n">
        <x:v>0.004096</x:v>
      </x:c>
      <x:c r="G4772" s="10" t="n">
        <x:f>SUM(D4772:F4772)</x:f>
        <x:v>560.013696</x:v>
      </x:c>
    </x:row>
    <x:row r="4773" ht="24" customHeight="1">
      <x:c r="A4773" s="10" t="str">
        <x:v>S07-09</x:v>
      </x:c>
      <x:c r="B4773" s="10" t="str">
        <x:v>B</x:v>
      </x:c>
      <x:c r="C4773" s="18" t="n">
        <x:v>4.760333433</x:v>
      </x:c>
      <x:c r="D4773" s="10" t="n">
        <x:v>560</x:v>
      </x:c>
      <x:c r="E4773" s="10" t="n">
        <x:v>0.009600019</x:v>
      </x:c>
      <x:c r="F4773" s="10" t="n">
        <x:v>0.004096</x:v>
      </x:c>
      <x:c r="G4773" s="10" t="n">
        <x:f>SUM(D4773:F4773)</x:f>
        <x:v>560.013696019</x:v>
      </x:c>
    </x:row>
    <x:row r="4774" ht="24" customHeight="1">
      <x:c r="A4774" s="10" t="str">
        <x:v>S07-09</x:v>
      </x:c>
      <x:c r="B4774" s="10" t="str">
        <x:v>B</x:v>
      </x:c>
      <x:c r="C4774" s="18" t="n">
        <x:v>4.800333233</x:v>
      </x:c>
      <x:c r="D4774" s="10" t="n">
        <x:v>560</x:v>
      </x:c>
      <x:c r="E4774" s="10" t="n">
        <x:v>0.017279981</x:v>
      </x:c>
      <x:c r="F4774" s="10" t="n">
        <x:v>0.004096</x:v>
      </x:c>
      <x:c r="G4774" s="10" t="n">
        <x:f>SUM(D4774:F4774)</x:f>
        <x:v>560.021375981</x:v>
      </x:c>
    </x:row>
    <x:row r="4775" ht="24" customHeight="1">
      <x:c r="A4775" s="10" t="str">
        <x:v>S07-09</x:v>
      </x:c>
      <x:c r="B4775" s="10" t="str">
        <x:v>B</x:v>
      </x:c>
      <x:c r="C4775" s="18" t="n">
        <x:v>4.800333333</x:v>
      </x:c>
      <x:c r="D4775" s="10" t="n">
        <x:v>560</x:v>
      </x:c>
      <x:c r="E4775" s="10" t="n">
        <x:v>0.01728</x:v>
      </x:c>
      <x:c r="F4775" s="10" t="n">
        <x:v>0.004096</x:v>
      </x:c>
      <x:c r="G4775" s="10" t="n">
        <x:f>SUM(D4775:F4775)</x:f>
        <x:v>560.021376</x:v>
      </x:c>
    </x:row>
    <x:row r="4776" ht="24" customHeight="1">
      <x:c r="A4776" s="10" t="str">
        <x:v>S07-09</x:v>
      </x:c>
      <x:c r="B4776" s="10" t="str">
        <x:v>B</x:v>
      </x:c>
      <x:c r="C4776" s="18" t="n">
        <x:v>4.800333433</x:v>
      </x:c>
      <x:c r="D4776" s="10" t="n">
        <x:v>560</x:v>
      </x:c>
      <x:c r="E4776" s="10" t="n">
        <x:v>0.017280014</x:v>
      </x:c>
      <x:c r="F4776" s="10" t="n">
        <x:v>0.004096</x:v>
      </x:c>
      <x:c r="G4776" s="10" t="n">
        <x:f>SUM(D4776:F4776)</x:f>
        <x:v>560.021376014</x:v>
      </x:c>
    </x:row>
    <x:row r="4777" ht="24" customHeight="1">
      <x:c r="A4777" s="10" t="str">
        <x:v>S07-09</x:v>
      </x:c>
      <x:c r="B4777" s="10" t="str">
        <x:v>B</x:v>
      </x:c>
      <x:c r="C4777" s="18" t="n">
        <x:v>5.720833233</x:v>
      </x:c>
      <x:c r="D4777" s="10" t="n">
        <x:v>560</x:v>
      </x:c>
      <x:c r="E4777" s="10" t="n">
        <x:v>0.149831986</x:v>
      </x:c>
      <x:c r="F4777" s="10" t="n">
        <x:v>0.004096</x:v>
      </x:c>
      <x:c r="G4777" s="10" t="n">
        <x:f>SUM(D4777:F4777)</x:f>
        <x:v>560.153927986</x:v>
      </x:c>
    </x:row>
    <x:row r="4778" ht="24" customHeight="1">
      <x:c r="A4778" s="10" t="str">
        <x:v>S07-09</x:v>
      </x:c>
      <x:c r="B4778" s="10" t="str">
        <x:v>B</x:v>
      </x:c>
      <x:c r="C4778" s="18" t="n">
        <x:v>5.720833333</x:v>
      </x:c>
      <x:c r="D4778" s="10" t="n">
        <x:v>560</x:v>
      </x:c>
      <x:c r="E4778" s="10" t="n">
        <x:v>0.149832</x:v>
      </x:c>
      <x:c r="F4778" s="10" t="n">
        <x:v>0.004096</x:v>
      </x:c>
      <x:c r="G4778" s="10" t="n">
        <x:f>SUM(D4778:F4778)</x:f>
        <x:v>560.153928</x:v>
      </x:c>
    </x:row>
    <x:row r="4779" ht="24" customHeight="1">
      <x:c r="A4779" s="10" t="str">
        <x:v>S07-09</x:v>
      </x:c>
      <x:c r="B4779" s="10" t="str">
        <x:v>B</x:v>
      </x:c>
      <x:c r="C4779" s="18" t="n">
        <x:v>5.720833433</x:v>
      </x:c>
      <x:c r="D4779" s="10" t="n">
        <x:v>560</x:v>
      </x:c>
      <x:c r="E4779" s="10" t="n">
        <x:v>0.149831995</x:v>
      </x:c>
      <x:c r="F4779" s="10" t="n">
        <x:v>0.004096</x:v>
      </x:c>
      <x:c r="G4779" s="10" t="n">
        <x:f>SUM(D4779:F4779)</x:f>
        <x:v>560.153927995</x:v>
      </x:c>
    </x:row>
    <x:row r="4780" ht="24" customHeight="1">
      <x:c r="A4780" s="10" t="str">
        <x:v>S07-09</x:v>
      </x:c>
      <x:c r="B4780" s="10" t="str">
        <x:v>B</x:v>
      </x:c>
      <x:c r="C4780" s="18" t="n">
        <x:v>8.842333233</x:v>
      </x:c>
      <x:c r="D4780" s="10" t="n">
        <x:v>560</x:v>
      </x:c>
      <x:c r="E4780" s="10" t="n">
        <x:v>5e-9</x:v>
      </x:c>
      <x:c r="F4780" s="10" t="n">
        <x:v>0.004096</x:v>
      </x:c>
      <x:c r="G4780" s="10" t="n">
        <x:f>SUM(D4780:F4780)</x:f>
        <x:v>560.004096005</x:v>
      </x:c>
    </x:row>
    <x:row r="4781" ht="24" customHeight="1">
      <x:c r="A4781" s="10" t="str">
        <x:v>S07-09</x:v>
      </x:c>
      <x:c r="B4781" s="10" t="str">
        <x:v>B</x:v>
      </x:c>
      <x:c r="C4781" s="18" t="n">
        <x:v>8.842333333</x:v>
      </x:c>
      <x:c r="D4781" s="10" t="n">
        <x:v>560</x:v>
      </x:c>
      <x:c r="E4781" s="10" t="n">
        <x:v>0</x:v>
      </x:c>
      <x:c r="F4781" s="10" t="n">
        <x:v>0.008192</x:v>
      </x:c>
      <x:c r="G4781" s="10" t="n">
        <x:f>SUM(D4781:F4781)</x:f>
        <x:v>560.008192</x:v>
      </x:c>
    </x:row>
    <x:row r="4782" ht="24" customHeight="1">
      <x:c r="A4782" s="10" t="str">
        <x:v>S07-09</x:v>
      </x:c>
      <x:c r="B4782" s="10" t="str">
        <x:v>B</x:v>
      </x:c>
      <x:c r="C4782" s="18" t="n">
        <x:v>8.842333433</x:v>
      </x:c>
      <x:c r="D4782" s="10" t="n">
        <x:v>560</x:v>
      </x:c>
      <x:c r="E4782" s="10" t="n">
        <x:v>0</x:v>
      </x:c>
      <x:c r="F4782" s="10" t="n">
        <x:v>0.004096</x:v>
      </x:c>
      <x:c r="G4782" s="10" t="n">
        <x:f>SUM(D4782:F4782)</x:f>
        <x:v>560.004096</x:v>
      </x:c>
    </x:row>
    <x:row r="4783" ht="24" customHeight="1">
      <x:c r="A4783" s="10" t="str">
        <x:v>S07-09</x:v>
      </x:c>
      <x:c r="B4783" s="10" t="str">
        <x:v>B</x:v>
      </x:c>
      <x:c r="C4783" s="18" t="n">
        <x:v>9.252333233</x:v>
      </x:c>
      <x:c r="D4783" s="10" t="n">
        <x:v>560</x:v>
      </x:c>
      <x:c r="E4783" s="10" t="n">
        <x:v>0</x:v>
      </x:c>
      <x:c r="F4783" s="10" t="n">
        <x:v>0.004096</x:v>
      </x:c>
      <x:c r="G4783" s="10" t="n">
        <x:f>SUM(D4783:F4783)</x:f>
        <x:v>560.004096</x:v>
      </x:c>
    </x:row>
    <x:row r="4784" ht="24" customHeight="1">
      <x:c r="A4784" s="10" t="str">
        <x:v>S07-09</x:v>
      </x:c>
      <x:c r="B4784" s="10" t="str">
        <x:v>B</x:v>
      </x:c>
      <x:c r="C4784" s="18" t="n">
        <x:v>9.252333333</x:v>
      </x:c>
      <x:c r="D4784" s="10" t="n">
        <x:v>560</x:v>
      </x:c>
      <x:c r="E4784" s="10" t="n">
        <x:v>0.0096</x:v>
      </x:c>
      <x:c r="F4784" s="10" t="n">
        <x:v>0.004096</x:v>
      </x:c>
      <x:c r="G4784" s="10" t="n">
        <x:f>SUM(D4784:F4784)</x:f>
        <x:v>560.013696</x:v>
      </x:c>
    </x:row>
    <x:row r="4785" ht="24" customHeight="1">
      <x:c r="A4785" s="10" t="str">
        <x:v>S07-09</x:v>
      </x:c>
      <x:c r="B4785" s="10" t="str">
        <x:v>B</x:v>
      </x:c>
      <x:c r="C4785" s="18" t="n">
        <x:v>9.252333433</x:v>
      </x:c>
      <x:c r="D4785" s="10" t="n">
        <x:v>560</x:v>
      </x:c>
      <x:c r="E4785" s="10" t="n">
        <x:v>0.009600019</x:v>
      </x:c>
      <x:c r="F4785" s="10" t="n">
        <x:v>0.004096</x:v>
      </x:c>
      <x:c r="G4785" s="10" t="n">
        <x:f>SUM(D4785:F4785)</x:f>
        <x:v>560.013696019</x:v>
      </x:c>
    </x:row>
    <x:row r="4786" ht="24" customHeight="1">
      <x:c r="A4786" s="10" t="str">
        <x:v>S07-09</x:v>
      </x:c>
      <x:c r="B4786" s="10" t="str">
        <x:v>B</x:v>
      </x:c>
      <x:c r="C4786" s="18" t="n">
        <x:v>9.292333233</x:v>
      </x:c>
      <x:c r="D4786" s="10" t="n">
        <x:v>560</x:v>
      </x:c>
      <x:c r="E4786" s="10" t="n">
        <x:v>0.017279981</x:v>
      </x:c>
      <x:c r="F4786" s="10" t="n">
        <x:v>0.004096</x:v>
      </x:c>
      <x:c r="G4786" s="10" t="n">
        <x:f>SUM(D4786:F4786)</x:f>
        <x:v>560.021375981</x:v>
      </x:c>
    </x:row>
    <x:row r="4787" ht="24" customHeight="1">
      <x:c r="A4787" s="10" t="str">
        <x:v>S07-09</x:v>
      </x:c>
      <x:c r="B4787" s="10" t="str">
        <x:v>B</x:v>
      </x:c>
      <x:c r="C4787" s="18" t="n">
        <x:v>9.292333333</x:v>
      </x:c>
      <x:c r="D4787" s="10" t="n">
        <x:v>560</x:v>
      </x:c>
      <x:c r="E4787" s="10" t="n">
        <x:v>0.01728</x:v>
      </x:c>
      <x:c r="F4787" s="10" t="n">
        <x:v>0.004096</x:v>
      </x:c>
      <x:c r="G4787" s="10" t="n">
        <x:f>SUM(D4787:F4787)</x:f>
        <x:v>560.021376</x:v>
      </x:c>
    </x:row>
    <x:row r="4788" ht="24" customHeight="1">
      <x:c r="A4788" s="10" t="str">
        <x:v>S07-09</x:v>
      </x:c>
      <x:c r="B4788" s="10" t="str">
        <x:v>B</x:v>
      </x:c>
      <x:c r="C4788" s="18" t="n">
        <x:v>9.292333433</x:v>
      </x:c>
      <x:c r="D4788" s="10" t="n">
        <x:v>560</x:v>
      </x:c>
      <x:c r="E4788" s="10" t="n">
        <x:v>0.017280014</x:v>
      </x:c>
      <x:c r="F4788" s="10" t="n">
        <x:v>0.004096</x:v>
      </x:c>
      <x:c r="G4788" s="10" t="n">
        <x:f>SUM(D4788:F4788)</x:f>
        <x:v>560.021376014</x:v>
      </x:c>
    </x:row>
    <x:row r="4789" ht="24" customHeight="1">
      <x:c r="A4789" s="10" t="str">
        <x:v>S07-09</x:v>
      </x:c>
      <x:c r="B4789" s="10" t="str">
        <x:v>B</x:v>
      </x:c>
      <x:c r="C4789" s="18" t="n">
        <x:v>10.962833233</x:v>
      </x:c>
      <x:c r="D4789" s="10" t="n">
        <x:v>560</x:v>
      </x:c>
      <x:c r="E4789" s="10" t="n">
        <x:v>0.257831986</x:v>
      </x:c>
      <x:c r="F4789" s="10" t="n">
        <x:v>0.004096</x:v>
      </x:c>
      <x:c r="G4789" s="10" t="n">
        <x:f>SUM(D4789:F4789)</x:f>
        <x:v>560.261927986</x:v>
      </x:c>
    </x:row>
    <x:row r="4790" ht="24" customHeight="1">
      <x:c r="A4790" s="10" t="str">
        <x:v>S07-09</x:v>
      </x:c>
      <x:c r="B4790" s="10" t="str">
        <x:v>B</x:v>
      </x:c>
      <x:c r="C4790" s="18" t="n">
        <x:v>10.962833333</x:v>
      </x:c>
      <x:c r="D4790" s="10" t="n">
        <x:v>560</x:v>
      </x:c>
      <x:c r="E4790" s="10" t="n">
        <x:v>0.257832</x:v>
      </x:c>
      <x:c r="F4790" s="10" t="n">
        <x:v>0.004096</x:v>
      </x:c>
      <x:c r="G4790" s="10" t="n">
        <x:f>SUM(D4790:F4790)</x:f>
        <x:v>560.261928</x:v>
      </x:c>
    </x:row>
    <x:row r="4791" ht="24" customHeight="1">
      <x:c r="A4791" s="10" t="str">
        <x:v>S07-09</x:v>
      </x:c>
      <x:c r="B4791" s="10" t="str">
        <x:v>B</x:v>
      </x:c>
      <x:c r="C4791" s="18" t="n">
        <x:v>10.962833433</x:v>
      </x:c>
      <x:c r="D4791" s="10" t="n">
        <x:v>560</x:v>
      </x:c>
      <x:c r="E4791" s="10" t="n">
        <x:v>0.257831995</x:v>
      </x:c>
      <x:c r="F4791" s="10" t="n">
        <x:v>0.004096</x:v>
      </x:c>
      <x:c r="G4791" s="10" t="n">
        <x:f>SUM(D4791:F4791)</x:f>
        <x:v>560.261927995</x:v>
      </x:c>
    </x:row>
    <x:row r="4792" ht="24" customHeight="1">
      <x:c r="A4792" s="10" t="str">
        <x:v>S07-09</x:v>
      </x:c>
      <x:c r="B4792" s="10" t="str">
        <x:v>B</x:v>
      </x:c>
      <x:c r="C4792" s="18" t="n">
        <x:v>16.334333233</x:v>
      </x:c>
      <x:c r="D4792" s="10" t="n">
        <x:v>560</x:v>
      </x:c>
      <x:c r="E4792" s="10" t="n">
        <x:v>5e-9</x:v>
      </x:c>
      <x:c r="F4792" s="10" t="n">
        <x:v>0.004096</x:v>
      </x:c>
      <x:c r="G4792" s="10" t="n">
        <x:f>SUM(D4792:F4792)</x:f>
        <x:v>560.004096005</x:v>
      </x:c>
    </x:row>
    <x:row r="4793" ht="24" customHeight="1">
      <x:c r="A4793" s="10" t="str">
        <x:v>S07-09</x:v>
      </x:c>
      <x:c r="B4793" s="10" t="str">
        <x:v>B</x:v>
      </x:c>
      <x:c r="C4793" s="18" t="n">
        <x:v>16.334333333</x:v>
      </x:c>
      <x:c r="D4793" s="10" t="n">
        <x:v>560</x:v>
      </x:c>
      <x:c r="E4793" s="10" t="n">
        <x:v>0</x:v>
      </x:c>
      <x:c r="F4793" s="10" t="n">
        <x:v>0.004096</x:v>
      </x:c>
      <x:c r="G4793" s="10" t="n">
        <x:f>SUM(D4793:F4793)</x:f>
        <x:v>560.004096</x:v>
      </x:c>
    </x:row>
    <x:row r="4794" ht="24" customHeight="1">
      <x:c r="A4794" s="10" t="str">
        <x:v>S07-09</x:v>
      </x:c>
      <x:c r="B4794" s="10" t="str">
        <x:v>B</x:v>
      </x:c>
      <x:c r="C4794" s="18" t="n">
        <x:v>16.334333433</x:v>
      </x:c>
      <x:c r="D4794" s="10" t="n">
        <x:v>560</x:v>
      </x:c>
      <x:c r="E4794" s="10" t="n">
        <x:v>0</x:v>
      </x:c>
      <x:c r="F4794" s="10" t="n">
        <x:v>0</x:v>
      </x:c>
      <x:c r="G4794" s="10" t="n">
        <x:f>SUM(D4794:F4794)</x:f>
        <x:v>560</x:v>
      </x:c>
    </x:row>
    <x:row r="4795" ht="24" customHeight="1">
      <x:c r="A4795" s="10" t="str">
        <x:v>S07-10</x:v>
      </x:c>
      <x:c r="B4795" s="10" t="str">
        <x:v>A</x:v>
      </x:c>
      <x:c r="C4795" s="18" t="n">
        <x:v>-6.0000001</x:v>
      </x:c>
      <x:c r="D4795" s="10" t="n">
        <x:v>560</x:v>
      </x:c>
      <x:c r="E4795" s="10" t="n">
        <x:v>0</x:v>
      </x:c>
      <x:c r="F4795" s="10" t="n">
        <x:v>0</x:v>
      </x:c>
      <x:c r="G4795" s="10" t="n">
        <x:f>SUM(D4795:F4795)</x:f>
        <x:v>560</x:v>
      </x:c>
    </x:row>
    <x:row r="4796" ht="24" customHeight="1">
      <x:c r="A4796" s="10" t="str">
        <x:v>S07-10</x:v>
      </x:c>
      <x:c r="B4796" s="10" t="str">
        <x:v>A</x:v>
      </x:c>
      <x:c r="C4796" s="18" t="n">
        <x:v>-6</x:v>
      </x:c>
      <x:c r="D4796" s="10" t="n">
        <x:v>560</x:v>
      </x:c>
      <x:c r="E4796" s="10" t="n">
        <x:v>0</x:v>
      </x:c>
      <x:c r="F4796" s="10" t="n">
        <x:v>0</x:v>
      </x:c>
      <x:c r="G4796" s="10" t="n">
        <x:f>SUM(D4796:F4796)</x:f>
        <x:v>560</x:v>
      </x:c>
    </x:row>
    <x:row r="4797" ht="24" customHeight="1">
      <x:c r="A4797" s="10" t="str">
        <x:v>S07-10</x:v>
      </x:c>
      <x:c r="B4797" s="10" t="str">
        <x:v>A</x:v>
      </x:c>
      <x:c r="C4797" s="18" t="n">
        <x:v>-5.9999999</x:v>
      </x:c>
      <x:c r="D4797" s="10" t="n">
        <x:v>560</x:v>
      </x:c>
      <x:c r="E4797" s="10" t="n">
        <x:v>0</x:v>
      </x:c>
      <x:c r="F4797" s="10" t="n">
        <x:v>0</x:v>
      </x:c>
      <x:c r="G4797" s="10" t="n">
        <x:f>SUM(D4797:F4797)</x:f>
        <x:v>560</x:v>
      </x:c>
    </x:row>
    <x:row r="4798" ht="24" customHeight="1">
      <x:c r="A4798" s="10" t="str">
        <x:v>S07-10</x:v>
      </x:c>
      <x:c r="B4798" s="10" t="str">
        <x:v>A</x:v>
      </x:c>
      <x:c r="C4798" s="18" t="n">
        <x:v>-1.4000001</x:v>
      </x:c>
      <x:c r="D4798" s="10" t="n">
        <x:v>560</x:v>
      </x:c>
      <x:c r="E4798" s="10" t="n">
        <x:v>0</x:v>
      </x:c>
      <x:c r="F4798" s="10" t="n">
        <x:v>0</x:v>
      </x:c>
      <x:c r="G4798" s="10" t="n">
        <x:f>SUM(D4798:F4798)</x:f>
        <x:v>560</x:v>
      </x:c>
    </x:row>
    <x:row r="4799" ht="24" customHeight="1">
      <x:c r="A4799" s="10" t="str">
        <x:v>S07-10</x:v>
      </x:c>
      <x:c r="B4799" s="10" t="str">
        <x:v>A</x:v>
      </x:c>
      <x:c r="C4799" s="18" t="n">
        <x:v>-1.4</x:v>
      </x:c>
      <x:c r="D4799" s="10" t="n">
        <x:v>560</x:v>
      </x:c>
      <x:c r="E4799" s="10" t="n">
        <x:v>0</x:v>
      </x:c>
      <x:c r="F4799" s="10" t="n">
        <x:v>0.004096</x:v>
      </x:c>
      <x:c r="G4799" s="10" t="n">
        <x:f>SUM(D4799:F4799)</x:f>
        <x:v>560.004096</x:v>
      </x:c>
    </x:row>
    <x:row r="4800" ht="24" customHeight="1">
      <x:c r="A4800" s="10" t="str">
        <x:v>S07-10</x:v>
      </x:c>
      <x:c r="B4800" s="10" t="str">
        <x:v>A</x:v>
      </x:c>
      <x:c r="C4800" s="18" t="n">
        <x:v>-1.3999999</x:v>
      </x:c>
      <x:c r="D4800" s="10" t="n">
        <x:v>560</x:v>
      </x:c>
      <x:c r="E4800" s="10" t="n">
        <x:v>0</x:v>
      </x:c>
      <x:c r="F4800" s="10" t="n">
        <x:v>0.004096</x:v>
      </x:c>
      <x:c r="G4800" s="10" t="n">
        <x:f>SUM(D4800:F4800)</x:f>
        <x:v>560.004096</x:v>
      </x:c>
    </x:row>
    <x:row r="4801" ht="24" customHeight="1">
      <x:c r="A4801" s="10" t="str">
        <x:v>S07-10</x:v>
      </x:c>
      <x:c r="B4801" s="10" t="str">
        <x:v>A</x:v>
      </x:c>
      <x:c r="C4801" s="18" t="n">
        <x:v>-1.2000001</x:v>
      </x:c>
      <x:c r="D4801" s="10" t="n">
        <x:v>560</x:v>
      </x:c>
      <x:c r="E4801" s="10" t="n">
        <x:v>0</x:v>
      </x:c>
      <x:c r="F4801" s="10" t="n">
        <x:v>0.004096</x:v>
      </x:c>
      <x:c r="G4801" s="10" t="n">
        <x:f>SUM(D4801:F4801)</x:f>
        <x:v>560.004096</x:v>
      </x:c>
    </x:row>
    <x:row r="4802" ht="24" customHeight="1">
      <x:c r="A4802" s="10" t="str">
        <x:v>S07-10</x:v>
      </x:c>
      <x:c r="B4802" s="10" t="str">
        <x:v>A</x:v>
      </x:c>
      <x:c r="C4802" s="18" t="n">
        <x:v>-1.2</x:v>
      </x:c>
      <x:c r="D4802" s="10" t="n">
        <x:v>560</x:v>
      </x:c>
      <x:c r="E4802" s="10" t="n">
        <x:v>0</x:v>
      </x:c>
      <x:c r="F4802" s="10" t="n">
        <x:v>0.008192</x:v>
      </x:c>
      <x:c r="G4802" s="10" t="n">
        <x:f>SUM(D4802:F4802)</x:f>
        <x:v>560.008192</x:v>
      </x:c>
    </x:row>
    <x:row r="4803" ht="24" customHeight="1">
      <x:c r="A4803" s="10" t="str">
        <x:v>S07-10</x:v>
      </x:c>
      <x:c r="B4803" s="10" t="str">
        <x:v>A</x:v>
      </x:c>
      <x:c r="C4803" s="18" t="n">
        <x:v>-1.1999999</x:v>
      </x:c>
      <x:c r="D4803" s="10" t="n">
        <x:v>560</x:v>
      </x:c>
      <x:c r="E4803" s="10" t="n">
        <x:v>0</x:v>
      </x:c>
      <x:c r="F4803" s="10" t="n">
        <x:v>0.008192</x:v>
      </x:c>
      <x:c r="G4803" s="10" t="n">
        <x:f>SUM(D4803:F4803)</x:f>
        <x:v>560.008192</x:v>
      </x:c>
    </x:row>
    <x:row r="4804" ht="24" customHeight="1">
      <x:c r="A4804" s="10" t="str">
        <x:v>S07-10</x:v>
      </x:c>
      <x:c r="B4804" s="10" t="str">
        <x:v>A</x:v>
      </x:c>
      <x:c r="C4804" s="18" t="n">
        <x:v>-0.997666767</x:v>
      </x:c>
      <x:c r="D4804" s="10" t="n">
        <x:v>560</x:v>
      </x:c>
      <x:c r="E4804" s="10" t="n">
        <x:v>0</x:v>
      </x:c>
      <x:c r="F4804" s="10" t="n">
        <x:v>0.008192</x:v>
      </x:c>
      <x:c r="G4804" s="10" t="n">
        <x:f>SUM(D4804:F4804)</x:f>
        <x:v>560.008192</x:v>
      </x:c>
    </x:row>
    <x:row r="4805" ht="24" customHeight="1">
      <x:c r="A4805" s="10" t="str">
        <x:v>S07-10</x:v>
      </x:c>
      <x:c r="B4805" s="10" t="str">
        <x:v>A</x:v>
      </x:c>
      <x:c r="C4805" s="18" t="n">
        <x:v>-0.997666667</x:v>
      </x:c>
      <x:c r="D4805" s="10" t="n">
        <x:v>560</x:v>
      </x:c>
      <x:c r="E4805" s="10" t="n">
        <x:v>0.0096</x:v>
      </x:c>
      <x:c r="F4805" s="10" t="n">
        <x:v>0.008192</x:v>
      </x:c>
      <x:c r="G4805" s="10" t="n">
        <x:f>SUM(D4805:F4805)</x:f>
        <x:v>560.017792</x:v>
      </x:c>
    </x:row>
    <x:row r="4806" ht="24" customHeight="1">
      <x:c r="A4806" s="10" t="str">
        <x:v>S07-10</x:v>
      </x:c>
      <x:c r="B4806" s="10" t="str">
        <x:v>A</x:v>
      </x:c>
      <x:c r="C4806" s="18" t="n">
        <x:v>-0.997666567</x:v>
      </x:c>
      <x:c r="D4806" s="10" t="n">
        <x:v>560</x:v>
      </x:c>
      <x:c r="E4806" s="10" t="n">
        <x:v>0.009600019</x:v>
      </x:c>
      <x:c r="F4806" s="10" t="n">
        <x:v>0.008192</x:v>
      </x:c>
      <x:c r="G4806" s="10" t="n">
        <x:f>SUM(D4806:F4806)</x:f>
        <x:v>560.017792019</x:v>
      </x:c>
    </x:row>
    <x:row r="4807" ht="24" customHeight="1">
      <x:c r="A4807" s="10" t="str">
        <x:v>S07-10</x:v>
      </x:c>
      <x:c r="B4807" s="10" t="str">
        <x:v>A</x:v>
      </x:c>
      <x:c r="C4807" s="18" t="n">
        <x:v>-0.9000001</x:v>
      </x:c>
      <x:c r="D4807" s="10" t="n">
        <x:v>560</x:v>
      </x:c>
      <x:c r="E4807" s="10" t="n">
        <x:v>0.028351981</x:v>
      </x:c>
      <x:c r="F4807" s="10" t="n">
        <x:v>0.008192</x:v>
      </x:c>
      <x:c r="G4807" s="10" t="n">
        <x:f>SUM(D4807:F4807)</x:f>
        <x:v>560.036543981</x:v>
      </x:c>
    </x:row>
    <x:row r="4808" ht="24" customHeight="1">
      <x:c r="A4808" s="10" t="str">
        <x:v>S07-10</x:v>
      </x:c>
      <x:c r="B4808" s="10" t="str">
        <x:v>A</x:v>
      </x:c>
      <x:c r="C4808" s="18" t="n">
        <x:v>-0.9</x:v>
      </x:c>
      <x:c r="D4808" s="10" t="n">
        <x:v>560</x:v>
      </x:c>
      <x:c r="E4808" s="10" t="n">
        <x:v>0.028352</x:v>
      </x:c>
      <x:c r="F4808" s="10" t="n">
        <x:v>0.012288</x:v>
      </x:c>
      <x:c r="G4808" s="10" t="n">
        <x:f>SUM(D4808:F4808)</x:f>
        <x:v>560.04064</x:v>
      </x:c>
    </x:row>
    <x:row r="4809" ht="24" customHeight="1">
      <x:c r="A4809" s="10" t="str">
        <x:v>S07-10</x:v>
      </x:c>
      <x:c r="B4809" s="10" t="str">
        <x:v>A</x:v>
      </x:c>
      <x:c r="C4809" s="18" t="n">
        <x:v>-0.8999999</x:v>
      </x:c>
      <x:c r="D4809" s="10" t="n">
        <x:v>560</x:v>
      </x:c>
      <x:c r="E4809" s="10" t="n">
        <x:v>0.028352019</x:v>
      </x:c>
      <x:c r="F4809" s="10" t="n">
        <x:v>0.012288</x:v>
      </x:c>
      <x:c r="G4809" s="10" t="n">
        <x:f>SUM(D4809:F4809)</x:f>
        <x:v>560.040640019</x:v>
      </x:c>
    </x:row>
    <x:row r="4810" ht="24" customHeight="1">
      <x:c r="A4810" s="10" t="str">
        <x:v>S07-10</x:v>
      </x:c>
      <x:c r="B4810" s="10" t="str">
        <x:v>A</x:v>
      </x:c>
      <x:c r="C4810" s="18" t="n">
        <x:v>-0.7940001</x:v>
      </x:c>
      <x:c r="D4810" s="10" t="n">
        <x:v>560</x:v>
      </x:c>
      <x:c r="E4810" s="10" t="n">
        <x:v>0.048703981</x:v>
      </x:c>
      <x:c r="F4810" s="10" t="n">
        <x:v>0.012288</x:v>
      </x:c>
      <x:c r="G4810" s="10" t="n">
        <x:f>SUM(D4810:F4810)</x:f>
        <x:v>560.060991981</x:v>
      </x:c>
    </x:row>
    <x:row r="4811" ht="24" customHeight="1">
      <x:c r="A4811" s="10" t="str">
        <x:v>S07-10</x:v>
      </x:c>
      <x:c r="B4811" s="10" t="str">
        <x:v>A</x:v>
      </x:c>
      <x:c r="C4811" s="18" t="n">
        <x:v>-0.794</x:v>
      </x:c>
      <x:c r="D4811" s="10" t="n">
        <x:v>560</x:v>
      </x:c>
      <x:c r="E4811" s="10" t="n">
        <x:v>0.058304</x:v>
      </x:c>
      <x:c r="F4811" s="10" t="n">
        <x:v>0.012288</x:v>
      </x:c>
      <x:c r="G4811" s="10" t="n">
        <x:f>SUM(D4811:F4811)</x:f>
        <x:v>560.070592</x:v>
      </x:c>
    </x:row>
    <x:row r="4812" ht="24" customHeight="1">
      <x:c r="A4812" s="10" t="str">
        <x:v>S07-10</x:v>
      </x:c>
      <x:c r="B4812" s="10" t="str">
        <x:v>A</x:v>
      </x:c>
      <x:c r="C4812" s="18" t="n">
        <x:v>-0.7939999</x:v>
      </x:c>
      <x:c r="D4812" s="10" t="n">
        <x:v>560</x:v>
      </x:c>
      <x:c r="E4812" s="10" t="n">
        <x:v>0.058304038</x:v>
      </x:c>
      <x:c r="F4812" s="10" t="n">
        <x:v>0.012288</x:v>
      </x:c>
      <x:c r="G4812" s="10" t="n">
        <x:f>SUM(D4812:F4812)</x:f>
        <x:v>560.070592038</x:v>
      </x:c>
    </x:row>
    <x:row r="4813" ht="24" customHeight="1">
      <x:c r="A4813" s="10" t="str">
        <x:v>S07-10</x:v>
      </x:c>
      <x:c r="B4813" s="10" t="str">
        <x:v>A</x:v>
      </x:c>
      <x:c r="C4813" s="18" t="n">
        <x:v>-0.4900001</x:v>
      </x:c>
      <x:c r="D4813" s="10" t="n">
        <x:v>560</x:v>
      </x:c>
      <x:c r="E4813" s="10" t="n">
        <x:v>0.175039962</x:v>
      </x:c>
      <x:c r="F4813" s="10" t="n">
        <x:v>0.012288</x:v>
      </x:c>
      <x:c r="G4813" s="10" t="n">
        <x:f>SUM(D4813:F4813)</x:f>
        <x:v>560.187327962</x:v>
      </x:c>
    </x:row>
    <x:row r="4814" ht="24" customHeight="1">
      <x:c r="A4814" s="10" t="str">
        <x:v>S07-10</x:v>
      </x:c>
      <x:c r="B4814" s="10" t="str">
        <x:v>A</x:v>
      </x:c>
      <x:c r="C4814" s="18" t="n">
        <x:v>-0.49</x:v>
      </x:c>
      <x:c r="D4814" s="10" t="n">
        <x:v>560</x:v>
      </x:c>
      <x:c r="E4814" s="10" t="n">
        <x:v>0.18464</x:v>
      </x:c>
      <x:c r="F4814" s="10" t="n">
        <x:v>0.012288</x:v>
      </x:c>
      <x:c r="G4814" s="10" t="n">
        <x:f>SUM(D4814:F4814)</x:f>
        <x:v>560.196928</x:v>
      </x:c>
    </x:row>
    <x:row r="4815" ht="24" customHeight="1">
      <x:c r="A4815" s="10" t="str">
        <x:v>S07-10</x:v>
      </x:c>
      <x:c r="B4815" s="10" t="str">
        <x:v>A</x:v>
      </x:c>
      <x:c r="C4815" s="18" t="n">
        <x:v>-0.4899999</x:v>
      </x:c>
      <x:c r="D4815" s="10" t="n">
        <x:v>560</x:v>
      </x:c>
      <x:c r="E4815" s="10" t="n">
        <x:v>0.184640058</x:v>
      </x:c>
      <x:c r="F4815" s="10" t="n">
        <x:v>0.012288</x:v>
      </x:c>
      <x:c r="G4815" s="10" t="n">
        <x:f>SUM(D4815:F4815)</x:f>
        <x:v>560.196928058</x:v>
      </x:c>
    </x:row>
    <x:row r="4816" ht="24" customHeight="1">
      <x:c r="A4816" s="10" t="str">
        <x:v>S07-10</x:v>
      </x:c>
      <x:c r="B4816" s="10" t="str">
        <x:v>A</x:v>
      </x:c>
      <x:c r="C4816" s="18" t="n">
        <x:v>-0.284166767</x:v>
      </x:c>
      <x:c r="D4816" s="10" t="n">
        <x:v>560</x:v>
      </x:c>
      <x:c r="E4816" s="10" t="n">
        <x:v>0.303199942</x:v>
      </x:c>
      <x:c r="F4816" s="10" t="n">
        <x:v>0.012288</x:v>
      </x:c>
      <x:c r="G4816" s="10" t="n">
        <x:f>SUM(D4816:F4816)</x:f>
        <x:v>560.315487942</x:v>
      </x:c>
    </x:row>
    <x:row r="4817" ht="24" customHeight="1">
      <x:c r="A4817" s="10" t="str">
        <x:v>S07-10</x:v>
      </x:c>
      <x:c r="B4817" s="10" t="str">
        <x:v>A</x:v>
      </x:c>
      <x:c r="C4817" s="18" t="n">
        <x:v>-0.284166667</x:v>
      </x:c>
      <x:c r="D4817" s="10" t="n">
        <x:v>560</x:v>
      </x:c>
      <x:c r="E4817" s="10" t="n">
        <x:v>0.3032</x:v>
      </x:c>
      <x:c r="F4817" s="10" t="n">
        <x:v>0.012288</x:v>
      </x:c>
      <x:c r="G4817" s="10" t="n">
        <x:f>SUM(D4817:F4817)</x:f>
        <x:v>560.315488</x:v>
      </x:c>
    </x:row>
    <x:row r="4818" ht="24" customHeight="1">
      <x:c r="A4818" s="10" t="str">
        <x:v>S07-10</x:v>
      </x:c>
      <x:c r="B4818" s="10" t="str">
        <x:v>A</x:v>
      </x:c>
      <x:c r="C4818" s="18" t="n">
        <x:v>-0.284166567</x:v>
      </x:c>
      <x:c r="D4818" s="10" t="n">
        <x:v>560</x:v>
      </x:c>
      <x:c r="E4818" s="10" t="n">
        <x:v>0.303200038</x:v>
      </x:c>
      <x:c r="F4818" s="10" t="n">
        <x:v>0.012288</x:v>
      </x:c>
      <x:c r="G4818" s="10" t="n">
        <x:f>SUM(D4818:F4818)</x:f>
        <x:v>560.315488038</x:v>
      </x:c>
    </x:row>
    <x:row r="4819" ht="24" customHeight="1">
      <x:c r="A4819" s="10" t="str">
        <x:v>S07-10</x:v>
      </x:c>
      <x:c r="B4819" s="10" t="str">
        <x:v>A</x:v>
      </x:c>
      <x:c r="C4819" s="18" t="n">
        <x:v>-1e-7</x:v>
      </x:c>
      <x:c r="D4819" s="10" t="n">
        <x:v>560</x:v>
      </x:c>
      <x:c r="E4819" s="10" t="n">
        <x:v>0.412319962</x:v>
      </x:c>
      <x:c r="F4819" s="10" t="n">
        <x:v>0.012288</x:v>
      </x:c>
      <x:c r="G4819" s="10" t="n">
        <x:f>SUM(D4819:F4819)</x:f>
        <x:v>560.424607962</x:v>
      </x:c>
    </x:row>
    <x:row r="4820" ht="24" customHeight="1">
      <x:c r="A4820" s="10" t="str">
        <x:v>S07-10</x:v>
      </x:c>
      <x:c r="B4820" s="10" t="str">
        <x:v>A</x:v>
      </x:c>
      <x:c r="C4820" s="18" t="n">
        <x:v>0</x:v>
      </x:c>
      <x:c r="D4820" s="10" t="n">
        <x:v>560</x:v>
      </x:c>
      <x:c r="E4820" s="10" t="n">
        <x:v>0.41232</x:v>
      </x:c>
      <x:c r="F4820" s="10" t="n">
        <x:v>0.012288</x:v>
      </x:c>
      <x:c r="G4820" s="10" t="n">
        <x:f>SUM(D4820:F4820)</x:f>
        <x:v>560.424608</x:v>
      </x:c>
    </x:row>
    <x:row r="4821" ht="24" customHeight="1">
      <x:c r="A4821" s="10" t="str">
        <x:v>S07-10</x:v>
      </x:c>
      <x:c r="B4821" s="10" t="str">
        <x:v>A</x:v>
      </x:c>
      <x:c r="C4821" s="18" t="n">
        <x:v>1e-7</x:v>
      </x:c>
      <x:c r="D4821" s="10" t="n">
        <x:v>560</x:v>
      </x:c>
      <x:c r="E4821" s="10" t="n">
        <x:v>0.412320038</x:v>
      </x:c>
      <x:c r="F4821" s="10" t="n">
        <x:v>0.012288</x:v>
      </x:c>
      <x:c r="G4821" s="10" t="n">
        <x:f>SUM(D4821:F4821)</x:f>
        <x:v>560.424608038</x:v>
      </x:c>
    </x:row>
    <x:row r="4822" ht="24" customHeight="1">
      <x:c r="A4822" s="10" t="str">
        <x:v>S07-10</x:v>
      </x:c>
      <x:c r="B4822" s="10" t="str">
        <x:v>A</x:v>
      </x:c>
      <x:c r="C4822" s="18" t="n">
        <x:v>0.1694999</x:v>
      </x:c>
      <x:c r="D4822" s="10" t="n">
        <x:v>560</x:v>
      </x:c>
      <x:c r="E4822" s="10" t="n">
        <x:v>0.477407962</x:v>
      </x:c>
      <x:c r="F4822" s="10" t="n">
        <x:v>0.012288</x:v>
      </x:c>
      <x:c r="G4822" s="10" t="n">
        <x:f>SUM(D4822:F4822)</x:f>
        <x:v>560.489695962</x:v>
      </x:c>
    </x:row>
    <x:row r="4823" ht="24" customHeight="1">
      <x:c r="A4823" s="10" t="str">
        <x:v>S07-10</x:v>
      </x:c>
      <x:c r="B4823" s="10" t="str">
        <x:v>A</x:v>
      </x:c>
      <x:c r="C4823" s="18" t="n">
        <x:v>0.1695</x:v>
      </x:c>
      <x:c r="D4823" s="10" t="n">
        <x:v>560</x:v>
      </x:c>
      <x:c r="E4823" s="10" t="n">
        <x:v>0.477408</x:v>
      </x:c>
      <x:c r="F4823" s="10" t="n">
        <x:v>0.012288</x:v>
      </x:c>
      <x:c r="G4823" s="10" t="n">
        <x:f>SUM(D4823:F4823)</x:f>
        <x:v>560.489696</x:v>
      </x:c>
    </x:row>
    <x:row r="4824" ht="24" customHeight="1">
      <x:c r="A4824" s="10" t="str">
        <x:v>S07-10</x:v>
      </x:c>
      <x:c r="B4824" s="10" t="str">
        <x:v>A</x:v>
      </x:c>
      <x:c r="C4824" s="18" t="n">
        <x:v>0.1695001</x:v>
      </x:c>
      <x:c r="D4824" s="10" t="n">
        <x:v>560</x:v>
      </x:c>
      <x:c r="E4824" s="10" t="n">
        <x:v>0.477408019</x:v>
      </x:c>
      <x:c r="F4824" s="10" t="n">
        <x:v>0.012288</x:v>
      </x:c>
      <x:c r="G4824" s="10" t="n">
        <x:f>SUM(D4824:F4824)</x:f>
        <x:v>560.489696019</x:v>
      </x:c>
    </x:row>
    <x:row r="4825" ht="24" customHeight="1">
      <x:c r="A4825" s="10" t="str">
        <x:v>S07-10</x:v>
      </x:c>
      <x:c r="B4825" s="10" t="str">
        <x:v>A</x:v>
      </x:c>
      <x:c r="C4825" s="18" t="n">
        <x:v>0.898333233</x:v>
      </x:c>
      <x:c r="D4825" s="10" t="n">
        <x:v>560</x:v>
      </x:c>
      <x:c r="E4825" s="10" t="n">
        <x:v>0.617343981</x:v>
      </x:c>
      <x:c r="F4825" s="10" t="n">
        <x:v>0.012288</x:v>
      </x:c>
      <x:c r="G4825" s="10" t="n">
        <x:f>SUM(D4825:F4825)</x:f>
        <x:v>560.629631981</x:v>
      </x:c>
    </x:row>
    <x:row r="4826" ht="24" customHeight="1">
      <x:c r="A4826" s="10" t="str">
        <x:v>S07-10</x:v>
      </x:c>
      <x:c r="B4826" s="10" t="str">
        <x:v>A</x:v>
      </x:c>
      <x:c r="C4826" s="18" t="n">
        <x:v>0.898333333</x:v>
      </x:c>
      <x:c r="D4826" s="10" t="n">
        <x:v>560</x:v>
      </x:c>
      <x:c r="E4826" s="10" t="n">
        <x:v>0.617344</x:v>
      </x:c>
      <x:c r="F4826" s="10" t="n">
        <x:v>0.012288</x:v>
      </x:c>
      <x:c r="G4826" s="10" t="n">
        <x:f>SUM(D4826:F4826)</x:f>
        <x:v>560.629632</x:v>
      </x:c>
    </x:row>
    <x:row r="4827" ht="24" customHeight="1">
      <x:c r="A4827" s="10" t="str">
        <x:v>S07-10</x:v>
      </x:c>
      <x:c r="B4827" s="10" t="str">
        <x:v>A</x:v>
      </x:c>
      <x:c r="C4827" s="18" t="n">
        <x:v>0.898333433</x:v>
      </x:c>
      <x:c r="D4827" s="10" t="n">
        <x:v>560</x:v>
      </x:c>
      <x:c r="E4827" s="10" t="n">
        <x:v>0.617344019</x:v>
      </x:c>
      <x:c r="F4827" s="10" t="n">
        <x:v>0.012288</x:v>
      </x:c>
      <x:c r="G4827" s="10" t="n">
        <x:f>SUM(D4827:F4827)</x:f>
        <x:v>560.629632019</x:v>
      </x:c>
    </x:row>
    <x:row r="4828" ht="24" customHeight="1">
      <x:c r="A4828" s="10" t="str">
        <x:v>S07-10</x:v>
      </x:c>
      <x:c r="B4828" s="10" t="str">
        <x:v>A</x:v>
      </x:c>
      <x:c r="C4828" s="18" t="n">
        <x:v>0.938333233</x:v>
      </x:c>
      <x:c r="D4828" s="10" t="n">
        <x:v>560</x:v>
      </x:c>
      <x:c r="E4828" s="10" t="n">
        <x:v>0.625023981</x:v>
      </x:c>
      <x:c r="F4828" s="10" t="n">
        <x:v>0.012288</x:v>
      </x:c>
      <x:c r="G4828" s="10" t="n">
        <x:f>SUM(D4828:F4828)</x:f>
        <x:v>560.637311981</x:v>
      </x:c>
    </x:row>
    <x:row r="4829" ht="24" customHeight="1">
      <x:c r="A4829" s="10" t="str">
        <x:v>S07-10</x:v>
      </x:c>
      <x:c r="B4829" s="10" t="str">
        <x:v>A</x:v>
      </x:c>
      <x:c r="C4829" s="18" t="n">
        <x:v>0.938333333</x:v>
      </x:c>
      <x:c r="D4829" s="10" t="n">
        <x:v>560</x:v>
      </x:c>
      <x:c r="E4829" s="10" t="n">
        <x:v>0.625024</x:v>
      </x:c>
      <x:c r="F4829" s="10" t="n">
        <x:v>0.012288</x:v>
      </x:c>
      <x:c r="G4829" s="10" t="n">
        <x:f>SUM(D4829:F4829)</x:f>
        <x:v>560.6373120000001</x:v>
      </x:c>
    </x:row>
    <x:row r="4830" ht="24" customHeight="1">
      <x:c r="A4830" s="10" t="str">
        <x:v>S07-10</x:v>
      </x:c>
      <x:c r="B4830" s="10" t="str">
        <x:v>A</x:v>
      </x:c>
      <x:c r="C4830" s="18" t="n">
        <x:v>0.938333433</x:v>
      </x:c>
      <x:c r="D4830" s="10" t="n">
        <x:v>560</x:v>
      </x:c>
      <x:c r="E4830" s="10" t="n">
        <x:v>0.625024014</x:v>
      </x:c>
      <x:c r="F4830" s="10" t="n">
        <x:v>0.012288</x:v>
      </x:c>
      <x:c r="G4830" s="10" t="n">
        <x:f>SUM(D4830:F4830)</x:f>
        <x:v>560.637312014</x:v>
      </x:c>
    </x:row>
    <x:row r="4831" ht="24" customHeight="1">
      <x:c r="A4831" s="10" t="str">
        <x:v>S07-10</x:v>
      </x:c>
      <x:c r="B4831" s="10" t="str">
        <x:v>A</x:v>
      </x:c>
      <x:c r="C4831" s="18" t="n">
        <x:v>1.2234999</x:v>
      </x:c>
      <x:c r="D4831" s="10" t="n">
        <x:v>560</x:v>
      </x:c>
      <x:c r="E4831" s="10" t="n">
        <x:v>0.666087986</x:v>
      </x:c>
      <x:c r="F4831" s="10" t="n">
        <x:v>0.012288</x:v>
      </x:c>
      <x:c r="G4831" s="10" t="n">
        <x:f>SUM(D4831:F4831)</x:f>
        <x:v>560.678375986</x:v>
      </x:c>
    </x:row>
    <x:row r="4832" ht="24" customHeight="1">
      <x:c r="A4832" s="10" t="str">
        <x:v>S07-10</x:v>
      </x:c>
      <x:c r="B4832" s="10" t="str">
        <x:v>A</x:v>
      </x:c>
      <x:c r="C4832" s="18" t="n">
        <x:v>1.2235</x:v>
      </x:c>
      <x:c r="D4832" s="10" t="n">
        <x:v>560</x:v>
      </x:c>
      <x:c r="E4832" s="10" t="n">
        <x:v>0.666088</x:v>
      </x:c>
      <x:c r="F4832" s="10" t="n">
        <x:v>0.012288</x:v>
      </x:c>
      <x:c r="G4832" s="10" t="n">
        <x:f>SUM(D4832:F4832)</x:f>
        <x:v>560.678376</x:v>
      </x:c>
    </x:row>
    <x:row r="4833" ht="24" customHeight="1">
      <x:c r="A4833" s="10" t="str">
        <x:v>S07-10</x:v>
      </x:c>
      <x:c r="B4833" s="10" t="str">
        <x:v>A</x:v>
      </x:c>
      <x:c r="C4833" s="18" t="n">
        <x:v>1.2235001</x:v>
      </x:c>
      <x:c r="D4833" s="10" t="n">
        <x:v>560</x:v>
      </x:c>
      <x:c r="E4833" s="10" t="n">
        <x:v>0.666087995</x:v>
      </x:c>
      <x:c r="F4833" s="10" t="n">
        <x:v>0.012288</x:v>
      </x:c>
      <x:c r="G4833" s="10" t="n">
        <x:f>SUM(D4833:F4833)</x:f>
        <x:v>560.678375995</x:v>
      </x:c>
    </x:row>
    <x:row r="4834" ht="24" customHeight="1">
      <x:c r="A4834" s="10" t="str">
        <x:v>S07-10</x:v>
      </x:c>
      <x:c r="B4834" s="10" t="str">
        <x:v>A</x:v>
      </x:c>
      <x:c r="C4834" s="18" t="n">
        <x:v>3.992333233</x:v>
      </x:c>
      <x:c r="D4834" s="10" t="n">
        <x:v>560</x:v>
      </x:c>
      <x:c r="E4834" s="10" t="n">
        <x:v>0.533184005</x:v>
      </x:c>
      <x:c r="F4834" s="10" t="n">
        <x:v>0.012288</x:v>
      </x:c>
      <x:c r="G4834" s="10" t="n">
        <x:f>SUM(D4834:F4834)</x:f>
        <x:v>560.545472005</x:v>
      </x:c>
    </x:row>
    <x:row r="4835" ht="24" customHeight="1">
      <x:c r="A4835" s="10" t="str">
        <x:v>S07-10</x:v>
      </x:c>
      <x:c r="B4835" s="10" t="str">
        <x:v>A</x:v>
      </x:c>
      <x:c r="C4835" s="18" t="n">
        <x:v>3.992333333</x:v>
      </x:c>
      <x:c r="D4835" s="10" t="n">
        <x:v>560</x:v>
      </x:c>
      <x:c r="E4835" s="10" t="n">
        <x:v>0.533184</x:v>
      </x:c>
      <x:c r="F4835" s="10" t="n">
        <x:v>0.012288</x:v>
      </x:c>
      <x:c r="G4835" s="10" t="n">
        <x:f>SUM(D4835:F4835)</x:f>
        <x:v>560.545472</x:v>
      </x:c>
    </x:row>
    <x:row r="4836" ht="24" customHeight="1">
      <x:c r="A4836" s="10" t="str">
        <x:v>S07-10</x:v>
      </x:c>
      <x:c r="B4836" s="10" t="str">
        <x:v>A</x:v>
      </x:c>
      <x:c r="C4836" s="18" t="n">
        <x:v>3.992333433</x:v>
      </x:c>
      <x:c r="D4836" s="10" t="n">
        <x:v>560</x:v>
      </x:c>
      <x:c r="E4836" s="10" t="n">
        <x:v>0.533184</x:v>
      </x:c>
      <x:c r="F4836" s="10" t="n">
        <x:v>0.008192</x:v>
      </x:c>
      <x:c r="G4836" s="10" t="n">
        <x:f>SUM(D4836:F4836)</x:f>
        <x:v>560.541376</x:v>
      </x:c>
    </x:row>
    <x:row r="4837" ht="24" customHeight="1">
      <x:c r="A4837" s="10" t="str">
        <x:v>S07-10</x:v>
      </x:c>
      <x:c r="B4837" s="10" t="str">
        <x:v>A</x:v>
      </x:c>
      <x:c r="C4837" s="18" t="n">
        <x:v>4.032333233</x:v>
      </x:c>
      <x:c r="D4837" s="10" t="n">
        <x:v>560</x:v>
      </x:c>
      <x:c r="E4837" s="10" t="n">
        <x:v>0.533184</x:v>
      </x:c>
      <x:c r="F4837" s="10" t="n">
        <x:v>0.008192</x:v>
      </x:c>
      <x:c r="G4837" s="10" t="n">
        <x:f>SUM(D4837:F4837)</x:f>
        <x:v>560.541376</x:v>
      </x:c>
    </x:row>
    <x:row r="4838" ht="24" customHeight="1">
      <x:c r="A4838" s="10" t="str">
        <x:v>S07-10</x:v>
      </x:c>
      <x:c r="B4838" s="10" t="str">
        <x:v>A</x:v>
      </x:c>
      <x:c r="C4838" s="18" t="n">
        <x:v>4.032333333</x:v>
      </x:c>
      <x:c r="D4838" s="10" t="n">
        <x:v>560</x:v>
      </x:c>
      <x:c r="E4838" s="10" t="n">
        <x:v>0.533184</x:v>
      </x:c>
      <x:c r="F4838" s="10" t="n">
        <x:v>0.008192</x:v>
      </x:c>
      <x:c r="G4838" s="10" t="n">
        <x:f>SUM(D4838:F4838)</x:f>
        <x:v>560.541376</x:v>
      </x:c>
    </x:row>
    <x:row r="4839" ht="24" customHeight="1">
      <x:c r="A4839" s="10" t="str">
        <x:v>S07-10</x:v>
      </x:c>
      <x:c r="B4839" s="10" t="str">
        <x:v>A</x:v>
      </x:c>
      <x:c r="C4839" s="18" t="n">
        <x:v>4.032333433</x:v>
      </x:c>
      <x:c r="D4839" s="10" t="n">
        <x:v>560</x:v>
      </x:c>
      <x:c r="E4839" s="10" t="n">
        <x:v>0.533183995</x:v>
      </x:c>
      <x:c r="F4839" s="10" t="n">
        <x:v>0.008192</x:v>
      </x:c>
      <x:c r="G4839" s="10" t="n">
        <x:f>SUM(D4839:F4839)</x:f>
        <x:v>560.541375995</x:v>
      </x:c>
    </x:row>
    <x:row r="4840" ht="24" customHeight="1">
      <x:c r="A4840" s="10" t="str">
        <x:v>S07-10</x:v>
      </x:c>
      <x:c r="B4840" s="10" t="str">
        <x:v>A</x:v>
      </x:c>
      <x:c r="C4840" s="18" t="n">
        <x:v>8.086333233</x:v>
      </x:c>
      <x:c r="D4840" s="10" t="n">
        <x:v>560</x:v>
      </x:c>
      <x:c r="E4840" s="10" t="n">
        <x:v>0.338592005</x:v>
      </x:c>
      <x:c r="F4840" s="10" t="n">
        <x:v>0.008192</x:v>
      </x:c>
      <x:c r="G4840" s="10" t="n">
        <x:f>SUM(D4840:F4840)</x:f>
        <x:v>560.346784005</x:v>
      </x:c>
    </x:row>
    <x:row r="4841" ht="24" customHeight="1">
      <x:c r="A4841" s="10" t="str">
        <x:v>S07-10</x:v>
      </x:c>
      <x:c r="B4841" s="10" t="str">
        <x:v>A</x:v>
      </x:c>
      <x:c r="C4841" s="18" t="n">
        <x:v>8.086333333</x:v>
      </x:c>
      <x:c r="D4841" s="10" t="n">
        <x:v>560</x:v>
      </x:c>
      <x:c r="E4841" s="10" t="n">
        <x:v>0.338592</x:v>
      </x:c>
      <x:c r="F4841" s="10" t="n">
        <x:v>0.008192</x:v>
      </x:c>
      <x:c r="G4841" s="10" t="n">
        <x:f>SUM(D4841:F4841)</x:f>
        <x:v>560.346784</x:v>
      </x:c>
    </x:row>
    <x:row r="4842" ht="24" customHeight="1">
      <x:c r="A4842" s="10" t="str">
        <x:v>S07-10</x:v>
      </x:c>
      <x:c r="B4842" s="10" t="str">
        <x:v>A</x:v>
      </x:c>
      <x:c r="C4842" s="18" t="n">
        <x:v>8.086333433</x:v>
      </x:c>
      <x:c r="D4842" s="10" t="n">
        <x:v>560</x:v>
      </x:c>
      <x:c r="E4842" s="10" t="n">
        <x:v>0.338592</x:v>
      </x:c>
      <x:c r="F4842" s="10" t="n">
        <x:v>0.004096</x:v>
      </x:c>
      <x:c r="G4842" s="10" t="n">
        <x:f>SUM(D4842:F4842)</x:f>
        <x:v>560.342688</x:v>
      </x:c>
    </x:row>
    <x:row r="4843" ht="24" customHeight="1">
      <x:c r="A4843" s="10" t="str">
        <x:v>S07-10</x:v>
      </x:c>
      <x:c r="B4843" s="10" t="str">
        <x:v>A</x:v>
      </x:c>
      <x:c r="C4843" s="18" t="n">
        <x:v>8.126333233</x:v>
      </x:c>
      <x:c r="D4843" s="10" t="n">
        <x:v>560</x:v>
      </x:c>
      <x:c r="E4843" s="10" t="n">
        <x:v>0.338592</x:v>
      </x:c>
      <x:c r="F4843" s="10" t="n">
        <x:v>0.004096</x:v>
      </x:c>
      <x:c r="G4843" s="10" t="n">
        <x:f>SUM(D4843:F4843)</x:f>
        <x:v>560.342688</x:v>
      </x:c>
    </x:row>
    <x:row r="4844" ht="24" customHeight="1">
      <x:c r="A4844" s="10" t="str">
        <x:v>S07-10</x:v>
      </x:c>
      <x:c r="B4844" s="10" t="str">
        <x:v>A</x:v>
      </x:c>
      <x:c r="C4844" s="18" t="n">
        <x:v>8.126333333</x:v>
      </x:c>
      <x:c r="D4844" s="10" t="n">
        <x:v>560</x:v>
      </x:c>
      <x:c r="E4844" s="10" t="n">
        <x:v>0.338592</x:v>
      </x:c>
      <x:c r="F4844" s="10" t="n">
        <x:v>0.004096</x:v>
      </x:c>
      <x:c r="G4844" s="10" t="n">
        <x:f>SUM(D4844:F4844)</x:f>
        <x:v>560.342688</x:v>
      </x:c>
    </x:row>
    <x:row r="4845" ht="24" customHeight="1">
      <x:c r="A4845" s="10" t="str">
        <x:v>S07-10</x:v>
      </x:c>
      <x:c r="B4845" s="10" t="str">
        <x:v>A</x:v>
      </x:c>
      <x:c r="C4845" s="18" t="n">
        <x:v>8.126333433</x:v>
      </x:c>
      <x:c r="D4845" s="10" t="n">
        <x:v>560</x:v>
      </x:c>
      <x:c r="E4845" s="10" t="n">
        <x:v>0.338591995</x:v>
      </x:c>
      <x:c r="F4845" s="10" t="n">
        <x:v>0.004096</x:v>
      </x:c>
      <x:c r="G4845" s="10" t="n">
        <x:f>SUM(D4845:F4845)</x:f>
        <x:v>560.342687995</x:v>
      </x:c>
    </x:row>
    <x:row r="4846" ht="24" customHeight="1">
      <x:c r="A4846" s="10" t="str">
        <x:v>S07-10</x:v>
      </x:c>
      <x:c r="B4846" s="10" t="str">
        <x:v>A</x:v>
      </x:c>
      <x:c r="C4846" s="18" t="n">
        <x:v>15.180333233</x:v>
      </x:c>
      <x:c r="D4846" s="10" t="n">
        <x:v>560</x:v>
      </x:c>
      <x:c r="E4846" s="10" t="n">
        <x:v>5e-9</x:v>
      </x:c>
      <x:c r="F4846" s="10" t="n">
        <x:v>0.004096</x:v>
      </x:c>
      <x:c r="G4846" s="10" t="n">
        <x:f>SUM(D4846:F4846)</x:f>
        <x:v>560.004096005</x:v>
      </x:c>
    </x:row>
    <x:row r="4847" ht="24" customHeight="1">
      <x:c r="A4847" s="10" t="str">
        <x:v>S07-10</x:v>
      </x:c>
      <x:c r="B4847" s="10" t="str">
        <x:v>A</x:v>
      </x:c>
      <x:c r="C4847" s="18" t="n">
        <x:v>15.180333333</x:v>
      </x:c>
      <x:c r="D4847" s="10" t="n">
        <x:v>560</x:v>
      </x:c>
      <x:c r="E4847" s="10" t="n">
        <x:v>0</x:v>
      </x:c>
      <x:c r="F4847" s="10" t="n">
        <x:v>0.004096</x:v>
      </x:c>
      <x:c r="G4847" s="10" t="n">
        <x:f>SUM(D4847:F4847)</x:f>
        <x:v>560.004096</x:v>
      </x:c>
    </x:row>
    <x:row r="4848" ht="24" customHeight="1">
      <x:c r="A4848" s="10" t="str">
        <x:v>S07-10</x:v>
      </x:c>
      <x:c r="B4848" s="10" t="str">
        <x:v>A</x:v>
      </x:c>
      <x:c r="C4848" s="18" t="n">
        <x:v>15.180333433</x:v>
      </x:c>
      <x:c r="D4848" s="10" t="n">
        <x:v>560</x:v>
      </x:c>
      <x:c r="E4848" s="10" t="n">
        <x:v>0</x:v>
      </x:c>
      <x:c r="F4848" s="10" t="n">
        <x:v>0</x:v>
      </x:c>
      <x:c r="G4848" s="10" t="n">
        <x:f>SUM(D4848:F4848)</x:f>
        <x:v>560</x:v>
      </x:c>
    </x:row>
    <x:row r="4849" ht="24" customHeight="1">
      <x:c r="A4849" s="10" t="str">
        <x:v>S07-10</x:v>
      </x:c>
      <x:c r="B4849" s="10" t="str">
        <x:v>B</x:v>
      </x:c>
      <x:c r="C4849" s="18" t="n">
        <x:v>-6.0000001</x:v>
      </x:c>
      <x:c r="D4849" s="10" t="n">
        <x:v>560</x:v>
      </x:c>
      <x:c r="E4849" s="10" t="n">
        <x:v>0</x:v>
      </x:c>
      <x:c r="F4849" s="10" t="n">
        <x:v>0</x:v>
      </x:c>
      <x:c r="G4849" s="10" t="n">
        <x:f>SUM(D4849:F4849)</x:f>
        <x:v>560</x:v>
      </x:c>
    </x:row>
    <x:row r="4850" ht="24" customHeight="1">
      <x:c r="A4850" s="10" t="str">
        <x:v>S07-10</x:v>
      </x:c>
      <x:c r="B4850" s="10" t="str">
        <x:v>B</x:v>
      </x:c>
      <x:c r="C4850" s="18" t="n">
        <x:v>-6</x:v>
      </x:c>
      <x:c r="D4850" s="10" t="n">
        <x:v>560</x:v>
      </x:c>
      <x:c r="E4850" s="10" t="n">
        <x:v>0</x:v>
      </x:c>
      <x:c r="F4850" s="10" t="n">
        <x:v>0</x:v>
      </x:c>
      <x:c r="G4850" s="10" t="n">
        <x:f>SUM(D4850:F4850)</x:f>
        <x:v>560</x:v>
      </x:c>
    </x:row>
    <x:row r="4851" ht="24" customHeight="1">
      <x:c r="A4851" s="10" t="str">
        <x:v>S07-10</x:v>
      </x:c>
      <x:c r="B4851" s="10" t="str">
        <x:v>B</x:v>
      </x:c>
      <x:c r="C4851" s="18" t="n">
        <x:v>-5.9999999</x:v>
      </x:c>
      <x:c r="D4851" s="10" t="n">
        <x:v>560</x:v>
      </x:c>
      <x:c r="E4851" s="10" t="n">
        <x:v>0</x:v>
      </x:c>
      <x:c r="F4851" s="10" t="n">
        <x:v>0</x:v>
      </x:c>
      <x:c r="G4851" s="10" t="n">
        <x:f>SUM(D4851:F4851)</x:f>
        <x:v>560</x:v>
      </x:c>
    </x:row>
    <x:row r="4852" ht="24" customHeight="1">
      <x:c r="A4852" s="10" t="str">
        <x:v>S07-10</x:v>
      </x:c>
      <x:c r="B4852" s="10" t="str">
        <x:v>B</x:v>
      </x:c>
      <x:c r="C4852" s="18" t="n">
        <x:v>-1e-7</x:v>
      </x:c>
      <x:c r="D4852" s="10" t="n">
        <x:v>560</x:v>
      </x:c>
      <x:c r="E4852" s="10" t="n">
        <x:v>0</x:v>
      </x:c>
      <x:c r="F4852" s="10" t="n">
        <x:v>0</x:v>
      </x:c>
      <x:c r="G4852" s="10" t="n">
        <x:f>SUM(D4852:F4852)</x:f>
        <x:v>560</x:v>
      </x:c>
    </x:row>
    <x:row r="4853" ht="24" customHeight="1">
      <x:c r="A4853" s="10" t="str">
        <x:v>S07-10</x:v>
      </x:c>
      <x:c r="B4853" s="10" t="str">
        <x:v>B</x:v>
      </x:c>
      <x:c r="C4853" s="18" t="n">
        <x:v>0</x:v>
      </x:c>
      <x:c r="D4853" s="10" t="n">
        <x:v>560</x:v>
      </x:c>
      <x:c r="E4853" s="10" t="n">
        <x:v>0</x:v>
      </x:c>
      <x:c r="F4853" s="10" t="n">
        <x:v>0</x:v>
      </x:c>
      <x:c r="G4853" s="10" t="n">
        <x:f>SUM(D4853:F4853)</x:f>
        <x:v>560</x:v>
      </x:c>
    </x:row>
    <x:row r="4854" ht="24" customHeight="1">
      <x:c r="A4854" s="10" t="str">
        <x:v>S07-10</x:v>
      </x:c>
      <x:c r="B4854" s="10" t="str">
        <x:v>B</x:v>
      </x:c>
      <x:c r="C4854" s="18" t="n">
        <x:v>1e-7</x:v>
      </x:c>
      <x:c r="D4854" s="10" t="n">
        <x:v>560</x:v>
      </x:c>
      <x:c r="E4854" s="10" t="n">
        <x:v>0</x:v>
      </x:c>
      <x:c r="F4854" s="10" t="n">
        <x:v>0</x:v>
      </x:c>
      <x:c r="G4854" s="10" t="n">
        <x:f>SUM(D4854:F4854)</x:f>
        <x:v>560</x:v>
      </x:c>
    </x:row>
    <x:row r="4855" ht="24" customHeight="1">
      <x:c r="A4855" s="10" t="str">
        <x:v>S07-10</x:v>
      </x:c>
      <x:c r="B4855" s="10" t="str">
        <x:v>B</x:v>
      </x:c>
      <x:c r="C4855" s="18" t="n">
        <x:v>0.898333233</x:v>
      </x:c>
      <x:c r="D4855" s="10" t="n">
        <x:v>560</x:v>
      </x:c>
      <x:c r="E4855" s="10" t="n">
        <x:v>0</x:v>
      </x:c>
      <x:c r="F4855" s="10" t="n">
        <x:v>0</x:v>
      </x:c>
      <x:c r="G4855" s="10" t="n">
        <x:f>SUM(D4855:F4855)</x:f>
        <x:v>560</x:v>
      </x:c>
    </x:row>
    <x:row r="4856" ht="24" customHeight="1">
      <x:c r="A4856" s="10" t="str">
        <x:v>S07-10</x:v>
      </x:c>
      <x:c r="B4856" s="10" t="str">
        <x:v>B</x:v>
      </x:c>
      <x:c r="C4856" s="18" t="n">
        <x:v>0.898333333</x:v>
      </x:c>
      <x:c r="D4856" s="10" t="n">
        <x:v>560</x:v>
      </x:c>
      <x:c r="E4856" s="10" t="n">
        <x:v>0</x:v>
      </x:c>
      <x:c r="F4856" s="10" t="n">
        <x:v>0.004096</x:v>
      </x:c>
      <x:c r="G4856" s="10" t="n">
        <x:f>SUM(D4856:F4856)</x:f>
        <x:v>560.004096</x:v>
      </x:c>
    </x:row>
    <x:row r="4857" ht="24" customHeight="1">
      <x:c r="A4857" s="10" t="str">
        <x:v>S07-10</x:v>
      </x:c>
      <x:c r="B4857" s="10" t="str">
        <x:v>B</x:v>
      </x:c>
      <x:c r="C4857" s="18" t="n">
        <x:v>0.898333433</x:v>
      </x:c>
      <x:c r="D4857" s="10" t="n">
        <x:v>560</x:v>
      </x:c>
      <x:c r="E4857" s="10" t="n">
        <x:v>0</x:v>
      </x:c>
      <x:c r="F4857" s="10" t="n">
        <x:v>0.004096</x:v>
      </x:c>
      <x:c r="G4857" s="10" t="n">
        <x:f>SUM(D4857:F4857)</x:f>
        <x:v>560.004096</x:v>
      </x:c>
    </x:row>
    <x:row r="4858" ht="24" customHeight="1">
      <x:c r="A4858" s="10" t="str">
        <x:v>S07-10</x:v>
      </x:c>
      <x:c r="B4858" s="10" t="str">
        <x:v>B</x:v>
      </x:c>
      <x:c r="C4858" s="18" t="n">
        <x:v>1.300666566</x:v>
      </x:c>
      <x:c r="D4858" s="10" t="n">
        <x:v>560</x:v>
      </x:c>
      <x:c r="E4858" s="10" t="n">
        <x:v>0</x:v>
      </x:c>
      <x:c r="F4858" s="10" t="n">
        <x:v>0.004096</x:v>
      </x:c>
      <x:c r="G4858" s="10" t="n">
        <x:f>SUM(D4858:F4858)</x:f>
        <x:v>560.004096</x:v>
      </x:c>
    </x:row>
    <x:row r="4859" ht="24" customHeight="1">
      <x:c r="A4859" s="10" t="str">
        <x:v>S07-10</x:v>
      </x:c>
      <x:c r="B4859" s="10" t="str">
        <x:v>B</x:v>
      </x:c>
      <x:c r="C4859" s="18" t="n">
        <x:v>1.300666666</x:v>
      </x:c>
      <x:c r="D4859" s="10" t="n">
        <x:v>560</x:v>
      </x:c>
      <x:c r="E4859" s="10" t="n">
        <x:v>0.0096</x:v>
      </x:c>
      <x:c r="F4859" s="10" t="n">
        <x:v>0.004096</x:v>
      </x:c>
      <x:c r="G4859" s="10" t="n">
        <x:f>SUM(D4859:F4859)</x:f>
        <x:v>560.013696</x:v>
      </x:c>
    </x:row>
    <x:row r="4860" ht="24" customHeight="1">
      <x:c r="A4860" s="10" t="str">
        <x:v>S07-10</x:v>
      </x:c>
      <x:c r="B4860" s="10" t="str">
        <x:v>B</x:v>
      </x:c>
      <x:c r="C4860" s="18" t="n">
        <x:v>1.300666766</x:v>
      </x:c>
      <x:c r="D4860" s="10" t="n">
        <x:v>560</x:v>
      </x:c>
      <x:c r="E4860" s="10" t="n">
        <x:v>0.009600019</x:v>
      </x:c>
      <x:c r="F4860" s="10" t="n">
        <x:v>0.004096</x:v>
      </x:c>
      <x:c r="G4860" s="10" t="n">
        <x:f>SUM(D4860:F4860)</x:f>
        <x:v>560.013696019</x:v>
      </x:c>
    </x:row>
    <x:row r="4861" ht="24" customHeight="1">
      <x:c r="A4861" s="10" t="str">
        <x:v>S07-10</x:v>
      </x:c>
      <x:c r="B4861" s="10" t="str">
        <x:v>B</x:v>
      </x:c>
      <x:c r="C4861" s="18" t="n">
        <x:v>1.340666566</x:v>
      </x:c>
      <x:c r="D4861" s="10" t="n">
        <x:v>560</x:v>
      </x:c>
      <x:c r="E4861" s="10" t="n">
        <x:v>0.017279981</x:v>
      </x:c>
      <x:c r="F4861" s="10" t="n">
        <x:v>0.004096</x:v>
      </x:c>
      <x:c r="G4861" s="10" t="n">
        <x:f>SUM(D4861:F4861)</x:f>
        <x:v>560.021375981</x:v>
      </x:c>
    </x:row>
    <x:row r="4862" ht="24" customHeight="1">
      <x:c r="A4862" s="10" t="str">
        <x:v>S07-10</x:v>
      </x:c>
      <x:c r="B4862" s="10" t="str">
        <x:v>B</x:v>
      </x:c>
      <x:c r="C4862" s="18" t="n">
        <x:v>1.340666666</x:v>
      </x:c>
      <x:c r="D4862" s="10" t="n">
        <x:v>560</x:v>
      </x:c>
      <x:c r="E4862" s="10" t="n">
        <x:v>0.01728</x:v>
      </x:c>
      <x:c r="F4862" s="10" t="n">
        <x:v>0.004096</x:v>
      </x:c>
      <x:c r="G4862" s="10" t="n">
        <x:f>SUM(D4862:F4862)</x:f>
        <x:v>560.021376</x:v>
      </x:c>
    </x:row>
    <x:row r="4863" ht="24" customHeight="1">
      <x:c r="A4863" s="10" t="str">
        <x:v>S07-10</x:v>
      </x:c>
      <x:c r="B4863" s="10" t="str">
        <x:v>B</x:v>
      </x:c>
      <x:c r="C4863" s="18" t="n">
        <x:v>1.340666766</x:v>
      </x:c>
      <x:c r="D4863" s="10" t="n">
        <x:v>560</x:v>
      </x:c>
      <x:c r="E4863" s="10" t="n">
        <x:v>0.017280014</x:v>
      </x:c>
      <x:c r="F4863" s="10" t="n">
        <x:v>0.004096</x:v>
      </x:c>
      <x:c r="G4863" s="10" t="n">
        <x:f>SUM(D4863:F4863)</x:f>
        <x:v>560.021376014</x:v>
      </x:c>
    </x:row>
    <x:row r="4864" ht="24" customHeight="1">
      <x:c r="A4864" s="10" t="str">
        <x:v>S07-10</x:v>
      </x:c>
      <x:c r="B4864" s="10" t="str">
        <x:v>B</x:v>
      </x:c>
      <x:c r="C4864" s="18" t="n">
        <x:v>2.014166566</x:v>
      </x:c>
      <x:c r="D4864" s="10" t="n">
        <x:v>560</x:v>
      </x:c>
      <x:c r="E4864" s="10" t="n">
        <x:v>0.114263986</x:v>
      </x:c>
      <x:c r="F4864" s="10" t="n">
        <x:v>0.004096</x:v>
      </x:c>
      <x:c r="G4864" s="10" t="n">
        <x:f>SUM(D4864:F4864)</x:f>
        <x:v>560.118359986</x:v>
      </x:c>
    </x:row>
    <x:row r="4865" ht="24" customHeight="1">
      <x:c r="A4865" s="10" t="str">
        <x:v>S07-10</x:v>
      </x:c>
      <x:c r="B4865" s="10" t="str">
        <x:v>B</x:v>
      </x:c>
      <x:c r="C4865" s="18" t="n">
        <x:v>2.014166666</x:v>
      </x:c>
      <x:c r="D4865" s="10" t="n">
        <x:v>560</x:v>
      </x:c>
      <x:c r="E4865" s="10" t="n">
        <x:v>0.114264</x:v>
      </x:c>
      <x:c r="F4865" s="10" t="n">
        <x:v>0.004096</x:v>
      </x:c>
      <x:c r="G4865" s="10" t="n">
        <x:f>SUM(D4865:F4865)</x:f>
        <x:v>560.11836</x:v>
      </x:c>
    </x:row>
    <x:row r="4866" ht="24" customHeight="1">
      <x:c r="A4866" s="10" t="str">
        <x:v>S07-10</x:v>
      </x:c>
      <x:c r="B4866" s="10" t="str">
        <x:v>B</x:v>
      </x:c>
      <x:c r="C4866" s="18" t="n">
        <x:v>2.014166766</x:v>
      </x:c>
      <x:c r="D4866" s="10" t="n">
        <x:v>560</x:v>
      </x:c>
      <x:c r="E4866" s="10" t="n">
        <x:v>0.114263995</x:v>
      </x:c>
      <x:c r="F4866" s="10" t="n">
        <x:v>0.004096</x:v>
      </x:c>
      <x:c r="G4866" s="10" t="n">
        <x:f>SUM(D4866:F4866)</x:f>
        <x:v>560.118359995</x:v>
      </x:c>
    </x:row>
    <x:row r="4867" ht="24" customHeight="1">
      <x:c r="A4867" s="10" t="str">
        <x:v>S07-10</x:v>
      </x:c>
      <x:c r="B4867" s="10" t="str">
        <x:v>B</x:v>
      </x:c>
      <x:c r="C4867" s="18" t="n">
        <x:v>4.394666566</x:v>
      </x:c>
      <x:c r="D4867" s="10" t="n">
        <x:v>560</x:v>
      </x:c>
      <x:c r="E4867" s="10" t="n">
        <x:v>5e-9</x:v>
      </x:c>
      <x:c r="F4867" s="10" t="n">
        <x:v>0.004096</x:v>
      </x:c>
      <x:c r="G4867" s="10" t="n">
        <x:f>SUM(D4867:F4867)</x:f>
        <x:v>560.004096005</x:v>
      </x:c>
    </x:row>
    <x:row r="4868" ht="24" customHeight="1">
      <x:c r="A4868" s="10" t="str">
        <x:v>S07-10</x:v>
      </x:c>
      <x:c r="B4868" s="10" t="str">
        <x:v>B</x:v>
      </x:c>
      <x:c r="C4868" s="18" t="n">
        <x:v>4.394666666</x:v>
      </x:c>
      <x:c r="D4868" s="10" t="n">
        <x:v>560</x:v>
      </x:c>
      <x:c r="E4868" s="10" t="n">
        <x:v>0</x:v>
      </x:c>
      <x:c r="F4868" s="10" t="n">
        <x:v>0.008192</x:v>
      </x:c>
      <x:c r="G4868" s="10" t="n">
        <x:f>SUM(D4868:F4868)</x:f>
        <x:v>560.008192</x:v>
      </x:c>
    </x:row>
    <x:row r="4869" ht="24" customHeight="1">
      <x:c r="A4869" s="10" t="str">
        <x:v>S07-10</x:v>
      </x:c>
      <x:c r="B4869" s="10" t="str">
        <x:v>B</x:v>
      </x:c>
      <x:c r="C4869" s="18" t="n">
        <x:v>4.394666766</x:v>
      </x:c>
      <x:c r="D4869" s="10" t="n">
        <x:v>560</x:v>
      </x:c>
      <x:c r="E4869" s="10" t="n">
        <x:v>0</x:v>
      </x:c>
      <x:c r="F4869" s="10" t="n">
        <x:v>0.004096</x:v>
      </x:c>
      <x:c r="G4869" s="10" t="n">
        <x:f>SUM(D4869:F4869)</x:f>
        <x:v>560.004096</x:v>
      </x:c>
    </x:row>
    <x:row r="4870" ht="24" customHeight="1">
      <x:c r="A4870" s="10" t="str">
        <x:v>S07-10</x:v>
      </x:c>
      <x:c r="B4870" s="10" t="str">
        <x:v>B</x:v>
      </x:c>
      <x:c r="C4870" s="18" t="n">
        <x:v>4.800666566</x:v>
      </x:c>
      <x:c r="D4870" s="10" t="n">
        <x:v>560</x:v>
      </x:c>
      <x:c r="E4870" s="10" t="n">
        <x:v>0</x:v>
      </x:c>
      <x:c r="F4870" s="10" t="n">
        <x:v>0.004096</x:v>
      </x:c>
      <x:c r="G4870" s="10" t="n">
        <x:f>SUM(D4870:F4870)</x:f>
        <x:v>560.004096</x:v>
      </x:c>
    </x:row>
    <x:row r="4871" ht="24" customHeight="1">
      <x:c r="A4871" s="10" t="str">
        <x:v>S07-10</x:v>
      </x:c>
      <x:c r="B4871" s="10" t="str">
        <x:v>B</x:v>
      </x:c>
      <x:c r="C4871" s="18" t="n">
        <x:v>4.800666666</x:v>
      </x:c>
      <x:c r="D4871" s="10" t="n">
        <x:v>560</x:v>
      </x:c>
      <x:c r="E4871" s="10" t="n">
        <x:v>0.0096</x:v>
      </x:c>
      <x:c r="F4871" s="10" t="n">
        <x:v>0.004096</x:v>
      </x:c>
      <x:c r="G4871" s="10" t="n">
        <x:f>SUM(D4871:F4871)</x:f>
        <x:v>560.013696</x:v>
      </x:c>
    </x:row>
    <x:row r="4872" ht="24" customHeight="1">
      <x:c r="A4872" s="10" t="str">
        <x:v>S07-10</x:v>
      </x:c>
      <x:c r="B4872" s="10" t="str">
        <x:v>B</x:v>
      </x:c>
      <x:c r="C4872" s="18" t="n">
        <x:v>4.800666766</x:v>
      </x:c>
      <x:c r="D4872" s="10" t="n">
        <x:v>560</x:v>
      </x:c>
      <x:c r="E4872" s="10" t="n">
        <x:v>0.009600019</x:v>
      </x:c>
      <x:c r="F4872" s="10" t="n">
        <x:v>0.004096</x:v>
      </x:c>
      <x:c r="G4872" s="10" t="n">
        <x:f>SUM(D4872:F4872)</x:f>
        <x:v>560.013696019</x:v>
      </x:c>
    </x:row>
    <x:row r="4873" ht="24" customHeight="1">
      <x:c r="A4873" s="10" t="str">
        <x:v>S07-10</x:v>
      </x:c>
      <x:c r="B4873" s="10" t="str">
        <x:v>B</x:v>
      </x:c>
      <x:c r="C4873" s="18" t="n">
        <x:v>4.840666566</x:v>
      </x:c>
      <x:c r="D4873" s="10" t="n">
        <x:v>560</x:v>
      </x:c>
      <x:c r="E4873" s="10" t="n">
        <x:v>0.017279981</x:v>
      </x:c>
      <x:c r="F4873" s="10" t="n">
        <x:v>0.004096</x:v>
      </x:c>
      <x:c r="G4873" s="10" t="n">
        <x:f>SUM(D4873:F4873)</x:f>
        <x:v>560.021375981</x:v>
      </x:c>
    </x:row>
    <x:row r="4874" ht="24" customHeight="1">
      <x:c r="A4874" s="10" t="str">
        <x:v>S07-10</x:v>
      </x:c>
      <x:c r="B4874" s="10" t="str">
        <x:v>B</x:v>
      </x:c>
      <x:c r="C4874" s="18" t="n">
        <x:v>4.840666666</x:v>
      </x:c>
      <x:c r="D4874" s="10" t="n">
        <x:v>560</x:v>
      </x:c>
      <x:c r="E4874" s="10" t="n">
        <x:v>0.01728</x:v>
      </x:c>
      <x:c r="F4874" s="10" t="n">
        <x:v>0.004096</x:v>
      </x:c>
      <x:c r="G4874" s="10" t="n">
        <x:f>SUM(D4874:F4874)</x:f>
        <x:v>560.021376</x:v>
      </x:c>
    </x:row>
    <x:row r="4875" ht="24" customHeight="1">
      <x:c r="A4875" s="10" t="str">
        <x:v>S07-10</x:v>
      </x:c>
      <x:c r="B4875" s="10" t="str">
        <x:v>B</x:v>
      </x:c>
      <x:c r="C4875" s="18" t="n">
        <x:v>4.840666766</x:v>
      </x:c>
      <x:c r="D4875" s="10" t="n">
        <x:v>560</x:v>
      </x:c>
      <x:c r="E4875" s="10" t="n">
        <x:v>0.017280014</x:v>
      </x:c>
      <x:c r="F4875" s="10" t="n">
        <x:v>0.004096</x:v>
      </x:c>
      <x:c r="G4875" s="10" t="n">
        <x:f>SUM(D4875:F4875)</x:f>
        <x:v>560.021376014</x:v>
      </x:c>
    </x:row>
    <x:row r="4876" ht="24" customHeight="1">
      <x:c r="A4876" s="10" t="str">
        <x:v>S07-10</x:v>
      </x:c>
      <x:c r="B4876" s="10" t="str">
        <x:v>B</x:v>
      </x:c>
      <x:c r="C4876" s="18" t="n">
        <x:v>5.764166566</x:v>
      </x:c>
      <x:c r="D4876" s="10" t="n">
        <x:v>560</x:v>
      </x:c>
      <x:c r="E4876" s="10" t="n">
        <x:v>0.150263986</x:v>
      </x:c>
      <x:c r="F4876" s="10" t="n">
        <x:v>0.004096</x:v>
      </x:c>
      <x:c r="G4876" s="10" t="n">
        <x:f>SUM(D4876:F4876)</x:f>
        <x:v>560.154359986</x:v>
      </x:c>
    </x:row>
    <x:row r="4877" ht="24" customHeight="1">
      <x:c r="A4877" s="10" t="str">
        <x:v>S07-10</x:v>
      </x:c>
      <x:c r="B4877" s="10" t="str">
        <x:v>B</x:v>
      </x:c>
      <x:c r="C4877" s="18" t="n">
        <x:v>5.764166666</x:v>
      </x:c>
      <x:c r="D4877" s="10" t="n">
        <x:v>560</x:v>
      </x:c>
      <x:c r="E4877" s="10" t="n">
        <x:v>0.150264</x:v>
      </x:c>
      <x:c r="F4877" s="10" t="n">
        <x:v>0.004096</x:v>
      </x:c>
      <x:c r="G4877" s="10" t="n">
        <x:f>SUM(D4877:F4877)</x:f>
        <x:v>560.15436</x:v>
      </x:c>
    </x:row>
    <x:row r="4878" ht="24" customHeight="1">
      <x:c r="A4878" s="10" t="str">
        <x:v>S07-10</x:v>
      </x:c>
      <x:c r="B4878" s="10" t="str">
        <x:v>B</x:v>
      </x:c>
      <x:c r="C4878" s="18" t="n">
        <x:v>5.764166766</x:v>
      </x:c>
      <x:c r="D4878" s="10" t="n">
        <x:v>560</x:v>
      </x:c>
      <x:c r="E4878" s="10" t="n">
        <x:v>0.150263995</x:v>
      </x:c>
      <x:c r="F4878" s="10" t="n">
        <x:v>0.004096</x:v>
      </x:c>
      <x:c r="G4878" s="10" t="n">
        <x:f>SUM(D4878:F4878)</x:f>
        <x:v>560.154359995</x:v>
      </x:c>
    </x:row>
    <x:row r="4879" ht="24" customHeight="1">
      <x:c r="A4879" s="10" t="str">
        <x:v>S07-10</x:v>
      </x:c>
      <x:c r="B4879" s="10" t="str">
        <x:v>B</x:v>
      </x:c>
      <x:c r="C4879" s="18" t="n">
        <x:v>8.894666566</x:v>
      </x:c>
      <x:c r="D4879" s="10" t="n">
        <x:v>560</x:v>
      </x:c>
      <x:c r="E4879" s="10" t="n">
        <x:v>5e-9</x:v>
      </x:c>
      <x:c r="F4879" s="10" t="n">
        <x:v>0.004096</x:v>
      </x:c>
      <x:c r="G4879" s="10" t="n">
        <x:f>SUM(D4879:F4879)</x:f>
        <x:v>560.004096005</x:v>
      </x:c>
    </x:row>
    <x:row r="4880" ht="24" customHeight="1">
      <x:c r="A4880" s="10" t="str">
        <x:v>S07-10</x:v>
      </x:c>
      <x:c r="B4880" s="10" t="str">
        <x:v>B</x:v>
      </x:c>
      <x:c r="C4880" s="18" t="n">
        <x:v>8.894666666</x:v>
      </x:c>
      <x:c r="D4880" s="10" t="n">
        <x:v>560</x:v>
      </x:c>
      <x:c r="E4880" s="10" t="n">
        <x:v>0</x:v>
      </x:c>
      <x:c r="F4880" s="10" t="n">
        <x:v>0.008192</x:v>
      </x:c>
      <x:c r="G4880" s="10" t="n">
        <x:f>SUM(D4880:F4880)</x:f>
        <x:v>560.008192</x:v>
      </x:c>
    </x:row>
    <x:row r="4881" ht="24" customHeight="1">
      <x:c r="A4881" s="10" t="str">
        <x:v>S07-10</x:v>
      </x:c>
      <x:c r="B4881" s="10" t="str">
        <x:v>B</x:v>
      </x:c>
      <x:c r="C4881" s="18" t="n">
        <x:v>8.894666766</x:v>
      </x:c>
      <x:c r="D4881" s="10" t="n">
        <x:v>560</x:v>
      </x:c>
      <x:c r="E4881" s="10" t="n">
        <x:v>0</x:v>
      </x:c>
      <x:c r="F4881" s="10" t="n">
        <x:v>0.004096</x:v>
      </x:c>
      <x:c r="G4881" s="10" t="n">
        <x:f>SUM(D4881:F4881)</x:f>
        <x:v>560.004096</x:v>
      </x:c>
    </x:row>
    <x:row r="4882" ht="24" customHeight="1">
      <x:c r="A4882" s="10" t="str">
        <x:v>S07-10</x:v>
      </x:c>
      <x:c r="B4882" s="10" t="str">
        <x:v>B</x:v>
      </x:c>
      <x:c r="C4882" s="18" t="n">
        <x:v>9.304666566</x:v>
      </x:c>
      <x:c r="D4882" s="10" t="n">
        <x:v>560</x:v>
      </x:c>
      <x:c r="E4882" s="10" t="n">
        <x:v>0</x:v>
      </x:c>
      <x:c r="F4882" s="10" t="n">
        <x:v>0.004096</x:v>
      </x:c>
      <x:c r="G4882" s="10" t="n">
        <x:f>SUM(D4882:F4882)</x:f>
        <x:v>560.004096</x:v>
      </x:c>
    </x:row>
    <x:row r="4883" ht="24" customHeight="1">
      <x:c r="A4883" s="10" t="str">
        <x:v>S07-10</x:v>
      </x:c>
      <x:c r="B4883" s="10" t="str">
        <x:v>B</x:v>
      </x:c>
      <x:c r="C4883" s="18" t="n">
        <x:v>9.304666666</x:v>
      </x:c>
      <x:c r="D4883" s="10" t="n">
        <x:v>560</x:v>
      </x:c>
      <x:c r="E4883" s="10" t="n">
        <x:v>0.0096</x:v>
      </x:c>
      <x:c r="F4883" s="10" t="n">
        <x:v>0.004096</x:v>
      </x:c>
      <x:c r="G4883" s="10" t="n">
        <x:f>SUM(D4883:F4883)</x:f>
        <x:v>560.013696</x:v>
      </x:c>
    </x:row>
    <x:row r="4884" ht="24" customHeight="1">
      <x:c r="A4884" s="10" t="str">
        <x:v>S07-10</x:v>
      </x:c>
      <x:c r="B4884" s="10" t="str">
        <x:v>B</x:v>
      </x:c>
      <x:c r="C4884" s="18" t="n">
        <x:v>9.304666766</x:v>
      </x:c>
      <x:c r="D4884" s="10" t="n">
        <x:v>560</x:v>
      </x:c>
      <x:c r="E4884" s="10" t="n">
        <x:v>0.009600019</x:v>
      </x:c>
      <x:c r="F4884" s="10" t="n">
        <x:v>0.004096</x:v>
      </x:c>
      <x:c r="G4884" s="10" t="n">
        <x:f>SUM(D4884:F4884)</x:f>
        <x:v>560.013696019</x:v>
      </x:c>
    </x:row>
    <x:row r="4885" ht="24" customHeight="1">
      <x:c r="A4885" s="10" t="str">
        <x:v>S07-10</x:v>
      </x:c>
      <x:c r="B4885" s="10" t="str">
        <x:v>B</x:v>
      </x:c>
      <x:c r="C4885" s="18" t="n">
        <x:v>9.344666566</x:v>
      </x:c>
      <x:c r="D4885" s="10" t="n">
        <x:v>560</x:v>
      </x:c>
      <x:c r="E4885" s="10" t="n">
        <x:v>0.017279981</x:v>
      </x:c>
      <x:c r="F4885" s="10" t="n">
        <x:v>0.004096</x:v>
      </x:c>
      <x:c r="G4885" s="10" t="n">
        <x:f>SUM(D4885:F4885)</x:f>
        <x:v>560.021375981</x:v>
      </x:c>
    </x:row>
    <x:row r="4886" ht="24" customHeight="1">
      <x:c r="A4886" s="10" t="str">
        <x:v>S07-10</x:v>
      </x:c>
      <x:c r="B4886" s="10" t="str">
        <x:v>B</x:v>
      </x:c>
      <x:c r="C4886" s="18" t="n">
        <x:v>9.344666666</x:v>
      </x:c>
      <x:c r="D4886" s="10" t="n">
        <x:v>560</x:v>
      </x:c>
      <x:c r="E4886" s="10" t="n">
        <x:v>0.01728</x:v>
      </x:c>
      <x:c r="F4886" s="10" t="n">
        <x:v>0.004096</x:v>
      </x:c>
      <x:c r="G4886" s="10" t="n">
        <x:f>SUM(D4886:F4886)</x:f>
        <x:v>560.021376</x:v>
      </x:c>
    </x:row>
    <x:row r="4887" ht="24" customHeight="1">
      <x:c r="A4887" s="10" t="str">
        <x:v>S07-10</x:v>
      </x:c>
      <x:c r="B4887" s="10" t="str">
        <x:v>B</x:v>
      </x:c>
      <x:c r="C4887" s="18" t="n">
        <x:v>9.344666766</x:v>
      </x:c>
      <x:c r="D4887" s="10" t="n">
        <x:v>560</x:v>
      </x:c>
      <x:c r="E4887" s="10" t="n">
        <x:v>0.017280014</x:v>
      </x:c>
      <x:c r="F4887" s="10" t="n">
        <x:v>0.004096</x:v>
      </x:c>
      <x:c r="G4887" s="10" t="n">
        <x:f>SUM(D4887:F4887)</x:f>
        <x:v>560.021376014</x:v>
      </x:c>
    </x:row>
    <x:row r="4888" ht="24" customHeight="1">
      <x:c r="A4888" s="10" t="str">
        <x:v>S07-10</x:v>
      </x:c>
      <x:c r="B4888" s="10" t="str">
        <x:v>B</x:v>
      </x:c>
      <x:c r="C4888" s="18" t="n">
        <x:v>11.018166566</x:v>
      </x:c>
      <x:c r="D4888" s="10" t="n">
        <x:v>560</x:v>
      </x:c>
      <x:c r="E4888" s="10" t="n">
        <x:v>0.258263986</x:v>
      </x:c>
      <x:c r="F4888" s="10" t="n">
        <x:v>0.004096</x:v>
      </x:c>
      <x:c r="G4888" s="10" t="n">
        <x:f>SUM(D4888:F4888)</x:f>
        <x:v>560.262359986</x:v>
      </x:c>
    </x:row>
    <x:row r="4889" ht="24" customHeight="1">
      <x:c r="A4889" s="10" t="str">
        <x:v>S07-10</x:v>
      </x:c>
      <x:c r="B4889" s="10" t="str">
        <x:v>B</x:v>
      </x:c>
      <x:c r="C4889" s="18" t="n">
        <x:v>11.018166666</x:v>
      </x:c>
      <x:c r="D4889" s="10" t="n">
        <x:v>560</x:v>
      </x:c>
      <x:c r="E4889" s="10" t="n">
        <x:v>0.258264</x:v>
      </x:c>
      <x:c r="F4889" s="10" t="n">
        <x:v>0.004096</x:v>
      </x:c>
      <x:c r="G4889" s="10" t="n">
        <x:f>SUM(D4889:F4889)</x:f>
        <x:v>560.2623600000001</x:v>
      </x:c>
    </x:row>
    <x:row r="4890" ht="24" customHeight="1">
      <x:c r="A4890" s="10" t="str">
        <x:v>S07-10</x:v>
      </x:c>
      <x:c r="B4890" s="10" t="str">
        <x:v>B</x:v>
      </x:c>
      <x:c r="C4890" s="18" t="n">
        <x:v>11.018166766</x:v>
      </x:c>
      <x:c r="D4890" s="10" t="n">
        <x:v>560</x:v>
      </x:c>
      <x:c r="E4890" s="10" t="n">
        <x:v>0.258263995</x:v>
      </x:c>
      <x:c r="F4890" s="10" t="n">
        <x:v>0.004096</x:v>
      </x:c>
      <x:c r="G4890" s="10" t="n">
        <x:f>SUM(D4890:F4890)</x:f>
        <x:v>560.262359995</x:v>
      </x:c>
    </x:row>
    <x:row r="4891" ht="24" customHeight="1">
      <x:c r="A4891" s="10" t="str">
        <x:v>S07-10</x:v>
      </x:c>
      <x:c r="B4891" s="10" t="str">
        <x:v>B</x:v>
      </x:c>
      <x:c r="C4891" s="18" t="n">
        <x:v>16.398666566</x:v>
      </x:c>
      <x:c r="D4891" s="10" t="n">
        <x:v>560</x:v>
      </x:c>
      <x:c r="E4891" s="10" t="n">
        <x:v>5e-9</x:v>
      </x:c>
      <x:c r="F4891" s="10" t="n">
        <x:v>0.004096</x:v>
      </x:c>
      <x:c r="G4891" s="10" t="n">
        <x:f>SUM(D4891:F4891)</x:f>
        <x:v>560.004096005</x:v>
      </x:c>
    </x:row>
    <x:row r="4892" ht="24" customHeight="1">
      <x:c r="A4892" s="10" t="str">
        <x:v>S07-10</x:v>
      </x:c>
      <x:c r="B4892" s="10" t="str">
        <x:v>B</x:v>
      </x:c>
      <x:c r="C4892" s="18" t="n">
        <x:v>16.398666666</x:v>
      </x:c>
      <x:c r="D4892" s="10" t="n">
        <x:v>560</x:v>
      </x:c>
      <x:c r="E4892" s="10" t="n">
        <x:v>0</x:v>
      </x:c>
      <x:c r="F4892" s="10" t="n">
        <x:v>0.004096</x:v>
      </x:c>
      <x:c r="G4892" s="10" t="n">
        <x:f>SUM(D4892:F4892)</x:f>
        <x:v>560.004096</x:v>
      </x:c>
    </x:row>
    <x:row r="4893" ht="24" customHeight="1">
      <x:c r="A4893" s="10" t="str">
        <x:v>S07-10</x:v>
      </x:c>
      <x:c r="B4893" s="10" t="str">
        <x:v>B</x:v>
      </x:c>
      <x:c r="C4893" s="18" t="n">
        <x:v>16.398666766</x:v>
      </x:c>
      <x:c r="D4893" s="10" t="n">
        <x:v>560</x:v>
      </x:c>
      <x:c r="E4893" s="10" t="n">
        <x:v>0</x:v>
      </x:c>
      <x:c r="F4893" s="10" t="n">
        <x:v>0</x:v>
      </x:c>
      <x:c r="G4893" s="10" t="n">
        <x:f>SUM(D4893:F4893)</x:f>
        <x:v>560</x:v>
      </x:c>
    </x:row>
    <x:row r="4894" ht="24" customHeight="1">
      <x:c r="A4894" s="10" t="str">
        <x:v>S08-01</x:v>
      </x:c>
      <x:c r="B4894" s="10" t="str">
        <x:v>A</x:v>
      </x:c>
      <x:c r="C4894" s="18" t="n">
        <x:v>-6.0000001</x:v>
      </x:c>
      <x:c r="D4894" s="10" t="n">
        <x:v>560</x:v>
      </x:c>
      <x:c r="E4894" s="10" t="n">
        <x:v>0</x:v>
      </x:c>
      <x:c r="F4894" s="10" t="n">
        <x:v>0</x:v>
      </x:c>
      <x:c r="G4894" s="10" t="n">
        <x:f>SUM(D4894:F4894)</x:f>
        <x:v>560</x:v>
      </x:c>
    </x:row>
    <x:row r="4895" ht="24" customHeight="1">
      <x:c r="A4895" s="10" t="str">
        <x:v>S08-01</x:v>
      </x:c>
      <x:c r="B4895" s="10" t="str">
        <x:v>A</x:v>
      </x:c>
      <x:c r="C4895" s="18" t="n">
        <x:v>-6</x:v>
      </x:c>
      <x:c r="D4895" s="10" t="n">
        <x:v>560</x:v>
      </x:c>
      <x:c r="E4895" s="10" t="n">
        <x:v>0</x:v>
      </x:c>
      <x:c r="F4895" s="10" t="n">
        <x:v>0</x:v>
      </x:c>
      <x:c r="G4895" s="10" t="n">
        <x:f>SUM(D4895:F4895)</x:f>
        <x:v>560</x:v>
      </x:c>
    </x:row>
    <x:row r="4896" ht="24" customHeight="1">
      <x:c r="A4896" s="10" t="str">
        <x:v>S08-01</x:v>
      </x:c>
      <x:c r="B4896" s="10" t="str">
        <x:v>A</x:v>
      </x:c>
      <x:c r="C4896" s="18" t="n">
        <x:v>-5.9999999</x:v>
      </x:c>
      <x:c r="D4896" s="10" t="n">
        <x:v>560</x:v>
      </x:c>
      <x:c r="E4896" s="10" t="n">
        <x:v>0</x:v>
      </x:c>
      <x:c r="F4896" s="10" t="n">
        <x:v>0</x:v>
      </x:c>
      <x:c r="G4896" s="10" t="n">
        <x:f>SUM(D4896:F4896)</x:f>
        <x:v>560</x:v>
      </x:c>
    </x:row>
    <x:row r="4897" ht="24" customHeight="1">
      <x:c r="A4897" s="10" t="str">
        <x:v>S08-01</x:v>
      </x:c>
      <x:c r="B4897" s="10" t="str">
        <x:v>A</x:v>
      </x:c>
      <x:c r="C4897" s="18" t="n">
        <x:v>-1e-7</x:v>
      </x:c>
      <x:c r="D4897" s="10" t="n">
        <x:v>560</x:v>
      </x:c>
      <x:c r="E4897" s="10" t="n">
        <x:v>0</x:v>
      </x:c>
      <x:c r="F4897" s="10" t="n">
        <x:v>0</x:v>
      </x:c>
      <x:c r="G4897" s="10" t="n">
        <x:f>SUM(D4897:F4897)</x:f>
        <x:v>560</x:v>
      </x:c>
    </x:row>
    <x:row r="4898" ht="24" customHeight="1">
      <x:c r="A4898" s="10" t="str">
        <x:v>S08-01</x:v>
      </x:c>
      <x:c r="B4898" s="10" t="str">
        <x:v>A</x:v>
      </x:c>
      <x:c r="C4898" s="18" t="n">
        <x:v>0</x:v>
      </x:c>
      <x:c r="D4898" s="10" t="n">
        <x:v>560</x:v>
      </x:c>
      <x:c r="E4898" s="10" t="n">
        <x:v>0</x:v>
      </x:c>
      <x:c r="F4898" s="10" t="n">
        <x:v>0</x:v>
      </x:c>
      <x:c r="G4898" s="10" t="n">
        <x:f>SUM(D4898:F4898)</x:f>
        <x:v>560</x:v>
      </x:c>
    </x:row>
    <x:row r="4899" ht="24" customHeight="1">
      <x:c r="A4899" s="10" t="str">
        <x:v>S08-01</x:v>
      </x:c>
      <x:c r="B4899" s="10" t="str">
        <x:v>A</x:v>
      </x:c>
      <x:c r="C4899" s="18" t="n">
        <x:v>1e-7</x:v>
      </x:c>
      <x:c r="D4899" s="10" t="n">
        <x:v>560</x:v>
      </x:c>
      <x:c r="E4899" s="10" t="n">
        <x:v>0</x:v>
      </x:c>
      <x:c r="F4899" s="10" t="n">
        <x:v>0</x:v>
      </x:c>
      <x:c r="G4899" s="10" t="n">
        <x:f>SUM(D4899:F4899)</x:f>
        <x:v>560</x:v>
      </x:c>
    </x:row>
    <x:row r="4900" ht="24" customHeight="1">
      <x:c r="A4900" s="10" t="str">
        <x:v>S08-01</x:v>
      </x:c>
      <x:c r="B4900" s="10" t="str">
        <x:v>A</x:v>
      </x:c>
      <x:c r="C4900" s="18" t="n">
        <x:v>0.818333233</x:v>
      </x:c>
      <x:c r="D4900" s="10" t="n">
        <x:v>560</x:v>
      </x:c>
      <x:c r="E4900" s="10" t="n">
        <x:v>0</x:v>
      </x:c>
      <x:c r="F4900" s="10" t="n">
        <x:v>0</x:v>
      </x:c>
      <x:c r="G4900" s="10" t="n">
        <x:f>SUM(D4900:F4900)</x:f>
        <x:v>560</x:v>
      </x:c>
    </x:row>
    <x:row r="4901" ht="24" customHeight="1">
      <x:c r="A4901" s="10" t="str">
        <x:v>S08-01</x:v>
      </x:c>
      <x:c r="B4901" s="10" t="str">
        <x:v>A</x:v>
      </x:c>
      <x:c r="C4901" s="18" t="n">
        <x:v>0.818333333</x:v>
      </x:c>
      <x:c r="D4901" s="10" t="n">
        <x:v>560</x:v>
      </x:c>
      <x:c r="E4901" s="10" t="n">
        <x:v>0</x:v>
      </x:c>
      <x:c r="F4901" s="10" t="n">
        <x:v>0.004096</x:v>
      </x:c>
      <x:c r="G4901" s="10" t="n">
        <x:f>SUM(D4901:F4901)</x:f>
        <x:v>560.004096</x:v>
      </x:c>
    </x:row>
    <x:row r="4902" ht="24" customHeight="1">
      <x:c r="A4902" s="10" t="str">
        <x:v>S08-01</x:v>
      </x:c>
      <x:c r="B4902" s="10" t="str">
        <x:v>A</x:v>
      </x:c>
      <x:c r="C4902" s="18" t="n">
        <x:v>0.818333433</x:v>
      </x:c>
      <x:c r="D4902" s="10" t="n">
        <x:v>560</x:v>
      </x:c>
      <x:c r="E4902" s="10" t="n">
        <x:v>0</x:v>
      </x:c>
      <x:c r="F4902" s="10" t="n">
        <x:v>0.004096</x:v>
      </x:c>
      <x:c r="G4902" s="10" t="n">
        <x:f>SUM(D4902:F4902)</x:f>
        <x:v>560.004096</x:v>
      </x:c>
    </x:row>
    <x:row r="4903" ht="24" customHeight="1">
      <x:c r="A4903" s="10" t="str">
        <x:v>S08-01</x:v>
      </x:c>
      <x:c r="B4903" s="10" t="str">
        <x:v>A</x:v>
      </x:c>
      <x:c r="C4903" s="18" t="n">
        <x:v>0.868333233</x:v>
      </x:c>
      <x:c r="D4903" s="10" t="n">
        <x:v>560</x:v>
      </x:c>
      <x:c r="E4903" s="10" t="n">
        <x:v>0</x:v>
      </x:c>
      <x:c r="F4903" s="10" t="n">
        <x:v>0.004096</x:v>
      </x:c>
      <x:c r="G4903" s="10" t="n">
        <x:f>SUM(D4903:F4903)</x:f>
        <x:v>560.004096</x:v>
      </x:c>
    </x:row>
    <x:row r="4904" ht="24" customHeight="1">
      <x:c r="A4904" s="10" t="str">
        <x:v>S08-01</x:v>
      </x:c>
      <x:c r="B4904" s="10" t="str">
        <x:v>A</x:v>
      </x:c>
      <x:c r="C4904" s="18" t="n">
        <x:v>0.868333333</x:v>
      </x:c>
      <x:c r="D4904" s="10" t="n">
        <x:v>560</x:v>
      </x:c>
      <x:c r="E4904" s="10" t="n">
        <x:v>0</x:v>
      </x:c>
      <x:c r="F4904" s="10" t="n">
        <x:v>0.004096</x:v>
      </x:c>
      <x:c r="G4904" s="10" t="n">
        <x:f>SUM(D4904:F4904)</x:f>
        <x:v>560.004096</x:v>
      </x:c>
    </x:row>
    <x:row r="4905" ht="24" customHeight="1">
      <x:c r="A4905" s="10" t="str">
        <x:v>S08-01</x:v>
      </x:c>
      <x:c r="B4905" s="10" t="str">
        <x:v>A</x:v>
      </x:c>
      <x:c r="C4905" s="18" t="n">
        <x:v>0.868333433</x:v>
      </x:c>
      <x:c r="D4905" s="10" t="n">
        <x:v>560</x:v>
      </x:c>
      <x:c r="E4905" s="10" t="n">
        <x:v>0</x:v>
      </x:c>
      <x:c r="F4905" s="10" t="n">
        <x:v>0.004096</x:v>
      </x:c>
      <x:c r="G4905" s="10" t="n">
        <x:f>SUM(D4905:F4905)</x:f>
        <x:v>560.004096</x:v>
      </x:c>
    </x:row>
    <x:row r="4906" ht="24" customHeight="1">
      <x:c r="A4906" s="10" t="str">
        <x:v>S08-01</x:v>
      </x:c>
      <x:c r="B4906" s="10" t="str">
        <x:v>A</x:v>
      </x:c>
      <x:c r="C4906" s="18" t="n">
        <x:v>1.219333233</x:v>
      </x:c>
      <x:c r="D4906" s="10" t="n">
        <x:v>560</x:v>
      </x:c>
      <x:c r="E4906" s="10" t="n">
        <x:v>0</x:v>
      </x:c>
      <x:c r="F4906" s="10" t="n">
        <x:v>0.004096</x:v>
      </x:c>
      <x:c r="G4906" s="10" t="n">
        <x:f>SUM(D4906:F4906)</x:f>
        <x:v>560.004096</x:v>
      </x:c>
    </x:row>
    <x:row r="4907" ht="24" customHeight="1">
      <x:c r="A4907" s="10" t="str">
        <x:v>S08-01</x:v>
      </x:c>
      <x:c r="B4907" s="10" t="str">
        <x:v>A</x:v>
      </x:c>
      <x:c r="C4907" s="18" t="n">
        <x:v>1.219333333</x:v>
      </x:c>
      <x:c r="D4907" s="10" t="n">
        <x:v>560</x:v>
      </x:c>
      <x:c r="E4907" s="10" t="n">
        <x:v>0.0096</x:v>
      </x:c>
      <x:c r="F4907" s="10" t="n">
        <x:v>0.004096</x:v>
      </x:c>
      <x:c r="G4907" s="10" t="n">
        <x:f>SUM(D4907:F4907)</x:f>
        <x:v>560.013696</x:v>
      </x:c>
    </x:row>
    <x:row r="4908" ht="24" customHeight="1">
      <x:c r="A4908" s="10" t="str">
        <x:v>S08-01</x:v>
      </x:c>
      <x:c r="B4908" s="10" t="str">
        <x:v>A</x:v>
      </x:c>
      <x:c r="C4908" s="18" t="n">
        <x:v>1.219333433</x:v>
      </x:c>
      <x:c r="D4908" s="10" t="n">
        <x:v>560</x:v>
      </x:c>
      <x:c r="E4908" s="10" t="n">
        <x:v>0.009600019</x:v>
      </x:c>
      <x:c r="F4908" s="10" t="n">
        <x:v>0.004096</x:v>
      </x:c>
      <x:c r="G4908" s="10" t="n">
        <x:f>SUM(D4908:F4908)</x:f>
        <x:v>560.013696019</x:v>
      </x:c>
    </x:row>
    <x:row r="4909" ht="24" customHeight="1">
      <x:c r="A4909" s="10" t="str">
        <x:v>S08-01</x:v>
      </x:c>
      <x:c r="B4909" s="10" t="str">
        <x:v>A</x:v>
      </x:c>
      <x:c r="C4909" s="18" t="n">
        <x:v>1.259333233</x:v>
      </x:c>
      <x:c r="D4909" s="10" t="n">
        <x:v>560</x:v>
      </x:c>
      <x:c r="E4909" s="10" t="n">
        <x:v>0.017279981</x:v>
      </x:c>
      <x:c r="F4909" s="10" t="n">
        <x:v>0.004096</x:v>
      </x:c>
      <x:c r="G4909" s="10" t="n">
        <x:f>SUM(D4909:F4909)</x:f>
        <x:v>560.021375981</x:v>
      </x:c>
    </x:row>
    <x:row r="4910" ht="24" customHeight="1">
      <x:c r="A4910" s="10" t="str">
        <x:v>S08-01</x:v>
      </x:c>
      <x:c r="B4910" s="10" t="str">
        <x:v>A</x:v>
      </x:c>
      <x:c r="C4910" s="18" t="n">
        <x:v>1.259333333</x:v>
      </x:c>
      <x:c r="D4910" s="10" t="n">
        <x:v>560</x:v>
      </x:c>
      <x:c r="E4910" s="10" t="n">
        <x:v>0.01728</x:v>
      </x:c>
      <x:c r="F4910" s="10" t="n">
        <x:v>0.004096</x:v>
      </x:c>
      <x:c r="G4910" s="10" t="n">
        <x:f>SUM(D4910:F4910)</x:f>
        <x:v>560.021376</x:v>
      </x:c>
    </x:row>
    <x:row r="4911" ht="24" customHeight="1">
      <x:c r="A4911" s="10" t="str">
        <x:v>S08-01</x:v>
      </x:c>
      <x:c r="B4911" s="10" t="str">
        <x:v>A</x:v>
      </x:c>
      <x:c r="C4911" s="18" t="n">
        <x:v>1.259333433</x:v>
      </x:c>
      <x:c r="D4911" s="10" t="n">
        <x:v>560</x:v>
      </x:c>
      <x:c r="E4911" s="10" t="n">
        <x:v>0.017280014</x:v>
      </x:c>
      <x:c r="F4911" s="10" t="n">
        <x:v>0.004096</x:v>
      </x:c>
      <x:c r="G4911" s="10" t="n">
        <x:f>SUM(D4911:F4911)</x:f>
        <x:v>560.021376014</x:v>
      </x:c>
    </x:row>
    <x:row r="4912" ht="24" customHeight="1">
      <x:c r="A4912" s="10" t="str">
        <x:v>S08-01</x:v>
      </x:c>
      <x:c r="B4912" s="10" t="str">
        <x:v>A</x:v>
      </x:c>
      <x:c r="C4912" s="18" t="n">
        <x:v>1.855833233</x:v>
      </x:c>
      <x:c r="D4912" s="10" t="n">
        <x:v>560</x:v>
      </x:c>
      <x:c r="E4912" s="10" t="n">
        <x:v>0.103175986</x:v>
      </x:c>
      <x:c r="F4912" s="10" t="n">
        <x:v>0.004096</x:v>
      </x:c>
      <x:c r="G4912" s="10" t="n">
        <x:f>SUM(D4912:F4912)</x:f>
        <x:v>560.107271986</x:v>
      </x:c>
    </x:row>
    <x:row r="4913" ht="24" customHeight="1">
      <x:c r="A4913" s="10" t="str">
        <x:v>S08-01</x:v>
      </x:c>
      <x:c r="B4913" s="10" t="str">
        <x:v>A</x:v>
      </x:c>
      <x:c r="C4913" s="18" t="n">
        <x:v>1.855833333</x:v>
      </x:c>
      <x:c r="D4913" s="10" t="n">
        <x:v>560</x:v>
      </x:c>
      <x:c r="E4913" s="10" t="n">
        <x:v>0.103176</x:v>
      </x:c>
      <x:c r="F4913" s="10" t="n">
        <x:v>0.004096</x:v>
      </x:c>
      <x:c r="G4913" s="10" t="n">
        <x:f>SUM(D4913:F4913)</x:f>
        <x:v>560.107272</x:v>
      </x:c>
    </x:row>
    <x:row r="4914" ht="24" customHeight="1">
      <x:c r="A4914" s="10" t="str">
        <x:v>S08-01</x:v>
      </x:c>
      <x:c r="B4914" s="10" t="str">
        <x:v>A</x:v>
      </x:c>
      <x:c r="C4914" s="18" t="n">
        <x:v>1.855833433</x:v>
      </x:c>
      <x:c r="D4914" s="10" t="n">
        <x:v>560</x:v>
      </x:c>
      <x:c r="E4914" s="10" t="n">
        <x:v>0.103175995</x:v>
      </x:c>
      <x:c r="F4914" s="10" t="n">
        <x:v>0.004096</x:v>
      </x:c>
      <x:c r="G4914" s="10" t="n">
        <x:f>SUM(D4914:F4914)</x:f>
        <x:v>560.107271995</x:v>
      </x:c>
    </x:row>
    <x:row r="4915" ht="24" customHeight="1">
      <x:c r="A4915" s="10" t="str">
        <x:v>S08-01</x:v>
      </x:c>
      <x:c r="B4915" s="10" t="str">
        <x:v>A</x:v>
      </x:c>
      <x:c r="C4915" s="18" t="n">
        <x:v>4.005333233</x:v>
      </x:c>
      <x:c r="D4915" s="10" t="n">
        <x:v>560</x:v>
      </x:c>
      <x:c r="E4915" s="10" t="n">
        <x:v>5e-9</x:v>
      </x:c>
      <x:c r="F4915" s="10" t="n">
        <x:v>0.004096</x:v>
      </x:c>
      <x:c r="G4915" s="10" t="n">
        <x:f>SUM(D4915:F4915)</x:f>
        <x:v>560.004096005</x:v>
      </x:c>
    </x:row>
    <x:row r="4916" ht="24" customHeight="1">
      <x:c r="A4916" s="10" t="str">
        <x:v>S08-01</x:v>
      </x:c>
      <x:c r="B4916" s="10" t="str">
        <x:v>A</x:v>
      </x:c>
      <x:c r="C4916" s="18" t="n">
        <x:v>4.005333333</x:v>
      </x:c>
      <x:c r="D4916" s="10" t="n">
        <x:v>560</x:v>
      </x:c>
      <x:c r="E4916" s="10" t="n">
        <x:v>0</x:v>
      </x:c>
      <x:c r="F4916" s="10" t="n">
        <x:v>0.004096</x:v>
      </x:c>
      <x:c r="G4916" s="10" t="n">
        <x:f>SUM(D4916:F4916)</x:f>
        <x:v>560.004096</x:v>
      </x:c>
    </x:row>
    <x:row r="4917" ht="24" customHeight="1">
      <x:c r="A4917" s="10" t="str">
        <x:v>S08-01</x:v>
      </x:c>
      <x:c r="B4917" s="10" t="str">
        <x:v>A</x:v>
      </x:c>
      <x:c r="C4917" s="18" t="n">
        <x:v>4.005333433</x:v>
      </x:c>
      <x:c r="D4917" s="10" t="n">
        <x:v>560</x:v>
      </x:c>
      <x:c r="E4917" s="10" t="n">
        <x:v>0</x:v>
      </x:c>
      <x:c r="F4917" s="10" t="n">
        <x:v>0</x:v>
      </x:c>
      <x:c r="G4917" s="10" t="n">
        <x:f>SUM(D4917:F4917)</x:f>
        <x:v>560</x:v>
      </x:c>
    </x:row>
    <x:row r="4918" ht="24" customHeight="1">
      <x:c r="A4918" s="10" t="str">
        <x:v>S08-01</x:v>
      </x:c>
      <x:c r="B4918" s="10" t="str">
        <x:v>B</x:v>
      </x:c>
      <x:c r="C4918" s="18" t="n">
        <x:v>-6.0000001</x:v>
      </x:c>
      <x:c r="D4918" s="10" t="n">
        <x:v>560</x:v>
      </x:c>
      <x:c r="E4918" s="10" t="n">
        <x:v>0</x:v>
      </x:c>
      <x:c r="F4918" s="10" t="n">
        <x:v>0</x:v>
      </x:c>
      <x:c r="G4918" s="10" t="n">
        <x:f>SUM(D4918:F4918)</x:f>
        <x:v>560</x:v>
      </x:c>
    </x:row>
    <x:row r="4919" ht="24" customHeight="1">
      <x:c r="A4919" s="10" t="str">
        <x:v>S08-01</x:v>
      </x:c>
      <x:c r="B4919" s="10" t="str">
        <x:v>B</x:v>
      </x:c>
      <x:c r="C4919" s="18" t="n">
        <x:v>-6</x:v>
      </x:c>
      <x:c r="D4919" s="10" t="n">
        <x:v>560</x:v>
      </x:c>
      <x:c r="E4919" s="10" t="n">
        <x:v>0</x:v>
      </x:c>
      <x:c r="F4919" s="10" t="n">
        <x:v>0</x:v>
      </x:c>
      <x:c r="G4919" s="10" t="n">
        <x:f>SUM(D4919:F4919)</x:f>
        <x:v>560</x:v>
      </x:c>
    </x:row>
    <x:row r="4920" ht="24" customHeight="1">
      <x:c r="A4920" s="10" t="str">
        <x:v>S08-01</x:v>
      </x:c>
      <x:c r="B4920" s="10" t="str">
        <x:v>B</x:v>
      </x:c>
      <x:c r="C4920" s="18" t="n">
        <x:v>-5.9999999</x:v>
      </x:c>
      <x:c r="D4920" s="10" t="n">
        <x:v>560</x:v>
      </x:c>
      <x:c r="E4920" s="10" t="n">
        <x:v>0</x:v>
      </x:c>
      <x:c r="F4920" s="10" t="n">
        <x:v>0</x:v>
      </x:c>
      <x:c r="G4920" s="10" t="n">
        <x:f>SUM(D4920:F4920)</x:f>
        <x:v>560</x:v>
      </x:c>
    </x:row>
    <x:row r="4921" ht="24" customHeight="1">
      <x:c r="A4921" s="10" t="str">
        <x:v>S08-01</x:v>
      </x:c>
      <x:c r="B4921" s="10" t="str">
        <x:v>B</x:v>
      </x:c>
      <x:c r="C4921" s="18" t="n">
        <x:v>-1e-7</x:v>
      </x:c>
      <x:c r="D4921" s="10" t="n">
        <x:v>560</x:v>
      </x:c>
      <x:c r="E4921" s="10" t="n">
        <x:v>0</x:v>
      </x:c>
      <x:c r="F4921" s="10" t="n">
        <x:v>0</x:v>
      </x:c>
      <x:c r="G4921" s="10" t="n">
        <x:f>SUM(D4921:F4921)</x:f>
        <x:v>560</x:v>
      </x:c>
    </x:row>
    <x:row r="4922" ht="24" customHeight="1">
      <x:c r="A4922" s="10" t="str">
        <x:v>S08-01</x:v>
      </x:c>
      <x:c r="B4922" s="10" t="str">
        <x:v>B</x:v>
      </x:c>
      <x:c r="C4922" s="18" t="n">
        <x:v>0</x:v>
      </x:c>
      <x:c r="D4922" s="10" t="n">
        <x:v>560</x:v>
      </x:c>
      <x:c r="E4922" s="10" t="n">
        <x:v>0</x:v>
      </x:c>
      <x:c r="F4922" s="10" t="n">
        <x:v>0</x:v>
      </x:c>
      <x:c r="G4922" s="10" t="n">
        <x:f>SUM(D4922:F4922)</x:f>
        <x:v>560</x:v>
      </x:c>
    </x:row>
    <x:row r="4923" ht="24" customHeight="1">
      <x:c r="A4923" s="10" t="str">
        <x:v>S08-01</x:v>
      </x:c>
      <x:c r="B4923" s="10" t="str">
        <x:v>B</x:v>
      </x:c>
      <x:c r="C4923" s="18" t="n">
        <x:v>1e-7</x:v>
      </x:c>
      <x:c r="D4923" s="10" t="n">
        <x:v>560</x:v>
      </x:c>
      <x:c r="E4923" s="10" t="n">
        <x:v>0</x:v>
      </x:c>
      <x:c r="F4923" s="10" t="n">
        <x:v>0</x:v>
      </x:c>
      <x:c r="G4923" s="10" t="n">
        <x:f>SUM(D4923:F4923)</x:f>
        <x:v>560</x:v>
      </x:c>
    </x:row>
    <x:row r="4924" ht="24" customHeight="1">
      <x:c r="A4924" s="10" t="str">
        <x:v>S08-01</x:v>
      </x:c>
      <x:c r="B4924" s="10" t="str">
        <x:v>B</x:v>
      </x:c>
      <x:c r="C4924" s="18" t="n">
        <x:v>0.868333233</x:v>
      </x:c>
      <x:c r="D4924" s="10" t="n">
        <x:v>560</x:v>
      </x:c>
      <x:c r="E4924" s="10" t="n">
        <x:v>0</x:v>
      </x:c>
      <x:c r="F4924" s="10" t="n">
        <x:v>0</x:v>
      </x:c>
      <x:c r="G4924" s="10" t="n">
        <x:f>SUM(D4924:F4924)</x:f>
        <x:v>560</x:v>
      </x:c>
    </x:row>
    <x:row r="4925" ht="24" customHeight="1">
      <x:c r="A4925" s="10" t="str">
        <x:v>S08-01</x:v>
      </x:c>
      <x:c r="B4925" s="10" t="str">
        <x:v>B</x:v>
      </x:c>
      <x:c r="C4925" s="18" t="n">
        <x:v>0.868333333</x:v>
      </x:c>
      <x:c r="D4925" s="10" t="n">
        <x:v>560</x:v>
      </x:c>
      <x:c r="E4925" s="10" t="n">
        <x:v>0</x:v>
      </x:c>
      <x:c r="F4925" s="10" t="n">
        <x:v>0.004096</x:v>
      </x:c>
      <x:c r="G4925" s="10" t="n">
        <x:f>SUM(D4925:F4925)</x:f>
        <x:v>560.004096</x:v>
      </x:c>
    </x:row>
    <x:row r="4926" ht="24" customHeight="1">
      <x:c r="A4926" s="10" t="str">
        <x:v>S08-01</x:v>
      </x:c>
      <x:c r="B4926" s="10" t="str">
        <x:v>B</x:v>
      </x:c>
      <x:c r="C4926" s="18" t="n">
        <x:v>0.868333433</x:v>
      </x:c>
      <x:c r="D4926" s="10" t="n">
        <x:v>560</x:v>
      </x:c>
      <x:c r="E4926" s="10" t="n">
        <x:v>0</x:v>
      </x:c>
      <x:c r="F4926" s="10" t="n">
        <x:v>0.004096</x:v>
      </x:c>
      <x:c r="G4926" s="10" t="n">
        <x:f>SUM(D4926:F4926)</x:f>
        <x:v>560.004096</x:v>
      </x:c>
    </x:row>
    <x:row r="4927" ht="24" customHeight="1">
      <x:c r="A4927" s="10" t="str">
        <x:v>S08-01</x:v>
      </x:c>
      <x:c r="B4927" s="10" t="str">
        <x:v>B</x:v>
      </x:c>
      <x:c r="C4927" s="18" t="n">
        <x:v>1.269333233</x:v>
      </x:c>
      <x:c r="D4927" s="10" t="n">
        <x:v>560</x:v>
      </x:c>
      <x:c r="E4927" s="10" t="n">
        <x:v>0</x:v>
      </x:c>
      <x:c r="F4927" s="10" t="n">
        <x:v>0.004096</x:v>
      </x:c>
      <x:c r="G4927" s="10" t="n">
        <x:f>SUM(D4927:F4927)</x:f>
        <x:v>560.004096</x:v>
      </x:c>
    </x:row>
    <x:row r="4928" ht="24" customHeight="1">
      <x:c r="A4928" s="10" t="str">
        <x:v>S08-01</x:v>
      </x:c>
      <x:c r="B4928" s="10" t="str">
        <x:v>B</x:v>
      </x:c>
      <x:c r="C4928" s="18" t="n">
        <x:v>1.269333333</x:v>
      </x:c>
      <x:c r="D4928" s="10" t="n">
        <x:v>560</x:v>
      </x:c>
      <x:c r="E4928" s="10" t="n">
        <x:v>0.0096</x:v>
      </x:c>
      <x:c r="F4928" s="10" t="n">
        <x:v>0.004096</x:v>
      </x:c>
      <x:c r="G4928" s="10" t="n">
        <x:f>SUM(D4928:F4928)</x:f>
        <x:v>560.013696</x:v>
      </x:c>
    </x:row>
    <x:row r="4929" ht="24" customHeight="1">
      <x:c r="A4929" s="10" t="str">
        <x:v>S08-01</x:v>
      </x:c>
      <x:c r="B4929" s="10" t="str">
        <x:v>B</x:v>
      </x:c>
      <x:c r="C4929" s="18" t="n">
        <x:v>1.269333433</x:v>
      </x:c>
      <x:c r="D4929" s="10" t="n">
        <x:v>560</x:v>
      </x:c>
      <x:c r="E4929" s="10" t="n">
        <x:v>0.009600019</x:v>
      </x:c>
      <x:c r="F4929" s="10" t="n">
        <x:v>0.004096</x:v>
      </x:c>
      <x:c r="G4929" s="10" t="n">
        <x:f>SUM(D4929:F4929)</x:f>
        <x:v>560.013696019</x:v>
      </x:c>
    </x:row>
    <x:row r="4930" ht="24" customHeight="1">
      <x:c r="A4930" s="10" t="str">
        <x:v>S08-01</x:v>
      </x:c>
      <x:c r="B4930" s="10" t="str">
        <x:v>B</x:v>
      </x:c>
      <x:c r="C4930" s="18" t="n">
        <x:v>1.309333233</x:v>
      </x:c>
      <x:c r="D4930" s="10" t="n">
        <x:v>560</x:v>
      </x:c>
      <x:c r="E4930" s="10" t="n">
        <x:v>0.017279981</x:v>
      </x:c>
      <x:c r="F4930" s="10" t="n">
        <x:v>0.004096</x:v>
      </x:c>
      <x:c r="G4930" s="10" t="n">
        <x:f>SUM(D4930:F4930)</x:f>
        <x:v>560.021375981</x:v>
      </x:c>
    </x:row>
    <x:row r="4931" ht="24" customHeight="1">
      <x:c r="A4931" s="10" t="str">
        <x:v>S08-01</x:v>
      </x:c>
      <x:c r="B4931" s="10" t="str">
        <x:v>B</x:v>
      </x:c>
      <x:c r="C4931" s="18" t="n">
        <x:v>1.309333333</x:v>
      </x:c>
      <x:c r="D4931" s="10" t="n">
        <x:v>560</x:v>
      </x:c>
      <x:c r="E4931" s="10" t="n">
        <x:v>0.01728</x:v>
      </x:c>
      <x:c r="F4931" s="10" t="n">
        <x:v>0.004096</x:v>
      </x:c>
      <x:c r="G4931" s="10" t="n">
        <x:f>SUM(D4931:F4931)</x:f>
        <x:v>560.021376</x:v>
      </x:c>
    </x:row>
    <x:row r="4932" ht="24" customHeight="1">
      <x:c r="A4932" s="10" t="str">
        <x:v>S08-01</x:v>
      </x:c>
      <x:c r="B4932" s="10" t="str">
        <x:v>B</x:v>
      </x:c>
      <x:c r="C4932" s="18" t="n">
        <x:v>1.309333433</x:v>
      </x:c>
      <x:c r="D4932" s="10" t="n">
        <x:v>560</x:v>
      </x:c>
      <x:c r="E4932" s="10" t="n">
        <x:v>0.017280014</x:v>
      </x:c>
      <x:c r="F4932" s="10" t="n">
        <x:v>0.004096</x:v>
      </x:c>
      <x:c r="G4932" s="10" t="n">
        <x:f>SUM(D4932:F4932)</x:f>
        <x:v>560.021376014</x:v>
      </x:c>
    </x:row>
    <x:row r="4933" ht="24" customHeight="1">
      <x:c r="A4933" s="10" t="str">
        <x:v>S08-01</x:v>
      </x:c>
      <x:c r="B4933" s="10" t="str">
        <x:v>B</x:v>
      </x:c>
      <x:c r="C4933" s="18" t="n">
        <x:v>1.905833233</x:v>
      </x:c>
      <x:c r="D4933" s="10" t="n">
        <x:v>560</x:v>
      </x:c>
      <x:c r="E4933" s="10" t="n">
        <x:v>0.103175986</x:v>
      </x:c>
      <x:c r="F4933" s="10" t="n">
        <x:v>0.004096</x:v>
      </x:c>
      <x:c r="G4933" s="10" t="n">
        <x:f>SUM(D4933:F4933)</x:f>
        <x:v>560.107271986</x:v>
      </x:c>
    </x:row>
    <x:row r="4934" ht="24" customHeight="1">
      <x:c r="A4934" s="10" t="str">
        <x:v>S08-01</x:v>
      </x:c>
      <x:c r="B4934" s="10" t="str">
        <x:v>B</x:v>
      </x:c>
      <x:c r="C4934" s="18" t="n">
        <x:v>1.905833333</x:v>
      </x:c>
      <x:c r="D4934" s="10" t="n">
        <x:v>560</x:v>
      </x:c>
      <x:c r="E4934" s="10" t="n">
        <x:v>0.103176</x:v>
      </x:c>
      <x:c r="F4934" s="10" t="n">
        <x:v>0.004096</x:v>
      </x:c>
      <x:c r="G4934" s="10" t="n">
        <x:f>SUM(D4934:F4934)</x:f>
        <x:v>560.107272</x:v>
      </x:c>
    </x:row>
    <x:row r="4935" ht="24" customHeight="1">
      <x:c r="A4935" s="10" t="str">
        <x:v>S08-01</x:v>
      </x:c>
      <x:c r="B4935" s="10" t="str">
        <x:v>B</x:v>
      </x:c>
      <x:c r="C4935" s="18" t="n">
        <x:v>1.905833433</x:v>
      </x:c>
      <x:c r="D4935" s="10" t="n">
        <x:v>560</x:v>
      </x:c>
      <x:c r="E4935" s="10" t="n">
        <x:v>0.103175995</x:v>
      </x:c>
      <x:c r="F4935" s="10" t="n">
        <x:v>0.004096</x:v>
      </x:c>
      <x:c r="G4935" s="10" t="n">
        <x:f>SUM(D4935:F4935)</x:f>
        <x:v>560.107271995</x:v>
      </x:c>
    </x:row>
    <x:row r="4936" ht="24" customHeight="1">
      <x:c r="A4936" s="10" t="str">
        <x:v>S08-01</x:v>
      </x:c>
      <x:c r="B4936" s="10" t="str">
        <x:v>B</x:v>
      </x:c>
      <x:c r="C4936" s="18" t="n">
        <x:v>4.055333233</x:v>
      </x:c>
      <x:c r="D4936" s="10" t="n">
        <x:v>560</x:v>
      </x:c>
      <x:c r="E4936" s="10" t="n">
        <x:v>5e-9</x:v>
      </x:c>
      <x:c r="F4936" s="10" t="n">
        <x:v>0.004096</x:v>
      </x:c>
      <x:c r="G4936" s="10" t="n">
        <x:f>SUM(D4936:F4936)</x:f>
        <x:v>560.004096005</x:v>
      </x:c>
    </x:row>
    <x:row r="4937" ht="24" customHeight="1">
      <x:c r="A4937" s="10" t="str">
        <x:v>S08-01</x:v>
      </x:c>
      <x:c r="B4937" s="10" t="str">
        <x:v>B</x:v>
      </x:c>
      <x:c r="C4937" s="18" t="n">
        <x:v>4.055333333</x:v>
      </x:c>
      <x:c r="D4937" s="10" t="n">
        <x:v>560</x:v>
      </x:c>
      <x:c r="E4937" s="10" t="n">
        <x:v>0</x:v>
      </x:c>
      <x:c r="F4937" s="10" t="n">
        <x:v>0.004096</x:v>
      </x:c>
      <x:c r="G4937" s="10" t="n">
        <x:f>SUM(D4937:F4937)</x:f>
        <x:v>560.004096</x:v>
      </x:c>
    </x:row>
    <x:row r="4938" ht="24" customHeight="1">
      <x:c r="A4938" s="10" t="str">
        <x:v>S08-01</x:v>
      </x:c>
      <x:c r="B4938" s="10" t="str">
        <x:v>B</x:v>
      </x:c>
      <x:c r="C4938" s="18" t="n">
        <x:v>4.055333433</x:v>
      </x:c>
      <x:c r="D4938" s="10" t="n">
        <x:v>560</x:v>
      </x:c>
      <x:c r="E4938" s="10" t="n">
        <x:v>0</x:v>
      </x:c>
      <x:c r="F4938" s="10" t="n">
        <x:v>0</x:v>
      </x:c>
      <x:c r="G4938" s="10" t="n">
        <x:f>SUM(D4938:F4938)</x:f>
        <x:v>560</x:v>
      </x:c>
    </x:row>
    <x:row r="4939" ht="24" customHeight="1">
      <x:c r="A4939" s="10" t="str">
        <x:v>S08-02</x:v>
      </x:c>
      <x:c r="B4939" s="10" t="str">
        <x:v>A</x:v>
      </x:c>
      <x:c r="C4939" s="18" t="n">
        <x:v>-6.0000001</x:v>
      </x:c>
      <x:c r="D4939" s="10" t="n">
        <x:v>560</x:v>
      </x:c>
      <x:c r="E4939" s="10" t="n">
        <x:v>0</x:v>
      </x:c>
      <x:c r="F4939" s="10" t="n">
        <x:v>0</x:v>
      </x:c>
      <x:c r="G4939" s="10" t="n">
        <x:f>SUM(D4939:F4939)</x:f>
        <x:v>560</x:v>
      </x:c>
    </x:row>
    <x:row r="4940" ht="24" customHeight="1">
      <x:c r="A4940" s="10" t="str">
        <x:v>S08-02</x:v>
      </x:c>
      <x:c r="B4940" s="10" t="str">
        <x:v>A</x:v>
      </x:c>
      <x:c r="C4940" s="18" t="n">
        <x:v>-6</x:v>
      </x:c>
      <x:c r="D4940" s="10" t="n">
        <x:v>560</x:v>
      </x:c>
      <x:c r="E4940" s="10" t="n">
        <x:v>0</x:v>
      </x:c>
      <x:c r="F4940" s="10" t="n">
        <x:v>0</x:v>
      </x:c>
      <x:c r="G4940" s="10" t="n">
        <x:f>SUM(D4940:F4940)</x:f>
        <x:v>560</x:v>
      </x:c>
    </x:row>
    <x:row r="4941" ht="24" customHeight="1">
      <x:c r="A4941" s="10" t="str">
        <x:v>S08-02</x:v>
      </x:c>
      <x:c r="B4941" s="10" t="str">
        <x:v>A</x:v>
      </x:c>
      <x:c r="C4941" s="18" t="n">
        <x:v>-5.9999999</x:v>
      </x:c>
      <x:c r="D4941" s="10" t="n">
        <x:v>560</x:v>
      </x:c>
      <x:c r="E4941" s="10" t="n">
        <x:v>0</x:v>
      </x:c>
      <x:c r="F4941" s="10" t="n">
        <x:v>0</x:v>
      </x:c>
      <x:c r="G4941" s="10" t="n">
        <x:f>SUM(D4941:F4941)</x:f>
        <x:v>560</x:v>
      </x:c>
    </x:row>
    <x:row r="4942" ht="24" customHeight="1">
      <x:c r="A4942" s="10" t="str">
        <x:v>S08-02</x:v>
      </x:c>
      <x:c r="B4942" s="10" t="str">
        <x:v>A</x:v>
      </x:c>
      <x:c r="C4942" s="18" t="n">
        <x:v>-1e-7</x:v>
      </x:c>
      <x:c r="D4942" s="10" t="n">
        <x:v>560</x:v>
      </x:c>
      <x:c r="E4942" s="10" t="n">
        <x:v>0</x:v>
      </x:c>
      <x:c r="F4942" s="10" t="n">
        <x:v>0</x:v>
      </x:c>
      <x:c r="G4942" s="10" t="n">
        <x:f>SUM(D4942:F4942)</x:f>
        <x:v>560</x:v>
      </x:c>
    </x:row>
    <x:row r="4943" ht="24" customHeight="1">
      <x:c r="A4943" s="10" t="str">
        <x:v>S08-02</x:v>
      </x:c>
      <x:c r="B4943" s="10" t="str">
        <x:v>A</x:v>
      </x:c>
      <x:c r="C4943" s="18" t="n">
        <x:v>0</x:v>
      </x:c>
      <x:c r="D4943" s="10" t="n">
        <x:v>560</x:v>
      </x:c>
      <x:c r="E4943" s="10" t="n">
        <x:v>0</x:v>
      </x:c>
      <x:c r="F4943" s="10" t="n">
        <x:v>0</x:v>
      </x:c>
      <x:c r="G4943" s="10" t="n">
        <x:f>SUM(D4943:F4943)</x:f>
        <x:v>560</x:v>
      </x:c>
    </x:row>
    <x:row r="4944" ht="24" customHeight="1">
      <x:c r="A4944" s="10" t="str">
        <x:v>S08-02</x:v>
      </x:c>
      <x:c r="B4944" s="10" t="str">
        <x:v>A</x:v>
      </x:c>
      <x:c r="C4944" s="18" t="n">
        <x:v>1e-7</x:v>
      </x:c>
      <x:c r="D4944" s="10" t="n">
        <x:v>560</x:v>
      </x:c>
      <x:c r="E4944" s="10" t="n">
        <x:v>0</x:v>
      </x:c>
      <x:c r="F4944" s="10" t="n">
        <x:v>0</x:v>
      </x:c>
      <x:c r="G4944" s="10" t="n">
        <x:f>SUM(D4944:F4944)</x:f>
        <x:v>560</x:v>
      </x:c>
    </x:row>
    <x:row r="4945" ht="24" customHeight="1">
      <x:c r="A4945" s="10" t="str">
        <x:v>S08-02</x:v>
      </x:c>
      <x:c r="B4945" s="10" t="str">
        <x:v>A</x:v>
      </x:c>
      <x:c r="C4945" s="18" t="n">
        <x:v>0.846666567</x:v>
      </x:c>
      <x:c r="D4945" s="10" t="n">
        <x:v>560</x:v>
      </x:c>
      <x:c r="E4945" s="10" t="n">
        <x:v>0</x:v>
      </x:c>
      <x:c r="F4945" s="10" t="n">
        <x:v>0</x:v>
      </x:c>
      <x:c r="G4945" s="10" t="n">
        <x:f>SUM(D4945:F4945)</x:f>
        <x:v>560</x:v>
      </x:c>
    </x:row>
    <x:row r="4946" ht="24" customHeight="1">
      <x:c r="A4946" s="10" t="str">
        <x:v>S08-02</x:v>
      </x:c>
      <x:c r="B4946" s="10" t="str">
        <x:v>A</x:v>
      </x:c>
      <x:c r="C4946" s="18" t="n">
        <x:v>0.846666667</x:v>
      </x:c>
      <x:c r="D4946" s="10" t="n">
        <x:v>560</x:v>
      </x:c>
      <x:c r="E4946" s="10" t="n">
        <x:v>0</x:v>
      </x:c>
      <x:c r="F4946" s="10" t="n">
        <x:v>0.004096</x:v>
      </x:c>
      <x:c r="G4946" s="10" t="n">
        <x:f>SUM(D4946:F4946)</x:f>
        <x:v>560.004096</x:v>
      </x:c>
    </x:row>
    <x:row r="4947" ht="24" customHeight="1">
      <x:c r="A4947" s="10" t="str">
        <x:v>S08-02</x:v>
      </x:c>
      <x:c r="B4947" s="10" t="str">
        <x:v>A</x:v>
      </x:c>
      <x:c r="C4947" s="18" t="n">
        <x:v>0.846666767</x:v>
      </x:c>
      <x:c r="D4947" s="10" t="n">
        <x:v>560</x:v>
      </x:c>
      <x:c r="E4947" s="10" t="n">
        <x:v>0</x:v>
      </x:c>
      <x:c r="F4947" s="10" t="n">
        <x:v>0.004096</x:v>
      </x:c>
      <x:c r="G4947" s="10" t="n">
        <x:f>SUM(D4947:F4947)</x:f>
        <x:v>560.004096</x:v>
      </x:c>
    </x:row>
    <x:row r="4948" ht="24" customHeight="1">
      <x:c r="A4948" s="10" t="str">
        <x:v>S08-02</x:v>
      </x:c>
      <x:c r="B4948" s="10" t="str">
        <x:v>A</x:v>
      </x:c>
      <x:c r="C4948" s="18" t="n">
        <x:v>0.896666567</x:v>
      </x:c>
      <x:c r="D4948" s="10" t="n">
        <x:v>560</x:v>
      </x:c>
      <x:c r="E4948" s="10" t="n">
        <x:v>0</x:v>
      </x:c>
      <x:c r="F4948" s="10" t="n">
        <x:v>0.004096</x:v>
      </x:c>
      <x:c r="G4948" s="10" t="n">
        <x:f>SUM(D4948:F4948)</x:f>
        <x:v>560.004096</x:v>
      </x:c>
    </x:row>
    <x:row r="4949" ht="24" customHeight="1">
      <x:c r="A4949" s="10" t="str">
        <x:v>S08-02</x:v>
      </x:c>
      <x:c r="B4949" s="10" t="str">
        <x:v>A</x:v>
      </x:c>
      <x:c r="C4949" s="18" t="n">
        <x:v>0.896666667</x:v>
      </x:c>
      <x:c r="D4949" s="10" t="n">
        <x:v>560</x:v>
      </x:c>
      <x:c r="E4949" s="10" t="n">
        <x:v>0</x:v>
      </x:c>
      <x:c r="F4949" s="10" t="n">
        <x:v>0.004096</x:v>
      </x:c>
      <x:c r="G4949" s="10" t="n">
        <x:f>SUM(D4949:F4949)</x:f>
        <x:v>560.004096</x:v>
      </x:c>
    </x:row>
    <x:row r="4950" ht="24" customHeight="1">
      <x:c r="A4950" s="10" t="str">
        <x:v>S08-02</x:v>
      </x:c>
      <x:c r="B4950" s="10" t="str">
        <x:v>A</x:v>
      </x:c>
      <x:c r="C4950" s="18" t="n">
        <x:v>0.896666767</x:v>
      </x:c>
      <x:c r="D4950" s="10" t="n">
        <x:v>560</x:v>
      </x:c>
      <x:c r="E4950" s="10" t="n">
        <x:v>0</x:v>
      </x:c>
      <x:c r="F4950" s="10" t="n">
        <x:v>0.004096</x:v>
      </x:c>
      <x:c r="G4950" s="10" t="n">
        <x:f>SUM(D4950:F4950)</x:f>
        <x:v>560.004096</x:v>
      </x:c>
    </x:row>
    <x:row r="4951" ht="24" customHeight="1">
      <x:c r="A4951" s="10" t="str">
        <x:v>S08-02</x:v>
      </x:c>
      <x:c r="B4951" s="10" t="str">
        <x:v>A</x:v>
      </x:c>
      <x:c r="C4951" s="18" t="n">
        <x:v>1.247666567</x:v>
      </x:c>
      <x:c r="D4951" s="10" t="n">
        <x:v>560</x:v>
      </x:c>
      <x:c r="E4951" s="10" t="n">
        <x:v>0</x:v>
      </x:c>
      <x:c r="F4951" s="10" t="n">
        <x:v>0.004096</x:v>
      </x:c>
      <x:c r="G4951" s="10" t="n">
        <x:f>SUM(D4951:F4951)</x:f>
        <x:v>560.004096</x:v>
      </x:c>
    </x:row>
    <x:row r="4952" ht="24" customHeight="1">
      <x:c r="A4952" s="10" t="str">
        <x:v>S08-02</x:v>
      </x:c>
      <x:c r="B4952" s="10" t="str">
        <x:v>A</x:v>
      </x:c>
      <x:c r="C4952" s="18" t="n">
        <x:v>1.247666667</x:v>
      </x:c>
      <x:c r="D4952" s="10" t="n">
        <x:v>560</x:v>
      </x:c>
      <x:c r="E4952" s="10" t="n">
        <x:v>0.0096</x:v>
      </x:c>
      <x:c r="F4952" s="10" t="n">
        <x:v>0.004096</x:v>
      </x:c>
      <x:c r="G4952" s="10" t="n">
        <x:f>SUM(D4952:F4952)</x:f>
        <x:v>560.013696</x:v>
      </x:c>
    </x:row>
    <x:row r="4953" ht="24" customHeight="1">
      <x:c r="A4953" s="10" t="str">
        <x:v>S08-02</x:v>
      </x:c>
      <x:c r="B4953" s="10" t="str">
        <x:v>A</x:v>
      </x:c>
      <x:c r="C4953" s="18" t="n">
        <x:v>1.247666767</x:v>
      </x:c>
      <x:c r="D4953" s="10" t="n">
        <x:v>560</x:v>
      </x:c>
      <x:c r="E4953" s="10" t="n">
        <x:v>0.009600019</x:v>
      </x:c>
      <x:c r="F4953" s="10" t="n">
        <x:v>0.004096</x:v>
      </x:c>
      <x:c r="G4953" s="10" t="n">
        <x:f>SUM(D4953:F4953)</x:f>
        <x:v>560.013696019</x:v>
      </x:c>
    </x:row>
    <x:row r="4954" ht="24" customHeight="1">
      <x:c r="A4954" s="10" t="str">
        <x:v>S08-02</x:v>
      </x:c>
      <x:c r="B4954" s="10" t="str">
        <x:v>A</x:v>
      </x:c>
      <x:c r="C4954" s="18" t="n">
        <x:v>1.287666567</x:v>
      </x:c>
      <x:c r="D4954" s="10" t="n">
        <x:v>560</x:v>
      </x:c>
      <x:c r="E4954" s="10" t="n">
        <x:v>0.017279981</x:v>
      </x:c>
      <x:c r="F4954" s="10" t="n">
        <x:v>0.004096</x:v>
      </x:c>
      <x:c r="G4954" s="10" t="n">
        <x:f>SUM(D4954:F4954)</x:f>
        <x:v>560.021375981</x:v>
      </x:c>
    </x:row>
    <x:row r="4955" ht="24" customHeight="1">
      <x:c r="A4955" s="10" t="str">
        <x:v>S08-02</x:v>
      </x:c>
      <x:c r="B4955" s="10" t="str">
        <x:v>A</x:v>
      </x:c>
      <x:c r="C4955" s="18" t="n">
        <x:v>1.287666667</x:v>
      </x:c>
      <x:c r="D4955" s="10" t="n">
        <x:v>560</x:v>
      </x:c>
      <x:c r="E4955" s="10" t="n">
        <x:v>0.01728</x:v>
      </x:c>
      <x:c r="F4955" s="10" t="n">
        <x:v>0.004096</x:v>
      </x:c>
      <x:c r="G4955" s="10" t="n">
        <x:f>SUM(D4955:F4955)</x:f>
        <x:v>560.021376</x:v>
      </x:c>
    </x:row>
    <x:row r="4956" ht="24" customHeight="1">
      <x:c r="A4956" s="10" t="str">
        <x:v>S08-02</x:v>
      </x:c>
      <x:c r="B4956" s="10" t="str">
        <x:v>A</x:v>
      </x:c>
      <x:c r="C4956" s="18" t="n">
        <x:v>1.287666767</x:v>
      </x:c>
      <x:c r="D4956" s="10" t="n">
        <x:v>560</x:v>
      </x:c>
      <x:c r="E4956" s="10" t="n">
        <x:v>0.017280014</x:v>
      </x:c>
      <x:c r="F4956" s="10" t="n">
        <x:v>0.004096</x:v>
      </x:c>
      <x:c r="G4956" s="10" t="n">
        <x:f>SUM(D4956:F4956)</x:f>
        <x:v>560.021376014</x:v>
      </x:c>
    </x:row>
    <x:row r="4957" ht="24" customHeight="1">
      <x:c r="A4957" s="10" t="str">
        <x:v>S08-02</x:v>
      </x:c>
      <x:c r="B4957" s="10" t="str">
        <x:v>A</x:v>
      </x:c>
      <x:c r="C4957" s="18" t="n">
        <x:v>1.887166567</x:v>
      </x:c>
      <x:c r="D4957" s="10" t="n">
        <x:v>560</x:v>
      </x:c>
      <x:c r="E4957" s="10" t="n">
        <x:v>0.103607986</x:v>
      </x:c>
      <x:c r="F4957" s="10" t="n">
        <x:v>0.004096</x:v>
      </x:c>
      <x:c r="G4957" s="10" t="n">
        <x:f>SUM(D4957:F4957)</x:f>
        <x:v>560.107703986</x:v>
      </x:c>
    </x:row>
    <x:row r="4958" ht="24" customHeight="1">
      <x:c r="A4958" s="10" t="str">
        <x:v>S08-02</x:v>
      </x:c>
      <x:c r="B4958" s="10" t="str">
        <x:v>A</x:v>
      </x:c>
      <x:c r="C4958" s="18" t="n">
        <x:v>1.887166667</x:v>
      </x:c>
      <x:c r="D4958" s="10" t="n">
        <x:v>560</x:v>
      </x:c>
      <x:c r="E4958" s="10" t="n">
        <x:v>0.103608</x:v>
      </x:c>
      <x:c r="F4958" s="10" t="n">
        <x:v>0.004096</x:v>
      </x:c>
      <x:c r="G4958" s="10" t="n">
        <x:f>SUM(D4958:F4958)</x:f>
        <x:v>560.107704</x:v>
      </x:c>
    </x:row>
    <x:row r="4959" ht="24" customHeight="1">
      <x:c r="A4959" s="10" t="str">
        <x:v>S08-02</x:v>
      </x:c>
      <x:c r="B4959" s="10" t="str">
        <x:v>A</x:v>
      </x:c>
      <x:c r="C4959" s="18" t="n">
        <x:v>1.887166767</x:v>
      </x:c>
      <x:c r="D4959" s="10" t="n">
        <x:v>560</x:v>
      </x:c>
      <x:c r="E4959" s="10" t="n">
        <x:v>0.103607995</x:v>
      </x:c>
      <x:c r="F4959" s="10" t="n">
        <x:v>0.004096</x:v>
      </x:c>
      <x:c r="G4959" s="10" t="n">
        <x:f>SUM(D4959:F4959)</x:f>
        <x:v>560.107703995</x:v>
      </x:c>
    </x:row>
    <x:row r="4960" ht="24" customHeight="1">
      <x:c r="A4960" s="10" t="str">
        <x:v>S08-02</x:v>
      </x:c>
      <x:c r="B4960" s="10" t="str">
        <x:v>A</x:v>
      </x:c>
      <x:c r="C4960" s="18" t="n">
        <x:v>4.045666567</x:v>
      </x:c>
      <x:c r="D4960" s="10" t="n">
        <x:v>560</x:v>
      </x:c>
      <x:c r="E4960" s="10" t="n">
        <x:v>5e-9</x:v>
      </x:c>
      <x:c r="F4960" s="10" t="n">
        <x:v>0.004096</x:v>
      </x:c>
      <x:c r="G4960" s="10" t="n">
        <x:f>SUM(D4960:F4960)</x:f>
        <x:v>560.004096005</x:v>
      </x:c>
    </x:row>
    <x:row r="4961" ht="24" customHeight="1">
      <x:c r="A4961" s="10" t="str">
        <x:v>S08-02</x:v>
      </x:c>
      <x:c r="B4961" s="10" t="str">
        <x:v>A</x:v>
      </x:c>
      <x:c r="C4961" s="18" t="n">
        <x:v>4.045666667</x:v>
      </x:c>
      <x:c r="D4961" s="10" t="n">
        <x:v>560</x:v>
      </x:c>
      <x:c r="E4961" s="10" t="n">
        <x:v>0</x:v>
      </x:c>
      <x:c r="F4961" s="10" t="n">
        <x:v>0.004096</x:v>
      </x:c>
      <x:c r="G4961" s="10" t="n">
        <x:f>SUM(D4961:F4961)</x:f>
        <x:v>560.004096</x:v>
      </x:c>
    </x:row>
    <x:row r="4962" ht="24" customHeight="1">
      <x:c r="A4962" s="10" t="str">
        <x:v>S08-02</x:v>
      </x:c>
      <x:c r="B4962" s="10" t="str">
        <x:v>A</x:v>
      </x:c>
      <x:c r="C4962" s="18" t="n">
        <x:v>4.045666767</x:v>
      </x:c>
      <x:c r="D4962" s="10" t="n">
        <x:v>560</x:v>
      </x:c>
      <x:c r="E4962" s="10" t="n">
        <x:v>0</x:v>
      </x:c>
      <x:c r="F4962" s="10" t="n">
        <x:v>0</x:v>
      </x:c>
      <x:c r="G4962" s="10" t="n">
        <x:f>SUM(D4962:F4962)</x:f>
        <x:v>560</x:v>
      </x:c>
    </x:row>
    <x:row r="4963" ht="24" customHeight="1">
      <x:c r="A4963" s="10" t="str">
        <x:v>S08-02</x:v>
      </x:c>
      <x:c r="B4963" s="10" t="str">
        <x:v>B</x:v>
      </x:c>
      <x:c r="C4963" s="18" t="n">
        <x:v>-6.0000001</x:v>
      </x:c>
      <x:c r="D4963" s="10" t="n">
        <x:v>560</x:v>
      </x:c>
      <x:c r="E4963" s="10" t="n">
        <x:v>0</x:v>
      </x:c>
      <x:c r="F4963" s="10" t="n">
        <x:v>0</x:v>
      </x:c>
      <x:c r="G4963" s="10" t="n">
        <x:f>SUM(D4963:F4963)</x:f>
        <x:v>560</x:v>
      </x:c>
    </x:row>
    <x:row r="4964" ht="24" customHeight="1">
      <x:c r="A4964" s="10" t="str">
        <x:v>S08-02</x:v>
      </x:c>
      <x:c r="B4964" s="10" t="str">
        <x:v>B</x:v>
      </x:c>
      <x:c r="C4964" s="18" t="n">
        <x:v>-6</x:v>
      </x:c>
      <x:c r="D4964" s="10" t="n">
        <x:v>560</x:v>
      </x:c>
      <x:c r="E4964" s="10" t="n">
        <x:v>0</x:v>
      </x:c>
      <x:c r="F4964" s="10" t="n">
        <x:v>0</x:v>
      </x:c>
      <x:c r="G4964" s="10" t="n">
        <x:f>SUM(D4964:F4964)</x:f>
        <x:v>560</x:v>
      </x:c>
    </x:row>
    <x:row r="4965" ht="24" customHeight="1">
      <x:c r="A4965" s="10" t="str">
        <x:v>S08-02</x:v>
      </x:c>
      <x:c r="B4965" s="10" t="str">
        <x:v>B</x:v>
      </x:c>
      <x:c r="C4965" s="18" t="n">
        <x:v>-5.9999999</x:v>
      </x:c>
      <x:c r="D4965" s="10" t="n">
        <x:v>560</x:v>
      </x:c>
      <x:c r="E4965" s="10" t="n">
        <x:v>0</x:v>
      </x:c>
      <x:c r="F4965" s="10" t="n">
        <x:v>0</x:v>
      </x:c>
      <x:c r="G4965" s="10" t="n">
        <x:f>SUM(D4965:F4965)</x:f>
        <x:v>560</x:v>
      </x:c>
    </x:row>
    <x:row r="4966" ht="24" customHeight="1">
      <x:c r="A4966" s="10" t="str">
        <x:v>S08-02</x:v>
      </x:c>
      <x:c r="B4966" s="10" t="str">
        <x:v>B</x:v>
      </x:c>
      <x:c r="C4966" s="18" t="n">
        <x:v>-1e-7</x:v>
      </x:c>
      <x:c r="D4966" s="10" t="n">
        <x:v>560</x:v>
      </x:c>
      <x:c r="E4966" s="10" t="n">
        <x:v>0</x:v>
      </x:c>
      <x:c r="F4966" s="10" t="n">
        <x:v>0</x:v>
      </x:c>
      <x:c r="G4966" s="10" t="n">
        <x:f>SUM(D4966:F4966)</x:f>
        <x:v>560</x:v>
      </x:c>
    </x:row>
    <x:row r="4967" ht="24" customHeight="1">
      <x:c r="A4967" s="10" t="str">
        <x:v>S08-02</x:v>
      </x:c>
      <x:c r="B4967" s="10" t="str">
        <x:v>B</x:v>
      </x:c>
      <x:c r="C4967" s="18" t="n">
        <x:v>0</x:v>
      </x:c>
      <x:c r="D4967" s="10" t="n">
        <x:v>560</x:v>
      </x:c>
      <x:c r="E4967" s="10" t="n">
        <x:v>0</x:v>
      </x:c>
      <x:c r="F4967" s="10" t="n">
        <x:v>0</x:v>
      </x:c>
      <x:c r="G4967" s="10" t="n">
        <x:f>SUM(D4967:F4967)</x:f>
        <x:v>560</x:v>
      </x:c>
    </x:row>
    <x:row r="4968" ht="24" customHeight="1">
      <x:c r="A4968" s="10" t="str">
        <x:v>S08-02</x:v>
      </x:c>
      <x:c r="B4968" s="10" t="str">
        <x:v>B</x:v>
      </x:c>
      <x:c r="C4968" s="18" t="n">
        <x:v>1e-7</x:v>
      </x:c>
      <x:c r="D4968" s="10" t="n">
        <x:v>560</x:v>
      </x:c>
      <x:c r="E4968" s="10" t="n">
        <x:v>0</x:v>
      </x:c>
      <x:c r="F4968" s="10" t="n">
        <x:v>0</x:v>
      </x:c>
      <x:c r="G4968" s="10" t="n">
        <x:f>SUM(D4968:F4968)</x:f>
        <x:v>560</x:v>
      </x:c>
    </x:row>
    <x:row r="4969" ht="24" customHeight="1">
      <x:c r="A4969" s="10" t="str">
        <x:v>S08-02</x:v>
      </x:c>
      <x:c r="B4969" s="10" t="str">
        <x:v>B</x:v>
      </x:c>
      <x:c r="C4969" s="18" t="n">
        <x:v>0.896666567</x:v>
      </x:c>
      <x:c r="D4969" s="10" t="n">
        <x:v>560</x:v>
      </x:c>
      <x:c r="E4969" s="10" t="n">
        <x:v>0</x:v>
      </x:c>
      <x:c r="F4969" s="10" t="n">
        <x:v>0</x:v>
      </x:c>
      <x:c r="G4969" s="10" t="n">
        <x:f>SUM(D4969:F4969)</x:f>
        <x:v>560</x:v>
      </x:c>
    </x:row>
    <x:row r="4970" ht="24" customHeight="1">
      <x:c r="A4970" s="10" t="str">
        <x:v>S08-02</x:v>
      </x:c>
      <x:c r="B4970" s="10" t="str">
        <x:v>B</x:v>
      </x:c>
      <x:c r="C4970" s="18" t="n">
        <x:v>0.896666667</x:v>
      </x:c>
      <x:c r="D4970" s="10" t="n">
        <x:v>560</x:v>
      </x:c>
      <x:c r="E4970" s="10" t="n">
        <x:v>0</x:v>
      </x:c>
      <x:c r="F4970" s="10" t="n">
        <x:v>0.004096</x:v>
      </x:c>
      <x:c r="G4970" s="10" t="n">
        <x:f>SUM(D4970:F4970)</x:f>
        <x:v>560.004096</x:v>
      </x:c>
    </x:row>
    <x:row r="4971" ht="24" customHeight="1">
      <x:c r="A4971" s="10" t="str">
        <x:v>S08-02</x:v>
      </x:c>
      <x:c r="B4971" s="10" t="str">
        <x:v>B</x:v>
      </x:c>
      <x:c r="C4971" s="18" t="n">
        <x:v>0.896666767</x:v>
      </x:c>
      <x:c r="D4971" s="10" t="n">
        <x:v>560</x:v>
      </x:c>
      <x:c r="E4971" s="10" t="n">
        <x:v>0</x:v>
      </x:c>
      <x:c r="F4971" s="10" t="n">
        <x:v>0.004096</x:v>
      </x:c>
      <x:c r="G4971" s="10" t="n">
        <x:f>SUM(D4971:F4971)</x:f>
        <x:v>560.004096</x:v>
      </x:c>
    </x:row>
    <x:row r="4972" ht="24" customHeight="1">
      <x:c r="A4972" s="10" t="str">
        <x:v>S08-02</x:v>
      </x:c>
      <x:c r="B4972" s="10" t="str">
        <x:v>B</x:v>
      </x:c>
      <x:c r="C4972" s="18" t="n">
        <x:v>1.297666567</x:v>
      </x:c>
      <x:c r="D4972" s="10" t="n">
        <x:v>560</x:v>
      </x:c>
      <x:c r="E4972" s="10" t="n">
        <x:v>0</x:v>
      </x:c>
      <x:c r="F4972" s="10" t="n">
        <x:v>0.004096</x:v>
      </x:c>
      <x:c r="G4972" s="10" t="n">
        <x:f>SUM(D4972:F4972)</x:f>
        <x:v>560.004096</x:v>
      </x:c>
    </x:row>
    <x:row r="4973" ht="24" customHeight="1">
      <x:c r="A4973" s="10" t="str">
        <x:v>S08-02</x:v>
      </x:c>
      <x:c r="B4973" s="10" t="str">
        <x:v>B</x:v>
      </x:c>
      <x:c r="C4973" s="18" t="n">
        <x:v>1.297666667</x:v>
      </x:c>
      <x:c r="D4973" s="10" t="n">
        <x:v>560</x:v>
      </x:c>
      <x:c r="E4973" s="10" t="n">
        <x:v>0.0096</x:v>
      </x:c>
      <x:c r="F4973" s="10" t="n">
        <x:v>0.004096</x:v>
      </x:c>
      <x:c r="G4973" s="10" t="n">
        <x:f>SUM(D4973:F4973)</x:f>
        <x:v>560.013696</x:v>
      </x:c>
    </x:row>
    <x:row r="4974" ht="24" customHeight="1">
      <x:c r="A4974" s="10" t="str">
        <x:v>S08-02</x:v>
      </x:c>
      <x:c r="B4974" s="10" t="str">
        <x:v>B</x:v>
      </x:c>
      <x:c r="C4974" s="18" t="n">
        <x:v>1.297666767</x:v>
      </x:c>
      <x:c r="D4974" s="10" t="n">
        <x:v>560</x:v>
      </x:c>
      <x:c r="E4974" s="10" t="n">
        <x:v>0.009600019</x:v>
      </x:c>
      <x:c r="F4974" s="10" t="n">
        <x:v>0.004096</x:v>
      </x:c>
      <x:c r="G4974" s="10" t="n">
        <x:f>SUM(D4974:F4974)</x:f>
        <x:v>560.013696019</x:v>
      </x:c>
    </x:row>
    <x:row r="4975" ht="24" customHeight="1">
      <x:c r="A4975" s="10" t="str">
        <x:v>S08-02</x:v>
      </x:c>
      <x:c r="B4975" s="10" t="str">
        <x:v>B</x:v>
      </x:c>
      <x:c r="C4975" s="18" t="n">
        <x:v>1.337666567</x:v>
      </x:c>
      <x:c r="D4975" s="10" t="n">
        <x:v>560</x:v>
      </x:c>
      <x:c r="E4975" s="10" t="n">
        <x:v>0.017279981</x:v>
      </x:c>
      <x:c r="F4975" s="10" t="n">
        <x:v>0.004096</x:v>
      </x:c>
      <x:c r="G4975" s="10" t="n">
        <x:f>SUM(D4975:F4975)</x:f>
        <x:v>560.021375981</x:v>
      </x:c>
    </x:row>
    <x:row r="4976" ht="24" customHeight="1">
      <x:c r="A4976" s="10" t="str">
        <x:v>S08-02</x:v>
      </x:c>
      <x:c r="B4976" s="10" t="str">
        <x:v>B</x:v>
      </x:c>
      <x:c r="C4976" s="18" t="n">
        <x:v>1.337666667</x:v>
      </x:c>
      <x:c r="D4976" s="10" t="n">
        <x:v>560</x:v>
      </x:c>
      <x:c r="E4976" s="10" t="n">
        <x:v>0.01728</x:v>
      </x:c>
      <x:c r="F4976" s="10" t="n">
        <x:v>0.004096</x:v>
      </x:c>
      <x:c r="G4976" s="10" t="n">
        <x:f>SUM(D4976:F4976)</x:f>
        <x:v>560.021376</x:v>
      </x:c>
    </x:row>
    <x:row r="4977" ht="24" customHeight="1">
      <x:c r="A4977" s="10" t="str">
        <x:v>S08-02</x:v>
      </x:c>
      <x:c r="B4977" s="10" t="str">
        <x:v>B</x:v>
      </x:c>
      <x:c r="C4977" s="18" t="n">
        <x:v>1.337666767</x:v>
      </x:c>
      <x:c r="D4977" s="10" t="n">
        <x:v>560</x:v>
      </x:c>
      <x:c r="E4977" s="10" t="n">
        <x:v>0.017280014</x:v>
      </x:c>
      <x:c r="F4977" s="10" t="n">
        <x:v>0.004096</x:v>
      </x:c>
      <x:c r="G4977" s="10" t="n">
        <x:f>SUM(D4977:F4977)</x:f>
        <x:v>560.021376014</x:v>
      </x:c>
    </x:row>
    <x:row r="4978" ht="24" customHeight="1">
      <x:c r="A4978" s="10" t="str">
        <x:v>S08-02</x:v>
      </x:c>
      <x:c r="B4978" s="10" t="str">
        <x:v>B</x:v>
      </x:c>
      <x:c r="C4978" s="18" t="n">
        <x:v>1.937166567</x:v>
      </x:c>
      <x:c r="D4978" s="10" t="n">
        <x:v>560</x:v>
      </x:c>
      <x:c r="E4978" s="10" t="n">
        <x:v>0.103607986</x:v>
      </x:c>
      <x:c r="F4978" s="10" t="n">
        <x:v>0.004096</x:v>
      </x:c>
      <x:c r="G4978" s="10" t="n">
        <x:f>SUM(D4978:F4978)</x:f>
        <x:v>560.107703986</x:v>
      </x:c>
    </x:row>
    <x:row r="4979" ht="24" customHeight="1">
      <x:c r="A4979" s="10" t="str">
        <x:v>S08-02</x:v>
      </x:c>
      <x:c r="B4979" s="10" t="str">
        <x:v>B</x:v>
      </x:c>
      <x:c r="C4979" s="18" t="n">
        <x:v>1.937166667</x:v>
      </x:c>
      <x:c r="D4979" s="10" t="n">
        <x:v>560</x:v>
      </x:c>
      <x:c r="E4979" s="10" t="n">
        <x:v>0.103608</x:v>
      </x:c>
      <x:c r="F4979" s="10" t="n">
        <x:v>0.004096</x:v>
      </x:c>
      <x:c r="G4979" s="10" t="n">
        <x:f>SUM(D4979:F4979)</x:f>
        <x:v>560.107704</x:v>
      </x:c>
    </x:row>
    <x:row r="4980" ht="24" customHeight="1">
      <x:c r="A4980" s="10" t="str">
        <x:v>S08-02</x:v>
      </x:c>
      <x:c r="B4980" s="10" t="str">
        <x:v>B</x:v>
      </x:c>
      <x:c r="C4980" s="18" t="n">
        <x:v>1.937166767</x:v>
      </x:c>
      <x:c r="D4980" s="10" t="n">
        <x:v>560</x:v>
      </x:c>
      <x:c r="E4980" s="10" t="n">
        <x:v>0.103607995</x:v>
      </x:c>
      <x:c r="F4980" s="10" t="n">
        <x:v>0.004096</x:v>
      </x:c>
      <x:c r="G4980" s="10" t="n">
        <x:f>SUM(D4980:F4980)</x:f>
        <x:v>560.107703995</x:v>
      </x:c>
    </x:row>
    <x:row r="4981" ht="24" customHeight="1">
      <x:c r="A4981" s="10" t="str">
        <x:v>S08-02</x:v>
      </x:c>
      <x:c r="B4981" s="10" t="str">
        <x:v>B</x:v>
      </x:c>
      <x:c r="C4981" s="18" t="n">
        <x:v>4.095666567</x:v>
      </x:c>
      <x:c r="D4981" s="10" t="n">
        <x:v>560</x:v>
      </x:c>
      <x:c r="E4981" s="10" t="n">
        <x:v>5e-9</x:v>
      </x:c>
      <x:c r="F4981" s="10" t="n">
        <x:v>0.004096</x:v>
      </x:c>
      <x:c r="G4981" s="10" t="n">
        <x:f>SUM(D4981:F4981)</x:f>
        <x:v>560.004096005</x:v>
      </x:c>
    </x:row>
    <x:row r="4982" ht="24" customHeight="1">
      <x:c r="A4982" s="10" t="str">
        <x:v>S08-02</x:v>
      </x:c>
      <x:c r="B4982" s="10" t="str">
        <x:v>B</x:v>
      </x:c>
      <x:c r="C4982" s="18" t="n">
        <x:v>4.095666667</x:v>
      </x:c>
      <x:c r="D4982" s="10" t="n">
        <x:v>560</x:v>
      </x:c>
      <x:c r="E4982" s="10" t="n">
        <x:v>0</x:v>
      </x:c>
      <x:c r="F4982" s="10" t="n">
        <x:v>0.004096</x:v>
      </x:c>
      <x:c r="G4982" s="10" t="n">
        <x:f>SUM(D4982:F4982)</x:f>
        <x:v>560.004096</x:v>
      </x:c>
    </x:row>
    <x:row r="4983" ht="24" customHeight="1">
      <x:c r="A4983" s="10" t="str">
        <x:v>S08-02</x:v>
      </x:c>
      <x:c r="B4983" s="10" t="str">
        <x:v>B</x:v>
      </x:c>
      <x:c r="C4983" s="18" t="n">
        <x:v>4.095666767</x:v>
      </x:c>
      <x:c r="D4983" s="10" t="n">
        <x:v>560</x:v>
      </x:c>
      <x:c r="E4983" s="10" t="n">
        <x:v>0</x:v>
      </x:c>
      <x:c r="F4983" s="10" t="n">
        <x:v>0</x:v>
      </x:c>
      <x:c r="G4983" s="10" t="n">
        <x:f>SUM(D4983:F4983)</x:f>
        <x:v>560</x:v>
      </x:c>
    </x:row>
    <x:row r="4984" ht="24" customHeight="1">
      <x:c r="A4984" s="10" t="str">
        <x:v>S08-03</x:v>
      </x:c>
      <x:c r="B4984" s="10" t="str">
        <x:v>A</x:v>
      </x:c>
      <x:c r="C4984" s="18" t="n">
        <x:v>-6.0000001</x:v>
      </x:c>
      <x:c r="D4984" s="10" t="n">
        <x:v>560</x:v>
      </x:c>
      <x:c r="E4984" s="10" t="n">
        <x:v>0</x:v>
      </x:c>
      <x:c r="F4984" s="10" t="n">
        <x:v>0</x:v>
      </x:c>
      <x:c r="G4984" s="10" t="n">
        <x:f>SUM(D4984:F4984)</x:f>
        <x:v>560</x:v>
      </x:c>
    </x:row>
    <x:row r="4985" ht="24" customHeight="1">
      <x:c r="A4985" s="10" t="str">
        <x:v>S08-03</x:v>
      </x:c>
      <x:c r="B4985" s="10" t="str">
        <x:v>A</x:v>
      </x:c>
      <x:c r="C4985" s="18" t="n">
        <x:v>-6</x:v>
      </x:c>
      <x:c r="D4985" s="10" t="n">
        <x:v>560</x:v>
      </x:c>
      <x:c r="E4985" s="10" t="n">
        <x:v>0</x:v>
      </x:c>
      <x:c r="F4985" s="10" t="n">
        <x:v>0</x:v>
      </x:c>
      <x:c r="G4985" s="10" t="n">
        <x:f>SUM(D4985:F4985)</x:f>
        <x:v>560</x:v>
      </x:c>
    </x:row>
    <x:row r="4986" ht="24" customHeight="1">
      <x:c r="A4986" s="10" t="str">
        <x:v>S08-03</x:v>
      </x:c>
      <x:c r="B4986" s="10" t="str">
        <x:v>A</x:v>
      </x:c>
      <x:c r="C4986" s="18" t="n">
        <x:v>-5.9999999</x:v>
      </x:c>
      <x:c r="D4986" s="10" t="n">
        <x:v>560</x:v>
      </x:c>
      <x:c r="E4986" s="10" t="n">
        <x:v>0</x:v>
      </x:c>
      <x:c r="F4986" s="10" t="n">
        <x:v>0</x:v>
      </x:c>
      <x:c r="G4986" s="10" t="n">
        <x:f>SUM(D4986:F4986)</x:f>
        <x:v>560</x:v>
      </x:c>
    </x:row>
    <x:row r="4987" ht="24" customHeight="1">
      <x:c r="A4987" s="10" t="str">
        <x:v>S08-03</x:v>
      </x:c>
      <x:c r="B4987" s="10" t="str">
        <x:v>A</x:v>
      </x:c>
      <x:c r="C4987" s="18" t="n">
        <x:v>-1e-7</x:v>
      </x:c>
      <x:c r="D4987" s="10" t="n">
        <x:v>560</x:v>
      </x:c>
      <x:c r="E4987" s="10" t="n">
        <x:v>0</x:v>
      </x:c>
      <x:c r="F4987" s="10" t="n">
        <x:v>0</x:v>
      </x:c>
      <x:c r="G4987" s="10" t="n">
        <x:f>SUM(D4987:F4987)</x:f>
        <x:v>560</x:v>
      </x:c>
    </x:row>
    <x:row r="4988" ht="24" customHeight="1">
      <x:c r="A4988" s="10" t="str">
        <x:v>S08-03</x:v>
      </x:c>
      <x:c r="B4988" s="10" t="str">
        <x:v>A</x:v>
      </x:c>
      <x:c r="C4988" s="18" t="n">
        <x:v>0</x:v>
      </x:c>
      <x:c r="D4988" s="10" t="n">
        <x:v>560</x:v>
      </x:c>
      <x:c r="E4988" s="10" t="n">
        <x:v>0</x:v>
      </x:c>
      <x:c r="F4988" s="10" t="n">
        <x:v>0</x:v>
      </x:c>
      <x:c r="G4988" s="10" t="n">
        <x:f>SUM(D4988:F4988)</x:f>
        <x:v>560</x:v>
      </x:c>
    </x:row>
    <x:row r="4989" ht="24" customHeight="1">
      <x:c r="A4989" s="10" t="str">
        <x:v>S08-03</x:v>
      </x:c>
      <x:c r="B4989" s="10" t="str">
        <x:v>A</x:v>
      </x:c>
      <x:c r="C4989" s="18" t="n">
        <x:v>1e-7</x:v>
      </x:c>
      <x:c r="D4989" s="10" t="n">
        <x:v>560</x:v>
      </x:c>
      <x:c r="E4989" s="10" t="n">
        <x:v>0</x:v>
      </x:c>
      <x:c r="F4989" s="10" t="n">
        <x:v>0</x:v>
      </x:c>
      <x:c r="G4989" s="10" t="n">
        <x:f>SUM(D4989:F4989)</x:f>
        <x:v>560</x:v>
      </x:c>
    </x:row>
    <x:row r="4990" ht="24" customHeight="1">
      <x:c r="A4990" s="10" t="str">
        <x:v>S08-03</x:v>
      </x:c>
      <x:c r="B4990" s="10" t="str">
        <x:v>A</x:v>
      </x:c>
      <x:c r="C4990" s="18" t="n">
        <x:v>0.7999999</x:v>
      </x:c>
      <x:c r="D4990" s="10" t="n">
        <x:v>560</x:v>
      </x:c>
      <x:c r="E4990" s="10" t="n">
        <x:v>0</x:v>
      </x:c>
      <x:c r="F4990" s="10" t="n">
        <x:v>0</x:v>
      </x:c>
      <x:c r="G4990" s="10" t="n">
        <x:f>SUM(D4990:F4990)</x:f>
        <x:v>560</x:v>
      </x:c>
    </x:row>
    <x:row r="4991" ht="24" customHeight="1">
      <x:c r="A4991" s="10" t="str">
        <x:v>S08-03</x:v>
      </x:c>
      <x:c r="B4991" s="10" t="str">
        <x:v>A</x:v>
      </x:c>
      <x:c r="C4991" s="18" t="n">
        <x:v>0.8</x:v>
      </x:c>
      <x:c r="D4991" s="10" t="n">
        <x:v>560</x:v>
      </x:c>
      <x:c r="E4991" s="10" t="n">
        <x:v>0</x:v>
      </x:c>
      <x:c r="F4991" s="10" t="n">
        <x:v>0.004096</x:v>
      </x:c>
      <x:c r="G4991" s="10" t="n">
        <x:f>SUM(D4991:F4991)</x:f>
        <x:v>560.004096</x:v>
      </x:c>
    </x:row>
    <x:row r="4992" ht="24" customHeight="1">
      <x:c r="A4992" s="10" t="str">
        <x:v>S08-03</x:v>
      </x:c>
      <x:c r="B4992" s="10" t="str">
        <x:v>A</x:v>
      </x:c>
      <x:c r="C4992" s="18" t="n">
        <x:v>0.8000001</x:v>
      </x:c>
      <x:c r="D4992" s="10" t="n">
        <x:v>560</x:v>
      </x:c>
      <x:c r="E4992" s="10" t="n">
        <x:v>0</x:v>
      </x:c>
      <x:c r="F4992" s="10" t="n">
        <x:v>0.004096</x:v>
      </x:c>
      <x:c r="G4992" s="10" t="n">
        <x:f>SUM(D4992:F4992)</x:f>
        <x:v>560.004096</x:v>
      </x:c>
    </x:row>
    <x:row r="4993" ht="24" customHeight="1">
      <x:c r="A4993" s="10" t="str">
        <x:v>S08-03</x:v>
      </x:c>
      <x:c r="B4993" s="10" t="str">
        <x:v>A</x:v>
      </x:c>
      <x:c r="C4993" s="18" t="n">
        <x:v>0.8499999</x:v>
      </x:c>
      <x:c r="D4993" s="10" t="n">
        <x:v>560</x:v>
      </x:c>
      <x:c r="E4993" s="10" t="n">
        <x:v>0</x:v>
      </x:c>
      <x:c r="F4993" s="10" t="n">
        <x:v>0.004096</x:v>
      </x:c>
      <x:c r="G4993" s="10" t="n">
        <x:f>SUM(D4993:F4993)</x:f>
        <x:v>560.004096</x:v>
      </x:c>
    </x:row>
    <x:row r="4994" ht="24" customHeight="1">
      <x:c r="A4994" s="10" t="str">
        <x:v>S08-03</x:v>
      </x:c>
      <x:c r="B4994" s="10" t="str">
        <x:v>A</x:v>
      </x:c>
      <x:c r="C4994" s="18" t="n">
        <x:v>0.85</x:v>
      </x:c>
      <x:c r="D4994" s="10" t="n">
        <x:v>560</x:v>
      </x:c>
      <x:c r="E4994" s="10" t="n">
        <x:v>0</x:v>
      </x:c>
      <x:c r="F4994" s="10" t="n">
        <x:v>0.004096</x:v>
      </x:c>
      <x:c r="G4994" s="10" t="n">
        <x:f>SUM(D4994:F4994)</x:f>
        <x:v>560.004096</x:v>
      </x:c>
    </x:row>
    <x:row r="4995" ht="24" customHeight="1">
      <x:c r="A4995" s="10" t="str">
        <x:v>S08-03</x:v>
      </x:c>
      <x:c r="B4995" s="10" t="str">
        <x:v>A</x:v>
      </x:c>
      <x:c r="C4995" s="18" t="n">
        <x:v>0.8500001</x:v>
      </x:c>
      <x:c r="D4995" s="10" t="n">
        <x:v>560</x:v>
      </x:c>
      <x:c r="E4995" s="10" t="n">
        <x:v>0</x:v>
      </x:c>
      <x:c r="F4995" s="10" t="n">
        <x:v>0.004096</x:v>
      </x:c>
      <x:c r="G4995" s="10" t="n">
        <x:f>SUM(D4995:F4995)</x:f>
        <x:v>560.004096</x:v>
      </x:c>
    </x:row>
    <x:row r="4996" ht="24" customHeight="1">
      <x:c r="A4996" s="10" t="str">
        <x:v>S08-03</x:v>
      </x:c>
      <x:c r="B4996" s="10" t="str">
        <x:v>A</x:v>
      </x:c>
      <x:c r="C4996" s="18" t="n">
        <x:v>1.2009999</x:v>
      </x:c>
      <x:c r="D4996" s="10" t="n">
        <x:v>560</x:v>
      </x:c>
      <x:c r="E4996" s="10" t="n">
        <x:v>0</x:v>
      </x:c>
      <x:c r="F4996" s="10" t="n">
        <x:v>0.004096</x:v>
      </x:c>
      <x:c r="G4996" s="10" t="n">
        <x:f>SUM(D4996:F4996)</x:f>
        <x:v>560.004096</x:v>
      </x:c>
    </x:row>
    <x:row r="4997" ht="24" customHeight="1">
      <x:c r="A4997" s="10" t="str">
        <x:v>S08-03</x:v>
      </x:c>
      <x:c r="B4997" s="10" t="str">
        <x:v>A</x:v>
      </x:c>
      <x:c r="C4997" s="18" t="n">
        <x:v>1.201</x:v>
      </x:c>
      <x:c r="D4997" s="10" t="n">
        <x:v>560</x:v>
      </x:c>
      <x:c r="E4997" s="10" t="n">
        <x:v>0.0096</x:v>
      </x:c>
      <x:c r="F4997" s="10" t="n">
        <x:v>0.004096</x:v>
      </x:c>
      <x:c r="G4997" s="10" t="n">
        <x:f>SUM(D4997:F4997)</x:f>
        <x:v>560.013696</x:v>
      </x:c>
    </x:row>
    <x:row r="4998" ht="24" customHeight="1">
      <x:c r="A4998" s="10" t="str">
        <x:v>S08-03</x:v>
      </x:c>
      <x:c r="B4998" s="10" t="str">
        <x:v>A</x:v>
      </x:c>
      <x:c r="C4998" s="18" t="n">
        <x:v>1.2010001</x:v>
      </x:c>
      <x:c r="D4998" s="10" t="n">
        <x:v>560</x:v>
      </x:c>
      <x:c r="E4998" s="10" t="n">
        <x:v>0.009600019</x:v>
      </x:c>
      <x:c r="F4998" s="10" t="n">
        <x:v>0.004096</x:v>
      </x:c>
      <x:c r="G4998" s="10" t="n">
        <x:f>SUM(D4998:F4998)</x:f>
        <x:v>560.013696019</x:v>
      </x:c>
    </x:row>
    <x:row r="4999" ht="24" customHeight="1">
      <x:c r="A4999" s="10" t="str">
        <x:v>S08-03</x:v>
      </x:c>
      <x:c r="B4999" s="10" t="str">
        <x:v>A</x:v>
      </x:c>
      <x:c r="C4999" s="18" t="n">
        <x:v>1.2409999</x:v>
      </x:c>
      <x:c r="D4999" s="10" t="n">
        <x:v>560</x:v>
      </x:c>
      <x:c r="E4999" s="10" t="n">
        <x:v>0.017279981</x:v>
      </x:c>
      <x:c r="F4999" s="10" t="n">
        <x:v>0.004096</x:v>
      </x:c>
      <x:c r="G4999" s="10" t="n">
        <x:f>SUM(D4999:F4999)</x:f>
        <x:v>560.021375981</x:v>
      </x:c>
    </x:row>
    <x:row r="5000" ht="24" customHeight="1">
      <x:c r="A5000" s="10" t="str">
        <x:v>S08-03</x:v>
      </x:c>
      <x:c r="B5000" s="10" t="str">
        <x:v>A</x:v>
      </x:c>
      <x:c r="C5000" s="18" t="n">
        <x:v>1.241</x:v>
      </x:c>
      <x:c r="D5000" s="10" t="n">
        <x:v>560</x:v>
      </x:c>
      <x:c r="E5000" s="10" t="n">
        <x:v>0.01728</x:v>
      </x:c>
      <x:c r="F5000" s="10" t="n">
        <x:v>0.004096</x:v>
      </x:c>
      <x:c r="G5000" s="10" t="n">
        <x:f>SUM(D5000:F5000)</x:f>
        <x:v>560.021376</x:v>
      </x:c>
    </x:row>
    <x:row r="5001" ht="24" customHeight="1">
      <x:c r="A5001" s="10" t="str">
        <x:v>S08-03</x:v>
      </x:c>
      <x:c r="B5001" s="10" t="str">
        <x:v>A</x:v>
      </x:c>
      <x:c r="C5001" s="18" t="n">
        <x:v>1.2410001</x:v>
      </x:c>
      <x:c r="D5001" s="10" t="n">
        <x:v>560</x:v>
      </x:c>
      <x:c r="E5001" s="10" t="n">
        <x:v>0.017280014</x:v>
      </x:c>
      <x:c r="F5001" s="10" t="n">
        <x:v>0.004096</x:v>
      </x:c>
      <x:c r="G5001" s="10" t="n">
        <x:f>SUM(D5001:F5001)</x:f>
        <x:v>560.021376014</x:v>
      </x:c>
    </x:row>
    <x:row r="5002" ht="24" customHeight="1">
      <x:c r="A5002" s="10" t="str">
        <x:v>S08-03</x:v>
      </x:c>
      <x:c r="B5002" s="10" t="str">
        <x:v>A</x:v>
      </x:c>
      <x:c r="C5002" s="18" t="n">
        <x:v>1.8434999</x:v>
      </x:c>
      <x:c r="D5002" s="10" t="n">
        <x:v>560</x:v>
      </x:c>
      <x:c r="E5002" s="10" t="n">
        <x:v>0.104039986</x:v>
      </x:c>
      <x:c r="F5002" s="10" t="n">
        <x:v>0.004096</x:v>
      </x:c>
      <x:c r="G5002" s="10" t="n">
        <x:f>SUM(D5002:F5002)</x:f>
        <x:v>560.108135986</x:v>
      </x:c>
    </x:row>
    <x:row r="5003" ht="24" customHeight="1">
      <x:c r="A5003" s="10" t="str">
        <x:v>S08-03</x:v>
      </x:c>
      <x:c r="B5003" s="10" t="str">
        <x:v>A</x:v>
      </x:c>
      <x:c r="C5003" s="18" t="n">
        <x:v>1.8435</x:v>
      </x:c>
      <x:c r="D5003" s="10" t="n">
        <x:v>560</x:v>
      </x:c>
      <x:c r="E5003" s="10" t="n">
        <x:v>0.10404</x:v>
      </x:c>
      <x:c r="F5003" s="10" t="n">
        <x:v>0.004096</x:v>
      </x:c>
      <x:c r="G5003" s="10" t="n">
        <x:f>SUM(D5003:F5003)</x:f>
        <x:v>560.1081360000001</x:v>
      </x:c>
    </x:row>
    <x:row r="5004" ht="24" customHeight="1">
      <x:c r="A5004" s="10" t="str">
        <x:v>S08-03</x:v>
      </x:c>
      <x:c r="B5004" s="10" t="str">
        <x:v>A</x:v>
      </x:c>
      <x:c r="C5004" s="18" t="n">
        <x:v>1.8435001</x:v>
      </x:c>
      <x:c r="D5004" s="10" t="n">
        <x:v>560</x:v>
      </x:c>
      <x:c r="E5004" s="10" t="n">
        <x:v>0.104039995</x:v>
      </x:c>
      <x:c r="F5004" s="10" t="n">
        <x:v>0.004096</x:v>
      </x:c>
      <x:c r="G5004" s="10" t="n">
        <x:f>SUM(D5004:F5004)</x:f>
        <x:v>560.108135995</x:v>
      </x:c>
    </x:row>
    <x:row r="5005" ht="24" customHeight="1">
      <x:c r="A5005" s="10" t="str">
        <x:v>S08-03</x:v>
      </x:c>
      <x:c r="B5005" s="10" t="str">
        <x:v>A</x:v>
      </x:c>
      <x:c r="C5005" s="18" t="n">
        <x:v>4.0109999</x:v>
      </x:c>
      <x:c r="D5005" s="10" t="n">
        <x:v>560</x:v>
      </x:c>
      <x:c r="E5005" s="10" t="n">
        <x:v>5e-9</x:v>
      </x:c>
      <x:c r="F5005" s="10" t="n">
        <x:v>0.004096</x:v>
      </x:c>
      <x:c r="G5005" s="10" t="n">
        <x:f>SUM(D5005:F5005)</x:f>
        <x:v>560.004096005</x:v>
      </x:c>
    </x:row>
    <x:row r="5006" ht="24" customHeight="1">
      <x:c r="A5006" s="10" t="str">
        <x:v>S08-03</x:v>
      </x:c>
      <x:c r="B5006" s="10" t="str">
        <x:v>A</x:v>
      </x:c>
      <x:c r="C5006" s="18" t="n">
        <x:v>4.011</x:v>
      </x:c>
      <x:c r="D5006" s="10" t="n">
        <x:v>560</x:v>
      </x:c>
      <x:c r="E5006" s="10" t="n">
        <x:v>0</x:v>
      </x:c>
      <x:c r="F5006" s="10" t="n">
        <x:v>0.004096</x:v>
      </x:c>
      <x:c r="G5006" s="10" t="n">
        <x:f>SUM(D5006:F5006)</x:f>
        <x:v>560.004096</x:v>
      </x:c>
    </x:row>
    <x:row r="5007" ht="24" customHeight="1">
      <x:c r="A5007" s="10" t="str">
        <x:v>S08-03</x:v>
      </x:c>
      <x:c r="B5007" s="10" t="str">
        <x:v>A</x:v>
      </x:c>
      <x:c r="C5007" s="18" t="n">
        <x:v>4.0110001</x:v>
      </x:c>
      <x:c r="D5007" s="10" t="n">
        <x:v>560</x:v>
      </x:c>
      <x:c r="E5007" s="10" t="n">
        <x:v>0</x:v>
      </x:c>
      <x:c r="F5007" s="10" t="n">
        <x:v>0</x:v>
      </x:c>
      <x:c r="G5007" s="10" t="n">
        <x:f>SUM(D5007:F5007)</x:f>
        <x:v>560</x:v>
      </x:c>
    </x:row>
    <x:row r="5008" ht="24" customHeight="1">
      <x:c r="A5008" s="10" t="str">
        <x:v>S08-03</x:v>
      </x:c>
      <x:c r="B5008" s="10" t="str">
        <x:v>B</x:v>
      </x:c>
      <x:c r="C5008" s="18" t="n">
        <x:v>-6.0000001</x:v>
      </x:c>
      <x:c r="D5008" s="10" t="n">
        <x:v>560</x:v>
      </x:c>
      <x:c r="E5008" s="10" t="n">
        <x:v>0</x:v>
      </x:c>
      <x:c r="F5008" s="10" t="n">
        <x:v>0</x:v>
      </x:c>
      <x:c r="G5008" s="10" t="n">
        <x:f>SUM(D5008:F5008)</x:f>
        <x:v>560</x:v>
      </x:c>
    </x:row>
    <x:row r="5009" ht="24" customHeight="1">
      <x:c r="A5009" s="10" t="str">
        <x:v>S08-03</x:v>
      </x:c>
      <x:c r="B5009" s="10" t="str">
        <x:v>B</x:v>
      </x:c>
      <x:c r="C5009" s="18" t="n">
        <x:v>-6</x:v>
      </x:c>
      <x:c r="D5009" s="10" t="n">
        <x:v>560</x:v>
      </x:c>
      <x:c r="E5009" s="10" t="n">
        <x:v>0</x:v>
      </x:c>
      <x:c r="F5009" s="10" t="n">
        <x:v>0</x:v>
      </x:c>
      <x:c r="G5009" s="10" t="n">
        <x:f>SUM(D5009:F5009)</x:f>
        <x:v>560</x:v>
      </x:c>
    </x:row>
    <x:row r="5010" ht="24" customHeight="1">
      <x:c r="A5010" s="10" t="str">
        <x:v>S08-03</x:v>
      </x:c>
      <x:c r="B5010" s="10" t="str">
        <x:v>B</x:v>
      </x:c>
      <x:c r="C5010" s="18" t="n">
        <x:v>-5.9999999</x:v>
      </x:c>
      <x:c r="D5010" s="10" t="n">
        <x:v>560</x:v>
      </x:c>
      <x:c r="E5010" s="10" t="n">
        <x:v>0</x:v>
      </x:c>
      <x:c r="F5010" s="10" t="n">
        <x:v>0</x:v>
      </x:c>
      <x:c r="G5010" s="10" t="n">
        <x:f>SUM(D5010:F5010)</x:f>
        <x:v>560</x:v>
      </x:c>
    </x:row>
    <x:row r="5011" ht="24" customHeight="1">
      <x:c r="A5011" s="10" t="str">
        <x:v>S08-03</x:v>
      </x:c>
      <x:c r="B5011" s="10" t="str">
        <x:v>B</x:v>
      </x:c>
      <x:c r="C5011" s="18" t="n">
        <x:v>-1e-7</x:v>
      </x:c>
      <x:c r="D5011" s="10" t="n">
        <x:v>560</x:v>
      </x:c>
      <x:c r="E5011" s="10" t="n">
        <x:v>0</x:v>
      </x:c>
      <x:c r="F5011" s="10" t="n">
        <x:v>0</x:v>
      </x:c>
      <x:c r="G5011" s="10" t="n">
        <x:f>SUM(D5011:F5011)</x:f>
        <x:v>560</x:v>
      </x:c>
    </x:row>
    <x:row r="5012" ht="24" customHeight="1">
      <x:c r="A5012" s="10" t="str">
        <x:v>S08-03</x:v>
      </x:c>
      <x:c r="B5012" s="10" t="str">
        <x:v>B</x:v>
      </x:c>
      <x:c r="C5012" s="18" t="n">
        <x:v>0</x:v>
      </x:c>
      <x:c r="D5012" s="10" t="n">
        <x:v>560</x:v>
      </x:c>
      <x:c r="E5012" s="10" t="n">
        <x:v>0</x:v>
      </x:c>
      <x:c r="F5012" s="10" t="n">
        <x:v>0</x:v>
      </x:c>
      <x:c r="G5012" s="10" t="n">
        <x:f>SUM(D5012:F5012)</x:f>
        <x:v>560</x:v>
      </x:c>
    </x:row>
    <x:row r="5013" ht="24" customHeight="1">
      <x:c r="A5013" s="10" t="str">
        <x:v>S08-03</x:v>
      </x:c>
      <x:c r="B5013" s="10" t="str">
        <x:v>B</x:v>
      </x:c>
      <x:c r="C5013" s="18" t="n">
        <x:v>1e-7</x:v>
      </x:c>
      <x:c r="D5013" s="10" t="n">
        <x:v>560</x:v>
      </x:c>
      <x:c r="E5013" s="10" t="n">
        <x:v>0</x:v>
      </x:c>
      <x:c r="F5013" s="10" t="n">
        <x:v>0</x:v>
      </x:c>
      <x:c r="G5013" s="10" t="n">
        <x:f>SUM(D5013:F5013)</x:f>
        <x:v>560</x:v>
      </x:c>
    </x:row>
    <x:row r="5014" ht="24" customHeight="1">
      <x:c r="A5014" s="10" t="str">
        <x:v>S08-03</x:v>
      </x:c>
      <x:c r="B5014" s="10" t="str">
        <x:v>B</x:v>
      </x:c>
      <x:c r="C5014" s="18" t="n">
        <x:v>0.8499999</x:v>
      </x:c>
      <x:c r="D5014" s="10" t="n">
        <x:v>560</x:v>
      </x:c>
      <x:c r="E5014" s="10" t="n">
        <x:v>0</x:v>
      </x:c>
      <x:c r="F5014" s="10" t="n">
        <x:v>0</x:v>
      </x:c>
      <x:c r="G5014" s="10" t="n">
        <x:f>SUM(D5014:F5014)</x:f>
        <x:v>560</x:v>
      </x:c>
    </x:row>
    <x:row r="5015" ht="24" customHeight="1">
      <x:c r="A5015" s="10" t="str">
        <x:v>S08-03</x:v>
      </x:c>
      <x:c r="B5015" s="10" t="str">
        <x:v>B</x:v>
      </x:c>
      <x:c r="C5015" s="18" t="n">
        <x:v>0.85</x:v>
      </x:c>
      <x:c r="D5015" s="10" t="n">
        <x:v>560</x:v>
      </x:c>
      <x:c r="E5015" s="10" t="n">
        <x:v>0</x:v>
      </x:c>
      <x:c r="F5015" s="10" t="n">
        <x:v>0.004096</x:v>
      </x:c>
      <x:c r="G5015" s="10" t="n">
        <x:f>SUM(D5015:F5015)</x:f>
        <x:v>560.004096</x:v>
      </x:c>
    </x:row>
    <x:row r="5016" ht="24" customHeight="1">
      <x:c r="A5016" s="10" t="str">
        <x:v>S08-03</x:v>
      </x:c>
      <x:c r="B5016" s="10" t="str">
        <x:v>B</x:v>
      </x:c>
      <x:c r="C5016" s="18" t="n">
        <x:v>0.8500001</x:v>
      </x:c>
      <x:c r="D5016" s="10" t="n">
        <x:v>560</x:v>
      </x:c>
      <x:c r="E5016" s="10" t="n">
        <x:v>0</x:v>
      </x:c>
      <x:c r="F5016" s="10" t="n">
        <x:v>0.004096</x:v>
      </x:c>
      <x:c r="G5016" s="10" t="n">
        <x:f>SUM(D5016:F5016)</x:f>
        <x:v>560.004096</x:v>
      </x:c>
    </x:row>
    <x:row r="5017" ht="24" customHeight="1">
      <x:c r="A5017" s="10" t="str">
        <x:v>S08-03</x:v>
      </x:c>
      <x:c r="B5017" s="10" t="str">
        <x:v>B</x:v>
      </x:c>
      <x:c r="C5017" s="18" t="n">
        <x:v>1.2509999</x:v>
      </x:c>
      <x:c r="D5017" s="10" t="n">
        <x:v>560</x:v>
      </x:c>
      <x:c r="E5017" s="10" t="n">
        <x:v>0</x:v>
      </x:c>
      <x:c r="F5017" s="10" t="n">
        <x:v>0.004096</x:v>
      </x:c>
      <x:c r="G5017" s="10" t="n">
        <x:f>SUM(D5017:F5017)</x:f>
        <x:v>560.004096</x:v>
      </x:c>
    </x:row>
    <x:row r="5018" ht="24" customHeight="1">
      <x:c r="A5018" s="10" t="str">
        <x:v>S08-03</x:v>
      </x:c>
      <x:c r="B5018" s="10" t="str">
        <x:v>B</x:v>
      </x:c>
      <x:c r="C5018" s="18" t="n">
        <x:v>1.251</x:v>
      </x:c>
      <x:c r="D5018" s="10" t="n">
        <x:v>560</x:v>
      </x:c>
      <x:c r="E5018" s="10" t="n">
        <x:v>0.0096</x:v>
      </x:c>
      <x:c r="F5018" s="10" t="n">
        <x:v>0.004096</x:v>
      </x:c>
      <x:c r="G5018" s="10" t="n">
        <x:f>SUM(D5018:F5018)</x:f>
        <x:v>560.013696</x:v>
      </x:c>
    </x:row>
    <x:row r="5019" ht="24" customHeight="1">
      <x:c r="A5019" s="10" t="str">
        <x:v>S08-03</x:v>
      </x:c>
      <x:c r="B5019" s="10" t="str">
        <x:v>B</x:v>
      </x:c>
      <x:c r="C5019" s="18" t="n">
        <x:v>1.2510001</x:v>
      </x:c>
      <x:c r="D5019" s="10" t="n">
        <x:v>560</x:v>
      </x:c>
      <x:c r="E5019" s="10" t="n">
        <x:v>0.009600019</x:v>
      </x:c>
      <x:c r="F5019" s="10" t="n">
        <x:v>0.004096</x:v>
      </x:c>
      <x:c r="G5019" s="10" t="n">
        <x:f>SUM(D5019:F5019)</x:f>
        <x:v>560.013696019</x:v>
      </x:c>
    </x:row>
    <x:row r="5020" ht="24" customHeight="1">
      <x:c r="A5020" s="10" t="str">
        <x:v>S08-03</x:v>
      </x:c>
      <x:c r="B5020" s="10" t="str">
        <x:v>B</x:v>
      </x:c>
      <x:c r="C5020" s="18" t="n">
        <x:v>1.2909999</x:v>
      </x:c>
      <x:c r="D5020" s="10" t="n">
        <x:v>560</x:v>
      </x:c>
      <x:c r="E5020" s="10" t="n">
        <x:v>0.017279981</x:v>
      </x:c>
      <x:c r="F5020" s="10" t="n">
        <x:v>0.004096</x:v>
      </x:c>
      <x:c r="G5020" s="10" t="n">
        <x:f>SUM(D5020:F5020)</x:f>
        <x:v>560.021375981</x:v>
      </x:c>
    </x:row>
    <x:row r="5021" ht="24" customHeight="1">
      <x:c r="A5021" s="10" t="str">
        <x:v>S08-03</x:v>
      </x:c>
      <x:c r="B5021" s="10" t="str">
        <x:v>B</x:v>
      </x:c>
      <x:c r="C5021" s="18" t="n">
        <x:v>1.291</x:v>
      </x:c>
      <x:c r="D5021" s="10" t="n">
        <x:v>560</x:v>
      </x:c>
      <x:c r="E5021" s="10" t="n">
        <x:v>0.01728</x:v>
      </x:c>
      <x:c r="F5021" s="10" t="n">
        <x:v>0.004096</x:v>
      </x:c>
      <x:c r="G5021" s="10" t="n">
        <x:f>SUM(D5021:F5021)</x:f>
        <x:v>560.021376</x:v>
      </x:c>
    </x:row>
    <x:row r="5022" ht="24" customHeight="1">
      <x:c r="A5022" s="10" t="str">
        <x:v>S08-03</x:v>
      </x:c>
      <x:c r="B5022" s="10" t="str">
        <x:v>B</x:v>
      </x:c>
      <x:c r="C5022" s="18" t="n">
        <x:v>1.2910001</x:v>
      </x:c>
      <x:c r="D5022" s="10" t="n">
        <x:v>560</x:v>
      </x:c>
      <x:c r="E5022" s="10" t="n">
        <x:v>0.017280014</x:v>
      </x:c>
      <x:c r="F5022" s="10" t="n">
        <x:v>0.004096</x:v>
      </x:c>
      <x:c r="G5022" s="10" t="n">
        <x:f>SUM(D5022:F5022)</x:f>
        <x:v>560.021376014</x:v>
      </x:c>
    </x:row>
    <x:row r="5023" ht="24" customHeight="1">
      <x:c r="A5023" s="10" t="str">
        <x:v>S08-03</x:v>
      </x:c>
      <x:c r="B5023" s="10" t="str">
        <x:v>B</x:v>
      </x:c>
      <x:c r="C5023" s="18" t="n">
        <x:v>1.8934999</x:v>
      </x:c>
      <x:c r="D5023" s="10" t="n">
        <x:v>560</x:v>
      </x:c>
      <x:c r="E5023" s="10" t="n">
        <x:v>0.104039986</x:v>
      </x:c>
      <x:c r="F5023" s="10" t="n">
        <x:v>0.004096</x:v>
      </x:c>
      <x:c r="G5023" s="10" t="n">
        <x:f>SUM(D5023:F5023)</x:f>
        <x:v>560.108135986</x:v>
      </x:c>
    </x:row>
    <x:row r="5024" ht="24" customHeight="1">
      <x:c r="A5024" s="10" t="str">
        <x:v>S08-03</x:v>
      </x:c>
      <x:c r="B5024" s="10" t="str">
        <x:v>B</x:v>
      </x:c>
      <x:c r="C5024" s="18" t="n">
        <x:v>1.8935</x:v>
      </x:c>
      <x:c r="D5024" s="10" t="n">
        <x:v>560</x:v>
      </x:c>
      <x:c r="E5024" s="10" t="n">
        <x:v>0.10404</x:v>
      </x:c>
      <x:c r="F5024" s="10" t="n">
        <x:v>0.004096</x:v>
      </x:c>
      <x:c r="G5024" s="10" t="n">
        <x:f>SUM(D5024:F5024)</x:f>
        <x:v>560.1081360000001</x:v>
      </x:c>
    </x:row>
    <x:row r="5025" ht="24" customHeight="1">
      <x:c r="A5025" s="10" t="str">
        <x:v>S08-03</x:v>
      </x:c>
      <x:c r="B5025" s="10" t="str">
        <x:v>B</x:v>
      </x:c>
      <x:c r="C5025" s="18" t="n">
        <x:v>1.8935001</x:v>
      </x:c>
      <x:c r="D5025" s="10" t="n">
        <x:v>560</x:v>
      </x:c>
      <x:c r="E5025" s="10" t="n">
        <x:v>0.104039995</x:v>
      </x:c>
      <x:c r="F5025" s="10" t="n">
        <x:v>0.004096</x:v>
      </x:c>
      <x:c r="G5025" s="10" t="n">
        <x:f>SUM(D5025:F5025)</x:f>
        <x:v>560.108135995</x:v>
      </x:c>
    </x:row>
    <x:row r="5026" ht="24" customHeight="1">
      <x:c r="A5026" s="10" t="str">
        <x:v>S08-03</x:v>
      </x:c>
      <x:c r="B5026" s="10" t="str">
        <x:v>B</x:v>
      </x:c>
      <x:c r="C5026" s="18" t="n">
        <x:v>4.0609999</x:v>
      </x:c>
      <x:c r="D5026" s="10" t="n">
        <x:v>560</x:v>
      </x:c>
      <x:c r="E5026" s="10" t="n">
        <x:v>5e-9</x:v>
      </x:c>
      <x:c r="F5026" s="10" t="n">
        <x:v>0.004096</x:v>
      </x:c>
      <x:c r="G5026" s="10" t="n">
        <x:f>SUM(D5026:F5026)</x:f>
        <x:v>560.004096005</x:v>
      </x:c>
    </x:row>
    <x:row r="5027" ht="24" customHeight="1">
      <x:c r="A5027" s="10" t="str">
        <x:v>S08-03</x:v>
      </x:c>
      <x:c r="B5027" s="10" t="str">
        <x:v>B</x:v>
      </x:c>
      <x:c r="C5027" s="18" t="n">
        <x:v>4.061</x:v>
      </x:c>
      <x:c r="D5027" s="10" t="n">
        <x:v>560</x:v>
      </x:c>
      <x:c r="E5027" s="10" t="n">
        <x:v>0</x:v>
      </x:c>
      <x:c r="F5027" s="10" t="n">
        <x:v>0.004096</x:v>
      </x:c>
      <x:c r="G5027" s="10" t="n">
        <x:f>SUM(D5027:F5027)</x:f>
        <x:v>560.004096</x:v>
      </x:c>
    </x:row>
    <x:row r="5028" ht="24" customHeight="1">
      <x:c r="A5028" s="10" t="str">
        <x:v>S08-03</x:v>
      </x:c>
      <x:c r="B5028" s="10" t="str">
        <x:v>B</x:v>
      </x:c>
      <x:c r="C5028" s="18" t="n">
        <x:v>4.0610001</x:v>
      </x:c>
      <x:c r="D5028" s="10" t="n">
        <x:v>560</x:v>
      </x:c>
      <x:c r="E5028" s="10" t="n">
        <x:v>0</x:v>
      </x:c>
      <x:c r="F5028" s="10" t="n">
        <x:v>0</x:v>
      </x:c>
      <x:c r="G5028" s="10" t="n">
        <x:f>SUM(D5028:F5028)</x:f>
        <x:v>560</x:v>
      </x:c>
    </x:row>
    <x:row r="5029" ht="24" customHeight="1">
      <x:c r="A5029" s="10" t="str">
        <x:v>S08-04</x:v>
      </x:c>
      <x:c r="B5029" s="10" t="str">
        <x:v>A</x:v>
      </x:c>
      <x:c r="C5029" s="18" t="n">
        <x:v>-6.0000001</x:v>
      </x:c>
      <x:c r="D5029" s="10" t="n">
        <x:v>560</x:v>
      </x:c>
      <x:c r="E5029" s="10" t="n">
        <x:v>0</x:v>
      </x:c>
      <x:c r="F5029" s="10" t="n">
        <x:v>0</x:v>
      </x:c>
      <x:c r="G5029" s="10" t="n">
        <x:f>SUM(D5029:F5029)</x:f>
        <x:v>560</x:v>
      </x:c>
    </x:row>
    <x:row r="5030" ht="24" customHeight="1">
      <x:c r="A5030" s="10" t="str">
        <x:v>S08-04</x:v>
      </x:c>
      <x:c r="B5030" s="10" t="str">
        <x:v>A</x:v>
      </x:c>
      <x:c r="C5030" s="18" t="n">
        <x:v>-6</x:v>
      </x:c>
      <x:c r="D5030" s="10" t="n">
        <x:v>560</x:v>
      </x:c>
      <x:c r="E5030" s="10" t="n">
        <x:v>0</x:v>
      </x:c>
      <x:c r="F5030" s="10" t="n">
        <x:v>0</x:v>
      </x:c>
      <x:c r="G5030" s="10" t="n">
        <x:f>SUM(D5030:F5030)</x:f>
        <x:v>560</x:v>
      </x:c>
    </x:row>
    <x:row r="5031" ht="24" customHeight="1">
      <x:c r="A5031" s="10" t="str">
        <x:v>S08-04</x:v>
      </x:c>
      <x:c r="B5031" s="10" t="str">
        <x:v>A</x:v>
      </x:c>
      <x:c r="C5031" s="18" t="n">
        <x:v>-5.9999999</x:v>
      </x:c>
      <x:c r="D5031" s="10" t="n">
        <x:v>560</x:v>
      </x:c>
      <x:c r="E5031" s="10" t="n">
        <x:v>0</x:v>
      </x:c>
      <x:c r="F5031" s="10" t="n">
        <x:v>0</x:v>
      </x:c>
      <x:c r="G5031" s="10" t="n">
        <x:f>SUM(D5031:F5031)</x:f>
        <x:v>560</x:v>
      </x:c>
    </x:row>
    <x:row r="5032" ht="24" customHeight="1">
      <x:c r="A5032" s="10" t="str">
        <x:v>S08-04</x:v>
      </x:c>
      <x:c r="B5032" s="10" t="str">
        <x:v>A</x:v>
      </x:c>
      <x:c r="C5032" s="18" t="n">
        <x:v>-1e-7</x:v>
      </x:c>
      <x:c r="D5032" s="10" t="n">
        <x:v>560</x:v>
      </x:c>
      <x:c r="E5032" s="10" t="n">
        <x:v>0</x:v>
      </x:c>
      <x:c r="F5032" s="10" t="n">
        <x:v>0</x:v>
      </x:c>
      <x:c r="G5032" s="10" t="n">
        <x:f>SUM(D5032:F5032)</x:f>
        <x:v>560</x:v>
      </x:c>
    </x:row>
    <x:row r="5033" ht="24" customHeight="1">
      <x:c r="A5033" s="10" t="str">
        <x:v>S08-04</x:v>
      </x:c>
      <x:c r="B5033" s="10" t="str">
        <x:v>A</x:v>
      </x:c>
      <x:c r="C5033" s="18" t="n">
        <x:v>0</x:v>
      </x:c>
      <x:c r="D5033" s="10" t="n">
        <x:v>560</x:v>
      </x:c>
      <x:c r="E5033" s="10" t="n">
        <x:v>0</x:v>
      </x:c>
      <x:c r="F5033" s="10" t="n">
        <x:v>0</x:v>
      </x:c>
      <x:c r="G5033" s="10" t="n">
        <x:f>SUM(D5033:F5033)</x:f>
        <x:v>560</x:v>
      </x:c>
    </x:row>
    <x:row r="5034" ht="24" customHeight="1">
      <x:c r="A5034" s="10" t="str">
        <x:v>S08-04</x:v>
      </x:c>
      <x:c r="B5034" s="10" t="str">
        <x:v>A</x:v>
      </x:c>
      <x:c r="C5034" s="18" t="n">
        <x:v>1e-7</x:v>
      </x:c>
      <x:c r="D5034" s="10" t="n">
        <x:v>560</x:v>
      </x:c>
      <x:c r="E5034" s="10" t="n">
        <x:v>0</x:v>
      </x:c>
      <x:c r="F5034" s="10" t="n">
        <x:v>0</x:v>
      </x:c>
      <x:c r="G5034" s="10" t="n">
        <x:f>SUM(D5034:F5034)</x:f>
        <x:v>560</x:v>
      </x:c>
    </x:row>
    <x:row r="5035" ht="24" customHeight="1">
      <x:c r="A5035" s="10" t="str">
        <x:v>S08-04</x:v>
      </x:c>
      <x:c r="B5035" s="10" t="str">
        <x:v>A</x:v>
      </x:c>
      <x:c r="C5035" s="18" t="n">
        <x:v>0.828333233</x:v>
      </x:c>
      <x:c r="D5035" s="10" t="n">
        <x:v>560</x:v>
      </x:c>
      <x:c r="E5035" s="10" t="n">
        <x:v>0</x:v>
      </x:c>
      <x:c r="F5035" s="10" t="n">
        <x:v>0</x:v>
      </x:c>
      <x:c r="G5035" s="10" t="n">
        <x:f>SUM(D5035:F5035)</x:f>
        <x:v>560</x:v>
      </x:c>
    </x:row>
    <x:row r="5036" ht="24" customHeight="1">
      <x:c r="A5036" s="10" t="str">
        <x:v>S08-04</x:v>
      </x:c>
      <x:c r="B5036" s="10" t="str">
        <x:v>A</x:v>
      </x:c>
      <x:c r="C5036" s="18" t="n">
        <x:v>0.828333333</x:v>
      </x:c>
      <x:c r="D5036" s="10" t="n">
        <x:v>560</x:v>
      </x:c>
      <x:c r="E5036" s="10" t="n">
        <x:v>0</x:v>
      </x:c>
      <x:c r="F5036" s="10" t="n">
        <x:v>0.004096</x:v>
      </x:c>
      <x:c r="G5036" s="10" t="n">
        <x:f>SUM(D5036:F5036)</x:f>
        <x:v>560.004096</x:v>
      </x:c>
    </x:row>
    <x:row r="5037" ht="24" customHeight="1">
      <x:c r="A5037" s="10" t="str">
        <x:v>S08-04</x:v>
      </x:c>
      <x:c r="B5037" s="10" t="str">
        <x:v>A</x:v>
      </x:c>
      <x:c r="C5037" s="18" t="n">
        <x:v>0.828333433</x:v>
      </x:c>
      <x:c r="D5037" s="10" t="n">
        <x:v>560</x:v>
      </x:c>
      <x:c r="E5037" s="10" t="n">
        <x:v>0</x:v>
      </x:c>
      <x:c r="F5037" s="10" t="n">
        <x:v>0.004096</x:v>
      </x:c>
      <x:c r="G5037" s="10" t="n">
        <x:f>SUM(D5037:F5037)</x:f>
        <x:v>560.004096</x:v>
      </x:c>
    </x:row>
    <x:row r="5038" ht="24" customHeight="1">
      <x:c r="A5038" s="10" t="str">
        <x:v>S08-04</x:v>
      </x:c>
      <x:c r="B5038" s="10" t="str">
        <x:v>A</x:v>
      </x:c>
      <x:c r="C5038" s="18" t="n">
        <x:v>0.878333233</x:v>
      </x:c>
      <x:c r="D5038" s="10" t="n">
        <x:v>560</x:v>
      </x:c>
      <x:c r="E5038" s="10" t="n">
        <x:v>0</x:v>
      </x:c>
      <x:c r="F5038" s="10" t="n">
        <x:v>0.004096</x:v>
      </x:c>
      <x:c r="G5038" s="10" t="n">
        <x:f>SUM(D5038:F5038)</x:f>
        <x:v>560.004096</x:v>
      </x:c>
    </x:row>
    <x:row r="5039" ht="24" customHeight="1">
      <x:c r="A5039" s="10" t="str">
        <x:v>S08-04</x:v>
      </x:c>
      <x:c r="B5039" s="10" t="str">
        <x:v>A</x:v>
      </x:c>
      <x:c r="C5039" s="18" t="n">
        <x:v>0.878333333</x:v>
      </x:c>
      <x:c r="D5039" s="10" t="n">
        <x:v>560</x:v>
      </x:c>
      <x:c r="E5039" s="10" t="n">
        <x:v>0</x:v>
      </x:c>
      <x:c r="F5039" s="10" t="n">
        <x:v>0.004096</x:v>
      </x:c>
      <x:c r="G5039" s="10" t="n">
        <x:f>SUM(D5039:F5039)</x:f>
        <x:v>560.004096</x:v>
      </x:c>
    </x:row>
    <x:row r="5040" ht="24" customHeight="1">
      <x:c r="A5040" s="10" t="str">
        <x:v>S08-04</x:v>
      </x:c>
      <x:c r="B5040" s="10" t="str">
        <x:v>A</x:v>
      </x:c>
      <x:c r="C5040" s="18" t="n">
        <x:v>0.878333433</x:v>
      </x:c>
      <x:c r="D5040" s="10" t="n">
        <x:v>560</x:v>
      </x:c>
      <x:c r="E5040" s="10" t="n">
        <x:v>0</x:v>
      </x:c>
      <x:c r="F5040" s="10" t="n">
        <x:v>0.004096</x:v>
      </x:c>
      <x:c r="G5040" s="10" t="n">
        <x:f>SUM(D5040:F5040)</x:f>
        <x:v>560.004096</x:v>
      </x:c>
    </x:row>
    <x:row r="5041" ht="24" customHeight="1">
      <x:c r="A5041" s="10" t="str">
        <x:v>S08-04</x:v>
      </x:c>
      <x:c r="B5041" s="10" t="str">
        <x:v>A</x:v>
      </x:c>
      <x:c r="C5041" s="18" t="n">
        <x:v>1.229333233</x:v>
      </x:c>
      <x:c r="D5041" s="10" t="n">
        <x:v>560</x:v>
      </x:c>
      <x:c r="E5041" s="10" t="n">
        <x:v>0</x:v>
      </x:c>
      <x:c r="F5041" s="10" t="n">
        <x:v>0.004096</x:v>
      </x:c>
      <x:c r="G5041" s="10" t="n">
        <x:f>SUM(D5041:F5041)</x:f>
        <x:v>560.004096</x:v>
      </x:c>
    </x:row>
    <x:row r="5042" ht="24" customHeight="1">
      <x:c r="A5042" s="10" t="str">
        <x:v>S08-04</x:v>
      </x:c>
      <x:c r="B5042" s="10" t="str">
        <x:v>A</x:v>
      </x:c>
      <x:c r="C5042" s="18" t="n">
        <x:v>1.229333333</x:v>
      </x:c>
      <x:c r="D5042" s="10" t="n">
        <x:v>560</x:v>
      </x:c>
      <x:c r="E5042" s="10" t="n">
        <x:v>0.0096</x:v>
      </x:c>
      <x:c r="F5042" s="10" t="n">
        <x:v>0.004096</x:v>
      </x:c>
      <x:c r="G5042" s="10" t="n">
        <x:f>SUM(D5042:F5042)</x:f>
        <x:v>560.013696</x:v>
      </x:c>
    </x:row>
    <x:row r="5043" ht="24" customHeight="1">
      <x:c r="A5043" s="10" t="str">
        <x:v>S08-04</x:v>
      </x:c>
      <x:c r="B5043" s="10" t="str">
        <x:v>A</x:v>
      </x:c>
      <x:c r="C5043" s="18" t="n">
        <x:v>1.229333433</x:v>
      </x:c>
      <x:c r="D5043" s="10" t="n">
        <x:v>560</x:v>
      </x:c>
      <x:c r="E5043" s="10" t="n">
        <x:v>0.009600019</x:v>
      </x:c>
      <x:c r="F5043" s="10" t="n">
        <x:v>0.004096</x:v>
      </x:c>
      <x:c r="G5043" s="10" t="n">
        <x:f>SUM(D5043:F5043)</x:f>
        <x:v>560.013696019</x:v>
      </x:c>
    </x:row>
    <x:row r="5044" ht="24" customHeight="1">
      <x:c r="A5044" s="10" t="str">
        <x:v>S08-04</x:v>
      </x:c>
      <x:c r="B5044" s="10" t="str">
        <x:v>A</x:v>
      </x:c>
      <x:c r="C5044" s="18" t="n">
        <x:v>1.269333233</x:v>
      </x:c>
      <x:c r="D5044" s="10" t="n">
        <x:v>560</x:v>
      </x:c>
      <x:c r="E5044" s="10" t="n">
        <x:v>0.017279981</x:v>
      </x:c>
      <x:c r="F5044" s="10" t="n">
        <x:v>0.004096</x:v>
      </x:c>
      <x:c r="G5044" s="10" t="n">
        <x:f>SUM(D5044:F5044)</x:f>
        <x:v>560.021375981</x:v>
      </x:c>
    </x:row>
    <x:row r="5045" ht="24" customHeight="1">
      <x:c r="A5045" s="10" t="str">
        <x:v>S08-04</x:v>
      </x:c>
      <x:c r="B5045" s="10" t="str">
        <x:v>A</x:v>
      </x:c>
      <x:c r="C5045" s="18" t="n">
        <x:v>1.269333333</x:v>
      </x:c>
      <x:c r="D5045" s="10" t="n">
        <x:v>560</x:v>
      </x:c>
      <x:c r="E5045" s="10" t="n">
        <x:v>0.01728</x:v>
      </x:c>
      <x:c r="F5045" s="10" t="n">
        <x:v>0.004096</x:v>
      </x:c>
      <x:c r="G5045" s="10" t="n">
        <x:f>SUM(D5045:F5045)</x:f>
        <x:v>560.021376</x:v>
      </x:c>
    </x:row>
    <x:row r="5046" ht="24" customHeight="1">
      <x:c r="A5046" s="10" t="str">
        <x:v>S08-04</x:v>
      </x:c>
      <x:c r="B5046" s="10" t="str">
        <x:v>A</x:v>
      </x:c>
      <x:c r="C5046" s="18" t="n">
        <x:v>1.269333433</x:v>
      </x:c>
      <x:c r="D5046" s="10" t="n">
        <x:v>560</x:v>
      </x:c>
      <x:c r="E5046" s="10" t="n">
        <x:v>0.017280014</x:v>
      </x:c>
      <x:c r="F5046" s="10" t="n">
        <x:v>0.004096</x:v>
      </x:c>
      <x:c r="G5046" s="10" t="n">
        <x:f>SUM(D5046:F5046)</x:f>
        <x:v>560.021376014</x:v>
      </x:c>
    </x:row>
    <x:row r="5047" ht="24" customHeight="1">
      <x:c r="A5047" s="10" t="str">
        <x:v>S08-04</x:v>
      </x:c>
      <x:c r="B5047" s="10" t="str">
        <x:v>A</x:v>
      </x:c>
      <x:c r="C5047" s="18" t="n">
        <x:v>1.874833233</x:v>
      </x:c>
      <x:c r="D5047" s="10" t="n">
        <x:v>560</x:v>
      </x:c>
      <x:c r="E5047" s="10" t="n">
        <x:v>0.104471986</x:v>
      </x:c>
      <x:c r="F5047" s="10" t="n">
        <x:v>0.004096</x:v>
      </x:c>
      <x:c r="G5047" s="10" t="n">
        <x:f>SUM(D5047:F5047)</x:f>
        <x:v>560.108567986</x:v>
      </x:c>
    </x:row>
    <x:row r="5048" ht="24" customHeight="1">
      <x:c r="A5048" s="10" t="str">
        <x:v>S08-04</x:v>
      </x:c>
      <x:c r="B5048" s="10" t="str">
        <x:v>A</x:v>
      </x:c>
      <x:c r="C5048" s="18" t="n">
        <x:v>1.874833333</x:v>
      </x:c>
      <x:c r="D5048" s="10" t="n">
        <x:v>560</x:v>
      </x:c>
      <x:c r="E5048" s="10" t="n">
        <x:v>0.104472</x:v>
      </x:c>
      <x:c r="F5048" s="10" t="n">
        <x:v>0.004096</x:v>
      </x:c>
      <x:c r="G5048" s="10" t="n">
        <x:f>SUM(D5048:F5048)</x:f>
        <x:v>560.108568</x:v>
      </x:c>
    </x:row>
    <x:row r="5049" ht="24" customHeight="1">
      <x:c r="A5049" s="10" t="str">
        <x:v>S08-04</x:v>
      </x:c>
      <x:c r="B5049" s="10" t="str">
        <x:v>A</x:v>
      </x:c>
      <x:c r="C5049" s="18" t="n">
        <x:v>1.874833433</x:v>
      </x:c>
      <x:c r="D5049" s="10" t="n">
        <x:v>560</x:v>
      </x:c>
      <x:c r="E5049" s="10" t="n">
        <x:v>0.104471995</x:v>
      </x:c>
      <x:c r="F5049" s="10" t="n">
        <x:v>0.004096</x:v>
      </x:c>
      <x:c r="G5049" s="10" t="n">
        <x:f>SUM(D5049:F5049)</x:f>
        <x:v>560.108567995</x:v>
      </x:c>
    </x:row>
    <x:row r="5050" ht="24" customHeight="1">
      <x:c r="A5050" s="10" t="str">
        <x:v>S08-04</x:v>
      </x:c>
      <x:c r="B5050" s="10" t="str">
        <x:v>A</x:v>
      </x:c>
      <x:c r="C5050" s="18" t="n">
        <x:v>4.051333233</x:v>
      </x:c>
      <x:c r="D5050" s="10" t="n">
        <x:v>560</x:v>
      </x:c>
      <x:c r="E5050" s="10" t="n">
        <x:v>5e-9</x:v>
      </x:c>
      <x:c r="F5050" s="10" t="n">
        <x:v>0.004096</x:v>
      </x:c>
      <x:c r="G5050" s="10" t="n">
        <x:f>SUM(D5050:F5050)</x:f>
        <x:v>560.004096005</x:v>
      </x:c>
    </x:row>
    <x:row r="5051" ht="24" customHeight="1">
      <x:c r="A5051" s="10" t="str">
        <x:v>S08-04</x:v>
      </x:c>
      <x:c r="B5051" s="10" t="str">
        <x:v>A</x:v>
      </x:c>
      <x:c r="C5051" s="18" t="n">
        <x:v>4.051333333</x:v>
      </x:c>
      <x:c r="D5051" s="10" t="n">
        <x:v>560</x:v>
      </x:c>
      <x:c r="E5051" s="10" t="n">
        <x:v>0</x:v>
      </x:c>
      <x:c r="F5051" s="10" t="n">
        <x:v>0.004096</x:v>
      </x:c>
      <x:c r="G5051" s="10" t="n">
        <x:f>SUM(D5051:F5051)</x:f>
        <x:v>560.004096</x:v>
      </x:c>
    </x:row>
    <x:row r="5052" ht="24" customHeight="1">
      <x:c r="A5052" s="10" t="str">
        <x:v>S08-04</x:v>
      </x:c>
      <x:c r="B5052" s="10" t="str">
        <x:v>A</x:v>
      </x:c>
      <x:c r="C5052" s="18" t="n">
        <x:v>4.051333433</x:v>
      </x:c>
      <x:c r="D5052" s="10" t="n">
        <x:v>560</x:v>
      </x:c>
      <x:c r="E5052" s="10" t="n">
        <x:v>0</x:v>
      </x:c>
      <x:c r="F5052" s="10" t="n">
        <x:v>0</x:v>
      </x:c>
      <x:c r="G5052" s="10" t="n">
        <x:f>SUM(D5052:F5052)</x:f>
        <x:v>560</x:v>
      </x:c>
    </x:row>
    <x:row r="5053" ht="24" customHeight="1">
      <x:c r="A5053" s="10" t="str">
        <x:v>S08-04</x:v>
      </x:c>
      <x:c r="B5053" s="10" t="str">
        <x:v>B</x:v>
      </x:c>
      <x:c r="C5053" s="18" t="n">
        <x:v>-6.0000001</x:v>
      </x:c>
      <x:c r="D5053" s="10" t="n">
        <x:v>560</x:v>
      </x:c>
      <x:c r="E5053" s="10" t="n">
        <x:v>0</x:v>
      </x:c>
      <x:c r="F5053" s="10" t="n">
        <x:v>0</x:v>
      </x:c>
      <x:c r="G5053" s="10" t="n">
        <x:f>SUM(D5053:F5053)</x:f>
        <x:v>560</x:v>
      </x:c>
    </x:row>
    <x:row r="5054" ht="24" customHeight="1">
      <x:c r="A5054" s="10" t="str">
        <x:v>S08-04</x:v>
      </x:c>
      <x:c r="B5054" s="10" t="str">
        <x:v>B</x:v>
      </x:c>
      <x:c r="C5054" s="18" t="n">
        <x:v>-6</x:v>
      </x:c>
      <x:c r="D5054" s="10" t="n">
        <x:v>560</x:v>
      </x:c>
      <x:c r="E5054" s="10" t="n">
        <x:v>0</x:v>
      </x:c>
      <x:c r="F5054" s="10" t="n">
        <x:v>0</x:v>
      </x:c>
      <x:c r="G5054" s="10" t="n">
        <x:f>SUM(D5054:F5054)</x:f>
        <x:v>560</x:v>
      </x:c>
    </x:row>
    <x:row r="5055" ht="24" customHeight="1">
      <x:c r="A5055" s="10" t="str">
        <x:v>S08-04</x:v>
      </x:c>
      <x:c r="B5055" s="10" t="str">
        <x:v>B</x:v>
      </x:c>
      <x:c r="C5055" s="18" t="n">
        <x:v>-5.9999999</x:v>
      </x:c>
      <x:c r="D5055" s="10" t="n">
        <x:v>560</x:v>
      </x:c>
      <x:c r="E5055" s="10" t="n">
        <x:v>0</x:v>
      </x:c>
      <x:c r="F5055" s="10" t="n">
        <x:v>0</x:v>
      </x:c>
      <x:c r="G5055" s="10" t="n">
        <x:f>SUM(D5055:F5055)</x:f>
        <x:v>560</x:v>
      </x:c>
    </x:row>
    <x:row r="5056" ht="24" customHeight="1">
      <x:c r="A5056" s="10" t="str">
        <x:v>S08-04</x:v>
      </x:c>
      <x:c r="B5056" s="10" t="str">
        <x:v>B</x:v>
      </x:c>
      <x:c r="C5056" s="18" t="n">
        <x:v>-1e-7</x:v>
      </x:c>
      <x:c r="D5056" s="10" t="n">
        <x:v>560</x:v>
      </x:c>
      <x:c r="E5056" s="10" t="n">
        <x:v>0</x:v>
      </x:c>
      <x:c r="F5056" s="10" t="n">
        <x:v>0</x:v>
      </x:c>
      <x:c r="G5056" s="10" t="n">
        <x:f>SUM(D5056:F5056)</x:f>
        <x:v>560</x:v>
      </x:c>
    </x:row>
    <x:row r="5057" ht="24" customHeight="1">
      <x:c r="A5057" s="10" t="str">
        <x:v>S08-04</x:v>
      </x:c>
      <x:c r="B5057" s="10" t="str">
        <x:v>B</x:v>
      </x:c>
      <x:c r="C5057" s="18" t="n">
        <x:v>0</x:v>
      </x:c>
      <x:c r="D5057" s="10" t="n">
        <x:v>560</x:v>
      </x:c>
      <x:c r="E5057" s="10" t="n">
        <x:v>0</x:v>
      </x:c>
      <x:c r="F5057" s="10" t="n">
        <x:v>0</x:v>
      </x:c>
      <x:c r="G5057" s="10" t="n">
        <x:f>SUM(D5057:F5057)</x:f>
        <x:v>560</x:v>
      </x:c>
    </x:row>
    <x:row r="5058" ht="24" customHeight="1">
      <x:c r="A5058" s="10" t="str">
        <x:v>S08-04</x:v>
      </x:c>
      <x:c r="B5058" s="10" t="str">
        <x:v>B</x:v>
      </x:c>
      <x:c r="C5058" s="18" t="n">
        <x:v>1e-7</x:v>
      </x:c>
      <x:c r="D5058" s="10" t="n">
        <x:v>560</x:v>
      </x:c>
      <x:c r="E5058" s="10" t="n">
        <x:v>0</x:v>
      </x:c>
      <x:c r="F5058" s="10" t="n">
        <x:v>0</x:v>
      </x:c>
      <x:c r="G5058" s="10" t="n">
        <x:f>SUM(D5058:F5058)</x:f>
        <x:v>560</x:v>
      </x:c>
    </x:row>
    <x:row r="5059" ht="24" customHeight="1">
      <x:c r="A5059" s="10" t="str">
        <x:v>S08-04</x:v>
      </x:c>
      <x:c r="B5059" s="10" t="str">
        <x:v>B</x:v>
      </x:c>
      <x:c r="C5059" s="18" t="n">
        <x:v>0.878333233</x:v>
      </x:c>
      <x:c r="D5059" s="10" t="n">
        <x:v>560</x:v>
      </x:c>
      <x:c r="E5059" s="10" t="n">
        <x:v>0</x:v>
      </x:c>
      <x:c r="F5059" s="10" t="n">
        <x:v>0</x:v>
      </x:c>
      <x:c r="G5059" s="10" t="n">
        <x:f>SUM(D5059:F5059)</x:f>
        <x:v>560</x:v>
      </x:c>
    </x:row>
    <x:row r="5060" ht="24" customHeight="1">
      <x:c r="A5060" s="10" t="str">
        <x:v>S08-04</x:v>
      </x:c>
      <x:c r="B5060" s="10" t="str">
        <x:v>B</x:v>
      </x:c>
      <x:c r="C5060" s="18" t="n">
        <x:v>0.878333333</x:v>
      </x:c>
      <x:c r="D5060" s="10" t="n">
        <x:v>560</x:v>
      </x:c>
      <x:c r="E5060" s="10" t="n">
        <x:v>0</x:v>
      </x:c>
      <x:c r="F5060" s="10" t="n">
        <x:v>0.004096</x:v>
      </x:c>
      <x:c r="G5060" s="10" t="n">
        <x:f>SUM(D5060:F5060)</x:f>
        <x:v>560.004096</x:v>
      </x:c>
    </x:row>
    <x:row r="5061" ht="24" customHeight="1">
      <x:c r="A5061" s="10" t="str">
        <x:v>S08-04</x:v>
      </x:c>
      <x:c r="B5061" s="10" t="str">
        <x:v>B</x:v>
      </x:c>
      <x:c r="C5061" s="18" t="n">
        <x:v>0.878333433</x:v>
      </x:c>
      <x:c r="D5061" s="10" t="n">
        <x:v>560</x:v>
      </x:c>
      <x:c r="E5061" s="10" t="n">
        <x:v>0</x:v>
      </x:c>
      <x:c r="F5061" s="10" t="n">
        <x:v>0.004096</x:v>
      </x:c>
      <x:c r="G5061" s="10" t="n">
        <x:f>SUM(D5061:F5061)</x:f>
        <x:v>560.004096</x:v>
      </x:c>
    </x:row>
    <x:row r="5062" ht="24" customHeight="1">
      <x:c r="A5062" s="10" t="str">
        <x:v>S08-04</x:v>
      </x:c>
      <x:c r="B5062" s="10" t="str">
        <x:v>B</x:v>
      </x:c>
      <x:c r="C5062" s="18" t="n">
        <x:v>1.279333233</x:v>
      </x:c>
      <x:c r="D5062" s="10" t="n">
        <x:v>560</x:v>
      </x:c>
      <x:c r="E5062" s="10" t="n">
        <x:v>0</x:v>
      </x:c>
      <x:c r="F5062" s="10" t="n">
        <x:v>0.004096</x:v>
      </x:c>
      <x:c r="G5062" s="10" t="n">
        <x:f>SUM(D5062:F5062)</x:f>
        <x:v>560.004096</x:v>
      </x:c>
    </x:row>
    <x:row r="5063" ht="24" customHeight="1">
      <x:c r="A5063" s="10" t="str">
        <x:v>S08-04</x:v>
      </x:c>
      <x:c r="B5063" s="10" t="str">
        <x:v>B</x:v>
      </x:c>
      <x:c r="C5063" s="18" t="n">
        <x:v>1.279333333</x:v>
      </x:c>
      <x:c r="D5063" s="10" t="n">
        <x:v>560</x:v>
      </x:c>
      <x:c r="E5063" s="10" t="n">
        <x:v>0.0096</x:v>
      </x:c>
      <x:c r="F5063" s="10" t="n">
        <x:v>0.004096</x:v>
      </x:c>
      <x:c r="G5063" s="10" t="n">
        <x:f>SUM(D5063:F5063)</x:f>
        <x:v>560.013696</x:v>
      </x:c>
    </x:row>
    <x:row r="5064" ht="24" customHeight="1">
      <x:c r="A5064" s="10" t="str">
        <x:v>S08-04</x:v>
      </x:c>
      <x:c r="B5064" s="10" t="str">
        <x:v>B</x:v>
      </x:c>
      <x:c r="C5064" s="18" t="n">
        <x:v>1.279333433</x:v>
      </x:c>
      <x:c r="D5064" s="10" t="n">
        <x:v>560</x:v>
      </x:c>
      <x:c r="E5064" s="10" t="n">
        <x:v>0.009600019</x:v>
      </x:c>
      <x:c r="F5064" s="10" t="n">
        <x:v>0.004096</x:v>
      </x:c>
      <x:c r="G5064" s="10" t="n">
        <x:f>SUM(D5064:F5064)</x:f>
        <x:v>560.013696019</x:v>
      </x:c>
    </x:row>
    <x:row r="5065" ht="24" customHeight="1">
      <x:c r="A5065" s="10" t="str">
        <x:v>S08-04</x:v>
      </x:c>
      <x:c r="B5065" s="10" t="str">
        <x:v>B</x:v>
      </x:c>
      <x:c r="C5065" s="18" t="n">
        <x:v>1.319333233</x:v>
      </x:c>
      <x:c r="D5065" s="10" t="n">
        <x:v>560</x:v>
      </x:c>
      <x:c r="E5065" s="10" t="n">
        <x:v>0.017279981</x:v>
      </x:c>
      <x:c r="F5065" s="10" t="n">
        <x:v>0.004096</x:v>
      </x:c>
      <x:c r="G5065" s="10" t="n">
        <x:f>SUM(D5065:F5065)</x:f>
        <x:v>560.021375981</x:v>
      </x:c>
    </x:row>
    <x:row r="5066" ht="24" customHeight="1">
      <x:c r="A5066" s="10" t="str">
        <x:v>S08-04</x:v>
      </x:c>
      <x:c r="B5066" s="10" t="str">
        <x:v>B</x:v>
      </x:c>
      <x:c r="C5066" s="18" t="n">
        <x:v>1.319333333</x:v>
      </x:c>
      <x:c r="D5066" s="10" t="n">
        <x:v>560</x:v>
      </x:c>
      <x:c r="E5066" s="10" t="n">
        <x:v>0.01728</x:v>
      </x:c>
      <x:c r="F5066" s="10" t="n">
        <x:v>0.004096</x:v>
      </x:c>
      <x:c r="G5066" s="10" t="n">
        <x:f>SUM(D5066:F5066)</x:f>
        <x:v>560.021376</x:v>
      </x:c>
    </x:row>
    <x:row r="5067" ht="24" customHeight="1">
      <x:c r="A5067" s="10" t="str">
        <x:v>S08-04</x:v>
      </x:c>
      <x:c r="B5067" s="10" t="str">
        <x:v>B</x:v>
      </x:c>
      <x:c r="C5067" s="18" t="n">
        <x:v>1.319333433</x:v>
      </x:c>
      <x:c r="D5067" s="10" t="n">
        <x:v>560</x:v>
      </x:c>
      <x:c r="E5067" s="10" t="n">
        <x:v>0.017280014</x:v>
      </x:c>
      <x:c r="F5067" s="10" t="n">
        <x:v>0.004096</x:v>
      </x:c>
      <x:c r="G5067" s="10" t="n">
        <x:f>SUM(D5067:F5067)</x:f>
        <x:v>560.021376014</x:v>
      </x:c>
    </x:row>
    <x:row r="5068" ht="24" customHeight="1">
      <x:c r="A5068" s="10" t="str">
        <x:v>S08-04</x:v>
      </x:c>
      <x:c r="B5068" s="10" t="str">
        <x:v>B</x:v>
      </x:c>
      <x:c r="C5068" s="18" t="n">
        <x:v>1.924833233</x:v>
      </x:c>
      <x:c r="D5068" s="10" t="n">
        <x:v>560</x:v>
      </x:c>
      <x:c r="E5068" s="10" t="n">
        <x:v>0.104471986</x:v>
      </x:c>
      <x:c r="F5068" s="10" t="n">
        <x:v>0.004096</x:v>
      </x:c>
      <x:c r="G5068" s="10" t="n">
        <x:f>SUM(D5068:F5068)</x:f>
        <x:v>560.108567986</x:v>
      </x:c>
    </x:row>
    <x:row r="5069" ht="24" customHeight="1">
      <x:c r="A5069" s="10" t="str">
        <x:v>S08-04</x:v>
      </x:c>
      <x:c r="B5069" s="10" t="str">
        <x:v>B</x:v>
      </x:c>
      <x:c r="C5069" s="18" t="n">
        <x:v>1.924833333</x:v>
      </x:c>
      <x:c r="D5069" s="10" t="n">
        <x:v>560</x:v>
      </x:c>
      <x:c r="E5069" s="10" t="n">
        <x:v>0.104472</x:v>
      </x:c>
      <x:c r="F5069" s="10" t="n">
        <x:v>0.004096</x:v>
      </x:c>
      <x:c r="G5069" s="10" t="n">
        <x:f>SUM(D5069:F5069)</x:f>
        <x:v>560.108568</x:v>
      </x:c>
    </x:row>
    <x:row r="5070" ht="24" customHeight="1">
      <x:c r="A5070" s="10" t="str">
        <x:v>S08-04</x:v>
      </x:c>
      <x:c r="B5070" s="10" t="str">
        <x:v>B</x:v>
      </x:c>
      <x:c r="C5070" s="18" t="n">
        <x:v>1.924833433</x:v>
      </x:c>
      <x:c r="D5070" s="10" t="n">
        <x:v>560</x:v>
      </x:c>
      <x:c r="E5070" s="10" t="n">
        <x:v>0.104471995</x:v>
      </x:c>
      <x:c r="F5070" s="10" t="n">
        <x:v>0.004096</x:v>
      </x:c>
      <x:c r="G5070" s="10" t="n">
        <x:f>SUM(D5070:F5070)</x:f>
        <x:v>560.108567995</x:v>
      </x:c>
    </x:row>
    <x:row r="5071" ht="24" customHeight="1">
      <x:c r="A5071" s="10" t="str">
        <x:v>S08-04</x:v>
      </x:c>
      <x:c r="B5071" s="10" t="str">
        <x:v>B</x:v>
      </x:c>
      <x:c r="C5071" s="18" t="n">
        <x:v>4.101333233</x:v>
      </x:c>
      <x:c r="D5071" s="10" t="n">
        <x:v>560</x:v>
      </x:c>
      <x:c r="E5071" s="10" t="n">
        <x:v>5e-9</x:v>
      </x:c>
      <x:c r="F5071" s="10" t="n">
        <x:v>0.004096</x:v>
      </x:c>
      <x:c r="G5071" s="10" t="n">
        <x:f>SUM(D5071:F5071)</x:f>
        <x:v>560.004096005</x:v>
      </x:c>
    </x:row>
    <x:row r="5072" ht="24" customHeight="1">
      <x:c r="A5072" s="10" t="str">
        <x:v>S08-04</x:v>
      </x:c>
      <x:c r="B5072" s="10" t="str">
        <x:v>B</x:v>
      </x:c>
      <x:c r="C5072" s="18" t="n">
        <x:v>4.101333333</x:v>
      </x:c>
      <x:c r="D5072" s="10" t="n">
        <x:v>560</x:v>
      </x:c>
      <x:c r="E5072" s="10" t="n">
        <x:v>0</x:v>
      </x:c>
      <x:c r="F5072" s="10" t="n">
        <x:v>0.004096</x:v>
      </x:c>
      <x:c r="G5072" s="10" t="n">
        <x:f>SUM(D5072:F5072)</x:f>
        <x:v>560.004096</x:v>
      </x:c>
    </x:row>
    <x:row r="5073" ht="24" customHeight="1">
      <x:c r="A5073" s="10" t="str">
        <x:v>S08-04</x:v>
      </x:c>
      <x:c r="B5073" s="10" t="str">
        <x:v>B</x:v>
      </x:c>
      <x:c r="C5073" s="18" t="n">
        <x:v>4.101333433</x:v>
      </x:c>
      <x:c r="D5073" s="10" t="n">
        <x:v>560</x:v>
      </x:c>
      <x:c r="E5073" s="10" t="n">
        <x:v>0</x:v>
      </x:c>
      <x:c r="F5073" s="10" t="n">
        <x:v>0</x:v>
      </x:c>
      <x:c r="G5073" s="10" t="n">
        <x:f>SUM(D5073:F5073)</x:f>
        <x:v>560</x:v>
      </x:c>
    </x:row>
    <x:row r="5074" ht="24" customHeight="1">
      <x:c r="A5074" s="10" t="str">
        <x:v>S08-05</x:v>
      </x:c>
      <x:c r="B5074" s="10" t="str">
        <x:v>A</x:v>
      </x:c>
      <x:c r="C5074" s="18" t="n">
        <x:v>-6.0000001</x:v>
      </x:c>
      <x:c r="D5074" s="10" t="n">
        <x:v>560</x:v>
      </x:c>
      <x:c r="E5074" s="10" t="n">
        <x:v>0</x:v>
      </x:c>
      <x:c r="F5074" s="10" t="n">
        <x:v>0</x:v>
      </x:c>
      <x:c r="G5074" s="10" t="n">
        <x:f>SUM(D5074:F5074)</x:f>
        <x:v>560</x:v>
      </x:c>
    </x:row>
    <x:row r="5075" ht="24" customHeight="1">
      <x:c r="A5075" s="10" t="str">
        <x:v>S08-05</x:v>
      </x:c>
      <x:c r="B5075" s="10" t="str">
        <x:v>A</x:v>
      </x:c>
      <x:c r="C5075" s="18" t="n">
        <x:v>-6</x:v>
      </x:c>
      <x:c r="D5075" s="10" t="n">
        <x:v>560</x:v>
      </x:c>
      <x:c r="E5075" s="10" t="n">
        <x:v>0</x:v>
      </x:c>
      <x:c r="F5075" s="10" t="n">
        <x:v>0</x:v>
      </x:c>
      <x:c r="G5075" s="10" t="n">
        <x:f>SUM(D5075:F5075)</x:f>
        <x:v>560</x:v>
      </x:c>
    </x:row>
    <x:row r="5076" ht="24" customHeight="1">
      <x:c r="A5076" s="10" t="str">
        <x:v>S08-05</x:v>
      </x:c>
      <x:c r="B5076" s="10" t="str">
        <x:v>A</x:v>
      </x:c>
      <x:c r="C5076" s="18" t="n">
        <x:v>-5.9999999</x:v>
      </x:c>
      <x:c r="D5076" s="10" t="n">
        <x:v>560</x:v>
      </x:c>
      <x:c r="E5076" s="10" t="n">
        <x:v>0</x:v>
      </x:c>
      <x:c r="F5076" s="10" t="n">
        <x:v>0</x:v>
      </x:c>
      <x:c r="G5076" s="10" t="n">
        <x:f>SUM(D5076:F5076)</x:f>
        <x:v>560</x:v>
      </x:c>
    </x:row>
    <x:row r="5077" ht="24" customHeight="1">
      <x:c r="A5077" s="10" t="str">
        <x:v>S08-05</x:v>
      </x:c>
      <x:c r="B5077" s="10" t="str">
        <x:v>A</x:v>
      </x:c>
      <x:c r="C5077" s="18" t="n">
        <x:v>-1e-7</x:v>
      </x:c>
      <x:c r="D5077" s="10" t="n">
        <x:v>560</x:v>
      </x:c>
      <x:c r="E5077" s="10" t="n">
        <x:v>0</x:v>
      </x:c>
      <x:c r="F5077" s="10" t="n">
        <x:v>0</x:v>
      </x:c>
      <x:c r="G5077" s="10" t="n">
        <x:f>SUM(D5077:F5077)</x:f>
        <x:v>560</x:v>
      </x:c>
    </x:row>
    <x:row r="5078" ht="24" customHeight="1">
      <x:c r="A5078" s="10" t="str">
        <x:v>S08-05</x:v>
      </x:c>
      <x:c r="B5078" s="10" t="str">
        <x:v>A</x:v>
      </x:c>
      <x:c r="C5078" s="18" t="n">
        <x:v>0</x:v>
      </x:c>
      <x:c r="D5078" s="10" t="n">
        <x:v>560</x:v>
      </x:c>
      <x:c r="E5078" s="10" t="n">
        <x:v>0</x:v>
      </x:c>
      <x:c r="F5078" s="10" t="n">
        <x:v>0</x:v>
      </x:c>
      <x:c r="G5078" s="10" t="n">
        <x:f>SUM(D5078:F5078)</x:f>
        <x:v>560</x:v>
      </x:c>
    </x:row>
    <x:row r="5079" ht="24" customHeight="1">
      <x:c r="A5079" s="10" t="str">
        <x:v>S08-05</x:v>
      </x:c>
      <x:c r="B5079" s="10" t="str">
        <x:v>A</x:v>
      </x:c>
      <x:c r="C5079" s="18" t="n">
        <x:v>1e-7</x:v>
      </x:c>
      <x:c r="D5079" s="10" t="n">
        <x:v>560</x:v>
      </x:c>
      <x:c r="E5079" s="10" t="n">
        <x:v>0</x:v>
      </x:c>
      <x:c r="F5079" s="10" t="n">
        <x:v>0</x:v>
      </x:c>
      <x:c r="G5079" s="10" t="n">
        <x:f>SUM(D5079:F5079)</x:f>
        <x:v>560</x:v>
      </x:c>
    </x:row>
    <x:row r="5080" ht="24" customHeight="1">
      <x:c r="A5080" s="10" t="str">
        <x:v>S08-05</x:v>
      </x:c>
      <x:c r="B5080" s="10" t="str">
        <x:v>A</x:v>
      </x:c>
      <x:c r="C5080" s="18" t="n">
        <x:v>0.856666567</x:v>
      </x:c>
      <x:c r="D5080" s="10" t="n">
        <x:v>560</x:v>
      </x:c>
      <x:c r="E5080" s="10" t="n">
        <x:v>0</x:v>
      </x:c>
      <x:c r="F5080" s="10" t="n">
        <x:v>0</x:v>
      </x:c>
      <x:c r="G5080" s="10" t="n">
        <x:f>SUM(D5080:F5080)</x:f>
        <x:v>560</x:v>
      </x:c>
    </x:row>
    <x:row r="5081" ht="24" customHeight="1">
      <x:c r="A5081" s="10" t="str">
        <x:v>S08-05</x:v>
      </x:c>
      <x:c r="B5081" s="10" t="str">
        <x:v>A</x:v>
      </x:c>
      <x:c r="C5081" s="18" t="n">
        <x:v>0.856666667</x:v>
      </x:c>
      <x:c r="D5081" s="10" t="n">
        <x:v>560</x:v>
      </x:c>
      <x:c r="E5081" s="10" t="n">
        <x:v>0</x:v>
      </x:c>
      <x:c r="F5081" s="10" t="n">
        <x:v>0.004096</x:v>
      </x:c>
      <x:c r="G5081" s="10" t="n">
        <x:f>SUM(D5081:F5081)</x:f>
        <x:v>560.004096</x:v>
      </x:c>
    </x:row>
    <x:row r="5082" ht="24" customHeight="1">
      <x:c r="A5082" s="10" t="str">
        <x:v>S08-05</x:v>
      </x:c>
      <x:c r="B5082" s="10" t="str">
        <x:v>A</x:v>
      </x:c>
      <x:c r="C5082" s="18" t="n">
        <x:v>0.856666767</x:v>
      </x:c>
      <x:c r="D5082" s="10" t="n">
        <x:v>560</x:v>
      </x:c>
      <x:c r="E5082" s="10" t="n">
        <x:v>0</x:v>
      </x:c>
      <x:c r="F5082" s="10" t="n">
        <x:v>0.004096</x:v>
      </x:c>
      <x:c r="G5082" s="10" t="n">
        <x:f>SUM(D5082:F5082)</x:f>
        <x:v>560.004096</x:v>
      </x:c>
    </x:row>
    <x:row r="5083" ht="24" customHeight="1">
      <x:c r="A5083" s="10" t="str">
        <x:v>S08-05</x:v>
      </x:c>
      <x:c r="B5083" s="10" t="str">
        <x:v>A</x:v>
      </x:c>
      <x:c r="C5083" s="18" t="n">
        <x:v>0.906666567</x:v>
      </x:c>
      <x:c r="D5083" s="10" t="n">
        <x:v>560</x:v>
      </x:c>
      <x:c r="E5083" s="10" t="n">
        <x:v>0</x:v>
      </x:c>
      <x:c r="F5083" s="10" t="n">
        <x:v>0.004096</x:v>
      </x:c>
      <x:c r="G5083" s="10" t="n">
        <x:f>SUM(D5083:F5083)</x:f>
        <x:v>560.004096</x:v>
      </x:c>
    </x:row>
    <x:row r="5084" ht="24" customHeight="1">
      <x:c r="A5084" s="10" t="str">
        <x:v>S08-05</x:v>
      </x:c>
      <x:c r="B5084" s="10" t="str">
        <x:v>A</x:v>
      </x:c>
      <x:c r="C5084" s="18" t="n">
        <x:v>0.906666667</x:v>
      </x:c>
      <x:c r="D5084" s="10" t="n">
        <x:v>560</x:v>
      </x:c>
      <x:c r="E5084" s="10" t="n">
        <x:v>0</x:v>
      </x:c>
      <x:c r="F5084" s="10" t="n">
        <x:v>0.004096</x:v>
      </x:c>
      <x:c r="G5084" s="10" t="n">
        <x:f>SUM(D5084:F5084)</x:f>
        <x:v>560.004096</x:v>
      </x:c>
    </x:row>
    <x:row r="5085" ht="24" customHeight="1">
      <x:c r="A5085" s="10" t="str">
        <x:v>S08-05</x:v>
      </x:c>
      <x:c r="B5085" s="10" t="str">
        <x:v>A</x:v>
      </x:c>
      <x:c r="C5085" s="18" t="n">
        <x:v>0.906666767</x:v>
      </x:c>
      <x:c r="D5085" s="10" t="n">
        <x:v>560</x:v>
      </x:c>
      <x:c r="E5085" s="10" t="n">
        <x:v>0</x:v>
      </x:c>
      <x:c r="F5085" s="10" t="n">
        <x:v>0.004096</x:v>
      </x:c>
      <x:c r="G5085" s="10" t="n">
        <x:f>SUM(D5085:F5085)</x:f>
        <x:v>560.004096</x:v>
      </x:c>
    </x:row>
    <x:row r="5086" ht="24" customHeight="1">
      <x:c r="A5086" s="10" t="str">
        <x:v>S08-05</x:v>
      </x:c>
      <x:c r="B5086" s="10" t="str">
        <x:v>A</x:v>
      </x:c>
      <x:c r="C5086" s="18" t="n">
        <x:v>1.257666567</x:v>
      </x:c>
      <x:c r="D5086" s="10" t="n">
        <x:v>560</x:v>
      </x:c>
      <x:c r="E5086" s="10" t="n">
        <x:v>0</x:v>
      </x:c>
      <x:c r="F5086" s="10" t="n">
        <x:v>0.004096</x:v>
      </x:c>
      <x:c r="G5086" s="10" t="n">
        <x:f>SUM(D5086:F5086)</x:f>
        <x:v>560.004096</x:v>
      </x:c>
    </x:row>
    <x:row r="5087" ht="24" customHeight="1">
      <x:c r="A5087" s="10" t="str">
        <x:v>S08-05</x:v>
      </x:c>
      <x:c r="B5087" s="10" t="str">
        <x:v>A</x:v>
      </x:c>
      <x:c r="C5087" s="18" t="n">
        <x:v>1.257666667</x:v>
      </x:c>
      <x:c r="D5087" s="10" t="n">
        <x:v>560</x:v>
      </x:c>
      <x:c r="E5087" s="10" t="n">
        <x:v>0.0096</x:v>
      </x:c>
      <x:c r="F5087" s="10" t="n">
        <x:v>0.004096</x:v>
      </x:c>
      <x:c r="G5087" s="10" t="n">
        <x:f>SUM(D5087:F5087)</x:f>
        <x:v>560.013696</x:v>
      </x:c>
    </x:row>
    <x:row r="5088" ht="24" customHeight="1">
      <x:c r="A5088" s="10" t="str">
        <x:v>S08-05</x:v>
      </x:c>
      <x:c r="B5088" s="10" t="str">
        <x:v>A</x:v>
      </x:c>
      <x:c r="C5088" s="18" t="n">
        <x:v>1.257666767</x:v>
      </x:c>
      <x:c r="D5088" s="10" t="n">
        <x:v>560</x:v>
      </x:c>
      <x:c r="E5088" s="10" t="n">
        <x:v>0.009600019</x:v>
      </x:c>
      <x:c r="F5088" s="10" t="n">
        <x:v>0.004096</x:v>
      </x:c>
      <x:c r="G5088" s="10" t="n">
        <x:f>SUM(D5088:F5088)</x:f>
        <x:v>560.013696019</x:v>
      </x:c>
    </x:row>
    <x:row r="5089" ht="24" customHeight="1">
      <x:c r="A5089" s="10" t="str">
        <x:v>S08-05</x:v>
      </x:c>
      <x:c r="B5089" s="10" t="str">
        <x:v>A</x:v>
      </x:c>
      <x:c r="C5089" s="18" t="n">
        <x:v>1.297666567</x:v>
      </x:c>
      <x:c r="D5089" s="10" t="n">
        <x:v>560</x:v>
      </x:c>
      <x:c r="E5089" s="10" t="n">
        <x:v>0.017279981</x:v>
      </x:c>
      <x:c r="F5089" s="10" t="n">
        <x:v>0.004096</x:v>
      </x:c>
      <x:c r="G5089" s="10" t="n">
        <x:f>SUM(D5089:F5089)</x:f>
        <x:v>560.021375981</x:v>
      </x:c>
    </x:row>
    <x:row r="5090" ht="24" customHeight="1">
      <x:c r="A5090" s="10" t="str">
        <x:v>S08-05</x:v>
      </x:c>
      <x:c r="B5090" s="10" t="str">
        <x:v>A</x:v>
      </x:c>
      <x:c r="C5090" s="18" t="n">
        <x:v>1.297666667</x:v>
      </x:c>
      <x:c r="D5090" s="10" t="n">
        <x:v>560</x:v>
      </x:c>
      <x:c r="E5090" s="10" t="n">
        <x:v>0.01728</x:v>
      </x:c>
      <x:c r="F5090" s="10" t="n">
        <x:v>0.004096</x:v>
      </x:c>
      <x:c r="G5090" s="10" t="n">
        <x:f>SUM(D5090:F5090)</x:f>
        <x:v>560.021376</x:v>
      </x:c>
    </x:row>
    <x:row r="5091" ht="24" customHeight="1">
      <x:c r="A5091" s="10" t="str">
        <x:v>S08-05</x:v>
      </x:c>
      <x:c r="B5091" s="10" t="str">
        <x:v>A</x:v>
      </x:c>
      <x:c r="C5091" s="18" t="n">
        <x:v>1.297666767</x:v>
      </x:c>
      <x:c r="D5091" s="10" t="n">
        <x:v>560</x:v>
      </x:c>
      <x:c r="E5091" s="10" t="n">
        <x:v>0.017280014</x:v>
      </x:c>
      <x:c r="F5091" s="10" t="n">
        <x:v>0.004096</x:v>
      </x:c>
      <x:c r="G5091" s="10" t="n">
        <x:f>SUM(D5091:F5091)</x:f>
        <x:v>560.021376014</x:v>
      </x:c>
    </x:row>
    <x:row r="5092" ht="24" customHeight="1">
      <x:c r="A5092" s="10" t="str">
        <x:v>S08-05</x:v>
      </x:c>
      <x:c r="B5092" s="10" t="str">
        <x:v>A</x:v>
      </x:c>
      <x:c r="C5092" s="18" t="n">
        <x:v>1.906166567</x:v>
      </x:c>
      <x:c r="D5092" s="10" t="n">
        <x:v>560</x:v>
      </x:c>
      <x:c r="E5092" s="10" t="n">
        <x:v>0.104903986</x:v>
      </x:c>
      <x:c r="F5092" s="10" t="n">
        <x:v>0.004096</x:v>
      </x:c>
      <x:c r="G5092" s="10" t="n">
        <x:f>SUM(D5092:F5092)</x:f>
        <x:v>560.108999986</x:v>
      </x:c>
    </x:row>
    <x:row r="5093" ht="24" customHeight="1">
      <x:c r="A5093" s="10" t="str">
        <x:v>S08-05</x:v>
      </x:c>
      <x:c r="B5093" s="10" t="str">
        <x:v>A</x:v>
      </x:c>
      <x:c r="C5093" s="18" t="n">
        <x:v>1.906166667</x:v>
      </x:c>
      <x:c r="D5093" s="10" t="n">
        <x:v>560</x:v>
      </x:c>
      <x:c r="E5093" s="10" t="n">
        <x:v>0.104904</x:v>
      </x:c>
      <x:c r="F5093" s="10" t="n">
        <x:v>0.004096</x:v>
      </x:c>
      <x:c r="G5093" s="10" t="n">
        <x:f>SUM(D5093:F5093)</x:f>
        <x:v>560.109</x:v>
      </x:c>
    </x:row>
    <x:row r="5094" ht="24" customHeight="1">
      <x:c r="A5094" s="10" t="str">
        <x:v>S08-05</x:v>
      </x:c>
      <x:c r="B5094" s="10" t="str">
        <x:v>A</x:v>
      </x:c>
      <x:c r="C5094" s="18" t="n">
        <x:v>1.906166767</x:v>
      </x:c>
      <x:c r="D5094" s="10" t="n">
        <x:v>560</x:v>
      </x:c>
      <x:c r="E5094" s="10" t="n">
        <x:v>0.104903995</x:v>
      </x:c>
      <x:c r="F5094" s="10" t="n">
        <x:v>0.004096</x:v>
      </x:c>
      <x:c r="G5094" s="10" t="n">
        <x:f>SUM(D5094:F5094)</x:f>
        <x:v>560.108999995</x:v>
      </x:c>
    </x:row>
    <x:row r="5095" ht="24" customHeight="1">
      <x:c r="A5095" s="10" t="str">
        <x:v>S08-05</x:v>
      </x:c>
      <x:c r="B5095" s="10" t="str">
        <x:v>A</x:v>
      </x:c>
      <x:c r="C5095" s="18" t="n">
        <x:v>4.091666567</x:v>
      </x:c>
      <x:c r="D5095" s="10" t="n">
        <x:v>560</x:v>
      </x:c>
      <x:c r="E5095" s="10" t="n">
        <x:v>5e-9</x:v>
      </x:c>
      <x:c r="F5095" s="10" t="n">
        <x:v>0.004096</x:v>
      </x:c>
      <x:c r="G5095" s="10" t="n">
        <x:f>SUM(D5095:F5095)</x:f>
        <x:v>560.004096005</x:v>
      </x:c>
    </x:row>
    <x:row r="5096" ht="24" customHeight="1">
      <x:c r="A5096" s="10" t="str">
        <x:v>S08-05</x:v>
      </x:c>
      <x:c r="B5096" s="10" t="str">
        <x:v>A</x:v>
      </x:c>
      <x:c r="C5096" s="18" t="n">
        <x:v>4.091666667</x:v>
      </x:c>
      <x:c r="D5096" s="10" t="n">
        <x:v>560</x:v>
      </x:c>
      <x:c r="E5096" s="10" t="n">
        <x:v>0</x:v>
      </x:c>
      <x:c r="F5096" s="10" t="n">
        <x:v>0.004096</x:v>
      </x:c>
      <x:c r="G5096" s="10" t="n">
        <x:f>SUM(D5096:F5096)</x:f>
        <x:v>560.004096</x:v>
      </x:c>
    </x:row>
    <x:row r="5097" ht="24" customHeight="1">
      <x:c r="A5097" s="10" t="str">
        <x:v>S08-05</x:v>
      </x:c>
      <x:c r="B5097" s="10" t="str">
        <x:v>A</x:v>
      </x:c>
      <x:c r="C5097" s="18" t="n">
        <x:v>4.091666767</x:v>
      </x:c>
      <x:c r="D5097" s="10" t="n">
        <x:v>560</x:v>
      </x:c>
      <x:c r="E5097" s="10" t="n">
        <x:v>0</x:v>
      </x:c>
      <x:c r="F5097" s="10" t="n">
        <x:v>0</x:v>
      </x:c>
      <x:c r="G5097" s="10" t="n">
        <x:f>SUM(D5097:F5097)</x:f>
        <x:v>560</x:v>
      </x:c>
    </x:row>
    <x:row r="5098" ht="24" customHeight="1">
      <x:c r="A5098" s="10" t="str">
        <x:v>S08-05</x:v>
      </x:c>
      <x:c r="B5098" s="10" t="str">
        <x:v>B</x:v>
      </x:c>
      <x:c r="C5098" s="18" t="n">
        <x:v>-6.0000001</x:v>
      </x:c>
      <x:c r="D5098" s="10" t="n">
        <x:v>560</x:v>
      </x:c>
      <x:c r="E5098" s="10" t="n">
        <x:v>0</x:v>
      </x:c>
      <x:c r="F5098" s="10" t="n">
        <x:v>0</x:v>
      </x:c>
      <x:c r="G5098" s="10" t="n">
        <x:f>SUM(D5098:F5098)</x:f>
        <x:v>560</x:v>
      </x:c>
    </x:row>
    <x:row r="5099" ht="24" customHeight="1">
      <x:c r="A5099" s="10" t="str">
        <x:v>S08-05</x:v>
      </x:c>
      <x:c r="B5099" s="10" t="str">
        <x:v>B</x:v>
      </x:c>
      <x:c r="C5099" s="18" t="n">
        <x:v>-6</x:v>
      </x:c>
      <x:c r="D5099" s="10" t="n">
        <x:v>560</x:v>
      </x:c>
      <x:c r="E5099" s="10" t="n">
        <x:v>0</x:v>
      </x:c>
      <x:c r="F5099" s="10" t="n">
        <x:v>0</x:v>
      </x:c>
      <x:c r="G5099" s="10" t="n">
        <x:f>SUM(D5099:F5099)</x:f>
        <x:v>560</x:v>
      </x:c>
    </x:row>
    <x:row r="5100" ht="24" customHeight="1">
      <x:c r="A5100" s="10" t="str">
        <x:v>S08-05</x:v>
      </x:c>
      <x:c r="B5100" s="10" t="str">
        <x:v>B</x:v>
      </x:c>
      <x:c r="C5100" s="18" t="n">
        <x:v>-5.9999999</x:v>
      </x:c>
      <x:c r="D5100" s="10" t="n">
        <x:v>560</x:v>
      </x:c>
      <x:c r="E5100" s="10" t="n">
        <x:v>0</x:v>
      </x:c>
      <x:c r="F5100" s="10" t="n">
        <x:v>0</x:v>
      </x:c>
      <x:c r="G5100" s="10" t="n">
        <x:f>SUM(D5100:F5100)</x:f>
        <x:v>560</x:v>
      </x:c>
    </x:row>
    <x:row r="5101" ht="24" customHeight="1">
      <x:c r="A5101" s="10" t="str">
        <x:v>S08-05</x:v>
      </x:c>
      <x:c r="B5101" s="10" t="str">
        <x:v>B</x:v>
      </x:c>
      <x:c r="C5101" s="18" t="n">
        <x:v>-1e-7</x:v>
      </x:c>
      <x:c r="D5101" s="10" t="n">
        <x:v>560</x:v>
      </x:c>
      <x:c r="E5101" s="10" t="n">
        <x:v>0</x:v>
      </x:c>
      <x:c r="F5101" s="10" t="n">
        <x:v>0</x:v>
      </x:c>
      <x:c r="G5101" s="10" t="n">
        <x:f>SUM(D5101:F5101)</x:f>
        <x:v>560</x:v>
      </x:c>
    </x:row>
    <x:row r="5102" ht="24" customHeight="1">
      <x:c r="A5102" s="10" t="str">
        <x:v>S08-05</x:v>
      </x:c>
      <x:c r="B5102" s="10" t="str">
        <x:v>B</x:v>
      </x:c>
      <x:c r="C5102" s="18" t="n">
        <x:v>0</x:v>
      </x:c>
      <x:c r="D5102" s="10" t="n">
        <x:v>560</x:v>
      </x:c>
      <x:c r="E5102" s="10" t="n">
        <x:v>0</x:v>
      </x:c>
      <x:c r="F5102" s="10" t="n">
        <x:v>0</x:v>
      </x:c>
      <x:c r="G5102" s="10" t="n">
        <x:f>SUM(D5102:F5102)</x:f>
        <x:v>560</x:v>
      </x:c>
    </x:row>
    <x:row r="5103" ht="24" customHeight="1">
      <x:c r="A5103" s="10" t="str">
        <x:v>S08-05</x:v>
      </x:c>
      <x:c r="B5103" s="10" t="str">
        <x:v>B</x:v>
      </x:c>
      <x:c r="C5103" s="18" t="n">
        <x:v>1e-7</x:v>
      </x:c>
      <x:c r="D5103" s="10" t="n">
        <x:v>560</x:v>
      </x:c>
      <x:c r="E5103" s="10" t="n">
        <x:v>0</x:v>
      </x:c>
      <x:c r="F5103" s="10" t="n">
        <x:v>0</x:v>
      </x:c>
      <x:c r="G5103" s="10" t="n">
        <x:f>SUM(D5103:F5103)</x:f>
        <x:v>560</x:v>
      </x:c>
    </x:row>
    <x:row r="5104" ht="24" customHeight="1">
      <x:c r="A5104" s="10" t="str">
        <x:v>S08-05</x:v>
      </x:c>
      <x:c r="B5104" s="10" t="str">
        <x:v>B</x:v>
      </x:c>
      <x:c r="C5104" s="18" t="n">
        <x:v>0.906666567</x:v>
      </x:c>
      <x:c r="D5104" s="10" t="n">
        <x:v>560</x:v>
      </x:c>
      <x:c r="E5104" s="10" t="n">
        <x:v>0</x:v>
      </x:c>
      <x:c r="F5104" s="10" t="n">
        <x:v>0</x:v>
      </x:c>
      <x:c r="G5104" s="10" t="n">
        <x:f>SUM(D5104:F5104)</x:f>
        <x:v>560</x:v>
      </x:c>
    </x:row>
    <x:row r="5105" ht="24" customHeight="1">
      <x:c r="A5105" s="10" t="str">
        <x:v>S08-05</x:v>
      </x:c>
      <x:c r="B5105" s="10" t="str">
        <x:v>B</x:v>
      </x:c>
      <x:c r="C5105" s="18" t="n">
        <x:v>0.906666667</x:v>
      </x:c>
      <x:c r="D5105" s="10" t="n">
        <x:v>560</x:v>
      </x:c>
      <x:c r="E5105" s="10" t="n">
        <x:v>0</x:v>
      </x:c>
      <x:c r="F5105" s="10" t="n">
        <x:v>0.004096</x:v>
      </x:c>
      <x:c r="G5105" s="10" t="n">
        <x:f>SUM(D5105:F5105)</x:f>
        <x:v>560.004096</x:v>
      </x:c>
    </x:row>
    <x:row r="5106" ht="24" customHeight="1">
      <x:c r="A5106" s="10" t="str">
        <x:v>S08-05</x:v>
      </x:c>
      <x:c r="B5106" s="10" t="str">
        <x:v>B</x:v>
      </x:c>
      <x:c r="C5106" s="18" t="n">
        <x:v>0.906666767</x:v>
      </x:c>
      <x:c r="D5106" s="10" t="n">
        <x:v>560</x:v>
      </x:c>
      <x:c r="E5106" s="10" t="n">
        <x:v>0</x:v>
      </x:c>
      <x:c r="F5106" s="10" t="n">
        <x:v>0.004096</x:v>
      </x:c>
      <x:c r="G5106" s="10" t="n">
        <x:f>SUM(D5106:F5106)</x:f>
        <x:v>560.004096</x:v>
      </x:c>
    </x:row>
    <x:row r="5107" ht="24" customHeight="1">
      <x:c r="A5107" s="10" t="str">
        <x:v>S08-05</x:v>
      </x:c>
      <x:c r="B5107" s="10" t="str">
        <x:v>B</x:v>
      </x:c>
      <x:c r="C5107" s="18" t="n">
        <x:v>1.307666567</x:v>
      </x:c>
      <x:c r="D5107" s="10" t="n">
        <x:v>560</x:v>
      </x:c>
      <x:c r="E5107" s="10" t="n">
        <x:v>0</x:v>
      </x:c>
      <x:c r="F5107" s="10" t="n">
        <x:v>0.004096</x:v>
      </x:c>
      <x:c r="G5107" s="10" t="n">
        <x:f>SUM(D5107:F5107)</x:f>
        <x:v>560.004096</x:v>
      </x:c>
    </x:row>
    <x:row r="5108" ht="24" customHeight="1">
      <x:c r="A5108" s="10" t="str">
        <x:v>S08-05</x:v>
      </x:c>
      <x:c r="B5108" s="10" t="str">
        <x:v>B</x:v>
      </x:c>
      <x:c r="C5108" s="18" t="n">
        <x:v>1.307666667</x:v>
      </x:c>
      <x:c r="D5108" s="10" t="n">
        <x:v>560</x:v>
      </x:c>
      <x:c r="E5108" s="10" t="n">
        <x:v>0.0096</x:v>
      </x:c>
      <x:c r="F5108" s="10" t="n">
        <x:v>0.004096</x:v>
      </x:c>
      <x:c r="G5108" s="10" t="n">
        <x:f>SUM(D5108:F5108)</x:f>
        <x:v>560.013696</x:v>
      </x:c>
    </x:row>
    <x:row r="5109" ht="24" customHeight="1">
      <x:c r="A5109" s="10" t="str">
        <x:v>S08-05</x:v>
      </x:c>
      <x:c r="B5109" s="10" t="str">
        <x:v>B</x:v>
      </x:c>
      <x:c r="C5109" s="18" t="n">
        <x:v>1.307666767</x:v>
      </x:c>
      <x:c r="D5109" s="10" t="n">
        <x:v>560</x:v>
      </x:c>
      <x:c r="E5109" s="10" t="n">
        <x:v>0.009600019</x:v>
      </x:c>
      <x:c r="F5109" s="10" t="n">
        <x:v>0.004096</x:v>
      </x:c>
      <x:c r="G5109" s="10" t="n">
        <x:f>SUM(D5109:F5109)</x:f>
        <x:v>560.013696019</x:v>
      </x:c>
    </x:row>
    <x:row r="5110" ht="24" customHeight="1">
      <x:c r="A5110" s="10" t="str">
        <x:v>S08-05</x:v>
      </x:c>
      <x:c r="B5110" s="10" t="str">
        <x:v>B</x:v>
      </x:c>
      <x:c r="C5110" s="18" t="n">
        <x:v>1.347666567</x:v>
      </x:c>
      <x:c r="D5110" s="10" t="n">
        <x:v>560</x:v>
      </x:c>
      <x:c r="E5110" s="10" t="n">
        <x:v>0.017279981</x:v>
      </x:c>
      <x:c r="F5110" s="10" t="n">
        <x:v>0.004096</x:v>
      </x:c>
      <x:c r="G5110" s="10" t="n">
        <x:f>SUM(D5110:F5110)</x:f>
        <x:v>560.021375981</x:v>
      </x:c>
    </x:row>
    <x:row r="5111" ht="24" customHeight="1">
      <x:c r="A5111" s="10" t="str">
        <x:v>S08-05</x:v>
      </x:c>
      <x:c r="B5111" s="10" t="str">
        <x:v>B</x:v>
      </x:c>
      <x:c r="C5111" s="18" t="n">
        <x:v>1.347666667</x:v>
      </x:c>
      <x:c r="D5111" s="10" t="n">
        <x:v>560</x:v>
      </x:c>
      <x:c r="E5111" s="10" t="n">
        <x:v>0.01728</x:v>
      </x:c>
      <x:c r="F5111" s="10" t="n">
        <x:v>0.004096</x:v>
      </x:c>
      <x:c r="G5111" s="10" t="n">
        <x:f>SUM(D5111:F5111)</x:f>
        <x:v>560.021376</x:v>
      </x:c>
    </x:row>
    <x:row r="5112" ht="24" customHeight="1">
      <x:c r="A5112" s="10" t="str">
        <x:v>S08-05</x:v>
      </x:c>
      <x:c r="B5112" s="10" t="str">
        <x:v>B</x:v>
      </x:c>
      <x:c r="C5112" s="18" t="n">
        <x:v>1.347666767</x:v>
      </x:c>
      <x:c r="D5112" s="10" t="n">
        <x:v>560</x:v>
      </x:c>
      <x:c r="E5112" s="10" t="n">
        <x:v>0.017280014</x:v>
      </x:c>
      <x:c r="F5112" s="10" t="n">
        <x:v>0.004096</x:v>
      </x:c>
      <x:c r="G5112" s="10" t="n">
        <x:f>SUM(D5112:F5112)</x:f>
        <x:v>560.021376014</x:v>
      </x:c>
    </x:row>
    <x:row r="5113" ht="24" customHeight="1">
      <x:c r="A5113" s="10" t="str">
        <x:v>S08-05</x:v>
      </x:c>
      <x:c r="B5113" s="10" t="str">
        <x:v>B</x:v>
      </x:c>
      <x:c r="C5113" s="18" t="n">
        <x:v>1.956166567</x:v>
      </x:c>
      <x:c r="D5113" s="10" t="n">
        <x:v>560</x:v>
      </x:c>
      <x:c r="E5113" s="10" t="n">
        <x:v>0.104903986</x:v>
      </x:c>
      <x:c r="F5113" s="10" t="n">
        <x:v>0.004096</x:v>
      </x:c>
      <x:c r="G5113" s="10" t="n">
        <x:f>SUM(D5113:F5113)</x:f>
        <x:v>560.108999986</x:v>
      </x:c>
    </x:row>
    <x:row r="5114" ht="24" customHeight="1">
      <x:c r="A5114" s="10" t="str">
        <x:v>S08-05</x:v>
      </x:c>
      <x:c r="B5114" s="10" t="str">
        <x:v>B</x:v>
      </x:c>
      <x:c r="C5114" s="18" t="n">
        <x:v>1.956166667</x:v>
      </x:c>
      <x:c r="D5114" s="10" t="n">
        <x:v>560</x:v>
      </x:c>
      <x:c r="E5114" s="10" t="n">
        <x:v>0.104904</x:v>
      </x:c>
      <x:c r="F5114" s="10" t="n">
        <x:v>0.004096</x:v>
      </x:c>
      <x:c r="G5114" s="10" t="n">
        <x:f>SUM(D5114:F5114)</x:f>
        <x:v>560.109</x:v>
      </x:c>
    </x:row>
    <x:row r="5115" ht="24" customHeight="1">
      <x:c r="A5115" s="10" t="str">
        <x:v>S08-05</x:v>
      </x:c>
      <x:c r="B5115" s="10" t="str">
        <x:v>B</x:v>
      </x:c>
      <x:c r="C5115" s="18" t="n">
        <x:v>1.956166767</x:v>
      </x:c>
      <x:c r="D5115" s="10" t="n">
        <x:v>560</x:v>
      </x:c>
      <x:c r="E5115" s="10" t="n">
        <x:v>0.104903995</x:v>
      </x:c>
      <x:c r="F5115" s="10" t="n">
        <x:v>0.004096</x:v>
      </x:c>
      <x:c r="G5115" s="10" t="n">
        <x:f>SUM(D5115:F5115)</x:f>
        <x:v>560.108999995</x:v>
      </x:c>
    </x:row>
    <x:row r="5116" ht="24" customHeight="1">
      <x:c r="A5116" s="10" t="str">
        <x:v>S08-05</x:v>
      </x:c>
      <x:c r="B5116" s="10" t="str">
        <x:v>B</x:v>
      </x:c>
      <x:c r="C5116" s="18" t="n">
        <x:v>4.141666567</x:v>
      </x:c>
      <x:c r="D5116" s="10" t="n">
        <x:v>560</x:v>
      </x:c>
      <x:c r="E5116" s="10" t="n">
        <x:v>5e-9</x:v>
      </x:c>
      <x:c r="F5116" s="10" t="n">
        <x:v>0.004096</x:v>
      </x:c>
      <x:c r="G5116" s="10" t="n">
        <x:f>SUM(D5116:F5116)</x:f>
        <x:v>560.004096005</x:v>
      </x:c>
    </x:row>
    <x:row r="5117" ht="24" customHeight="1">
      <x:c r="A5117" s="10" t="str">
        <x:v>S08-05</x:v>
      </x:c>
      <x:c r="B5117" s="10" t="str">
        <x:v>B</x:v>
      </x:c>
      <x:c r="C5117" s="18" t="n">
        <x:v>4.141666667</x:v>
      </x:c>
      <x:c r="D5117" s="10" t="n">
        <x:v>560</x:v>
      </x:c>
      <x:c r="E5117" s="10" t="n">
        <x:v>0</x:v>
      </x:c>
      <x:c r="F5117" s="10" t="n">
        <x:v>0.004096</x:v>
      </x:c>
      <x:c r="G5117" s="10" t="n">
        <x:f>SUM(D5117:F5117)</x:f>
        <x:v>560.004096</x:v>
      </x:c>
    </x:row>
    <x:row r="5118" ht="24" customHeight="1">
      <x:c r="A5118" s="10" t="str">
        <x:v>S08-05</x:v>
      </x:c>
      <x:c r="B5118" s="10" t="str">
        <x:v>B</x:v>
      </x:c>
      <x:c r="C5118" s="18" t="n">
        <x:v>4.141666767</x:v>
      </x:c>
      <x:c r="D5118" s="10" t="n">
        <x:v>560</x:v>
      </x:c>
      <x:c r="E5118" s="10" t="n">
        <x:v>0</x:v>
      </x:c>
      <x:c r="F5118" s="10" t="n">
        <x:v>0</x:v>
      </x:c>
      <x:c r="G5118" s="10" t="n">
        <x:f>SUM(D5118:F5118)</x:f>
        <x:v>560</x:v>
      </x:c>
    </x:row>
    <x:row r="5119" ht="24" customHeight="1">
      <x:c r="A5119" s="10" t="str">
        <x:v>S08-06</x:v>
      </x:c>
      <x:c r="B5119" s="10" t="str">
        <x:v>A</x:v>
      </x:c>
      <x:c r="C5119" s="18" t="n">
        <x:v>-6.0000001</x:v>
      </x:c>
      <x:c r="D5119" s="10" t="n">
        <x:v>560</x:v>
      </x:c>
      <x:c r="E5119" s="10" t="n">
        <x:v>0</x:v>
      </x:c>
      <x:c r="F5119" s="10" t="n">
        <x:v>0</x:v>
      </x:c>
      <x:c r="G5119" s="10" t="n">
        <x:f>SUM(D5119:F5119)</x:f>
        <x:v>560</x:v>
      </x:c>
    </x:row>
    <x:row r="5120" ht="24" customHeight="1">
      <x:c r="A5120" s="10" t="str">
        <x:v>S08-06</x:v>
      </x:c>
      <x:c r="B5120" s="10" t="str">
        <x:v>A</x:v>
      </x:c>
      <x:c r="C5120" s="18" t="n">
        <x:v>-6</x:v>
      </x:c>
      <x:c r="D5120" s="10" t="n">
        <x:v>560</x:v>
      </x:c>
      <x:c r="E5120" s="10" t="n">
        <x:v>0</x:v>
      </x:c>
      <x:c r="F5120" s="10" t="n">
        <x:v>0</x:v>
      </x:c>
      <x:c r="G5120" s="10" t="n">
        <x:f>SUM(D5120:F5120)</x:f>
        <x:v>560</x:v>
      </x:c>
    </x:row>
    <x:row r="5121" ht="24" customHeight="1">
      <x:c r="A5121" s="10" t="str">
        <x:v>S08-06</x:v>
      </x:c>
      <x:c r="B5121" s="10" t="str">
        <x:v>A</x:v>
      </x:c>
      <x:c r="C5121" s="18" t="n">
        <x:v>-5.9999999</x:v>
      </x:c>
      <x:c r="D5121" s="10" t="n">
        <x:v>560</x:v>
      </x:c>
      <x:c r="E5121" s="10" t="n">
        <x:v>0</x:v>
      </x:c>
      <x:c r="F5121" s="10" t="n">
        <x:v>0</x:v>
      </x:c>
      <x:c r="G5121" s="10" t="n">
        <x:f>SUM(D5121:F5121)</x:f>
        <x:v>560</x:v>
      </x:c>
    </x:row>
    <x:row r="5122" ht="24" customHeight="1">
      <x:c r="A5122" s="10" t="str">
        <x:v>S08-06</x:v>
      </x:c>
      <x:c r="B5122" s="10" t="str">
        <x:v>A</x:v>
      </x:c>
      <x:c r="C5122" s="18" t="n">
        <x:v>-1e-7</x:v>
      </x:c>
      <x:c r="D5122" s="10" t="n">
        <x:v>560</x:v>
      </x:c>
      <x:c r="E5122" s="10" t="n">
        <x:v>0</x:v>
      </x:c>
      <x:c r="F5122" s="10" t="n">
        <x:v>0</x:v>
      </x:c>
      <x:c r="G5122" s="10" t="n">
        <x:f>SUM(D5122:F5122)</x:f>
        <x:v>560</x:v>
      </x:c>
    </x:row>
    <x:row r="5123" ht="24" customHeight="1">
      <x:c r="A5123" s="10" t="str">
        <x:v>S08-06</x:v>
      </x:c>
      <x:c r="B5123" s="10" t="str">
        <x:v>A</x:v>
      </x:c>
      <x:c r="C5123" s="18" t="n">
        <x:v>0</x:v>
      </x:c>
      <x:c r="D5123" s="10" t="n">
        <x:v>560</x:v>
      </x:c>
      <x:c r="E5123" s="10" t="n">
        <x:v>0</x:v>
      </x:c>
      <x:c r="F5123" s="10" t="n">
        <x:v>0</x:v>
      </x:c>
      <x:c r="G5123" s="10" t="n">
        <x:f>SUM(D5123:F5123)</x:f>
        <x:v>560</x:v>
      </x:c>
    </x:row>
    <x:row r="5124" ht="24" customHeight="1">
      <x:c r="A5124" s="10" t="str">
        <x:v>S08-06</x:v>
      </x:c>
      <x:c r="B5124" s="10" t="str">
        <x:v>A</x:v>
      </x:c>
      <x:c r="C5124" s="18" t="n">
        <x:v>1e-7</x:v>
      </x:c>
      <x:c r="D5124" s="10" t="n">
        <x:v>560</x:v>
      </x:c>
      <x:c r="E5124" s="10" t="n">
        <x:v>0</x:v>
      </x:c>
      <x:c r="F5124" s="10" t="n">
        <x:v>0</x:v>
      </x:c>
      <x:c r="G5124" s="10" t="n">
        <x:f>SUM(D5124:F5124)</x:f>
        <x:v>560</x:v>
      </x:c>
    </x:row>
    <x:row r="5125" ht="24" customHeight="1">
      <x:c r="A5125" s="10" t="str">
        <x:v>S08-06</x:v>
      </x:c>
      <x:c r="B5125" s="10" t="str">
        <x:v>A</x:v>
      </x:c>
      <x:c r="C5125" s="18" t="n">
        <x:v>0.8099999</x:v>
      </x:c>
      <x:c r="D5125" s="10" t="n">
        <x:v>560</x:v>
      </x:c>
      <x:c r="E5125" s="10" t="n">
        <x:v>0</x:v>
      </x:c>
      <x:c r="F5125" s="10" t="n">
        <x:v>0</x:v>
      </x:c>
      <x:c r="G5125" s="10" t="n">
        <x:f>SUM(D5125:F5125)</x:f>
        <x:v>560</x:v>
      </x:c>
    </x:row>
    <x:row r="5126" ht="24" customHeight="1">
      <x:c r="A5126" s="10" t="str">
        <x:v>S08-06</x:v>
      </x:c>
      <x:c r="B5126" s="10" t="str">
        <x:v>A</x:v>
      </x:c>
      <x:c r="C5126" s="18" t="n">
        <x:v>0.81</x:v>
      </x:c>
      <x:c r="D5126" s="10" t="n">
        <x:v>560</x:v>
      </x:c>
      <x:c r="E5126" s="10" t="n">
        <x:v>0</x:v>
      </x:c>
      <x:c r="F5126" s="10" t="n">
        <x:v>0.004096</x:v>
      </x:c>
      <x:c r="G5126" s="10" t="n">
        <x:f>SUM(D5126:F5126)</x:f>
        <x:v>560.004096</x:v>
      </x:c>
    </x:row>
    <x:row r="5127" ht="24" customHeight="1">
      <x:c r="A5127" s="10" t="str">
        <x:v>S08-06</x:v>
      </x:c>
      <x:c r="B5127" s="10" t="str">
        <x:v>A</x:v>
      </x:c>
      <x:c r="C5127" s="18" t="n">
        <x:v>0.8100001</x:v>
      </x:c>
      <x:c r="D5127" s="10" t="n">
        <x:v>560</x:v>
      </x:c>
      <x:c r="E5127" s="10" t="n">
        <x:v>0</x:v>
      </x:c>
      <x:c r="F5127" s="10" t="n">
        <x:v>0.004096</x:v>
      </x:c>
      <x:c r="G5127" s="10" t="n">
        <x:f>SUM(D5127:F5127)</x:f>
        <x:v>560.004096</x:v>
      </x:c>
    </x:row>
    <x:row r="5128" ht="24" customHeight="1">
      <x:c r="A5128" s="10" t="str">
        <x:v>S08-06</x:v>
      </x:c>
      <x:c r="B5128" s="10" t="str">
        <x:v>A</x:v>
      </x:c>
      <x:c r="C5128" s="18" t="n">
        <x:v>0.8599999</x:v>
      </x:c>
      <x:c r="D5128" s="10" t="n">
        <x:v>560</x:v>
      </x:c>
      <x:c r="E5128" s="10" t="n">
        <x:v>0</x:v>
      </x:c>
      <x:c r="F5128" s="10" t="n">
        <x:v>0.004096</x:v>
      </x:c>
      <x:c r="G5128" s="10" t="n">
        <x:f>SUM(D5128:F5128)</x:f>
        <x:v>560.004096</x:v>
      </x:c>
    </x:row>
    <x:row r="5129" ht="24" customHeight="1">
      <x:c r="A5129" s="10" t="str">
        <x:v>S08-06</x:v>
      </x:c>
      <x:c r="B5129" s="10" t="str">
        <x:v>A</x:v>
      </x:c>
      <x:c r="C5129" s="18" t="n">
        <x:v>0.86</x:v>
      </x:c>
      <x:c r="D5129" s="10" t="n">
        <x:v>560</x:v>
      </x:c>
      <x:c r="E5129" s="10" t="n">
        <x:v>0</x:v>
      </x:c>
      <x:c r="F5129" s="10" t="n">
        <x:v>0.004096</x:v>
      </x:c>
      <x:c r="G5129" s="10" t="n">
        <x:f>SUM(D5129:F5129)</x:f>
        <x:v>560.004096</x:v>
      </x:c>
    </x:row>
    <x:row r="5130" ht="24" customHeight="1">
      <x:c r="A5130" s="10" t="str">
        <x:v>S08-06</x:v>
      </x:c>
      <x:c r="B5130" s="10" t="str">
        <x:v>A</x:v>
      </x:c>
      <x:c r="C5130" s="18" t="n">
        <x:v>0.8600001</x:v>
      </x:c>
      <x:c r="D5130" s="10" t="n">
        <x:v>560</x:v>
      </x:c>
      <x:c r="E5130" s="10" t="n">
        <x:v>0</x:v>
      </x:c>
      <x:c r="F5130" s="10" t="n">
        <x:v>0.004096</x:v>
      </x:c>
      <x:c r="G5130" s="10" t="n">
        <x:f>SUM(D5130:F5130)</x:f>
        <x:v>560.004096</x:v>
      </x:c>
    </x:row>
    <x:row r="5131" ht="24" customHeight="1">
      <x:c r="A5131" s="10" t="str">
        <x:v>S08-06</x:v>
      </x:c>
      <x:c r="B5131" s="10" t="str">
        <x:v>A</x:v>
      </x:c>
      <x:c r="C5131" s="18" t="n">
        <x:v>1.2109999</x:v>
      </x:c>
      <x:c r="D5131" s="10" t="n">
        <x:v>560</x:v>
      </x:c>
      <x:c r="E5131" s="10" t="n">
        <x:v>0</x:v>
      </x:c>
      <x:c r="F5131" s="10" t="n">
        <x:v>0.004096</x:v>
      </x:c>
      <x:c r="G5131" s="10" t="n">
        <x:f>SUM(D5131:F5131)</x:f>
        <x:v>560.004096</x:v>
      </x:c>
    </x:row>
    <x:row r="5132" ht="24" customHeight="1">
      <x:c r="A5132" s="10" t="str">
        <x:v>S08-06</x:v>
      </x:c>
      <x:c r="B5132" s="10" t="str">
        <x:v>A</x:v>
      </x:c>
      <x:c r="C5132" s="18" t="n">
        <x:v>1.211</x:v>
      </x:c>
      <x:c r="D5132" s="10" t="n">
        <x:v>560</x:v>
      </x:c>
      <x:c r="E5132" s="10" t="n">
        <x:v>0.0096</x:v>
      </x:c>
      <x:c r="F5132" s="10" t="n">
        <x:v>0.004096</x:v>
      </x:c>
      <x:c r="G5132" s="10" t="n">
        <x:f>SUM(D5132:F5132)</x:f>
        <x:v>560.013696</x:v>
      </x:c>
    </x:row>
    <x:row r="5133" ht="24" customHeight="1">
      <x:c r="A5133" s="10" t="str">
        <x:v>S08-06</x:v>
      </x:c>
      <x:c r="B5133" s="10" t="str">
        <x:v>A</x:v>
      </x:c>
      <x:c r="C5133" s="18" t="n">
        <x:v>1.2110001</x:v>
      </x:c>
      <x:c r="D5133" s="10" t="n">
        <x:v>560</x:v>
      </x:c>
      <x:c r="E5133" s="10" t="n">
        <x:v>0.009600019</x:v>
      </x:c>
      <x:c r="F5133" s="10" t="n">
        <x:v>0.004096</x:v>
      </x:c>
      <x:c r="G5133" s="10" t="n">
        <x:f>SUM(D5133:F5133)</x:f>
        <x:v>560.013696019</x:v>
      </x:c>
    </x:row>
    <x:row r="5134" ht="24" customHeight="1">
      <x:c r="A5134" s="10" t="str">
        <x:v>S08-06</x:v>
      </x:c>
      <x:c r="B5134" s="10" t="str">
        <x:v>A</x:v>
      </x:c>
      <x:c r="C5134" s="18" t="n">
        <x:v>1.2509999</x:v>
      </x:c>
      <x:c r="D5134" s="10" t="n">
        <x:v>560</x:v>
      </x:c>
      <x:c r="E5134" s="10" t="n">
        <x:v>0.017279981</x:v>
      </x:c>
      <x:c r="F5134" s="10" t="n">
        <x:v>0.004096</x:v>
      </x:c>
      <x:c r="G5134" s="10" t="n">
        <x:f>SUM(D5134:F5134)</x:f>
        <x:v>560.021375981</x:v>
      </x:c>
    </x:row>
    <x:row r="5135" ht="24" customHeight="1">
      <x:c r="A5135" s="10" t="str">
        <x:v>S08-06</x:v>
      </x:c>
      <x:c r="B5135" s="10" t="str">
        <x:v>A</x:v>
      </x:c>
      <x:c r="C5135" s="18" t="n">
        <x:v>1.251</x:v>
      </x:c>
      <x:c r="D5135" s="10" t="n">
        <x:v>560</x:v>
      </x:c>
      <x:c r="E5135" s="10" t="n">
        <x:v>0.01728</x:v>
      </x:c>
      <x:c r="F5135" s="10" t="n">
        <x:v>0.004096</x:v>
      </x:c>
      <x:c r="G5135" s="10" t="n">
        <x:f>SUM(D5135:F5135)</x:f>
        <x:v>560.021376</x:v>
      </x:c>
    </x:row>
    <x:row r="5136" ht="24" customHeight="1">
      <x:c r="A5136" s="10" t="str">
        <x:v>S08-06</x:v>
      </x:c>
      <x:c r="B5136" s="10" t="str">
        <x:v>A</x:v>
      </x:c>
      <x:c r="C5136" s="18" t="n">
        <x:v>1.2510001</x:v>
      </x:c>
      <x:c r="D5136" s="10" t="n">
        <x:v>560</x:v>
      </x:c>
      <x:c r="E5136" s="10" t="n">
        <x:v>0.017280014</x:v>
      </x:c>
      <x:c r="F5136" s="10" t="n">
        <x:v>0.004096</x:v>
      </x:c>
      <x:c r="G5136" s="10" t="n">
        <x:f>SUM(D5136:F5136)</x:f>
        <x:v>560.021376014</x:v>
      </x:c>
    </x:row>
    <x:row r="5137" ht="24" customHeight="1">
      <x:c r="A5137" s="10" t="str">
        <x:v>S08-06</x:v>
      </x:c>
      <x:c r="B5137" s="10" t="str">
        <x:v>A</x:v>
      </x:c>
      <x:c r="C5137" s="18" t="n">
        <x:v>1.8624999</x:v>
      </x:c>
      <x:c r="D5137" s="10" t="n">
        <x:v>560</x:v>
      </x:c>
      <x:c r="E5137" s="10" t="n">
        <x:v>0.105335986</x:v>
      </x:c>
      <x:c r="F5137" s="10" t="n">
        <x:v>0.004096</x:v>
      </x:c>
      <x:c r="G5137" s="10" t="n">
        <x:f>SUM(D5137:F5137)</x:f>
        <x:v>560.109431986</x:v>
      </x:c>
    </x:row>
    <x:row r="5138" ht="24" customHeight="1">
      <x:c r="A5138" s="10" t="str">
        <x:v>S08-06</x:v>
      </x:c>
      <x:c r="B5138" s="10" t="str">
        <x:v>A</x:v>
      </x:c>
      <x:c r="C5138" s="18" t="n">
        <x:v>1.8625</x:v>
      </x:c>
      <x:c r="D5138" s="10" t="n">
        <x:v>560</x:v>
      </x:c>
      <x:c r="E5138" s="10" t="n">
        <x:v>0.105336</x:v>
      </x:c>
      <x:c r="F5138" s="10" t="n">
        <x:v>0.004096</x:v>
      </x:c>
      <x:c r="G5138" s="10" t="n">
        <x:f>SUM(D5138:F5138)</x:f>
        <x:v>560.109432</x:v>
      </x:c>
    </x:row>
    <x:row r="5139" ht="24" customHeight="1">
      <x:c r="A5139" s="10" t="str">
        <x:v>S08-06</x:v>
      </x:c>
      <x:c r="B5139" s="10" t="str">
        <x:v>A</x:v>
      </x:c>
      <x:c r="C5139" s="18" t="n">
        <x:v>1.8625001</x:v>
      </x:c>
      <x:c r="D5139" s="10" t="n">
        <x:v>560</x:v>
      </x:c>
      <x:c r="E5139" s="10" t="n">
        <x:v>0.105335995</x:v>
      </x:c>
      <x:c r="F5139" s="10" t="n">
        <x:v>0.004096</x:v>
      </x:c>
      <x:c r="G5139" s="10" t="n">
        <x:f>SUM(D5139:F5139)</x:f>
        <x:v>560.109431995</x:v>
      </x:c>
    </x:row>
    <x:row r="5140" ht="24" customHeight="1">
      <x:c r="A5140" s="10" t="str">
        <x:v>S08-06</x:v>
      </x:c>
      <x:c r="B5140" s="10" t="str">
        <x:v>A</x:v>
      </x:c>
      <x:c r="C5140" s="18" t="n">
        <x:v>4.0569999</x:v>
      </x:c>
      <x:c r="D5140" s="10" t="n">
        <x:v>560</x:v>
      </x:c>
      <x:c r="E5140" s="10" t="n">
        <x:v>5e-9</x:v>
      </x:c>
      <x:c r="F5140" s="10" t="n">
        <x:v>0.004096</x:v>
      </x:c>
      <x:c r="G5140" s="10" t="n">
        <x:f>SUM(D5140:F5140)</x:f>
        <x:v>560.004096005</x:v>
      </x:c>
    </x:row>
    <x:row r="5141" ht="24" customHeight="1">
      <x:c r="A5141" s="10" t="str">
        <x:v>S08-06</x:v>
      </x:c>
      <x:c r="B5141" s="10" t="str">
        <x:v>A</x:v>
      </x:c>
      <x:c r="C5141" s="18" t="n">
        <x:v>4.057</x:v>
      </x:c>
      <x:c r="D5141" s="10" t="n">
        <x:v>560</x:v>
      </x:c>
      <x:c r="E5141" s="10" t="n">
        <x:v>0</x:v>
      </x:c>
      <x:c r="F5141" s="10" t="n">
        <x:v>0.004096</x:v>
      </x:c>
      <x:c r="G5141" s="10" t="n">
        <x:f>SUM(D5141:F5141)</x:f>
        <x:v>560.004096</x:v>
      </x:c>
    </x:row>
    <x:row r="5142" ht="24" customHeight="1">
      <x:c r="A5142" s="10" t="str">
        <x:v>S08-06</x:v>
      </x:c>
      <x:c r="B5142" s="10" t="str">
        <x:v>A</x:v>
      </x:c>
      <x:c r="C5142" s="18" t="n">
        <x:v>4.0570001</x:v>
      </x:c>
      <x:c r="D5142" s="10" t="n">
        <x:v>560</x:v>
      </x:c>
      <x:c r="E5142" s="10" t="n">
        <x:v>0</x:v>
      </x:c>
      <x:c r="F5142" s="10" t="n">
        <x:v>0</x:v>
      </x:c>
      <x:c r="G5142" s="10" t="n">
        <x:f>SUM(D5142:F5142)</x:f>
        <x:v>560</x:v>
      </x:c>
    </x:row>
    <x:row r="5143" ht="24" customHeight="1">
      <x:c r="A5143" s="10" t="str">
        <x:v>S08-06</x:v>
      </x:c>
      <x:c r="B5143" s="10" t="str">
        <x:v>B</x:v>
      </x:c>
      <x:c r="C5143" s="18" t="n">
        <x:v>-6.0000001</x:v>
      </x:c>
      <x:c r="D5143" s="10" t="n">
        <x:v>560</x:v>
      </x:c>
      <x:c r="E5143" s="10" t="n">
        <x:v>0</x:v>
      </x:c>
      <x:c r="F5143" s="10" t="n">
        <x:v>0</x:v>
      </x:c>
      <x:c r="G5143" s="10" t="n">
        <x:f>SUM(D5143:F5143)</x:f>
        <x:v>560</x:v>
      </x:c>
    </x:row>
    <x:row r="5144" ht="24" customHeight="1">
      <x:c r="A5144" s="10" t="str">
        <x:v>S08-06</x:v>
      </x:c>
      <x:c r="B5144" s="10" t="str">
        <x:v>B</x:v>
      </x:c>
      <x:c r="C5144" s="18" t="n">
        <x:v>-6</x:v>
      </x:c>
      <x:c r="D5144" s="10" t="n">
        <x:v>560</x:v>
      </x:c>
      <x:c r="E5144" s="10" t="n">
        <x:v>0</x:v>
      </x:c>
      <x:c r="F5144" s="10" t="n">
        <x:v>0</x:v>
      </x:c>
      <x:c r="G5144" s="10" t="n">
        <x:f>SUM(D5144:F5144)</x:f>
        <x:v>560</x:v>
      </x:c>
    </x:row>
    <x:row r="5145" ht="24" customHeight="1">
      <x:c r="A5145" s="10" t="str">
        <x:v>S08-06</x:v>
      </x:c>
      <x:c r="B5145" s="10" t="str">
        <x:v>B</x:v>
      </x:c>
      <x:c r="C5145" s="18" t="n">
        <x:v>-5.9999999</x:v>
      </x:c>
      <x:c r="D5145" s="10" t="n">
        <x:v>560</x:v>
      </x:c>
      <x:c r="E5145" s="10" t="n">
        <x:v>0</x:v>
      </x:c>
      <x:c r="F5145" s="10" t="n">
        <x:v>0</x:v>
      </x:c>
      <x:c r="G5145" s="10" t="n">
        <x:f>SUM(D5145:F5145)</x:f>
        <x:v>560</x:v>
      </x:c>
    </x:row>
    <x:row r="5146" ht="24" customHeight="1">
      <x:c r="A5146" s="10" t="str">
        <x:v>S08-06</x:v>
      </x:c>
      <x:c r="B5146" s="10" t="str">
        <x:v>B</x:v>
      </x:c>
      <x:c r="C5146" s="18" t="n">
        <x:v>-1e-7</x:v>
      </x:c>
      <x:c r="D5146" s="10" t="n">
        <x:v>560</x:v>
      </x:c>
      <x:c r="E5146" s="10" t="n">
        <x:v>0</x:v>
      </x:c>
      <x:c r="F5146" s="10" t="n">
        <x:v>0</x:v>
      </x:c>
      <x:c r="G5146" s="10" t="n">
        <x:f>SUM(D5146:F5146)</x:f>
        <x:v>560</x:v>
      </x:c>
    </x:row>
    <x:row r="5147" ht="24" customHeight="1">
      <x:c r="A5147" s="10" t="str">
        <x:v>S08-06</x:v>
      </x:c>
      <x:c r="B5147" s="10" t="str">
        <x:v>B</x:v>
      </x:c>
      <x:c r="C5147" s="18" t="n">
        <x:v>0</x:v>
      </x:c>
      <x:c r="D5147" s="10" t="n">
        <x:v>560</x:v>
      </x:c>
      <x:c r="E5147" s="10" t="n">
        <x:v>0</x:v>
      </x:c>
      <x:c r="F5147" s="10" t="n">
        <x:v>0</x:v>
      </x:c>
      <x:c r="G5147" s="10" t="n">
        <x:f>SUM(D5147:F5147)</x:f>
        <x:v>560</x:v>
      </x:c>
    </x:row>
    <x:row r="5148" ht="24" customHeight="1">
      <x:c r="A5148" s="10" t="str">
        <x:v>S08-06</x:v>
      </x:c>
      <x:c r="B5148" s="10" t="str">
        <x:v>B</x:v>
      </x:c>
      <x:c r="C5148" s="18" t="n">
        <x:v>1e-7</x:v>
      </x:c>
      <x:c r="D5148" s="10" t="n">
        <x:v>560</x:v>
      </x:c>
      <x:c r="E5148" s="10" t="n">
        <x:v>0</x:v>
      </x:c>
      <x:c r="F5148" s="10" t="n">
        <x:v>0</x:v>
      </x:c>
      <x:c r="G5148" s="10" t="n">
        <x:f>SUM(D5148:F5148)</x:f>
        <x:v>560</x:v>
      </x:c>
    </x:row>
    <x:row r="5149" ht="24" customHeight="1">
      <x:c r="A5149" s="10" t="str">
        <x:v>S08-06</x:v>
      </x:c>
      <x:c r="B5149" s="10" t="str">
        <x:v>B</x:v>
      </x:c>
      <x:c r="C5149" s="18" t="n">
        <x:v>0.8599999</x:v>
      </x:c>
      <x:c r="D5149" s="10" t="n">
        <x:v>560</x:v>
      </x:c>
      <x:c r="E5149" s="10" t="n">
        <x:v>0</x:v>
      </x:c>
      <x:c r="F5149" s="10" t="n">
        <x:v>0</x:v>
      </x:c>
      <x:c r="G5149" s="10" t="n">
        <x:f>SUM(D5149:F5149)</x:f>
        <x:v>560</x:v>
      </x:c>
    </x:row>
    <x:row r="5150" ht="24" customHeight="1">
      <x:c r="A5150" s="10" t="str">
        <x:v>S08-06</x:v>
      </x:c>
      <x:c r="B5150" s="10" t="str">
        <x:v>B</x:v>
      </x:c>
      <x:c r="C5150" s="18" t="n">
        <x:v>0.86</x:v>
      </x:c>
      <x:c r="D5150" s="10" t="n">
        <x:v>560</x:v>
      </x:c>
      <x:c r="E5150" s="10" t="n">
        <x:v>0</x:v>
      </x:c>
      <x:c r="F5150" s="10" t="n">
        <x:v>0.004096</x:v>
      </x:c>
      <x:c r="G5150" s="10" t="n">
        <x:f>SUM(D5150:F5150)</x:f>
        <x:v>560.004096</x:v>
      </x:c>
    </x:row>
    <x:row r="5151" ht="24" customHeight="1">
      <x:c r="A5151" s="10" t="str">
        <x:v>S08-06</x:v>
      </x:c>
      <x:c r="B5151" s="10" t="str">
        <x:v>B</x:v>
      </x:c>
      <x:c r="C5151" s="18" t="n">
        <x:v>0.8600001</x:v>
      </x:c>
      <x:c r="D5151" s="10" t="n">
        <x:v>560</x:v>
      </x:c>
      <x:c r="E5151" s="10" t="n">
        <x:v>0</x:v>
      </x:c>
      <x:c r="F5151" s="10" t="n">
        <x:v>0.004096</x:v>
      </x:c>
      <x:c r="G5151" s="10" t="n">
        <x:f>SUM(D5151:F5151)</x:f>
        <x:v>560.004096</x:v>
      </x:c>
    </x:row>
    <x:row r="5152" ht="24" customHeight="1">
      <x:c r="A5152" s="10" t="str">
        <x:v>S08-06</x:v>
      </x:c>
      <x:c r="B5152" s="10" t="str">
        <x:v>B</x:v>
      </x:c>
      <x:c r="C5152" s="18" t="n">
        <x:v>1.2609999</x:v>
      </x:c>
      <x:c r="D5152" s="10" t="n">
        <x:v>560</x:v>
      </x:c>
      <x:c r="E5152" s="10" t="n">
        <x:v>0</x:v>
      </x:c>
      <x:c r="F5152" s="10" t="n">
        <x:v>0.004096</x:v>
      </x:c>
      <x:c r="G5152" s="10" t="n">
        <x:f>SUM(D5152:F5152)</x:f>
        <x:v>560.004096</x:v>
      </x:c>
    </x:row>
    <x:row r="5153" ht="24" customHeight="1">
      <x:c r="A5153" s="10" t="str">
        <x:v>S08-06</x:v>
      </x:c>
      <x:c r="B5153" s="10" t="str">
        <x:v>B</x:v>
      </x:c>
      <x:c r="C5153" s="18" t="n">
        <x:v>1.261</x:v>
      </x:c>
      <x:c r="D5153" s="10" t="n">
        <x:v>560</x:v>
      </x:c>
      <x:c r="E5153" s="10" t="n">
        <x:v>0.0096</x:v>
      </x:c>
      <x:c r="F5153" s="10" t="n">
        <x:v>0.004096</x:v>
      </x:c>
      <x:c r="G5153" s="10" t="n">
        <x:f>SUM(D5153:F5153)</x:f>
        <x:v>560.013696</x:v>
      </x:c>
    </x:row>
    <x:row r="5154" ht="24" customHeight="1">
      <x:c r="A5154" s="10" t="str">
        <x:v>S08-06</x:v>
      </x:c>
      <x:c r="B5154" s="10" t="str">
        <x:v>B</x:v>
      </x:c>
      <x:c r="C5154" s="18" t="n">
        <x:v>1.2610001</x:v>
      </x:c>
      <x:c r="D5154" s="10" t="n">
        <x:v>560</x:v>
      </x:c>
      <x:c r="E5154" s="10" t="n">
        <x:v>0.009600019</x:v>
      </x:c>
      <x:c r="F5154" s="10" t="n">
        <x:v>0.004096</x:v>
      </x:c>
      <x:c r="G5154" s="10" t="n">
        <x:f>SUM(D5154:F5154)</x:f>
        <x:v>560.013696019</x:v>
      </x:c>
    </x:row>
    <x:row r="5155" ht="24" customHeight="1">
      <x:c r="A5155" s="10" t="str">
        <x:v>S08-06</x:v>
      </x:c>
      <x:c r="B5155" s="10" t="str">
        <x:v>B</x:v>
      </x:c>
      <x:c r="C5155" s="18" t="n">
        <x:v>1.3009999</x:v>
      </x:c>
      <x:c r="D5155" s="10" t="n">
        <x:v>560</x:v>
      </x:c>
      <x:c r="E5155" s="10" t="n">
        <x:v>0.017279981</x:v>
      </x:c>
      <x:c r="F5155" s="10" t="n">
        <x:v>0.004096</x:v>
      </x:c>
      <x:c r="G5155" s="10" t="n">
        <x:f>SUM(D5155:F5155)</x:f>
        <x:v>560.021375981</x:v>
      </x:c>
    </x:row>
    <x:row r="5156" ht="24" customHeight="1">
      <x:c r="A5156" s="10" t="str">
        <x:v>S08-06</x:v>
      </x:c>
      <x:c r="B5156" s="10" t="str">
        <x:v>B</x:v>
      </x:c>
      <x:c r="C5156" s="18" t="n">
        <x:v>1.301</x:v>
      </x:c>
      <x:c r="D5156" s="10" t="n">
        <x:v>560</x:v>
      </x:c>
      <x:c r="E5156" s="10" t="n">
        <x:v>0.01728</x:v>
      </x:c>
      <x:c r="F5156" s="10" t="n">
        <x:v>0.004096</x:v>
      </x:c>
      <x:c r="G5156" s="10" t="n">
        <x:f>SUM(D5156:F5156)</x:f>
        <x:v>560.021376</x:v>
      </x:c>
    </x:row>
    <x:row r="5157" ht="24" customHeight="1">
      <x:c r="A5157" s="10" t="str">
        <x:v>S08-06</x:v>
      </x:c>
      <x:c r="B5157" s="10" t="str">
        <x:v>B</x:v>
      </x:c>
      <x:c r="C5157" s="18" t="n">
        <x:v>1.3010001</x:v>
      </x:c>
      <x:c r="D5157" s="10" t="n">
        <x:v>560</x:v>
      </x:c>
      <x:c r="E5157" s="10" t="n">
        <x:v>0.017280014</x:v>
      </x:c>
      <x:c r="F5157" s="10" t="n">
        <x:v>0.004096</x:v>
      </x:c>
      <x:c r="G5157" s="10" t="n">
        <x:f>SUM(D5157:F5157)</x:f>
        <x:v>560.021376014</x:v>
      </x:c>
    </x:row>
    <x:row r="5158" ht="24" customHeight="1">
      <x:c r="A5158" s="10" t="str">
        <x:v>S08-06</x:v>
      </x:c>
      <x:c r="B5158" s="10" t="str">
        <x:v>B</x:v>
      </x:c>
      <x:c r="C5158" s="18" t="n">
        <x:v>1.9124999</x:v>
      </x:c>
      <x:c r="D5158" s="10" t="n">
        <x:v>560</x:v>
      </x:c>
      <x:c r="E5158" s="10" t="n">
        <x:v>0.105335986</x:v>
      </x:c>
      <x:c r="F5158" s="10" t="n">
        <x:v>0.004096</x:v>
      </x:c>
      <x:c r="G5158" s="10" t="n">
        <x:f>SUM(D5158:F5158)</x:f>
        <x:v>560.109431986</x:v>
      </x:c>
    </x:row>
    <x:row r="5159" ht="24" customHeight="1">
      <x:c r="A5159" s="10" t="str">
        <x:v>S08-06</x:v>
      </x:c>
      <x:c r="B5159" s="10" t="str">
        <x:v>B</x:v>
      </x:c>
      <x:c r="C5159" s="18" t="n">
        <x:v>1.9125</x:v>
      </x:c>
      <x:c r="D5159" s="10" t="n">
        <x:v>560</x:v>
      </x:c>
      <x:c r="E5159" s="10" t="n">
        <x:v>0.105336</x:v>
      </x:c>
      <x:c r="F5159" s="10" t="n">
        <x:v>0.004096</x:v>
      </x:c>
      <x:c r="G5159" s="10" t="n">
        <x:f>SUM(D5159:F5159)</x:f>
        <x:v>560.109432</x:v>
      </x:c>
    </x:row>
    <x:row r="5160" ht="24" customHeight="1">
      <x:c r="A5160" s="10" t="str">
        <x:v>S08-06</x:v>
      </x:c>
      <x:c r="B5160" s="10" t="str">
        <x:v>B</x:v>
      </x:c>
      <x:c r="C5160" s="18" t="n">
        <x:v>1.9125001</x:v>
      </x:c>
      <x:c r="D5160" s="10" t="n">
        <x:v>560</x:v>
      </x:c>
      <x:c r="E5160" s="10" t="n">
        <x:v>0.105335995</x:v>
      </x:c>
      <x:c r="F5160" s="10" t="n">
        <x:v>0.004096</x:v>
      </x:c>
      <x:c r="G5160" s="10" t="n">
        <x:f>SUM(D5160:F5160)</x:f>
        <x:v>560.109431995</x:v>
      </x:c>
    </x:row>
    <x:row r="5161" ht="24" customHeight="1">
      <x:c r="A5161" s="10" t="str">
        <x:v>S08-06</x:v>
      </x:c>
      <x:c r="B5161" s="10" t="str">
        <x:v>B</x:v>
      </x:c>
      <x:c r="C5161" s="18" t="n">
        <x:v>4.1069999</x:v>
      </x:c>
      <x:c r="D5161" s="10" t="n">
        <x:v>560</x:v>
      </x:c>
      <x:c r="E5161" s="10" t="n">
        <x:v>5e-9</x:v>
      </x:c>
      <x:c r="F5161" s="10" t="n">
        <x:v>0.004096</x:v>
      </x:c>
      <x:c r="G5161" s="10" t="n">
        <x:f>SUM(D5161:F5161)</x:f>
        <x:v>560.004096005</x:v>
      </x:c>
    </x:row>
    <x:row r="5162" ht="24" customHeight="1">
      <x:c r="A5162" s="10" t="str">
        <x:v>S08-06</x:v>
      </x:c>
      <x:c r="B5162" s="10" t="str">
        <x:v>B</x:v>
      </x:c>
      <x:c r="C5162" s="18" t="n">
        <x:v>4.107</x:v>
      </x:c>
      <x:c r="D5162" s="10" t="n">
        <x:v>560</x:v>
      </x:c>
      <x:c r="E5162" s="10" t="n">
        <x:v>0</x:v>
      </x:c>
      <x:c r="F5162" s="10" t="n">
        <x:v>0.004096</x:v>
      </x:c>
      <x:c r="G5162" s="10" t="n">
        <x:f>SUM(D5162:F5162)</x:f>
        <x:v>560.004096</x:v>
      </x:c>
    </x:row>
    <x:row r="5163" ht="24" customHeight="1">
      <x:c r="A5163" s="10" t="str">
        <x:v>S08-06</x:v>
      </x:c>
      <x:c r="B5163" s="10" t="str">
        <x:v>B</x:v>
      </x:c>
      <x:c r="C5163" s="18" t="n">
        <x:v>4.1070001</x:v>
      </x:c>
      <x:c r="D5163" s="10" t="n">
        <x:v>560</x:v>
      </x:c>
      <x:c r="E5163" s="10" t="n">
        <x:v>0</x:v>
      </x:c>
      <x:c r="F5163" s="10" t="n">
        <x:v>0</x:v>
      </x:c>
      <x:c r="G5163" s="10" t="n">
        <x:f>SUM(D5163:F5163)</x:f>
        <x:v>560</x:v>
      </x:c>
    </x:row>
    <x:row r="5164" ht="24" customHeight="1">
      <x:c r="A5164" s="10" t="str">
        <x:v>S08-07</x:v>
      </x:c>
      <x:c r="B5164" s="10" t="str">
        <x:v>A</x:v>
      </x:c>
      <x:c r="C5164" s="18" t="n">
        <x:v>-6.0000001</x:v>
      </x:c>
      <x:c r="D5164" s="10" t="n">
        <x:v>560</x:v>
      </x:c>
      <x:c r="E5164" s="10" t="n">
        <x:v>0</x:v>
      </x:c>
      <x:c r="F5164" s="10" t="n">
        <x:v>0</x:v>
      </x:c>
      <x:c r="G5164" s="10" t="n">
        <x:f>SUM(D5164:F5164)</x:f>
        <x:v>560</x:v>
      </x:c>
    </x:row>
    <x:row r="5165" ht="24" customHeight="1">
      <x:c r="A5165" s="10" t="str">
        <x:v>S08-07</x:v>
      </x:c>
      <x:c r="B5165" s="10" t="str">
        <x:v>A</x:v>
      </x:c>
      <x:c r="C5165" s="18" t="n">
        <x:v>-6</x:v>
      </x:c>
      <x:c r="D5165" s="10" t="n">
        <x:v>560</x:v>
      </x:c>
      <x:c r="E5165" s="10" t="n">
        <x:v>0</x:v>
      </x:c>
      <x:c r="F5165" s="10" t="n">
        <x:v>0</x:v>
      </x:c>
      <x:c r="G5165" s="10" t="n">
        <x:f>SUM(D5165:F5165)</x:f>
        <x:v>560</x:v>
      </x:c>
    </x:row>
    <x:row r="5166" ht="24" customHeight="1">
      <x:c r="A5166" s="10" t="str">
        <x:v>S08-07</x:v>
      </x:c>
      <x:c r="B5166" s="10" t="str">
        <x:v>A</x:v>
      </x:c>
      <x:c r="C5166" s="18" t="n">
        <x:v>-5.9999999</x:v>
      </x:c>
      <x:c r="D5166" s="10" t="n">
        <x:v>560</x:v>
      </x:c>
      <x:c r="E5166" s="10" t="n">
        <x:v>0</x:v>
      </x:c>
      <x:c r="F5166" s="10" t="n">
        <x:v>0</x:v>
      </x:c>
      <x:c r="G5166" s="10" t="n">
        <x:f>SUM(D5166:F5166)</x:f>
        <x:v>560</x:v>
      </x:c>
    </x:row>
    <x:row r="5167" ht="24" customHeight="1">
      <x:c r="A5167" s="10" t="str">
        <x:v>S08-07</x:v>
      </x:c>
      <x:c r="B5167" s="10" t="str">
        <x:v>A</x:v>
      </x:c>
      <x:c r="C5167" s="18" t="n">
        <x:v>-1e-7</x:v>
      </x:c>
      <x:c r="D5167" s="10" t="n">
        <x:v>560</x:v>
      </x:c>
      <x:c r="E5167" s="10" t="n">
        <x:v>0</x:v>
      </x:c>
      <x:c r="F5167" s="10" t="n">
        <x:v>0</x:v>
      </x:c>
      <x:c r="G5167" s="10" t="n">
        <x:f>SUM(D5167:F5167)</x:f>
        <x:v>560</x:v>
      </x:c>
    </x:row>
    <x:row r="5168" ht="24" customHeight="1">
      <x:c r="A5168" s="10" t="str">
        <x:v>S08-07</x:v>
      </x:c>
      <x:c r="B5168" s="10" t="str">
        <x:v>A</x:v>
      </x:c>
      <x:c r="C5168" s="18" t="n">
        <x:v>0</x:v>
      </x:c>
      <x:c r="D5168" s="10" t="n">
        <x:v>560</x:v>
      </x:c>
      <x:c r="E5168" s="10" t="n">
        <x:v>0</x:v>
      </x:c>
      <x:c r="F5168" s="10" t="n">
        <x:v>0</x:v>
      </x:c>
      <x:c r="G5168" s="10" t="n">
        <x:f>SUM(D5168:F5168)</x:f>
        <x:v>560</x:v>
      </x:c>
    </x:row>
    <x:row r="5169" ht="24" customHeight="1">
      <x:c r="A5169" s="10" t="str">
        <x:v>S08-07</x:v>
      </x:c>
      <x:c r="B5169" s="10" t="str">
        <x:v>A</x:v>
      </x:c>
      <x:c r="C5169" s="18" t="n">
        <x:v>1e-7</x:v>
      </x:c>
      <x:c r="D5169" s="10" t="n">
        <x:v>560</x:v>
      </x:c>
      <x:c r="E5169" s="10" t="n">
        <x:v>0</x:v>
      </x:c>
      <x:c r="F5169" s="10" t="n">
        <x:v>0</x:v>
      </x:c>
      <x:c r="G5169" s="10" t="n">
        <x:f>SUM(D5169:F5169)</x:f>
        <x:v>560</x:v>
      </x:c>
    </x:row>
    <x:row r="5170" ht="24" customHeight="1">
      <x:c r="A5170" s="10" t="str">
        <x:v>S08-07</x:v>
      </x:c>
      <x:c r="B5170" s="10" t="str">
        <x:v>A</x:v>
      </x:c>
      <x:c r="C5170" s="18" t="n">
        <x:v>0.838333233</x:v>
      </x:c>
      <x:c r="D5170" s="10" t="n">
        <x:v>560</x:v>
      </x:c>
      <x:c r="E5170" s="10" t="n">
        <x:v>0</x:v>
      </x:c>
      <x:c r="F5170" s="10" t="n">
        <x:v>0</x:v>
      </x:c>
      <x:c r="G5170" s="10" t="n">
        <x:f>SUM(D5170:F5170)</x:f>
        <x:v>560</x:v>
      </x:c>
    </x:row>
    <x:row r="5171" ht="24" customHeight="1">
      <x:c r="A5171" s="10" t="str">
        <x:v>S08-07</x:v>
      </x:c>
      <x:c r="B5171" s="10" t="str">
        <x:v>A</x:v>
      </x:c>
      <x:c r="C5171" s="18" t="n">
        <x:v>0.838333333</x:v>
      </x:c>
      <x:c r="D5171" s="10" t="n">
        <x:v>560</x:v>
      </x:c>
      <x:c r="E5171" s="10" t="n">
        <x:v>0</x:v>
      </x:c>
      <x:c r="F5171" s="10" t="n">
        <x:v>0.004096</x:v>
      </x:c>
      <x:c r="G5171" s="10" t="n">
        <x:f>SUM(D5171:F5171)</x:f>
        <x:v>560.004096</x:v>
      </x:c>
    </x:row>
    <x:row r="5172" ht="24" customHeight="1">
      <x:c r="A5172" s="10" t="str">
        <x:v>S08-07</x:v>
      </x:c>
      <x:c r="B5172" s="10" t="str">
        <x:v>A</x:v>
      </x:c>
      <x:c r="C5172" s="18" t="n">
        <x:v>0.838333433</x:v>
      </x:c>
      <x:c r="D5172" s="10" t="n">
        <x:v>560</x:v>
      </x:c>
      <x:c r="E5172" s="10" t="n">
        <x:v>0</x:v>
      </x:c>
      <x:c r="F5172" s="10" t="n">
        <x:v>0.004096</x:v>
      </x:c>
      <x:c r="G5172" s="10" t="n">
        <x:f>SUM(D5172:F5172)</x:f>
        <x:v>560.004096</x:v>
      </x:c>
    </x:row>
    <x:row r="5173" ht="24" customHeight="1">
      <x:c r="A5173" s="10" t="str">
        <x:v>S08-07</x:v>
      </x:c>
      <x:c r="B5173" s="10" t="str">
        <x:v>A</x:v>
      </x:c>
      <x:c r="C5173" s="18" t="n">
        <x:v>0.888333233</x:v>
      </x:c>
      <x:c r="D5173" s="10" t="n">
        <x:v>560</x:v>
      </x:c>
      <x:c r="E5173" s="10" t="n">
        <x:v>0</x:v>
      </x:c>
      <x:c r="F5173" s="10" t="n">
        <x:v>0.004096</x:v>
      </x:c>
      <x:c r="G5173" s="10" t="n">
        <x:f>SUM(D5173:F5173)</x:f>
        <x:v>560.004096</x:v>
      </x:c>
    </x:row>
    <x:row r="5174" ht="24" customHeight="1">
      <x:c r="A5174" s="10" t="str">
        <x:v>S08-07</x:v>
      </x:c>
      <x:c r="B5174" s="10" t="str">
        <x:v>A</x:v>
      </x:c>
      <x:c r="C5174" s="18" t="n">
        <x:v>0.888333333</x:v>
      </x:c>
      <x:c r="D5174" s="10" t="n">
        <x:v>560</x:v>
      </x:c>
      <x:c r="E5174" s="10" t="n">
        <x:v>0</x:v>
      </x:c>
      <x:c r="F5174" s="10" t="n">
        <x:v>0.004096</x:v>
      </x:c>
      <x:c r="G5174" s="10" t="n">
        <x:f>SUM(D5174:F5174)</x:f>
        <x:v>560.004096</x:v>
      </x:c>
    </x:row>
    <x:row r="5175" ht="24" customHeight="1">
      <x:c r="A5175" s="10" t="str">
        <x:v>S08-07</x:v>
      </x:c>
      <x:c r="B5175" s="10" t="str">
        <x:v>A</x:v>
      </x:c>
      <x:c r="C5175" s="18" t="n">
        <x:v>0.888333433</x:v>
      </x:c>
      <x:c r="D5175" s="10" t="n">
        <x:v>560</x:v>
      </x:c>
      <x:c r="E5175" s="10" t="n">
        <x:v>0</x:v>
      </x:c>
      <x:c r="F5175" s="10" t="n">
        <x:v>0.004096</x:v>
      </x:c>
      <x:c r="G5175" s="10" t="n">
        <x:f>SUM(D5175:F5175)</x:f>
        <x:v>560.004096</x:v>
      </x:c>
    </x:row>
    <x:row r="5176" ht="24" customHeight="1">
      <x:c r="A5176" s="10" t="str">
        <x:v>S08-07</x:v>
      </x:c>
      <x:c r="B5176" s="10" t="str">
        <x:v>A</x:v>
      </x:c>
      <x:c r="C5176" s="18" t="n">
        <x:v>1.239333233</x:v>
      </x:c>
      <x:c r="D5176" s="10" t="n">
        <x:v>560</x:v>
      </x:c>
      <x:c r="E5176" s="10" t="n">
        <x:v>0</x:v>
      </x:c>
      <x:c r="F5176" s="10" t="n">
        <x:v>0.004096</x:v>
      </x:c>
      <x:c r="G5176" s="10" t="n">
        <x:f>SUM(D5176:F5176)</x:f>
        <x:v>560.004096</x:v>
      </x:c>
    </x:row>
    <x:row r="5177" ht="24" customHeight="1">
      <x:c r="A5177" s="10" t="str">
        <x:v>S08-07</x:v>
      </x:c>
      <x:c r="B5177" s="10" t="str">
        <x:v>A</x:v>
      </x:c>
      <x:c r="C5177" s="18" t="n">
        <x:v>1.239333333</x:v>
      </x:c>
      <x:c r="D5177" s="10" t="n">
        <x:v>560</x:v>
      </x:c>
      <x:c r="E5177" s="10" t="n">
        <x:v>0.0096</x:v>
      </x:c>
      <x:c r="F5177" s="10" t="n">
        <x:v>0.004096</x:v>
      </x:c>
      <x:c r="G5177" s="10" t="n">
        <x:f>SUM(D5177:F5177)</x:f>
        <x:v>560.013696</x:v>
      </x:c>
    </x:row>
    <x:row r="5178" ht="24" customHeight="1">
      <x:c r="A5178" s="10" t="str">
        <x:v>S08-07</x:v>
      </x:c>
      <x:c r="B5178" s="10" t="str">
        <x:v>A</x:v>
      </x:c>
      <x:c r="C5178" s="18" t="n">
        <x:v>1.239333433</x:v>
      </x:c>
      <x:c r="D5178" s="10" t="n">
        <x:v>560</x:v>
      </x:c>
      <x:c r="E5178" s="10" t="n">
        <x:v>0.009600019</x:v>
      </x:c>
      <x:c r="F5178" s="10" t="n">
        <x:v>0.004096</x:v>
      </x:c>
      <x:c r="G5178" s="10" t="n">
        <x:f>SUM(D5178:F5178)</x:f>
        <x:v>560.013696019</x:v>
      </x:c>
    </x:row>
    <x:row r="5179" ht="24" customHeight="1">
      <x:c r="A5179" s="10" t="str">
        <x:v>S08-07</x:v>
      </x:c>
      <x:c r="B5179" s="10" t="str">
        <x:v>A</x:v>
      </x:c>
      <x:c r="C5179" s="18" t="n">
        <x:v>1.279333233</x:v>
      </x:c>
      <x:c r="D5179" s="10" t="n">
        <x:v>560</x:v>
      </x:c>
      <x:c r="E5179" s="10" t="n">
        <x:v>0.017279981</x:v>
      </x:c>
      <x:c r="F5179" s="10" t="n">
        <x:v>0.004096</x:v>
      </x:c>
      <x:c r="G5179" s="10" t="n">
        <x:f>SUM(D5179:F5179)</x:f>
        <x:v>560.021375981</x:v>
      </x:c>
    </x:row>
    <x:row r="5180" ht="24" customHeight="1">
      <x:c r="A5180" s="10" t="str">
        <x:v>S08-07</x:v>
      </x:c>
      <x:c r="B5180" s="10" t="str">
        <x:v>A</x:v>
      </x:c>
      <x:c r="C5180" s="18" t="n">
        <x:v>1.279333333</x:v>
      </x:c>
      <x:c r="D5180" s="10" t="n">
        <x:v>560</x:v>
      </x:c>
      <x:c r="E5180" s="10" t="n">
        <x:v>0.01728</x:v>
      </x:c>
      <x:c r="F5180" s="10" t="n">
        <x:v>0.004096</x:v>
      </x:c>
      <x:c r="G5180" s="10" t="n">
        <x:f>SUM(D5180:F5180)</x:f>
        <x:v>560.021376</x:v>
      </x:c>
    </x:row>
    <x:row r="5181" ht="24" customHeight="1">
      <x:c r="A5181" s="10" t="str">
        <x:v>S08-07</x:v>
      </x:c>
      <x:c r="B5181" s="10" t="str">
        <x:v>A</x:v>
      </x:c>
      <x:c r="C5181" s="18" t="n">
        <x:v>1.279333433</x:v>
      </x:c>
      <x:c r="D5181" s="10" t="n">
        <x:v>560</x:v>
      </x:c>
      <x:c r="E5181" s="10" t="n">
        <x:v>0.017280014</x:v>
      </x:c>
      <x:c r="F5181" s="10" t="n">
        <x:v>0.004096</x:v>
      </x:c>
      <x:c r="G5181" s="10" t="n">
        <x:f>SUM(D5181:F5181)</x:f>
        <x:v>560.021376014</x:v>
      </x:c>
    </x:row>
    <x:row r="5182" ht="24" customHeight="1">
      <x:c r="A5182" s="10" t="str">
        <x:v>S08-07</x:v>
      </x:c>
      <x:c r="B5182" s="10" t="str">
        <x:v>A</x:v>
      </x:c>
      <x:c r="C5182" s="18" t="n">
        <x:v>1.893833233</x:v>
      </x:c>
      <x:c r="D5182" s="10" t="n">
        <x:v>560</x:v>
      </x:c>
      <x:c r="E5182" s="10" t="n">
        <x:v>0.105767986</x:v>
      </x:c>
      <x:c r="F5182" s="10" t="n">
        <x:v>0.004096</x:v>
      </x:c>
      <x:c r="G5182" s="10" t="n">
        <x:f>SUM(D5182:F5182)</x:f>
        <x:v>560.109863986</x:v>
      </x:c>
    </x:row>
    <x:row r="5183" ht="24" customHeight="1">
      <x:c r="A5183" s="10" t="str">
        <x:v>S08-07</x:v>
      </x:c>
      <x:c r="B5183" s="10" t="str">
        <x:v>A</x:v>
      </x:c>
      <x:c r="C5183" s="18" t="n">
        <x:v>1.893833333</x:v>
      </x:c>
      <x:c r="D5183" s="10" t="n">
        <x:v>560</x:v>
      </x:c>
      <x:c r="E5183" s="10" t="n">
        <x:v>0.105768</x:v>
      </x:c>
      <x:c r="F5183" s="10" t="n">
        <x:v>0.004096</x:v>
      </x:c>
      <x:c r="G5183" s="10" t="n">
        <x:f>SUM(D5183:F5183)</x:f>
        <x:v>560.109864</x:v>
      </x:c>
    </x:row>
    <x:row r="5184" ht="24" customHeight="1">
      <x:c r="A5184" s="10" t="str">
        <x:v>S08-07</x:v>
      </x:c>
      <x:c r="B5184" s="10" t="str">
        <x:v>A</x:v>
      </x:c>
      <x:c r="C5184" s="18" t="n">
        <x:v>1.893833433</x:v>
      </x:c>
      <x:c r="D5184" s="10" t="n">
        <x:v>560</x:v>
      </x:c>
      <x:c r="E5184" s="10" t="n">
        <x:v>0.105767995</x:v>
      </x:c>
      <x:c r="F5184" s="10" t="n">
        <x:v>0.004096</x:v>
      </x:c>
      <x:c r="G5184" s="10" t="n">
        <x:f>SUM(D5184:F5184)</x:f>
        <x:v>560.109863995</x:v>
      </x:c>
    </x:row>
    <x:row r="5185" ht="24" customHeight="1">
      <x:c r="A5185" s="10" t="str">
        <x:v>S08-07</x:v>
      </x:c>
      <x:c r="B5185" s="10" t="str">
        <x:v>A</x:v>
      </x:c>
      <x:c r="C5185" s="18" t="n">
        <x:v>4.097333233</x:v>
      </x:c>
      <x:c r="D5185" s="10" t="n">
        <x:v>560</x:v>
      </x:c>
      <x:c r="E5185" s="10" t="n">
        <x:v>5e-9</x:v>
      </x:c>
      <x:c r="F5185" s="10" t="n">
        <x:v>0.004096</x:v>
      </x:c>
      <x:c r="G5185" s="10" t="n">
        <x:f>SUM(D5185:F5185)</x:f>
        <x:v>560.004096005</x:v>
      </x:c>
    </x:row>
    <x:row r="5186" ht="24" customHeight="1">
      <x:c r="A5186" s="10" t="str">
        <x:v>S08-07</x:v>
      </x:c>
      <x:c r="B5186" s="10" t="str">
        <x:v>A</x:v>
      </x:c>
      <x:c r="C5186" s="18" t="n">
        <x:v>4.097333333</x:v>
      </x:c>
      <x:c r="D5186" s="10" t="n">
        <x:v>560</x:v>
      </x:c>
      <x:c r="E5186" s="10" t="n">
        <x:v>0</x:v>
      </x:c>
      <x:c r="F5186" s="10" t="n">
        <x:v>0.004096</x:v>
      </x:c>
      <x:c r="G5186" s="10" t="n">
        <x:f>SUM(D5186:F5186)</x:f>
        <x:v>560.004096</x:v>
      </x:c>
    </x:row>
    <x:row r="5187" ht="24" customHeight="1">
      <x:c r="A5187" s="10" t="str">
        <x:v>S08-07</x:v>
      </x:c>
      <x:c r="B5187" s="10" t="str">
        <x:v>A</x:v>
      </x:c>
      <x:c r="C5187" s="18" t="n">
        <x:v>4.097333433</x:v>
      </x:c>
      <x:c r="D5187" s="10" t="n">
        <x:v>560</x:v>
      </x:c>
      <x:c r="E5187" s="10" t="n">
        <x:v>0</x:v>
      </x:c>
      <x:c r="F5187" s="10" t="n">
        <x:v>0</x:v>
      </x:c>
      <x:c r="G5187" s="10" t="n">
        <x:f>SUM(D5187:F5187)</x:f>
        <x:v>560</x:v>
      </x:c>
    </x:row>
    <x:row r="5188" ht="24" customHeight="1">
      <x:c r="A5188" s="10" t="str">
        <x:v>S08-07</x:v>
      </x:c>
      <x:c r="B5188" s="10" t="str">
        <x:v>B</x:v>
      </x:c>
      <x:c r="C5188" s="18" t="n">
        <x:v>-6.0000001</x:v>
      </x:c>
      <x:c r="D5188" s="10" t="n">
        <x:v>560</x:v>
      </x:c>
      <x:c r="E5188" s="10" t="n">
        <x:v>0</x:v>
      </x:c>
      <x:c r="F5188" s="10" t="n">
        <x:v>0</x:v>
      </x:c>
      <x:c r="G5188" s="10" t="n">
        <x:f>SUM(D5188:F5188)</x:f>
        <x:v>560</x:v>
      </x:c>
    </x:row>
    <x:row r="5189" ht="24" customHeight="1">
      <x:c r="A5189" s="10" t="str">
        <x:v>S08-07</x:v>
      </x:c>
      <x:c r="B5189" s="10" t="str">
        <x:v>B</x:v>
      </x:c>
      <x:c r="C5189" s="18" t="n">
        <x:v>-6</x:v>
      </x:c>
      <x:c r="D5189" s="10" t="n">
        <x:v>560</x:v>
      </x:c>
      <x:c r="E5189" s="10" t="n">
        <x:v>0</x:v>
      </x:c>
      <x:c r="F5189" s="10" t="n">
        <x:v>0</x:v>
      </x:c>
      <x:c r="G5189" s="10" t="n">
        <x:f>SUM(D5189:F5189)</x:f>
        <x:v>560</x:v>
      </x:c>
    </x:row>
    <x:row r="5190" ht="24" customHeight="1">
      <x:c r="A5190" s="10" t="str">
        <x:v>S08-07</x:v>
      </x:c>
      <x:c r="B5190" s="10" t="str">
        <x:v>B</x:v>
      </x:c>
      <x:c r="C5190" s="18" t="n">
        <x:v>-5.9999999</x:v>
      </x:c>
      <x:c r="D5190" s="10" t="n">
        <x:v>560</x:v>
      </x:c>
      <x:c r="E5190" s="10" t="n">
        <x:v>0</x:v>
      </x:c>
      <x:c r="F5190" s="10" t="n">
        <x:v>0</x:v>
      </x:c>
      <x:c r="G5190" s="10" t="n">
        <x:f>SUM(D5190:F5190)</x:f>
        <x:v>560</x:v>
      </x:c>
    </x:row>
    <x:row r="5191" ht="24" customHeight="1">
      <x:c r="A5191" s="10" t="str">
        <x:v>S08-07</x:v>
      </x:c>
      <x:c r="B5191" s="10" t="str">
        <x:v>B</x:v>
      </x:c>
      <x:c r="C5191" s="18" t="n">
        <x:v>-1e-7</x:v>
      </x:c>
      <x:c r="D5191" s="10" t="n">
        <x:v>560</x:v>
      </x:c>
      <x:c r="E5191" s="10" t="n">
        <x:v>0</x:v>
      </x:c>
      <x:c r="F5191" s="10" t="n">
        <x:v>0</x:v>
      </x:c>
      <x:c r="G5191" s="10" t="n">
        <x:f>SUM(D5191:F5191)</x:f>
        <x:v>560</x:v>
      </x:c>
    </x:row>
    <x:row r="5192" ht="24" customHeight="1">
      <x:c r="A5192" s="10" t="str">
        <x:v>S08-07</x:v>
      </x:c>
      <x:c r="B5192" s="10" t="str">
        <x:v>B</x:v>
      </x:c>
      <x:c r="C5192" s="18" t="n">
        <x:v>0</x:v>
      </x:c>
      <x:c r="D5192" s="10" t="n">
        <x:v>560</x:v>
      </x:c>
      <x:c r="E5192" s="10" t="n">
        <x:v>0</x:v>
      </x:c>
      <x:c r="F5192" s="10" t="n">
        <x:v>0</x:v>
      </x:c>
      <x:c r="G5192" s="10" t="n">
        <x:f>SUM(D5192:F5192)</x:f>
        <x:v>560</x:v>
      </x:c>
    </x:row>
    <x:row r="5193" ht="24" customHeight="1">
      <x:c r="A5193" s="10" t="str">
        <x:v>S08-07</x:v>
      </x:c>
      <x:c r="B5193" s="10" t="str">
        <x:v>B</x:v>
      </x:c>
      <x:c r="C5193" s="18" t="n">
        <x:v>1e-7</x:v>
      </x:c>
      <x:c r="D5193" s="10" t="n">
        <x:v>560</x:v>
      </x:c>
      <x:c r="E5193" s="10" t="n">
        <x:v>0</x:v>
      </x:c>
      <x:c r="F5193" s="10" t="n">
        <x:v>0</x:v>
      </x:c>
      <x:c r="G5193" s="10" t="n">
        <x:f>SUM(D5193:F5193)</x:f>
        <x:v>560</x:v>
      </x:c>
    </x:row>
    <x:row r="5194" ht="24" customHeight="1">
      <x:c r="A5194" s="10" t="str">
        <x:v>S08-07</x:v>
      </x:c>
      <x:c r="B5194" s="10" t="str">
        <x:v>B</x:v>
      </x:c>
      <x:c r="C5194" s="18" t="n">
        <x:v>0.888333233</x:v>
      </x:c>
      <x:c r="D5194" s="10" t="n">
        <x:v>560</x:v>
      </x:c>
      <x:c r="E5194" s="10" t="n">
        <x:v>0</x:v>
      </x:c>
      <x:c r="F5194" s="10" t="n">
        <x:v>0</x:v>
      </x:c>
      <x:c r="G5194" s="10" t="n">
        <x:f>SUM(D5194:F5194)</x:f>
        <x:v>560</x:v>
      </x:c>
    </x:row>
    <x:row r="5195" ht="24" customHeight="1">
      <x:c r="A5195" s="10" t="str">
        <x:v>S08-07</x:v>
      </x:c>
      <x:c r="B5195" s="10" t="str">
        <x:v>B</x:v>
      </x:c>
      <x:c r="C5195" s="18" t="n">
        <x:v>0.888333333</x:v>
      </x:c>
      <x:c r="D5195" s="10" t="n">
        <x:v>560</x:v>
      </x:c>
      <x:c r="E5195" s="10" t="n">
        <x:v>0</x:v>
      </x:c>
      <x:c r="F5195" s="10" t="n">
        <x:v>0.004096</x:v>
      </x:c>
      <x:c r="G5195" s="10" t="n">
        <x:f>SUM(D5195:F5195)</x:f>
        <x:v>560.004096</x:v>
      </x:c>
    </x:row>
    <x:row r="5196" ht="24" customHeight="1">
      <x:c r="A5196" s="10" t="str">
        <x:v>S08-07</x:v>
      </x:c>
      <x:c r="B5196" s="10" t="str">
        <x:v>B</x:v>
      </x:c>
      <x:c r="C5196" s="18" t="n">
        <x:v>0.888333433</x:v>
      </x:c>
      <x:c r="D5196" s="10" t="n">
        <x:v>560</x:v>
      </x:c>
      <x:c r="E5196" s="10" t="n">
        <x:v>0</x:v>
      </x:c>
      <x:c r="F5196" s="10" t="n">
        <x:v>0.004096</x:v>
      </x:c>
      <x:c r="G5196" s="10" t="n">
        <x:f>SUM(D5196:F5196)</x:f>
        <x:v>560.004096</x:v>
      </x:c>
    </x:row>
    <x:row r="5197" ht="24" customHeight="1">
      <x:c r="A5197" s="10" t="str">
        <x:v>S08-07</x:v>
      </x:c>
      <x:c r="B5197" s="10" t="str">
        <x:v>B</x:v>
      </x:c>
      <x:c r="C5197" s="18" t="n">
        <x:v>1.289333233</x:v>
      </x:c>
      <x:c r="D5197" s="10" t="n">
        <x:v>560</x:v>
      </x:c>
      <x:c r="E5197" s="10" t="n">
        <x:v>0</x:v>
      </x:c>
      <x:c r="F5197" s="10" t="n">
        <x:v>0.004096</x:v>
      </x:c>
      <x:c r="G5197" s="10" t="n">
        <x:f>SUM(D5197:F5197)</x:f>
        <x:v>560.004096</x:v>
      </x:c>
    </x:row>
    <x:row r="5198" ht="24" customHeight="1">
      <x:c r="A5198" s="10" t="str">
        <x:v>S08-07</x:v>
      </x:c>
      <x:c r="B5198" s="10" t="str">
        <x:v>B</x:v>
      </x:c>
      <x:c r="C5198" s="18" t="n">
        <x:v>1.289333333</x:v>
      </x:c>
      <x:c r="D5198" s="10" t="n">
        <x:v>560</x:v>
      </x:c>
      <x:c r="E5198" s="10" t="n">
        <x:v>0.0096</x:v>
      </x:c>
      <x:c r="F5198" s="10" t="n">
        <x:v>0.004096</x:v>
      </x:c>
      <x:c r="G5198" s="10" t="n">
        <x:f>SUM(D5198:F5198)</x:f>
        <x:v>560.013696</x:v>
      </x:c>
    </x:row>
    <x:row r="5199" ht="24" customHeight="1">
      <x:c r="A5199" s="10" t="str">
        <x:v>S08-07</x:v>
      </x:c>
      <x:c r="B5199" s="10" t="str">
        <x:v>B</x:v>
      </x:c>
      <x:c r="C5199" s="18" t="n">
        <x:v>1.289333433</x:v>
      </x:c>
      <x:c r="D5199" s="10" t="n">
        <x:v>560</x:v>
      </x:c>
      <x:c r="E5199" s="10" t="n">
        <x:v>0.009600019</x:v>
      </x:c>
      <x:c r="F5199" s="10" t="n">
        <x:v>0.004096</x:v>
      </x:c>
      <x:c r="G5199" s="10" t="n">
        <x:f>SUM(D5199:F5199)</x:f>
        <x:v>560.013696019</x:v>
      </x:c>
    </x:row>
    <x:row r="5200" ht="24" customHeight="1">
      <x:c r="A5200" s="10" t="str">
        <x:v>S08-07</x:v>
      </x:c>
      <x:c r="B5200" s="10" t="str">
        <x:v>B</x:v>
      </x:c>
      <x:c r="C5200" s="18" t="n">
        <x:v>1.329333233</x:v>
      </x:c>
      <x:c r="D5200" s="10" t="n">
        <x:v>560</x:v>
      </x:c>
      <x:c r="E5200" s="10" t="n">
        <x:v>0.017279981</x:v>
      </x:c>
      <x:c r="F5200" s="10" t="n">
        <x:v>0.004096</x:v>
      </x:c>
      <x:c r="G5200" s="10" t="n">
        <x:f>SUM(D5200:F5200)</x:f>
        <x:v>560.021375981</x:v>
      </x:c>
    </x:row>
    <x:row r="5201" ht="24" customHeight="1">
      <x:c r="A5201" s="10" t="str">
        <x:v>S08-07</x:v>
      </x:c>
      <x:c r="B5201" s="10" t="str">
        <x:v>B</x:v>
      </x:c>
      <x:c r="C5201" s="18" t="n">
        <x:v>1.329333333</x:v>
      </x:c>
      <x:c r="D5201" s="10" t="n">
        <x:v>560</x:v>
      </x:c>
      <x:c r="E5201" s="10" t="n">
        <x:v>0.01728</x:v>
      </x:c>
      <x:c r="F5201" s="10" t="n">
        <x:v>0.004096</x:v>
      </x:c>
      <x:c r="G5201" s="10" t="n">
        <x:f>SUM(D5201:F5201)</x:f>
        <x:v>560.021376</x:v>
      </x:c>
    </x:row>
    <x:row r="5202" ht="24" customHeight="1">
      <x:c r="A5202" s="10" t="str">
        <x:v>S08-07</x:v>
      </x:c>
      <x:c r="B5202" s="10" t="str">
        <x:v>B</x:v>
      </x:c>
      <x:c r="C5202" s="18" t="n">
        <x:v>1.329333433</x:v>
      </x:c>
      <x:c r="D5202" s="10" t="n">
        <x:v>560</x:v>
      </x:c>
      <x:c r="E5202" s="10" t="n">
        <x:v>0.017280014</x:v>
      </x:c>
      <x:c r="F5202" s="10" t="n">
        <x:v>0.004096</x:v>
      </x:c>
      <x:c r="G5202" s="10" t="n">
        <x:f>SUM(D5202:F5202)</x:f>
        <x:v>560.021376014</x:v>
      </x:c>
    </x:row>
    <x:row r="5203" ht="24" customHeight="1">
      <x:c r="A5203" s="10" t="str">
        <x:v>S08-07</x:v>
      </x:c>
      <x:c r="B5203" s="10" t="str">
        <x:v>B</x:v>
      </x:c>
      <x:c r="C5203" s="18" t="n">
        <x:v>1.943833233</x:v>
      </x:c>
      <x:c r="D5203" s="10" t="n">
        <x:v>560</x:v>
      </x:c>
      <x:c r="E5203" s="10" t="n">
        <x:v>0.105767986</x:v>
      </x:c>
      <x:c r="F5203" s="10" t="n">
        <x:v>0.004096</x:v>
      </x:c>
      <x:c r="G5203" s="10" t="n">
        <x:f>SUM(D5203:F5203)</x:f>
        <x:v>560.109863986</x:v>
      </x:c>
    </x:row>
    <x:row r="5204" ht="24" customHeight="1">
      <x:c r="A5204" s="10" t="str">
        <x:v>S08-07</x:v>
      </x:c>
      <x:c r="B5204" s="10" t="str">
        <x:v>B</x:v>
      </x:c>
      <x:c r="C5204" s="18" t="n">
        <x:v>1.943833333</x:v>
      </x:c>
      <x:c r="D5204" s="10" t="n">
        <x:v>560</x:v>
      </x:c>
      <x:c r="E5204" s="10" t="n">
        <x:v>0.105768</x:v>
      </x:c>
      <x:c r="F5204" s="10" t="n">
        <x:v>0.004096</x:v>
      </x:c>
      <x:c r="G5204" s="10" t="n">
        <x:f>SUM(D5204:F5204)</x:f>
        <x:v>560.109864</x:v>
      </x:c>
    </x:row>
    <x:row r="5205" ht="24" customHeight="1">
      <x:c r="A5205" s="10" t="str">
        <x:v>S08-07</x:v>
      </x:c>
      <x:c r="B5205" s="10" t="str">
        <x:v>B</x:v>
      </x:c>
      <x:c r="C5205" s="18" t="n">
        <x:v>1.943833433</x:v>
      </x:c>
      <x:c r="D5205" s="10" t="n">
        <x:v>560</x:v>
      </x:c>
      <x:c r="E5205" s="10" t="n">
        <x:v>0.105767995</x:v>
      </x:c>
      <x:c r="F5205" s="10" t="n">
        <x:v>0.004096</x:v>
      </x:c>
      <x:c r="G5205" s="10" t="n">
        <x:f>SUM(D5205:F5205)</x:f>
        <x:v>560.109863995</x:v>
      </x:c>
    </x:row>
    <x:row r="5206" ht="24" customHeight="1">
      <x:c r="A5206" s="10" t="str">
        <x:v>S08-07</x:v>
      </x:c>
      <x:c r="B5206" s="10" t="str">
        <x:v>B</x:v>
      </x:c>
      <x:c r="C5206" s="18" t="n">
        <x:v>4.147333233</x:v>
      </x:c>
      <x:c r="D5206" s="10" t="n">
        <x:v>560</x:v>
      </x:c>
      <x:c r="E5206" s="10" t="n">
        <x:v>5e-9</x:v>
      </x:c>
      <x:c r="F5206" s="10" t="n">
        <x:v>0.004096</x:v>
      </x:c>
      <x:c r="G5206" s="10" t="n">
        <x:f>SUM(D5206:F5206)</x:f>
        <x:v>560.004096005</x:v>
      </x:c>
    </x:row>
    <x:row r="5207" ht="24" customHeight="1">
      <x:c r="A5207" s="10" t="str">
        <x:v>S08-07</x:v>
      </x:c>
      <x:c r="B5207" s="10" t="str">
        <x:v>B</x:v>
      </x:c>
      <x:c r="C5207" s="18" t="n">
        <x:v>4.147333333</x:v>
      </x:c>
      <x:c r="D5207" s="10" t="n">
        <x:v>560</x:v>
      </x:c>
      <x:c r="E5207" s="10" t="n">
        <x:v>0</x:v>
      </x:c>
      <x:c r="F5207" s="10" t="n">
        <x:v>0.004096</x:v>
      </x:c>
      <x:c r="G5207" s="10" t="n">
        <x:f>SUM(D5207:F5207)</x:f>
        <x:v>560.004096</x:v>
      </x:c>
    </x:row>
    <x:row r="5208" ht="24" customHeight="1">
      <x:c r="A5208" s="10" t="str">
        <x:v>S08-07</x:v>
      </x:c>
      <x:c r="B5208" s="10" t="str">
        <x:v>B</x:v>
      </x:c>
      <x:c r="C5208" s="18" t="n">
        <x:v>4.147333433</x:v>
      </x:c>
      <x:c r="D5208" s="10" t="n">
        <x:v>560</x:v>
      </x:c>
      <x:c r="E5208" s="10" t="n">
        <x:v>0</x:v>
      </x:c>
      <x:c r="F5208" s="10" t="n">
        <x:v>0</x:v>
      </x:c>
      <x:c r="G5208" s="10" t="n">
        <x:f>SUM(D5208:F5208)</x:f>
        <x:v>560</x:v>
      </x:c>
    </x:row>
    <x:row r="5209" ht="24" customHeight="1">
      <x:c r="A5209" s="10" t="str">
        <x:v>S08-08</x:v>
      </x:c>
      <x:c r="B5209" s="10" t="str">
        <x:v>A</x:v>
      </x:c>
      <x:c r="C5209" s="18" t="n">
        <x:v>-6.0000001</x:v>
      </x:c>
      <x:c r="D5209" s="10" t="n">
        <x:v>560</x:v>
      </x:c>
      <x:c r="E5209" s="10" t="n">
        <x:v>0</x:v>
      </x:c>
      <x:c r="F5209" s="10" t="n">
        <x:v>0</x:v>
      </x:c>
      <x:c r="G5209" s="10" t="n">
        <x:f>SUM(D5209:F5209)</x:f>
        <x:v>560</x:v>
      </x:c>
    </x:row>
    <x:row r="5210" ht="24" customHeight="1">
      <x:c r="A5210" s="10" t="str">
        <x:v>S08-08</x:v>
      </x:c>
      <x:c r="B5210" s="10" t="str">
        <x:v>A</x:v>
      </x:c>
      <x:c r="C5210" s="18" t="n">
        <x:v>-6</x:v>
      </x:c>
      <x:c r="D5210" s="10" t="n">
        <x:v>560</x:v>
      </x:c>
      <x:c r="E5210" s="10" t="n">
        <x:v>0</x:v>
      </x:c>
      <x:c r="F5210" s="10" t="n">
        <x:v>0</x:v>
      </x:c>
      <x:c r="G5210" s="10" t="n">
        <x:f>SUM(D5210:F5210)</x:f>
        <x:v>560</x:v>
      </x:c>
    </x:row>
    <x:row r="5211" ht="24" customHeight="1">
      <x:c r="A5211" s="10" t="str">
        <x:v>S08-08</x:v>
      </x:c>
      <x:c r="B5211" s="10" t="str">
        <x:v>A</x:v>
      </x:c>
      <x:c r="C5211" s="18" t="n">
        <x:v>-5.9999999</x:v>
      </x:c>
      <x:c r="D5211" s="10" t="n">
        <x:v>560</x:v>
      </x:c>
      <x:c r="E5211" s="10" t="n">
        <x:v>0</x:v>
      </x:c>
      <x:c r="F5211" s="10" t="n">
        <x:v>0</x:v>
      </x:c>
      <x:c r="G5211" s="10" t="n">
        <x:f>SUM(D5211:F5211)</x:f>
        <x:v>560</x:v>
      </x:c>
    </x:row>
    <x:row r="5212" ht="24" customHeight="1">
      <x:c r="A5212" s="10" t="str">
        <x:v>S08-08</x:v>
      </x:c>
      <x:c r="B5212" s="10" t="str">
        <x:v>A</x:v>
      </x:c>
      <x:c r="C5212" s="18" t="n">
        <x:v>-1e-7</x:v>
      </x:c>
      <x:c r="D5212" s="10" t="n">
        <x:v>560</x:v>
      </x:c>
      <x:c r="E5212" s="10" t="n">
        <x:v>0</x:v>
      </x:c>
      <x:c r="F5212" s="10" t="n">
        <x:v>0</x:v>
      </x:c>
      <x:c r="G5212" s="10" t="n">
        <x:f>SUM(D5212:F5212)</x:f>
        <x:v>560</x:v>
      </x:c>
    </x:row>
    <x:row r="5213" ht="24" customHeight="1">
      <x:c r="A5213" s="10" t="str">
        <x:v>S08-08</x:v>
      </x:c>
      <x:c r="B5213" s="10" t="str">
        <x:v>A</x:v>
      </x:c>
      <x:c r="C5213" s="18" t="n">
        <x:v>0</x:v>
      </x:c>
      <x:c r="D5213" s="10" t="n">
        <x:v>560</x:v>
      </x:c>
      <x:c r="E5213" s="10" t="n">
        <x:v>0</x:v>
      </x:c>
      <x:c r="F5213" s="10" t="n">
        <x:v>0</x:v>
      </x:c>
      <x:c r="G5213" s="10" t="n">
        <x:f>SUM(D5213:F5213)</x:f>
        <x:v>560</x:v>
      </x:c>
    </x:row>
    <x:row r="5214" ht="24" customHeight="1">
      <x:c r="A5214" s="10" t="str">
        <x:v>S08-08</x:v>
      </x:c>
      <x:c r="B5214" s="10" t="str">
        <x:v>A</x:v>
      </x:c>
      <x:c r="C5214" s="18" t="n">
        <x:v>1e-7</x:v>
      </x:c>
      <x:c r="D5214" s="10" t="n">
        <x:v>560</x:v>
      </x:c>
      <x:c r="E5214" s="10" t="n">
        <x:v>0</x:v>
      </x:c>
      <x:c r="F5214" s="10" t="n">
        <x:v>0</x:v>
      </x:c>
      <x:c r="G5214" s="10" t="n">
        <x:f>SUM(D5214:F5214)</x:f>
        <x:v>560</x:v>
      </x:c>
    </x:row>
    <x:row r="5215" ht="24" customHeight="1">
      <x:c r="A5215" s="10" t="str">
        <x:v>S08-08</x:v>
      </x:c>
      <x:c r="B5215" s="10" t="str">
        <x:v>A</x:v>
      </x:c>
      <x:c r="C5215" s="18" t="n">
        <x:v>0.866666567</x:v>
      </x:c>
      <x:c r="D5215" s="10" t="n">
        <x:v>560</x:v>
      </x:c>
      <x:c r="E5215" s="10" t="n">
        <x:v>0</x:v>
      </x:c>
      <x:c r="F5215" s="10" t="n">
        <x:v>0</x:v>
      </x:c>
      <x:c r="G5215" s="10" t="n">
        <x:f>SUM(D5215:F5215)</x:f>
        <x:v>560</x:v>
      </x:c>
    </x:row>
    <x:row r="5216" ht="24" customHeight="1">
      <x:c r="A5216" s="10" t="str">
        <x:v>S08-08</x:v>
      </x:c>
      <x:c r="B5216" s="10" t="str">
        <x:v>A</x:v>
      </x:c>
      <x:c r="C5216" s="18" t="n">
        <x:v>0.866666667</x:v>
      </x:c>
      <x:c r="D5216" s="10" t="n">
        <x:v>560</x:v>
      </x:c>
      <x:c r="E5216" s="10" t="n">
        <x:v>0</x:v>
      </x:c>
      <x:c r="F5216" s="10" t="n">
        <x:v>0.004096</x:v>
      </x:c>
      <x:c r="G5216" s="10" t="n">
        <x:f>SUM(D5216:F5216)</x:f>
        <x:v>560.004096</x:v>
      </x:c>
    </x:row>
    <x:row r="5217" ht="24" customHeight="1">
      <x:c r="A5217" s="10" t="str">
        <x:v>S08-08</x:v>
      </x:c>
      <x:c r="B5217" s="10" t="str">
        <x:v>A</x:v>
      </x:c>
      <x:c r="C5217" s="18" t="n">
        <x:v>0.866666767</x:v>
      </x:c>
      <x:c r="D5217" s="10" t="n">
        <x:v>560</x:v>
      </x:c>
      <x:c r="E5217" s="10" t="n">
        <x:v>0</x:v>
      </x:c>
      <x:c r="F5217" s="10" t="n">
        <x:v>0.004096</x:v>
      </x:c>
      <x:c r="G5217" s="10" t="n">
        <x:f>SUM(D5217:F5217)</x:f>
        <x:v>560.004096</x:v>
      </x:c>
    </x:row>
    <x:row r="5218" ht="24" customHeight="1">
      <x:c r="A5218" s="10" t="str">
        <x:v>S08-08</x:v>
      </x:c>
      <x:c r="B5218" s="10" t="str">
        <x:v>A</x:v>
      </x:c>
      <x:c r="C5218" s="18" t="n">
        <x:v>0.916666567</x:v>
      </x:c>
      <x:c r="D5218" s="10" t="n">
        <x:v>560</x:v>
      </x:c>
      <x:c r="E5218" s="10" t="n">
        <x:v>0</x:v>
      </x:c>
      <x:c r="F5218" s="10" t="n">
        <x:v>0.004096</x:v>
      </x:c>
      <x:c r="G5218" s="10" t="n">
        <x:f>SUM(D5218:F5218)</x:f>
        <x:v>560.004096</x:v>
      </x:c>
    </x:row>
    <x:row r="5219" ht="24" customHeight="1">
      <x:c r="A5219" s="10" t="str">
        <x:v>S08-08</x:v>
      </x:c>
      <x:c r="B5219" s="10" t="str">
        <x:v>A</x:v>
      </x:c>
      <x:c r="C5219" s="18" t="n">
        <x:v>0.916666667</x:v>
      </x:c>
      <x:c r="D5219" s="10" t="n">
        <x:v>560</x:v>
      </x:c>
      <x:c r="E5219" s="10" t="n">
        <x:v>0</x:v>
      </x:c>
      <x:c r="F5219" s="10" t="n">
        <x:v>0.004096</x:v>
      </x:c>
      <x:c r="G5219" s="10" t="n">
        <x:f>SUM(D5219:F5219)</x:f>
        <x:v>560.004096</x:v>
      </x:c>
    </x:row>
    <x:row r="5220" ht="24" customHeight="1">
      <x:c r="A5220" s="10" t="str">
        <x:v>S08-08</x:v>
      </x:c>
      <x:c r="B5220" s="10" t="str">
        <x:v>A</x:v>
      </x:c>
      <x:c r="C5220" s="18" t="n">
        <x:v>0.916666767</x:v>
      </x:c>
      <x:c r="D5220" s="10" t="n">
        <x:v>560</x:v>
      </x:c>
      <x:c r="E5220" s="10" t="n">
        <x:v>0</x:v>
      </x:c>
      <x:c r="F5220" s="10" t="n">
        <x:v>0.004096</x:v>
      </x:c>
      <x:c r="G5220" s="10" t="n">
        <x:f>SUM(D5220:F5220)</x:f>
        <x:v>560.004096</x:v>
      </x:c>
    </x:row>
    <x:row r="5221" ht="24" customHeight="1">
      <x:c r="A5221" s="10" t="str">
        <x:v>S08-08</x:v>
      </x:c>
      <x:c r="B5221" s="10" t="str">
        <x:v>A</x:v>
      </x:c>
      <x:c r="C5221" s="18" t="n">
        <x:v>1.267666567</x:v>
      </x:c>
      <x:c r="D5221" s="10" t="n">
        <x:v>560</x:v>
      </x:c>
      <x:c r="E5221" s="10" t="n">
        <x:v>0</x:v>
      </x:c>
      <x:c r="F5221" s="10" t="n">
        <x:v>0.004096</x:v>
      </x:c>
      <x:c r="G5221" s="10" t="n">
        <x:f>SUM(D5221:F5221)</x:f>
        <x:v>560.004096</x:v>
      </x:c>
    </x:row>
    <x:row r="5222" ht="24" customHeight="1">
      <x:c r="A5222" s="10" t="str">
        <x:v>S08-08</x:v>
      </x:c>
      <x:c r="B5222" s="10" t="str">
        <x:v>A</x:v>
      </x:c>
      <x:c r="C5222" s="18" t="n">
        <x:v>1.267666667</x:v>
      </x:c>
      <x:c r="D5222" s="10" t="n">
        <x:v>560</x:v>
      </x:c>
      <x:c r="E5222" s="10" t="n">
        <x:v>0.0096</x:v>
      </x:c>
      <x:c r="F5222" s="10" t="n">
        <x:v>0.004096</x:v>
      </x:c>
      <x:c r="G5222" s="10" t="n">
        <x:f>SUM(D5222:F5222)</x:f>
        <x:v>560.013696</x:v>
      </x:c>
    </x:row>
    <x:row r="5223" ht="24" customHeight="1">
      <x:c r="A5223" s="10" t="str">
        <x:v>S08-08</x:v>
      </x:c>
      <x:c r="B5223" s="10" t="str">
        <x:v>A</x:v>
      </x:c>
      <x:c r="C5223" s="18" t="n">
        <x:v>1.267666767</x:v>
      </x:c>
      <x:c r="D5223" s="10" t="n">
        <x:v>560</x:v>
      </x:c>
      <x:c r="E5223" s="10" t="n">
        <x:v>0.009600019</x:v>
      </x:c>
      <x:c r="F5223" s="10" t="n">
        <x:v>0.004096</x:v>
      </x:c>
      <x:c r="G5223" s="10" t="n">
        <x:f>SUM(D5223:F5223)</x:f>
        <x:v>560.013696019</x:v>
      </x:c>
    </x:row>
    <x:row r="5224" ht="24" customHeight="1">
      <x:c r="A5224" s="10" t="str">
        <x:v>S08-08</x:v>
      </x:c>
      <x:c r="B5224" s="10" t="str">
        <x:v>A</x:v>
      </x:c>
      <x:c r="C5224" s="18" t="n">
        <x:v>1.307666567</x:v>
      </x:c>
      <x:c r="D5224" s="10" t="n">
        <x:v>560</x:v>
      </x:c>
      <x:c r="E5224" s="10" t="n">
        <x:v>0.017279981</x:v>
      </x:c>
      <x:c r="F5224" s="10" t="n">
        <x:v>0.004096</x:v>
      </x:c>
      <x:c r="G5224" s="10" t="n">
        <x:f>SUM(D5224:F5224)</x:f>
        <x:v>560.021375981</x:v>
      </x:c>
    </x:row>
    <x:row r="5225" ht="24" customHeight="1">
      <x:c r="A5225" s="10" t="str">
        <x:v>S08-08</x:v>
      </x:c>
      <x:c r="B5225" s="10" t="str">
        <x:v>A</x:v>
      </x:c>
      <x:c r="C5225" s="18" t="n">
        <x:v>1.307666667</x:v>
      </x:c>
      <x:c r="D5225" s="10" t="n">
        <x:v>560</x:v>
      </x:c>
      <x:c r="E5225" s="10" t="n">
        <x:v>0.01728</x:v>
      </x:c>
      <x:c r="F5225" s="10" t="n">
        <x:v>0.004096</x:v>
      </x:c>
      <x:c r="G5225" s="10" t="n">
        <x:f>SUM(D5225:F5225)</x:f>
        <x:v>560.021376</x:v>
      </x:c>
    </x:row>
    <x:row r="5226" ht="24" customHeight="1">
      <x:c r="A5226" s="10" t="str">
        <x:v>S08-08</x:v>
      </x:c>
      <x:c r="B5226" s="10" t="str">
        <x:v>A</x:v>
      </x:c>
      <x:c r="C5226" s="18" t="n">
        <x:v>1.307666767</x:v>
      </x:c>
      <x:c r="D5226" s="10" t="n">
        <x:v>560</x:v>
      </x:c>
      <x:c r="E5226" s="10" t="n">
        <x:v>0.017280014</x:v>
      </x:c>
      <x:c r="F5226" s="10" t="n">
        <x:v>0.004096</x:v>
      </x:c>
      <x:c r="G5226" s="10" t="n">
        <x:f>SUM(D5226:F5226)</x:f>
        <x:v>560.021376014</x:v>
      </x:c>
    </x:row>
    <x:row r="5227" ht="24" customHeight="1">
      <x:c r="A5227" s="10" t="str">
        <x:v>S08-08</x:v>
      </x:c>
      <x:c r="B5227" s="10" t="str">
        <x:v>A</x:v>
      </x:c>
      <x:c r="C5227" s="18" t="n">
        <x:v>1.925166567</x:v>
      </x:c>
      <x:c r="D5227" s="10" t="n">
        <x:v>560</x:v>
      </x:c>
      <x:c r="E5227" s="10" t="n">
        <x:v>0.106199986</x:v>
      </x:c>
      <x:c r="F5227" s="10" t="n">
        <x:v>0.004096</x:v>
      </x:c>
      <x:c r="G5227" s="10" t="n">
        <x:f>SUM(D5227:F5227)</x:f>
        <x:v>560.110295986</x:v>
      </x:c>
    </x:row>
    <x:row r="5228" ht="24" customHeight="1">
      <x:c r="A5228" s="10" t="str">
        <x:v>S08-08</x:v>
      </x:c>
      <x:c r="B5228" s="10" t="str">
        <x:v>A</x:v>
      </x:c>
      <x:c r="C5228" s="18" t="n">
        <x:v>1.925166667</x:v>
      </x:c>
      <x:c r="D5228" s="10" t="n">
        <x:v>560</x:v>
      </x:c>
      <x:c r="E5228" s="10" t="n">
        <x:v>0.1062</x:v>
      </x:c>
      <x:c r="F5228" s="10" t="n">
        <x:v>0.004096</x:v>
      </x:c>
      <x:c r="G5228" s="10" t="n">
        <x:f>SUM(D5228:F5228)</x:f>
        <x:v>560.110296</x:v>
      </x:c>
    </x:row>
    <x:row r="5229" ht="24" customHeight="1">
      <x:c r="A5229" s="10" t="str">
        <x:v>S08-08</x:v>
      </x:c>
      <x:c r="B5229" s="10" t="str">
        <x:v>A</x:v>
      </x:c>
      <x:c r="C5229" s="18" t="n">
        <x:v>1.925166767</x:v>
      </x:c>
      <x:c r="D5229" s="10" t="n">
        <x:v>560</x:v>
      </x:c>
      <x:c r="E5229" s="10" t="n">
        <x:v>0.106199995</x:v>
      </x:c>
      <x:c r="F5229" s="10" t="n">
        <x:v>0.004096</x:v>
      </x:c>
      <x:c r="G5229" s="10" t="n">
        <x:f>SUM(D5229:F5229)</x:f>
        <x:v>560.110295995</x:v>
      </x:c>
    </x:row>
    <x:row r="5230" ht="24" customHeight="1">
      <x:c r="A5230" s="10" t="str">
        <x:v>S08-08</x:v>
      </x:c>
      <x:c r="B5230" s="10" t="str">
        <x:v>A</x:v>
      </x:c>
      <x:c r="C5230" s="18" t="n">
        <x:v>4.137666567</x:v>
      </x:c>
      <x:c r="D5230" s="10" t="n">
        <x:v>560</x:v>
      </x:c>
      <x:c r="E5230" s="10" t="n">
        <x:v>5e-9</x:v>
      </x:c>
      <x:c r="F5230" s="10" t="n">
        <x:v>0.004096</x:v>
      </x:c>
      <x:c r="G5230" s="10" t="n">
        <x:f>SUM(D5230:F5230)</x:f>
        <x:v>560.004096005</x:v>
      </x:c>
    </x:row>
    <x:row r="5231" ht="24" customHeight="1">
      <x:c r="A5231" s="10" t="str">
        <x:v>S08-08</x:v>
      </x:c>
      <x:c r="B5231" s="10" t="str">
        <x:v>A</x:v>
      </x:c>
      <x:c r="C5231" s="18" t="n">
        <x:v>4.137666667</x:v>
      </x:c>
      <x:c r="D5231" s="10" t="n">
        <x:v>560</x:v>
      </x:c>
      <x:c r="E5231" s="10" t="n">
        <x:v>0</x:v>
      </x:c>
      <x:c r="F5231" s="10" t="n">
        <x:v>0.004096</x:v>
      </x:c>
      <x:c r="G5231" s="10" t="n">
        <x:f>SUM(D5231:F5231)</x:f>
        <x:v>560.004096</x:v>
      </x:c>
    </x:row>
    <x:row r="5232" ht="24" customHeight="1">
      <x:c r="A5232" s="10" t="str">
        <x:v>S08-08</x:v>
      </x:c>
      <x:c r="B5232" s="10" t="str">
        <x:v>A</x:v>
      </x:c>
      <x:c r="C5232" s="18" t="n">
        <x:v>4.137666767</x:v>
      </x:c>
      <x:c r="D5232" s="10" t="n">
        <x:v>560</x:v>
      </x:c>
      <x:c r="E5232" s="10" t="n">
        <x:v>0</x:v>
      </x:c>
      <x:c r="F5232" s="10" t="n">
        <x:v>0</x:v>
      </x:c>
      <x:c r="G5232" s="10" t="n">
        <x:f>SUM(D5232:F5232)</x:f>
        <x:v>560</x:v>
      </x:c>
    </x:row>
    <x:row r="5233" ht="24" customHeight="1">
      <x:c r="A5233" s="10" t="str">
        <x:v>S08-08</x:v>
      </x:c>
      <x:c r="B5233" s="10" t="str">
        <x:v>B</x:v>
      </x:c>
      <x:c r="C5233" s="18" t="n">
        <x:v>-6.0000001</x:v>
      </x:c>
      <x:c r="D5233" s="10" t="n">
        <x:v>560</x:v>
      </x:c>
      <x:c r="E5233" s="10" t="n">
        <x:v>0</x:v>
      </x:c>
      <x:c r="F5233" s="10" t="n">
        <x:v>0</x:v>
      </x:c>
      <x:c r="G5233" s="10" t="n">
        <x:f>SUM(D5233:F5233)</x:f>
        <x:v>560</x:v>
      </x:c>
    </x:row>
    <x:row r="5234" ht="24" customHeight="1">
      <x:c r="A5234" s="10" t="str">
        <x:v>S08-08</x:v>
      </x:c>
      <x:c r="B5234" s="10" t="str">
        <x:v>B</x:v>
      </x:c>
      <x:c r="C5234" s="18" t="n">
        <x:v>-6</x:v>
      </x:c>
      <x:c r="D5234" s="10" t="n">
        <x:v>560</x:v>
      </x:c>
      <x:c r="E5234" s="10" t="n">
        <x:v>0</x:v>
      </x:c>
      <x:c r="F5234" s="10" t="n">
        <x:v>0</x:v>
      </x:c>
      <x:c r="G5234" s="10" t="n">
        <x:f>SUM(D5234:F5234)</x:f>
        <x:v>560</x:v>
      </x:c>
    </x:row>
    <x:row r="5235" ht="24" customHeight="1">
      <x:c r="A5235" s="10" t="str">
        <x:v>S08-08</x:v>
      </x:c>
      <x:c r="B5235" s="10" t="str">
        <x:v>B</x:v>
      </x:c>
      <x:c r="C5235" s="18" t="n">
        <x:v>-5.9999999</x:v>
      </x:c>
      <x:c r="D5235" s="10" t="n">
        <x:v>560</x:v>
      </x:c>
      <x:c r="E5235" s="10" t="n">
        <x:v>0</x:v>
      </x:c>
      <x:c r="F5235" s="10" t="n">
        <x:v>0</x:v>
      </x:c>
      <x:c r="G5235" s="10" t="n">
        <x:f>SUM(D5235:F5235)</x:f>
        <x:v>560</x:v>
      </x:c>
    </x:row>
    <x:row r="5236" ht="24" customHeight="1">
      <x:c r="A5236" s="10" t="str">
        <x:v>S08-08</x:v>
      </x:c>
      <x:c r="B5236" s="10" t="str">
        <x:v>B</x:v>
      </x:c>
      <x:c r="C5236" s="18" t="n">
        <x:v>-1e-7</x:v>
      </x:c>
      <x:c r="D5236" s="10" t="n">
        <x:v>560</x:v>
      </x:c>
      <x:c r="E5236" s="10" t="n">
        <x:v>0</x:v>
      </x:c>
      <x:c r="F5236" s="10" t="n">
        <x:v>0</x:v>
      </x:c>
      <x:c r="G5236" s="10" t="n">
        <x:f>SUM(D5236:F5236)</x:f>
        <x:v>560</x:v>
      </x:c>
    </x:row>
    <x:row r="5237" ht="24" customHeight="1">
      <x:c r="A5237" s="10" t="str">
        <x:v>S08-08</x:v>
      </x:c>
      <x:c r="B5237" s="10" t="str">
        <x:v>B</x:v>
      </x:c>
      <x:c r="C5237" s="18" t="n">
        <x:v>0</x:v>
      </x:c>
      <x:c r="D5237" s="10" t="n">
        <x:v>560</x:v>
      </x:c>
      <x:c r="E5237" s="10" t="n">
        <x:v>0</x:v>
      </x:c>
      <x:c r="F5237" s="10" t="n">
        <x:v>0</x:v>
      </x:c>
      <x:c r="G5237" s="10" t="n">
        <x:f>SUM(D5237:F5237)</x:f>
        <x:v>560</x:v>
      </x:c>
    </x:row>
    <x:row r="5238" ht="24" customHeight="1">
      <x:c r="A5238" s="10" t="str">
        <x:v>S08-08</x:v>
      </x:c>
      <x:c r="B5238" s="10" t="str">
        <x:v>B</x:v>
      </x:c>
      <x:c r="C5238" s="18" t="n">
        <x:v>1e-7</x:v>
      </x:c>
      <x:c r="D5238" s="10" t="n">
        <x:v>560</x:v>
      </x:c>
      <x:c r="E5238" s="10" t="n">
        <x:v>0</x:v>
      </x:c>
      <x:c r="F5238" s="10" t="n">
        <x:v>0</x:v>
      </x:c>
      <x:c r="G5238" s="10" t="n">
        <x:f>SUM(D5238:F5238)</x:f>
        <x:v>560</x:v>
      </x:c>
    </x:row>
    <x:row r="5239" ht="24" customHeight="1">
      <x:c r="A5239" s="10" t="str">
        <x:v>S08-08</x:v>
      </x:c>
      <x:c r="B5239" s="10" t="str">
        <x:v>B</x:v>
      </x:c>
      <x:c r="C5239" s="18" t="n">
        <x:v>0.916666567</x:v>
      </x:c>
      <x:c r="D5239" s="10" t="n">
        <x:v>560</x:v>
      </x:c>
      <x:c r="E5239" s="10" t="n">
        <x:v>0</x:v>
      </x:c>
      <x:c r="F5239" s="10" t="n">
        <x:v>0</x:v>
      </x:c>
      <x:c r="G5239" s="10" t="n">
        <x:f>SUM(D5239:F5239)</x:f>
        <x:v>560</x:v>
      </x:c>
    </x:row>
    <x:row r="5240" ht="24" customHeight="1">
      <x:c r="A5240" s="10" t="str">
        <x:v>S08-08</x:v>
      </x:c>
      <x:c r="B5240" s="10" t="str">
        <x:v>B</x:v>
      </x:c>
      <x:c r="C5240" s="18" t="n">
        <x:v>0.916666667</x:v>
      </x:c>
      <x:c r="D5240" s="10" t="n">
        <x:v>560</x:v>
      </x:c>
      <x:c r="E5240" s="10" t="n">
        <x:v>0</x:v>
      </x:c>
      <x:c r="F5240" s="10" t="n">
        <x:v>0.004096</x:v>
      </x:c>
      <x:c r="G5240" s="10" t="n">
        <x:f>SUM(D5240:F5240)</x:f>
        <x:v>560.004096</x:v>
      </x:c>
    </x:row>
    <x:row r="5241" ht="24" customHeight="1">
      <x:c r="A5241" s="10" t="str">
        <x:v>S08-08</x:v>
      </x:c>
      <x:c r="B5241" s="10" t="str">
        <x:v>B</x:v>
      </x:c>
      <x:c r="C5241" s="18" t="n">
        <x:v>0.916666767</x:v>
      </x:c>
      <x:c r="D5241" s="10" t="n">
        <x:v>560</x:v>
      </x:c>
      <x:c r="E5241" s="10" t="n">
        <x:v>0</x:v>
      </x:c>
      <x:c r="F5241" s="10" t="n">
        <x:v>0.004096</x:v>
      </x:c>
      <x:c r="G5241" s="10" t="n">
        <x:f>SUM(D5241:F5241)</x:f>
        <x:v>560.004096</x:v>
      </x:c>
    </x:row>
    <x:row r="5242" ht="24" customHeight="1">
      <x:c r="A5242" s="10" t="str">
        <x:v>S08-08</x:v>
      </x:c>
      <x:c r="B5242" s="10" t="str">
        <x:v>B</x:v>
      </x:c>
      <x:c r="C5242" s="18" t="n">
        <x:v>1.317666567</x:v>
      </x:c>
      <x:c r="D5242" s="10" t="n">
        <x:v>560</x:v>
      </x:c>
      <x:c r="E5242" s="10" t="n">
        <x:v>0</x:v>
      </x:c>
      <x:c r="F5242" s="10" t="n">
        <x:v>0.004096</x:v>
      </x:c>
      <x:c r="G5242" s="10" t="n">
        <x:f>SUM(D5242:F5242)</x:f>
        <x:v>560.004096</x:v>
      </x:c>
    </x:row>
    <x:row r="5243" ht="24" customHeight="1">
      <x:c r="A5243" s="10" t="str">
        <x:v>S08-08</x:v>
      </x:c>
      <x:c r="B5243" s="10" t="str">
        <x:v>B</x:v>
      </x:c>
      <x:c r="C5243" s="18" t="n">
        <x:v>1.317666667</x:v>
      </x:c>
      <x:c r="D5243" s="10" t="n">
        <x:v>560</x:v>
      </x:c>
      <x:c r="E5243" s="10" t="n">
        <x:v>0.0096</x:v>
      </x:c>
      <x:c r="F5243" s="10" t="n">
        <x:v>0.004096</x:v>
      </x:c>
      <x:c r="G5243" s="10" t="n">
        <x:f>SUM(D5243:F5243)</x:f>
        <x:v>560.013696</x:v>
      </x:c>
    </x:row>
    <x:row r="5244" ht="24" customHeight="1">
      <x:c r="A5244" s="10" t="str">
        <x:v>S08-08</x:v>
      </x:c>
      <x:c r="B5244" s="10" t="str">
        <x:v>B</x:v>
      </x:c>
      <x:c r="C5244" s="18" t="n">
        <x:v>1.317666767</x:v>
      </x:c>
      <x:c r="D5244" s="10" t="n">
        <x:v>560</x:v>
      </x:c>
      <x:c r="E5244" s="10" t="n">
        <x:v>0.009600019</x:v>
      </x:c>
      <x:c r="F5244" s="10" t="n">
        <x:v>0.004096</x:v>
      </x:c>
      <x:c r="G5244" s="10" t="n">
        <x:f>SUM(D5244:F5244)</x:f>
        <x:v>560.013696019</x:v>
      </x:c>
    </x:row>
    <x:row r="5245" ht="24" customHeight="1">
      <x:c r="A5245" s="10" t="str">
        <x:v>S08-08</x:v>
      </x:c>
      <x:c r="B5245" s="10" t="str">
        <x:v>B</x:v>
      </x:c>
      <x:c r="C5245" s="18" t="n">
        <x:v>1.357666567</x:v>
      </x:c>
      <x:c r="D5245" s="10" t="n">
        <x:v>560</x:v>
      </x:c>
      <x:c r="E5245" s="10" t="n">
        <x:v>0.017279981</x:v>
      </x:c>
      <x:c r="F5245" s="10" t="n">
        <x:v>0.004096</x:v>
      </x:c>
      <x:c r="G5245" s="10" t="n">
        <x:f>SUM(D5245:F5245)</x:f>
        <x:v>560.021375981</x:v>
      </x:c>
    </x:row>
    <x:row r="5246" ht="24" customHeight="1">
      <x:c r="A5246" s="10" t="str">
        <x:v>S08-08</x:v>
      </x:c>
      <x:c r="B5246" s="10" t="str">
        <x:v>B</x:v>
      </x:c>
      <x:c r="C5246" s="18" t="n">
        <x:v>1.357666667</x:v>
      </x:c>
      <x:c r="D5246" s="10" t="n">
        <x:v>560</x:v>
      </x:c>
      <x:c r="E5246" s="10" t="n">
        <x:v>0.01728</x:v>
      </x:c>
      <x:c r="F5246" s="10" t="n">
        <x:v>0.004096</x:v>
      </x:c>
      <x:c r="G5246" s="10" t="n">
        <x:f>SUM(D5246:F5246)</x:f>
        <x:v>560.021376</x:v>
      </x:c>
    </x:row>
    <x:row r="5247" ht="24" customHeight="1">
      <x:c r="A5247" s="10" t="str">
        <x:v>S08-08</x:v>
      </x:c>
      <x:c r="B5247" s="10" t="str">
        <x:v>B</x:v>
      </x:c>
      <x:c r="C5247" s="18" t="n">
        <x:v>1.357666767</x:v>
      </x:c>
      <x:c r="D5247" s="10" t="n">
        <x:v>560</x:v>
      </x:c>
      <x:c r="E5247" s="10" t="n">
        <x:v>0.017280014</x:v>
      </x:c>
      <x:c r="F5247" s="10" t="n">
        <x:v>0.004096</x:v>
      </x:c>
      <x:c r="G5247" s="10" t="n">
        <x:f>SUM(D5247:F5247)</x:f>
        <x:v>560.021376014</x:v>
      </x:c>
    </x:row>
    <x:row r="5248" ht="24" customHeight="1">
      <x:c r="A5248" s="10" t="str">
        <x:v>S08-08</x:v>
      </x:c>
      <x:c r="B5248" s="10" t="str">
        <x:v>B</x:v>
      </x:c>
      <x:c r="C5248" s="18" t="n">
        <x:v>1.975166567</x:v>
      </x:c>
      <x:c r="D5248" s="10" t="n">
        <x:v>560</x:v>
      </x:c>
      <x:c r="E5248" s="10" t="n">
        <x:v>0.106199986</x:v>
      </x:c>
      <x:c r="F5248" s="10" t="n">
        <x:v>0.004096</x:v>
      </x:c>
      <x:c r="G5248" s="10" t="n">
        <x:f>SUM(D5248:F5248)</x:f>
        <x:v>560.110295986</x:v>
      </x:c>
    </x:row>
    <x:row r="5249" ht="24" customHeight="1">
      <x:c r="A5249" s="10" t="str">
        <x:v>S08-08</x:v>
      </x:c>
      <x:c r="B5249" s="10" t="str">
        <x:v>B</x:v>
      </x:c>
      <x:c r="C5249" s="18" t="n">
        <x:v>1.975166667</x:v>
      </x:c>
      <x:c r="D5249" s="10" t="n">
        <x:v>560</x:v>
      </x:c>
      <x:c r="E5249" s="10" t="n">
        <x:v>0.1062</x:v>
      </x:c>
      <x:c r="F5249" s="10" t="n">
        <x:v>0.004096</x:v>
      </x:c>
      <x:c r="G5249" s="10" t="n">
        <x:f>SUM(D5249:F5249)</x:f>
        <x:v>560.110296</x:v>
      </x:c>
    </x:row>
    <x:row r="5250" ht="24" customHeight="1">
      <x:c r="A5250" s="10" t="str">
        <x:v>S08-08</x:v>
      </x:c>
      <x:c r="B5250" s="10" t="str">
        <x:v>B</x:v>
      </x:c>
      <x:c r="C5250" s="18" t="n">
        <x:v>1.975166767</x:v>
      </x:c>
      <x:c r="D5250" s="10" t="n">
        <x:v>560</x:v>
      </x:c>
      <x:c r="E5250" s="10" t="n">
        <x:v>0.106199995</x:v>
      </x:c>
      <x:c r="F5250" s="10" t="n">
        <x:v>0.004096</x:v>
      </x:c>
      <x:c r="G5250" s="10" t="n">
        <x:f>SUM(D5250:F5250)</x:f>
        <x:v>560.110295995</x:v>
      </x:c>
    </x:row>
    <x:row r="5251" ht="24" customHeight="1">
      <x:c r="A5251" s="10" t="str">
        <x:v>S08-08</x:v>
      </x:c>
      <x:c r="B5251" s="10" t="str">
        <x:v>B</x:v>
      </x:c>
      <x:c r="C5251" s="18" t="n">
        <x:v>4.187666567</x:v>
      </x:c>
      <x:c r="D5251" s="10" t="n">
        <x:v>560</x:v>
      </x:c>
      <x:c r="E5251" s="10" t="n">
        <x:v>5e-9</x:v>
      </x:c>
      <x:c r="F5251" s="10" t="n">
        <x:v>0.004096</x:v>
      </x:c>
      <x:c r="G5251" s="10" t="n">
        <x:f>SUM(D5251:F5251)</x:f>
        <x:v>560.004096005</x:v>
      </x:c>
    </x:row>
    <x:row r="5252" ht="24" customHeight="1">
      <x:c r="A5252" s="10" t="str">
        <x:v>S08-08</x:v>
      </x:c>
      <x:c r="B5252" s="10" t="str">
        <x:v>B</x:v>
      </x:c>
      <x:c r="C5252" s="18" t="n">
        <x:v>4.187666667</x:v>
      </x:c>
      <x:c r="D5252" s="10" t="n">
        <x:v>560</x:v>
      </x:c>
      <x:c r="E5252" s="10" t="n">
        <x:v>0</x:v>
      </x:c>
      <x:c r="F5252" s="10" t="n">
        <x:v>0.004096</x:v>
      </x:c>
      <x:c r="G5252" s="10" t="n">
        <x:f>SUM(D5252:F5252)</x:f>
        <x:v>560.004096</x:v>
      </x:c>
    </x:row>
    <x:row r="5253" ht="24" customHeight="1">
      <x:c r="A5253" s="10" t="str">
        <x:v>S08-08</x:v>
      </x:c>
      <x:c r="B5253" s="10" t="str">
        <x:v>B</x:v>
      </x:c>
      <x:c r="C5253" s="18" t="n">
        <x:v>4.187666767</x:v>
      </x:c>
      <x:c r="D5253" s="10" t="n">
        <x:v>560</x:v>
      </x:c>
      <x:c r="E5253" s="10" t="n">
        <x:v>0</x:v>
      </x:c>
      <x:c r="F5253" s="10" t="n">
        <x:v>0</x:v>
      </x:c>
      <x:c r="G5253" s="10" t="n">
        <x:f>SUM(D5253:F5253)</x:f>
        <x:v>560</x:v>
      </x:c>
    </x:row>
    <x:row r="5254" ht="24" customHeight="1">
      <x:c r="A5254" s="10" t="str">
        <x:v>S08-09</x:v>
      </x:c>
      <x:c r="B5254" s="10" t="str">
        <x:v>A</x:v>
      </x:c>
      <x:c r="C5254" s="18" t="n">
        <x:v>-6.0000001</x:v>
      </x:c>
      <x:c r="D5254" s="10" t="n">
        <x:v>560</x:v>
      </x:c>
      <x:c r="E5254" s="10" t="n">
        <x:v>0</x:v>
      </x:c>
      <x:c r="F5254" s="10" t="n">
        <x:v>0</x:v>
      </x:c>
      <x:c r="G5254" s="10" t="n">
        <x:f>SUM(D5254:F5254)</x:f>
        <x:v>560</x:v>
      </x:c>
    </x:row>
    <x:row r="5255" ht="24" customHeight="1">
      <x:c r="A5255" s="10" t="str">
        <x:v>S08-09</x:v>
      </x:c>
      <x:c r="B5255" s="10" t="str">
        <x:v>A</x:v>
      </x:c>
      <x:c r="C5255" s="18" t="n">
        <x:v>-6</x:v>
      </x:c>
      <x:c r="D5255" s="10" t="n">
        <x:v>560</x:v>
      </x:c>
      <x:c r="E5255" s="10" t="n">
        <x:v>0</x:v>
      </x:c>
      <x:c r="F5255" s="10" t="n">
        <x:v>0</x:v>
      </x:c>
      <x:c r="G5255" s="10" t="n">
        <x:f>SUM(D5255:F5255)</x:f>
        <x:v>560</x:v>
      </x:c>
    </x:row>
    <x:row r="5256" ht="24" customHeight="1">
      <x:c r="A5256" s="10" t="str">
        <x:v>S08-09</x:v>
      </x:c>
      <x:c r="B5256" s="10" t="str">
        <x:v>A</x:v>
      </x:c>
      <x:c r="C5256" s="18" t="n">
        <x:v>-5.9999999</x:v>
      </x:c>
      <x:c r="D5256" s="10" t="n">
        <x:v>560</x:v>
      </x:c>
      <x:c r="E5256" s="10" t="n">
        <x:v>0</x:v>
      </x:c>
      <x:c r="F5256" s="10" t="n">
        <x:v>0</x:v>
      </x:c>
      <x:c r="G5256" s="10" t="n">
        <x:f>SUM(D5256:F5256)</x:f>
        <x:v>560</x:v>
      </x:c>
    </x:row>
    <x:row r="5257" ht="24" customHeight="1">
      <x:c r="A5257" s="10" t="str">
        <x:v>S08-09</x:v>
      </x:c>
      <x:c r="B5257" s="10" t="str">
        <x:v>A</x:v>
      </x:c>
      <x:c r="C5257" s="18" t="n">
        <x:v>-1e-7</x:v>
      </x:c>
      <x:c r="D5257" s="10" t="n">
        <x:v>560</x:v>
      </x:c>
      <x:c r="E5257" s="10" t="n">
        <x:v>0</x:v>
      </x:c>
      <x:c r="F5257" s="10" t="n">
        <x:v>0</x:v>
      </x:c>
      <x:c r="G5257" s="10" t="n">
        <x:f>SUM(D5257:F5257)</x:f>
        <x:v>560</x:v>
      </x:c>
    </x:row>
    <x:row r="5258" ht="24" customHeight="1">
      <x:c r="A5258" s="10" t="str">
        <x:v>S08-09</x:v>
      </x:c>
      <x:c r="B5258" s="10" t="str">
        <x:v>A</x:v>
      </x:c>
      <x:c r="C5258" s="18" t="n">
        <x:v>0</x:v>
      </x:c>
      <x:c r="D5258" s="10" t="n">
        <x:v>560</x:v>
      </x:c>
      <x:c r="E5258" s="10" t="n">
        <x:v>0</x:v>
      </x:c>
      <x:c r="F5258" s="10" t="n">
        <x:v>0</x:v>
      </x:c>
      <x:c r="G5258" s="10" t="n">
        <x:f>SUM(D5258:F5258)</x:f>
        <x:v>560</x:v>
      </x:c>
    </x:row>
    <x:row r="5259" ht="24" customHeight="1">
      <x:c r="A5259" s="10" t="str">
        <x:v>S08-09</x:v>
      </x:c>
      <x:c r="B5259" s="10" t="str">
        <x:v>A</x:v>
      </x:c>
      <x:c r="C5259" s="18" t="n">
        <x:v>1e-7</x:v>
      </x:c>
      <x:c r="D5259" s="10" t="n">
        <x:v>560</x:v>
      </x:c>
      <x:c r="E5259" s="10" t="n">
        <x:v>0</x:v>
      </x:c>
      <x:c r="F5259" s="10" t="n">
        <x:v>0</x:v>
      </x:c>
      <x:c r="G5259" s="10" t="n">
        <x:f>SUM(D5259:F5259)</x:f>
        <x:v>560</x:v>
      </x:c>
    </x:row>
    <x:row r="5260" ht="24" customHeight="1">
      <x:c r="A5260" s="10" t="str">
        <x:v>S08-09</x:v>
      </x:c>
      <x:c r="B5260" s="10" t="str">
        <x:v>A</x:v>
      </x:c>
      <x:c r="C5260" s="18" t="n">
        <x:v>0.8199999</x:v>
      </x:c>
      <x:c r="D5260" s="10" t="n">
        <x:v>560</x:v>
      </x:c>
      <x:c r="E5260" s="10" t="n">
        <x:v>0</x:v>
      </x:c>
      <x:c r="F5260" s="10" t="n">
        <x:v>0</x:v>
      </x:c>
      <x:c r="G5260" s="10" t="n">
        <x:f>SUM(D5260:F5260)</x:f>
        <x:v>560</x:v>
      </x:c>
    </x:row>
    <x:row r="5261" ht="24" customHeight="1">
      <x:c r="A5261" s="10" t="str">
        <x:v>S08-09</x:v>
      </x:c>
      <x:c r="B5261" s="10" t="str">
        <x:v>A</x:v>
      </x:c>
      <x:c r="C5261" s="18" t="n">
        <x:v>0.82</x:v>
      </x:c>
      <x:c r="D5261" s="10" t="n">
        <x:v>560</x:v>
      </x:c>
      <x:c r="E5261" s="10" t="n">
        <x:v>0</x:v>
      </x:c>
      <x:c r="F5261" s="10" t="n">
        <x:v>0.004096</x:v>
      </x:c>
      <x:c r="G5261" s="10" t="n">
        <x:f>SUM(D5261:F5261)</x:f>
        <x:v>560.004096</x:v>
      </x:c>
    </x:row>
    <x:row r="5262" ht="24" customHeight="1">
      <x:c r="A5262" s="10" t="str">
        <x:v>S08-09</x:v>
      </x:c>
      <x:c r="B5262" s="10" t="str">
        <x:v>A</x:v>
      </x:c>
      <x:c r="C5262" s="18" t="n">
        <x:v>0.8200001</x:v>
      </x:c>
      <x:c r="D5262" s="10" t="n">
        <x:v>560</x:v>
      </x:c>
      <x:c r="E5262" s="10" t="n">
        <x:v>0</x:v>
      </x:c>
      <x:c r="F5262" s="10" t="n">
        <x:v>0.004096</x:v>
      </x:c>
      <x:c r="G5262" s="10" t="n">
        <x:f>SUM(D5262:F5262)</x:f>
        <x:v>560.004096</x:v>
      </x:c>
    </x:row>
    <x:row r="5263" ht="24" customHeight="1">
      <x:c r="A5263" s="10" t="str">
        <x:v>S08-09</x:v>
      </x:c>
      <x:c r="B5263" s="10" t="str">
        <x:v>A</x:v>
      </x:c>
      <x:c r="C5263" s="18" t="n">
        <x:v>0.8699999</x:v>
      </x:c>
      <x:c r="D5263" s="10" t="n">
        <x:v>560</x:v>
      </x:c>
      <x:c r="E5263" s="10" t="n">
        <x:v>0</x:v>
      </x:c>
      <x:c r="F5263" s="10" t="n">
        <x:v>0.004096</x:v>
      </x:c>
      <x:c r="G5263" s="10" t="n">
        <x:f>SUM(D5263:F5263)</x:f>
        <x:v>560.004096</x:v>
      </x:c>
    </x:row>
    <x:row r="5264" ht="24" customHeight="1">
      <x:c r="A5264" s="10" t="str">
        <x:v>S08-09</x:v>
      </x:c>
      <x:c r="B5264" s="10" t="str">
        <x:v>A</x:v>
      </x:c>
      <x:c r="C5264" s="18" t="n">
        <x:v>0.87</x:v>
      </x:c>
      <x:c r="D5264" s="10" t="n">
        <x:v>560</x:v>
      </x:c>
      <x:c r="E5264" s="10" t="n">
        <x:v>0</x:v>
      </x:c>
      <x:c r="F5264" s="10" t="n">
        <x:v>0.004096</x:v>
      </x:c>
      <x:c r="G5264" s="10" t="n">
        <x:f>SUM(D5264:F5264)</x:f>
        <x:v>560.004096</x:v>
      </x:c>
    </x:row>
    <x:row r="5265" ht="24" customHeight="1">
      <x:c r="A5265" s="10" t="str">
        <x:v>S08-09</x:v>
      </x:c>
      <x:c r="B5265" s="10" t="str">
        <x:v>A</x:v>
      </x:c>
      <x:c r="C5265" s="18" t="n">
        <x:v>0.8700001</x:v>
      </x:c>
      <x:c r="D5265" s="10" t="n">
        <x:v>560</x:v>
      </x:c>
      <x:c r="E5265" s="10" t="n">
        <x:v>0</x:v>
      </x:c>
      <x:c r="F5265" s="10" t="n">
        <x:v>0.004096</x:v>
      </x:c>
      <x:c r="G5265" s="10" t="n">
        <x:f>SUM(D5265:F5265)</x:f>
        <x:v>560.004096</x:v>
      </x:c>
    </x:row>
    <x:row r="5266" ht="24" customHeight="1">
      <x:c r="A5266" s="10" t="str">
        <x:v>S08-09</x:v>
      </x:c>
      <x:c r="B5266" s="10" t="str">
        <x:v>A</x:v>
      </x:c>
      <x:c r="C5266" s="18" t="n">
        <x:v>1.2209999</x:v>
      </x:c>
      <x:c r="D5266" s="10" t="n">
        <x:v>560</x:v>
      </x:c>
      <x:c r="E5266" s="10" t="n">
        <x:v>0</x:v>
      </x:c>
      <x:c r="F5266" s="10" t="n">
        <x:v>0.004096</x:v>
      </x:c>
      <x:c r="G5266" s="10" t="n">
        <x:f>SUM(D5266:F5266)</x:f>
        <x:v>560.004096</x:v>
      </x:c>
    </x:row>
    <x:row r="5267" ht="24" customHeight="1">
      <x:c r="A5267" s="10" t="str">
        <x:v>S08-09</x:v>
      </x:c>
      <x:c r="B5267" s="10" t="str">
        <x:v>A</x:v>
      </x:c>
      <x:c r="C5267" s="18" t="n">
        <x:v>1.221</x:v>
      </x:c>
      <x:c r="D5267" s="10" t="n">
        <x:v>560</x:v>
      </x:c>
      <x:c r="E5267" s="10" t="n">
        <x:v>0.0096</x:v>
      </x:c>
      <x:c r="F5267" s="10" t="n">
        <x:v>0.004096</x:v>
      </x:c>
      <x:c r="G5267" s="10" t="n">
        <x:f>SUM(D5267:F5267)</x:f>
        <x:v>560.013696</x:v>
      </x:c>
    </x:row>
    <x:row r="5268" ht="24" customHeight="1">
      <x:c r="A5268" s="10" t="str">
        <x:v>S08-09</x:v>
      </x:c>
      <x:c r="B5268" s="10" t="str">
        <x:v>A</x:v>
      </x:c>
      <x:c r="C5268" s="18" t="n">
        <x:v>1.2210001</x:v>
      </x:c>
      <x:c r="D5268" s="10" t="n">
        <x:v>560</x:v>
      </x:c>
      <x:c r="E5268" s="10" t="n">
        <x:v>0.009600019</x:v>
      </x:c>
      <x:c r="F5268" s="10" t="n">
        <x:v>0.004096</x:v>
      </x:c>
      <x:c r="G5268" s="10" t="n">
        <x:f>SUM(D5268:F5268)</x:f>
        <x:v>560.013696019</x:v>
      </x:c>
    </x:row>
    <x:row r="5269" ht="24" customHeight="1">
      <x:c r="A5269" s="10" t="str">
        <x:v>S08-09</x:v>
      </x:c>
      <x:c r="B5269" s="10" t="str">
        <x:v>A</x:v>
      </x:c>
      <x:c r="C5269" s="18" t="n">
        <x:v>1.2609999</x:v>
      </x:c>
      <x:c r="D5269" s="10" t="n">
        <x:v>560</x:v>
      </x:c>
      <x:c r="E5269" s="10" t="n">
        <x:v>0.017279981</x:v>
      </x:c>
      <x:c r="F5269" s="10" t="n">
        <x:v>0.004096</x:v>
      </x:c>
      <x:c r="G5269" s="10" t="n">
        <x:f>SUM(D5269:F5269)</x:f>
        <x:v>560.021375981</x:v>
      </x:c>
    </x:row>
    <x:row r="5270" ht="24" customHeight="1">
      <x:c r="A5270" s="10" t="str">
        <x:v>S08-09</x:v>
      </x:c>
      <x:c r="B5270" s="10" t="str">
        <x:v>A</x:v>
      </x:c>
      <x:c r="C5270" s="18" t="n">
        <x:v>1.261</x:v>
      </x:c>
      <x:c r="D5270" s="10" t="n">
        <x:v>560</x:v>
      </x:c>
      <x:c r="E5270" s="10" t="n">
        <x:v>0.01728</x:v>
      </x:c>
      <x:c r="F5270" s="10" t="n">
        <x:v>0.004096</x:v>
      </x:c>
      <x:c r="G5270" s="10" t="n">
        <x:f>SUM(D5270:F5270)</x:f>
        <x:v>560.021376</x:v>
      </x:c>
    </x:row>
    <x:row r="5271" ht="24" customHeight="1">
      <x:c r="A5271" s="10" t="str">
        <x:v>S08-09</x:v>
      </x:c>
      <x:c r="B5271" s="10" t="str">
        <x:v>A</x:v>
      </x:c>
      <x:c r="C5271" s="18" t="n">
        <x:v>1.2610001</x:v>
      </x:c>
      <x:c r="D5271" s="10" t="n">
        <x:v>560</x:v>
      </x:c>
      <x:c r="E5271" s="10" t="n">
        <x:v>0.017280014</x:v>
      </x:c>
      <x:c r="F5271" s="10" t="n">
        <x:v>0.004096</x:v>
      </x:c>
      <x:c r="G5271" s="10" t="n">
        <x:f>SUM(D5271:F5271)</x:f>
        <x:v>560.021376014</x:v>
      </x:c>
    </x:row>
    <x:row r="5272" ht="24" customHeight="1">
      <x:c r="A5272" s="10" t="str">
        <x:v>S08-09</x:v>
      </x:c>
      <x:c r="B5272" s="10" t="str">
        <x:v>A</x:v>
      </x:c>
      <x:c r="C5272" s="18" t="n">
        <x:v>1.8814999</x:v>
      </x:c>
      <x:c r="D5272" s="10" t="n">
        <x:v>560</x:v>
      </x:c>
      <x:c r="E5272" s="10" t="n">
        <x:v>0.106631986</x:v>
      </x:c>
      <x:c r="F5272" s="10" t="n">
        <x:v>0.004096</x:v>
      </x:c>
      <x:c r="G5272" s="10" t="n">
        <x:f>SUM(D5272:F5272)</x:f>
        <x:v>560.110727986</x:v>
      </x:c>
    </x:row>
    <x:row r="5273" ht="24" customHeight="1">
      <x:c r="A5273" s="10" t="str">
        <x:v>S08-09</x:v>
      </x:c>
      <x:c r="B5273" s="10" t="str">
        <x:v>A</x:v>
      </x:c>
      <x:c r="C5273" s="18" t="n">
        <x:v>1.8815</x:v>
      </x:c>
      <x:c r="D5273" s="10" t="n">
        <x:v>560</x:v>
      </x:c>
      <x:c r="E5273" s="10" t="n">
        <x:v>0.106632</x:v>
      </x:c>
      <x:c r="F5273" s="10" t="n">
        <x:v>0.004096</x:v>
      </x:c>
      <x:c r="G5273" s="10" t="n">
        <x:f>SUM(D5273:F5273)</x:f>
        <x:v>560.110728</x:v>
      </x:c>
    </x:row>
    <x:row r="5274" ht="24" customHeight="1">
      <x:c r="A5274" s="10" t="str">
        <x:v>S08-09</x:v>
      </x:c>
      <x:c r="B5274" s="10" t="str">
        <x:v>A</x:v>
      </x:c>
      <x:c r="C5274" s="18" t="n">
        <x:v>1.8815001</x:v>
      </x:c>
      <x:c r="D5274" s="10" t="n">
        <x:v>560</x:v>
      </x:c>
      <x:c r="E5274" s="10" t="n">
        <x:v>0.106631995</x:v>
      </x:c>
      <x:c r="F5274" s="10" t="n">
        <x:v>0.004096</x:v>
      </x:c>
      <x:c r="G5274" s="10" t="n">
        <x:f>SUM(D5274:F5274)</x:f>
        <x:v>560.110727995</x:v>
      </x:c>
    </x:row>
    <x:row r="5275" ht="24" customHeight="1">
      <x:c r="A5275" s="10" t="str">
        <x:v>S08-09</x:v>
      </x:c>
      <x:c r="B5275" s="10" t="str">
        <x:v>A</x:v>
      </x:c>
      <x:c r="C5275" s="18" t="n">
        <x:v>4.1029999</x:v>
      </x:c>
      <x:c r="D5275" s="10" t="n">
        <x:v>560</x:v>
      </x:c>
      <x:c r="E5275" s="10" t="n">
        <x:v>5e-9</x:v>
      </x:c>
      <x:c r="F5275" s="10" t="n">
        <x:v>0.004096</x:v>
      </x:c>
      <x:c r="G5275" s="10" t="n">
        <x:f>SUM(D5275:F5275)</x:f>
        <x:v>560.004096005</x:v>
      </x:c>
    </x:row>
    <x:row r="5276" ht="24" customHeight="1">
      <x:c r="A5276" s="10" t="str">
        <x:v>S08-09</x:v>
      </x:c>
      <x:c r="B5276" s="10" t="str">
        <x:v>A</x:v>
      </x:c>
      <x:c r="C5276" s="18" t="n">
        <x:v>4.103</x:v>
      </x:c>
      <x:c r="D5276" s="10" t="n">
        <x:v>560</x:v>
      </x:c>
      <x:c r="E5276" s="10" t="n">
        <x:v>0</x:v>
      </x:c>
      <x:c r="F5276" s="10" t="n">
        <x:v>0.004096</x:v>
      </x:c>
      <x:c r="G5276" s="10" t="n">
        <x:f>SUM(D5276:F5276)</x:f>
        <x:v>560.004096</x:v>
      </x:c>
    </x:row>
    <x:row r="5277" ht="24" customHeight="1">
      <x:c r="A5277" s="10" t="str">
        <x:v>S08-09</x:v>
      </x:c>
      <x:c r="B5277" s="10" t="str">
        <x:v>A</x:v>
      </x:c>
      <x:c r="C5277" s="18" t="n">
        <x:v>4.1030001</x:v>
      </x:c>
      <x:c r="D5277" s="10" t="n">
        <x:v>560</x:v>
      </x:c>
      <x:c r="E5277" s="10" t="n">
        <x:v>0</x:v>
      </x:c>
      <x:c r="F5277" s="10" t="n">
        <x:v>0</x:v>
      </x:c>
      <x:c r="G5277" s="10" t="n">
        <x:f>SUM(D5277:F5277)</x:f>
        <x:v>560</x:v>
      </x:c>
    </x:row>
    <x:row r="5278" ht="24" customHeight="1">
      <x:c r="A5278" s="10" t="str">
        <x:v>S08-09</x:v>
      </x:c>
      <x:c r="B5278" s="10" t="str">
        <x:v>B</x:v>
      </x:c>
      <x:c r="C5278" s="18" t="n">
        <x:v>-6.0000001</x:v>
      </x:c>
      <x:c r="D5278" s="10" t="n">
        <x:v>560</x:v>
      </x:c>
      <x:c r="E5278" s="10" t="n">
        <x:v>0</x:v>
      </x:c>
      <x:c r="F5278" s="10" t="n">
        <x:v>0</x:v>
      </x:c>
      <x:c r="G5278" s="10" t="n">
        <x:f>SUM(D5278:F5278)</x:f>
        <x:v>560</x:v>
      </x:c>
    </x:row>
    <x:row r="5279" ht="24" customHeight="1">
      <x:c r="A5279" s="10" t="str">
        <x:v>S08-09</x:v>
      </x:c>
      <x:c r="B5279" s="10" t="str">
        <x:v>B</x:v>
      </x:c>
      <x:c r="C5279" s="18" t="n">
        <x:v>-6</x:v>
      </x:c>
      <x:c r="D5279" s="10" t="n">
        <x:v>560</x:v>
      </x:c>
      <x:c r="E5279" s="10" t="n">
        <x:v>0</x:v>
      </x:c>
      <x:c r="F5279" s="10" t="n">
        <x:v>0</x:v>
      </x:c>
      <x:c r="G5279" s="10" t="n">
        <x:f>SUM(D5279:F5279)</x:f>
        <x:v>560</x:v>
      </x:c>
    </x:row>
    <x:row r="5280" ht="24" customHeight="1">
      <x:c r="A5280" s="10" t="str">
        <x:v>S08-09</x:v>
      </x:c>
      <x:c r="B5280" s="10" t="str">
        <x:v>B</x:v>
      </x:c>
      <x:c r="C5280" s="18" t="n">
        <x:v>-5.9999999</x:v>
      </x:c>
      <x:c r="D5280" s="10" t="n">
        <x:v>560</x:v>
      </x:c>
      <x:c r="E5280" s="10" t="n">
        <x:v>0</x:v>
      </x:c>
      <x:c r="F5280" s="10" t="n">
        <x:v>0</x:v>
      </x:c>
      <x:c r="G5280" s="10" t="n">
        <x:f>SUM(D5280:F5280)</x:f>
        <x:v>560</x:v>
      </x:c>
    </x:row>
    <x:row r="5281" ht="24" customHeight="1">
      <x:c r="A5281" s="10" t="str">
        <x:v>S08-09</x:v>
      </x:c>
      <x:c r="B5281" s="10" t="str">
        <x:v>B</x:v>
      </x:c>
      <x:c r="C5281" s="18" t="n">
        <x:v>-1e-7</x:v>
      </x:c>
      <x:c r="D5281" s="10" t="n">
        <x:v>560</x:v>
      </x:c>
      <x:c r="E5281" s="10" t="n">
        <x:v>0</x:v>
      </x:c>
      <x:c r="F5281" s="10" t="n">
        <x:v>0</x:v>
      </x:c>
      <x:c r="G5281" s="10" t="n">
        <x:f>SUM(D5281:F5281)</x:f>
        <x:v>560</x:v>
      </x:c>
    </x:row>
    <x:row r="5282" ht="24" customHeight="1">
      <x:c r="A5282" s="10" t="str">
        <x:v>S08-09</x:v>
      </x:c>
      <x:c r="B5282" s="10" t="str">
        <x:v>B</x:v>
      </x:c>
      <x:c r="C5282" s="18" t="n">
        <x:v>0</x:v>
      </x:c>
      <x:c r="D5282" s="10" t="n">
        <x:v>560</x:v>
      </x:c>
      <x:c r="E5282" s="10" t="n">
        <x:v>0</x:v>
      </x:c>
      <x:c r="F5282" s="10" t="n">
        <x:v>0</x:v>
      </x:c>
      <x:c r="G5282" s="10" t="n">
        <x:f>SUM(D5282:F5282)</x:f>
        <x:v>560</x:v>
      </x:c>
    </x:row>
    <x:row r="5283" ht="24" customHeight="1">
      <x:c r="A5283" s="10" t="str">
        <x:v>S08-09</x:v>
      </x:c>
      <x:c r="B5283" s="10" t="str">
        <x:v>B</x:v>
      </x:c>
      <x:c r="C5283" s="18" t="n">
        <x:v>1e-7</x:v>
      </x:c>
      <x:c r="D5283" s="10" t="n">
        <x:v>560</x:v>
      </x:c>
      <x:c r="E5283" s="10" t="n">
        <x:v>0</x:v>
      </x:c>
      <x:c r="F5283" s="10" t="n">
        <x:v>0</x:v>
      </x:c>
      <x:c r="G5283" s="10" t="n">
        <x:f>SUM(D5283:F5283)</x:f>
        <x:v>560</x:v>
      </x:c>
    </x:row>
    <x:row r="5284" ht="24" customHeight="1">
      <x:c r="A5284" s="10" t="str">
        <x:v>S08-09</x:v>
      </x:c>
      <x:c r="B5284" s="10" t="str">
        <x:v>B</x:v>
      </x:c>
      <x:c r="C5284" s="18" t="n">
        <x:v>0.8699999</x:v>
      </x:c>
      <x:c r="D5284" s="10" t="n">
        <x:v>560</x:v>
      </x:c>
      <x:c r="E5284" s="10" t="n">
        <x:v>0</x:v>
      </x:c>
      <x:c r="F5284" s="10" t="n">
        <x:v>0</x:v>
      </x:c>
      <x:c r="G5284" s="10" t="n">
        <x:f>SUM(D5284:F5284)</x:f>
        <x:v>560</x:v>
      </x:c>
    </x:row>
    <x:row r="5285" ht="24" customHeight="1">
      <x:c r="A5285" s="10" t="str">
        <x:v>S08-09</x:v>
      </x:c>
      <x:c r="B5285" s="10" t="str">
        <x:v>B</x:v>
      </x:c>
      <x:c r="C5285" s="18" t="n">
        <x:v>0.87</x:v>
      </x:c>
      <x:c r="D5285" s="10" t="n">
        <x:v>560</x:v>
      </x:c>
      <x:c r="E5285" s="10" t="n">
        <x:v>0</x:v>
      </x:c>
      <x:c r="F5285" s="10" t="n">
        <x:v>0.004096</x:v>
      </x:c>
      <x:c r="G5285" s="10" t="n">
        <x:f>SUM(D5285:F5285)</x:f>
        <x:v>560.004096</x:v>
      </x:c>
    </x:row>
    <x:row r="5286" ht="24" customHeight="1">
      <x:c r="A5286" s="10" t="str">
        <x:v>S08-09</x:v>
      </x:c>
      <x:c r="B5286" s="10" t="str">
        <x:v>B</x:v>
      </x:c>
      <x:c r="C5286" s="18" t="n">
        <x:v>0.8700001</x:v>
      </x:c>
      <x:c r="D5286" s="10" t="n">
        <x:v>560</x:v>
      </x:c>
      <x:c r="E5286" s="10" t="n">
        <x:v>0</x:v>
      </x:c>
      <x:c r="F5286" s="10" t="n">
        <x:v>0.004096</x:v>
      </x:c>
      <x:c r="G5286" s="10" t="n">
        <x:f>SUM(D5286:F5286)</x:f>
        <x:v>560.004096</x:v>
      </x:c>
    </x:row>
    <x:row r="5287" ht="24" customHeight="1">
      <x:c r="A5287" s="10" t="str">
        <x:v>S08-09</x:v>
      </x:c>
      <x:c r="B5287" s="10" t="str">
        <x:v>B</x:v>
      </x:c>
      <x:c r="C5287" s="18" t="n">
        <x:v>1.2709999</x:v>
      </x:c>
      <x:c r="D5287" s="10" t="n">
        <x:v>560</x:v>
      </x:c>
      <x:c r="E5287" s="10" t="n">
        <x:v>0</x:v>
      </x:c>
      <x:c r="F5287" s="10" t="n">
        <x:v>0.004096</x:v>
      </x:c>
      <x:c r="G5287" s="10" t="n">
        <x:f>SUM(D5287:F5287)</x:f>
        <x:v>560.004096</x:v>
      </x:c>
    </x:row>
    <x:row r="5288" ht="24" customHeight="1">
      <x:c r="A5288" s="10" t="str">
        <x:v>S08-09</x:v>
      </x:c>
      <x:c r="B5288" s="10" t="str">
        <x:v>B</x:v>
      </x:c>
      <x:c r="C5288" s="18" t="n">
        <x:v>1.271</x:v>
      </x:c>
      <x:c r="D5288" s="10" t="n">
        <x:v>560</x:v>
      </x:c>
      <x:c r="E5288" s="10" t="n">
        <x:v>0.0096</x:v>
      </x:c>
      <x:c r="F5288" s="10" t="n">
        <x:v>0.004096</x:v>
      </x:c>
      <x:c r="G5288" s="10" t="n">
        <x:f>SUM(D5288:F5288)</x:f>
        <x:v>560.013696</x:v>
      </x:c>
    </x:row>
    <x:row r="5289" ht="24" customHeight="1">
      <x:c r="A5289" s="10" t="str">
        <x:v>S08-09</x:v>
      </x:c>
      <x:c r="B5289" s="10" t="str">
        <x:v>B</x:v>
      </x:c>
      <x:c r="C5289" s="18" t="n">
        <x:v>1.2710001</x:v>
      </x:c>
      <x:c r="D5289" s="10" t="n">
        <x:v>560</x:v>
      </x:c>
      <x:c r="E5289" s="10" t="n">
        <x:v>0.009600019</x:v>
      </x:c>
      <x:c r="F5289" s="10" t="n">
        <x:v>0.004096</x:v>
      </x:c>
      <x:c r="G5289" s="10" t="n">
        <x:f>SUM(D5289:F5289)</x:f>
        <x:v>560.013696019</x:v>
      </x:c>
    </x:row>
    <x:row r="5290" ht="24" customHeight="1">
      <x:c r="A5290" s="10" t="str">
        <x:v>S08-09</x:v>
      </x:c>
      <x:c r="B5290" s="10" t="str">
        <x:v>B</x:v>
      </x:c>
      <x:c r="C5290" s="18" t="n">
        <x:v>1.3109999</x:v>
      </x:c>
      <x:c r="D5290" s="10" t="n">
        <x:v>560</x:v>
      </x:c>
      <x:c r="E5290" s="10" t="n">
        <x:v>0.017279981</x:v>
      </x:c>
      <x:c r="F5290" s="10" t="n">
        <x:v>0.004096</x:v>
      </x:c>
      <x:c r="G5290" s="10" t="n">
        <x:f>SUM(D5290:F5290)</x:f>
        <x:v>560.021375981</x:v>
      </x:c>
    </x:row>
    <x:row r="5291" ht="24" customHeight="1">
      <x:c r="A5291" s="10" t="str">
        <x:v>S08-09</x:v>
      </x:c>
      <x:c r="B5291" s="10" t="str">
        <x:v>B</x:v>
      </x:c>
      <x:c r="C5291" s="18" t="n">
        <x:v>1.311</x:v>
      </x:c>
      <x:c r="D5291" s="10" t="n">
        <x:v>560</x:v>
      </x:c>
      <x:c r="E5291" s="10" t="n">
        <x:v>0.01728</x:v>
      </x:c>
      <x:c r="F5291" s="10" t="n">
        <x:v>0.004096</x:v>
      </x:c>
      <x:c r="G5291" s="10" t="n">
        <x:f>SUM(D5291:F5291)</x:f>
        <x:v>560.021376</x:v>
      </x:c>
    </x:row>
    <x:row r="5292" ht="24" customHeight="1">
      <x:c r="A5292" s="10" t="str">
        <x:v>S08-09</x:v>
      </x:c>
      <x:c r="B5292" s="10" t="str">
        <x:v>B</x:v>
      </x:c>
      <x:c r="C5292" s="18" t="n">
        <x:v>1.3110001</x:v>
      </x:c>
      <x:c r="D5292" s="10" t="n">
        <x:v>560</x:v>
      </x:c>
      <x:c r="E5292" s="10" t="n">
        <x:v>0.017280014</x:v>
      </x:c>
      <x:c r="F5292" s="10" t="n">
        <x:v>0.004096</x:v>
      </x:c>
      <x:c r="G5292" s="10" t="n">
        <x:f>SUM(D5292:F5292)</x:f>
        <x:v>560.021376014</x:v>
      </x:c>
    </x:row>
    <x:row r="5293" ht="24" customHeight="1">
      <x:c r="A5293" s="10" t="str">
        <x:v>S08-09</x:v>
      </x:c>
      <x:c r="B5293" s="10" t="str">
        <x:v>B</x:v>
      </x:c>
      <x:c r="C5293" s="18" t="n">
        <x:v>1.9314999</x:v>
      </x:c>
      <x:c r="D5293" s="10" t="n">
        <x:v>560</x:v>
      </x:c>
      <x:c r="E5293" s="10" t="n">
        <x:v>0.106631986</x:v>
      </x:c>
      <x:c r="F5293" s="10" t="n">
        <x:v>0.004096</x:v>
      </x:c>
      <x:c r="G5293" s="10" t="n">
        <x:f>SUM(D5293:F5293)</x:f>
        <x:v>560.110727986</x:v>
      </x:c>
    </x:row>
    <x:row r="5294" ht="24" customHeight="1">
      <x:c r="A5294" s="10" t="str">
        <x:v>S08-09</x:v>
      </x:c>
      <x:c r="B5294" s="10" t="str">
        <x:v>B</x:v>
      </x:c>
      <x:c r="C5294" s="18" t="n">
        <x:v>1.9315</x:v>
      </x:c>
      <x:c r="D5294" s="10" t="n">
        <x:v>560</x:v>
      </x:c>
      <x:c r="E5294" s="10" t="n">
        <x:v>0.106632</x:v>
      </x:c>
      <x:c r="F5294" s="10" t="n">
        <x:v>0.004096</x:v>
      </x:c>
      <x:c r="G5294" s="10" t="n">
        <x:f>SUM(D5294:F5294)</x:f>
        <x:v>560.110728</x:v>
      </x:c>
    </x:row>
    <x:row r="5295" ht="24" customHeight="1">
      <x:c r="A5295" s="10" t="str">
        <x:v>S08-09</x:v>
      </x:c>
      <x:c r="B5295" s="10" t="str">
        <x:v>B</x:v>
      </x:c>
      <x:c r="C5295" s="18" t="n">
        <x:v>1.9315001</x:v>
      </x:c>
      <x:c r="D5295" s="10" t="n">
        <x:v>560</x:v>
      </x:c>
      <x:c r="E5295" s="10" t="n">
        <x:v>0.106631995</x:v>
      </x:c>
      <x:c r="F5295" s="10" t="n">
        <x:v>0.004096</x:v>
      </x:c>
      <x:c r="G5295" s="10" t="n">
        <x:f>SUM(D5295:F5295)</x:f>
        <x:v>560.110727995</x:v>
      </x:c>
    </x:row>
    <x:row r="5296" ht="24" customHeight="1">
      <x:c r="A5296" s="10" t="str">
        <x:v>S08-09</x:v>
      </x:c>
      <x:c r="B5296" s="10" t="str">
        <x:v>B</x:v>
      </x:c>
      <x:c r="C5296" s="18" t="n">
        <x:v>4.1529999</x:v>
      </x:c>
      <x:c r="D5296" s="10" t="n">
        <x:v>560</x:v>
      </x:c>
      <x:c r="E5296" s="10" t="n">
        <x:v>5e-9</x:v>
      </x:c>
      <x:c r="F5296" s="10" t="n">
        <x:v>0.004096</x:v>
      </x:c>
      <x:c r="G5296" s="10" t="n">
        <x:f>SUM(D5296:F5296)</x:f>
        <x:v>560.004096005</x:v>
      </x:c>
    </x:row>
    <x:row r="5297" ht="24" customHeight="1">
      <x:c r="A5297" s="10" t="str">
        <x:v>S08-09</x:v>
      </x:c>
      <x:c r="B5297" s="10" t="str">
        <x:v>B</x:v>
      </x:c>
      <x:c r="C5297" s="18" t="n">
        <x:v>4.153</x:v>
      </x:c>
      <x:c r="D5297" s="10" t="n">
        <x:v>560</x:v>
      </x:c>
      <x:c r="E5297" s="10" t="n">
        <x:v>0</x:v>
      </x:c>
      <x:c r="F5297" s="10" t="n">
        <x:v>0.004096</x:v>
      </x:c>
      <x:c r="G5297" s="10" t="n">
        <x:f>SUM(D5297:F5297)</x:f>
        <x:v>560.004096</x:v>
      </x:c>
    </x:row>
    <x:row r="5298" ht="24" customHeight="1">
      <x:c r="A5298" s="10" t="str">
        <x:v>S08-09</x:v>
      </x:c>
      <x:c r="B5298" s="10" t="str">
        <x:v>B</x:v>
      </x:c>
      <x:c r="C5298" s="18" t="n">
        <x:v>4.1530001</x:v>
      </x:c>
      <x:c r="D5298" s="10" t="n">
        <x:v>560</x:v>
      </x:c>
      <x:c r="E5298" s="10" t="n">
        <x:v>0</x:v>
      </x:c>
      <x:c r="F5298" s="10" t="n">
        <x:v>0</x:v>
      </x:c>
      <x:c r="G5298" s="10" t="n">
        <x:f>SUM(D5298:F5298)</x:f>
        <x:v>560</x:v>
      </x:c>
    </x:row>
    <x:row r="5299" ht="24" customHeight="1">
      <x:c r="A5299" s="10" t="str">
        <x:v>S08-10</x:v>
      </x:c>
      <x:c r="B5299" s="10" t="str">
        <x:v>A</x:v>
      </x:c>
      <x:c r="C5299" s="18" t="n">
        <x:v>-6.0000001</x:v>
      </x:c>
      <x:c r="D5299" s="10" t="n">
        <x:v>560</x:v>
      </x:c>
      <x:c r="E5299" s="10" t="n">
        <x:v>0</x:v>
      </x:c>
      <x:c r="F5299" s="10" t="n">
        <x:v>0</x:v>
      </x:c>
      <x:c r="G5299" s="10" t="n">
        <x:f>SUM(D5299:F5299)</x:f>
        <x:v>560</x:v>
      </x:c>
    </x:row>
    <x:row r="5300" ht="24" customHeight="1">
      <x:c r="A5300" s="10" t="str">
        <x:v>S08-10</x:v>
      </x:c>
      <x:c r="B5300" s="10" t="str">
        <x:v>A</x:v>
      </x:c>
      <x:c r="C5300" s="18" t="n">
        <x:v>-6</x:v>
      </x:c>
      <x:c r="D5300" s="10" t="n">
        <x:v>560</x:v>
      </x:c>
      <x:c r="E5300" s="10" t="n">
        <x:v>0</x:v>
      </x:c>
      <x:c r="F5300" s="10" t="n">
        <x:v>0</x:v>
      </x:c>
      <x:c r="G5300" s="10" t="n">
        <x:f>SUM(D5300:F5300)</x:f>
        <x:v>560</x:v>
      </x:c>
    </x:row>
    <x:row r="5301" ht="24" customHeight="1">
      <x:c r="A5301" s="10" t="str">
        <x:v>S08-10</x:v>
      </x:c>
      <x:c r="B5301" s="10" t="str">
        <x:v>A</x:v>
      </x:c>
      <x:c r="C5301" s="18" t="n">
        <x:v>-5.9999999</x:v>
      </x:c>
      <x:c r="D5301" s="10" t="n">
        <x:v>560</x:v>
      </x:c>
      <x:c r="E5301" s="10" t="n">
        <x:v>0</x:v>
      </x:c>
      <x:c r="F5301" s="10" t="n">
        <x:v>0</x:v>
      </x:c>
      <x:c r="G5301" s="10" t="n">
        <x:f>SUM(D5301:F5301)</x:f>
        <x:v>560</x:v>
      </x:c>
    </x:row>
    <x:row r="5302" ht="24" customHeight="1">
      <x:c r="A5302" s="10" t="str">
        <x:v>S08-10</x:v>
      </x:c>
      <x:c r="B5302" s="10" t="str">
        <x:v>A</x:v>
      </x:c>
      <x:c r="C5302" s="18" t="n">
        <x:v>-1e-7</x:v>
      </x:c>
      <x:c r="D5302" s="10" t="n">
        <x:v>560</x:v>
      </x:c>
      <x:c r="E5302" s="10" t="n">
        <x:v>0</x:v>
      </x:c>
      <x:c r="F5302" s="10" t="n">
        <x:v>0</x:v>
      </x:c>
      <x:c r="G5302" s="10" t="n">
        <x:f>SUM(D5302:F5302)</x:f>
        <x:v>560</x:v>
      </x:c>
    </x:row>
    <x:row r="5303" ht="24" customHeight="1">
      <x:c r="A5303" s="10" t="str">
        <x:v>S08-10</x:v>
      </x:c>
      <x:c r="B5303" s="10" t="str">
        <x:v>A</x:v>
      </x:c>
      <x:c r="C5303" s="18" t="n">
        <x:v>0</x:v>
      </x:c>
      <x:c r="D5303" s="10" t="n">
        <x:v>560</x:v>
      </x:c>
      <x:c r="E5303" s="10" t="n">
        <x:v>0</x:v>
      </x:c>
      <x:c r="F5303" s="10" t="n">
        <x:v>0</x:v>
      </x:c>
      <x:c r="G5303" s="10" t="n">
        <x:f>SUM(D5303:F5303)</x:f>
        <x:v>560</x:v>
      </x:c>
    </x:row>
    <x:row r="5304" ht="24" customHeight="1">
      <x:c r="A5304" s="10" t="str">
        <x:v>S08-10</x:v>
      </x:c>
      <x:c r="B5304" s="10" t="str">
        <x:v>A</x:v>
      </x:c>
      <x:c r="C5304" s="18" t="n">
        <x:v>1e-7</x:v>
      </x:c>
      <x:c r="D5304" s="10" t="n">
        <x:v>560</x:v>
      </x:c>
      <x:c r="E5304" s="10" t="n">
        <x:v>0</x:v>
      </x:c>
      <x:c r="F5304" s="10" t="n">
        <x:v>0</x:v>
      </x:c>
      <x:c r="G5304" s="10" t="n">
        <x:f>SUM(D5304:F5304)</x:f>
        <x:v>560</x:v>
      </x:c>
    </x:row>
    <x:row r="5305" ht="24" customHeight="1">
      <x:c r="A5305" s="10" t="str">
        <x:v>S08-10</x:v>
      </x:c>
      <x:c r="B5305" s="10" t="str">
        <x:v>A</x:v>
      </x:c>
      <x:c r="C5305" s="18" t="n">
        <x:v>0.848333233</x:v>
      </x:c>
      <x:c r="D5305" s="10" t="n">
        <x:v>560</x:v>
      </x:c>
      <x:c r="E5305" s="10" t="n">
        <x:v>0</x:v>
      </x:c>
      <x:c r="F5305" s="10" t="n">
        <x:v>0</x:v>
      </x:c>
      <x:c r="G5305" s="10" t="n">
        <x:f>SUM(D5305:F5305)</x:f>
        <x:v>560</x:v>
      </x:c>
    </x:row>
    <x:row r="5306" ht="24" customHeight="1">
      <x:c r="A5306" s="10" t="str">
        <x:v>S08-10</x:v>
      </x:c>
      <x:c r="B5306" s="10" t="str">
        <x:v>A</x:v>
      </x:c>
      <x:c r="C5306" s="18" t="n">
        <x:v>0.848333333</x:v>
      </x:c>
      <x:c r="D5306" s="10" t="n">
        <x:v>560</x:v>
      </x:c>
      <x:c r="E5306" s="10" t="n">
        <x:v>0</x:v>
      </x:c>
      <x:c r="F5306" s="10" t="n">
        <x:v>0.004096</x:v>
      </x:c>
      <x:c r="G5306" s="10" t="n">
        <x:f>SUM(D5306:F5306)</x:f>
        <x:v>560.004096</x:v>
      </x:c>
    </x:row>
    <x:row r="5307" ht="24" customHeight="1">
      <x:c r="A5307" s="10" t="str">
        <x:v>S08-10</x:v>
      </x:c>
      <x:c r="B5307" s="10" t="str">
        <x:v>A</x:v>
      </x:c>
      <x:c r="C5307" s="18" t="n">
        <x:v>0.848333433</x:v>
      </x:c>
      <x:c r="D5307" s="10" t="n">
        <x:v>560</x:v>
      </x:c>
      <x:c r="E5307" s="10" t="n">
        <x:v>0</x:v>
      </x:c>
      <x:c r="F5307" s="10" t="n">
        <x:v>0.004096</x:v>
      </x:c>
      <x:c r="G5307" s="10" t="n">
        <x:f>SUM(D5307:F5307)</x:f>
        <x:v>560.004096</x:v>
      </x:c>
    </x:row>
    <x:row r="5308" ht="24" customHeight="1">
      <x:c r="A5308" s="10" t="str">
        <x:v>S08-10</x:v>
      </x:c>
      <x:c r="B5308" s="10" t="str">
        <x:v>A</x:v>
      </x:c>
      <x:c r="C5308" s="18" t="n">
        <x:v>0.898333233</x:v>
      </x:c>
      <x:c r="D5308" s="10" t="n">
        <x:v>560</x:v>
      </x:c>
      <x:c r="E5308" s="10" t="n">
        <x:v>0</x:v>
      </x:c>
      <x:c r="F5308" s="10" t="n">
        <x:v>0.004096</x:v>
      </x:c>
      <x:c r="G5308" s="10" t="n">
        <x:f>SUM(D5308:F5308)</x:f>
        <x:v>560.004096</x:v>
      </x:c>
    </x:row>
    <x:row r="5309" ht="24" customHeight="1">
      <x:c r="A5309" s="10" t="str">
        <x:v>S08-10</x:v>
      </x:c>
      <x:c r="B5309" s="10" t="str">
        <x:v>A</x:v>
      </x:c>
      <x:c r="C5309" s="18" t="n">
        <x:v>0.898333333</x:v>
      </x:c>
      <x:c r="D5309" s="10" t="n">
        <x:v>560</x:v>
      </x:c>
      <x:c r="E5309" s="10" t="n">
        <x:v>0</x:v>
      </x:c>
      <x:c r="F5309" s="10" t="n">
        <x:v>0.004096</x:v>
      </x:c>
      <x:c r="G5309" s="10" t="n">
        <x:f>SUM(D5309:F5309)</x:f>
        <x:v>560.004096</x:v>
      </x:c>
    </x:row>
    <x:row r="5310" ht="24" customHeight="1">
      <x:c r="A5310" s="10" t="str">
        <x:v>S08-10</x:v>
      </x:c>
      <x:c r="B5310" s="10" t="str">
        <x:v>A</x:v>
      </x:c>
      <x:c r="C5310" s="18" t="n">
        <x:v>0.898333433</x:v>
      </x:c>
      <x:c r="D5310" s="10" t="n">
        <x:v>560</x:v>
      </x:c>
      <x:c r="E5310" s="10" t="n">
        <x:v>0</x:v>
      </x:c>
      <x:c r="F5310" s="10" t="n">
        <x:v>0.004096</x:v>
      </x:c>
      <x:c r="G5310" s="10" t="n">
        <x:f>SUM(D5310:F5310)</x:f>
        <x:v>560.004096</x:v>
      </x:c>
    </x:row>
    <x:row r="5311" ht="24" customHeight="1">
      <x:c r="A5311" s="10" t="str">
        <x:v>S08-10</x:v>
      </x:c>
      <x:c r="B5311" s="10" t="str">
        <x:v>A</x:v>
      </x:c>
      <x:c r="C5311" s="18" t="n">
        <x:v>1.249333233</x:v>
      </x:c>
      <x:c r="D5311" s="10" t="n">
        <x:v>560</x:v>
      </x:c>
      <x:c r="E5311" s="10" t="n">
        <x:v>0</x:v>
      </x:c>
      <x:c r="F5311" s="10" t="n">
        <x:v>0.004096</x:v>
      </x:c>
      <x:c r="G5311" s="10" t="n">
        <x:f>SUM(D5311:F5311)</x:f>
        <x:v>560.004096</x:v>
      </x:c>
    </x:row>
    <x:row r="5312" ht="24" customHeight="1">
      <x:c r="A5312" s="10" t="str">
        <x:v>S08-10</x:v>
      </x:c>
      <x:c r="B5312" s="10" t="str">
        <x:v>A</x:v>
      </x:c>
      <x:c r="C5312" s="18" t="n">
        <x:v>1.249333333</x:v>
      </x:c>
      <x:c r="D5312" s="10" t="n">
        <x:v>560</x:v>
      </x:c>
      <x:c r="E5312" s="10" t="n">
        <x:v>0.0096</x:v>
      </x:c>
      <x:c r="F5312" s="10" t="n">
        <x:v>0.004096</x:v>
      </x:c>
      <x:c r="G5312" s="10" t="n">
        <x:f>SUM(D5312:F5312)</x:f>
        <x:v>560.013696</x:v>
      </x:c>
    </x:row>
    <x:row r="5313" ht="24" customHeight="1">
      <x:c r="A5313" s="10" t="str">
        <x:v>S08-10</x:v>
      </x:c>
      <x:c r="B5313" s="10" t="str">
        <x:v>A</x:v>
      </x:c>
      <x:c r="C5313" s="18" t="n">
        <x:v>1.249333433</x:v>
      </x:c>
      <x:c r="D5313" s="10" t="n">
        <x:v>560</x:v>
      </x:c>
      <x:c r="E5313" s="10" t="n">
        <x:v>0.009600019</x:v>
      </x:c>
      <x:c r="F5313" s="10" t="n">
        <x:v>0.004096</x:v>
      </x:c>
      <x:c r="G5313" s="10" t="n">
        <x:f>SUM(D5313:F5313)</x:f>
        <x:v>560.013696019</x:v>
      </x:c>
    </x:row>
    <x:row r="5314" ht="24" customHeight="1">
      <x:c r="A5314" s="10" t="str">
        <x:v>S08-10</x:v>
      </x:c>
      <x:c r="B5314" s="10" t="str">
        <x:v>A</x:v>
      </x:c>
      <x:c r="C5314" s="18" t="n">
        <x:v>1.289333233</x:v>
      </x:c>
      <x:c r="D5314" s="10" t="n">
        <x:v>560</x:v>
      </x:c>
      <x:c r="E5314" s="10" t="n">
        <x:v>0.017279981</x:v>
      </x:c>
      <x:c r="F5314" s="10" t="n">
        <x:v>0.004096</x:v>
      </x:c>
      <x:c r="G5314" s="10" t="n">
        <x:f>SUM(D5314:F5314)</x:f>
        <x:v>560.021375981</x:v>
      </x:c>
    </x:row>
    <x:row r="5315" ht="24" customHeight="1">
      <x:c r="A5315" s="10" t="str">
        <x:v>S08-10</x:v>
      </x:c>
      <x:c r="B5315" s="10" t="str">
        <x:v>A</x:v>
      </x:c>
      <x:c r="C5315" s="18" t="n">
        <x:v>1.289333333</x:v>
      </x:c>
      <x:c r="D5315" s="10" t="n">
        <x:v>560</x:v>
      </x:c>
      <x:c r="E5315" s="10" t="n">
        <x:v>0.01728</x:v>
      </x:c>
      <x:c r="F5315" s="10" t="n">
        <x:v>0.004096</x:v>
      </x:c>
      <x:c r="G5315" s="10" t="n">
        <x:f>SUM(D5315:F5315)</x:f>
        <x:v>560.021376</x:v>
      </x:c>
    </x:row>
    <x:row r="5316" ht="24" customHeight="1">
      <x:c r="A5316" s="10" t="str">
        <x:v>S08-10</x:v>
      </x:c>
      <x:c r="B5316" s="10" t="str">
        <x:v>A</x:v>
      </x:c>
      <x:c r="C5316" s="18" t="n">
        <x:v>1.289333433</x:v>
      </x:c>
      <x:c r="D5316" s="10" t="n">
        <x:v>560</x:v>
      </x:c>
      <x:c r="E5316" s="10" t="n">
        <x:v>0.017280014</x:v>
      </x:c>
      <x:c r="F5316" s="10" t="n">
        <x:v>0.004096</x:v>
      </x:c>
      <x:c r="G5316" s="10" t="n">
        <x:f>SUM(D5316:F5316)</x:f>
        <x:v>560.021376014</x:v>
      </x:c>
    </x:row>
    <x:row r="5317" ht="24" customHeight="1">
      <x:c r="A5317" s="10" t="str">
        <x:v>S08-10</x:v>
      </x:c>
      <x:c r="B5317" s="10" t="str">
        <x:v>A</x:v>
      </x:c>
      <x:c r="C5317" s="18" t="n">
        <x:v>1.912833233</x:v>
      </x:c>
      <x:c r="D5317" s="10" t="n">
        <x:v>560</x:v>
      </x:c>
      <x:c r="E5317" s="10" t="n">
        <x:v>0.107063986</x:v>
      </x:c>
      <x:c r="F5317" s="10" t="n">
        <x:v>0.004096</x:v>
      </x:c>
      <x:c r="G5317" s="10" t="n">
        <x:f>SUM(D5317:F5317)</x:f>
        <x:v>560.111159986</x:v>
      </x:c>
    </x:row>
    <x:row r="5318" ht="24" customHeight="1">
      <x:c r="A5318" s="10" t="str">
        <x:v>S08-10</x:v>
      </x:c>
      <x:c r="B5318" s="10" t="str">
        <x:v>A</x:v>
      </x:c>
      <x:c r="C5318" s="18" t="n">
        <x:v>1.912833333</x:v>
      </x:c>
      <x:c r="D5318" s="10" t="n">
        <x:v>560</x:v>
      </x:c>
      <x:c r="E5318" s="10" t="n">
        <x:v>0.107064</x:v>
      </x:c>
      <x:c r="F5318" s="10" t="n">
        <x:v>0.004096</x:v>
      </x:c>
      <x:c r="G5318" s="10" t="n">
        <x:f>SUM(D5318:F5318)</x:f>
        <x:v>560.11116</x:v>
      </x:c>
    </x:row>
    <x:row r="5319" ht="24" customHeight="1">
      <x:c r="A5319" s="10" t="str">
        <x:v>S08-10</x:v>
      </x:c>
      <x:c r="B5319" s="10" t="str">
        <x:v>A</x:v>
      </x:c>
      <x:c r="C5319" s="18" t="n">
        <x:v>1.912833433</x:v>
      </x:c>
      <x:c r="D5319" s="10" t="n">
        <x:v>560</x:v>
      </x:c>
      <x:c r="E5319" s="10" t="n">
        <x:v>0.107063995</x:v>
      </x:c>
      <x:c r="F5319" s="10" t="n">
        <x:v>0.004096</x:v>
      </x:c>
      <x:c r="G5319" s="10" t="n">
        <x:f>SUM(D5319:F5319)</x:f>
        <x:v>560.111159995</x:v>
      </x:c>
    </x:row>
    <x:row r="5320" ht="24" customHeight="1">
      <x:c r="A5320" s="10" t="str">
        <x:v>S08-10</x:v>
      </x:c>
      <x:c r="B5320" s="10" t="str">
        <x:v>A</x:v>
      </x:c>
      <x:c r="C5320" s="18" t="n">
        <x:v>4.143333233</x:v>
      </x:c>
      <x:c r="D5320" s="10" t="n">
        <x:v>560</x:v>
      </x:c>
      <x:c r="E5320" s="10" t="n">
        <x:v>5e-9</x:v>
      </x:c>
      <x:c r="F5320" s="10" t="n">
        <x:v>0.004096</x:v>
      </x:c>
      <x:c r="G5320" s="10" t="n">
        <x:f>SUM(D5320:F5320)</x:f>
        <x:v>560.004096005</x:v>
      </x:c>
    </x:row>
    <x:row r="5321" ht="24" customHeight="1">
      <x:c r="A5321" s="10" t="str">
        <x:v>S08-10</x:v>
      </x:c>
      <x:c r="B5321" s="10" t="str">
        <x:v>A</x:v>
      </x:c>
      <x:c r="C5321" s="18" t="n">
        <x:v>4.143333333</x:v>
      </x:c>
      <x:c r="D5321" s="10" t="n">
        <x:v>560</x:v>
      </x:c>
      <x:c r="E5321" s="10" t="n">
        <x:v>0</x:v>
      </x:c>
      <x:c r="F5321" s="10" t="n">
        <x:v>0.004096</x:v>
      </x:c>
      <x:c r="G5321" s="10" t="n">
        <x:f>SUM(D5321:F5321)</x:f>
        <x:v>560.004096</x:v>
      </x:c>
    </x:row>
    <x:row r="5322" ht="24" customHeight="1">
      <x:c r="A5322" s="10" t="str">
        <x:v>S08-10</x:v>
      </x:c>
      <x:c r="B5322" s="10" t="str">
        <x:v>A</x:v>
      </x:c>
      <x:c r="C5322" s="18" t="n">
        <x:v>4.143333433</x:v>
      </x:c>
      <x:c r="D5322" s="10" t="n">
        <x:v>560</x:v>
      </x:c>
      <x:c r="E5322" s="10" t="n">
        <x:v>0</x:v>
      </x:c>
      <x:c r="F5322" s="10" t="n">
        <x:v>0</x:v>
      </x:c>
      <x:c r="G5322" s="10" t="n">
        <x:f>SUM(D5322:F5322)</x:f>
        <x:v>560</x:v>
      </x:c>
    </x:row>
    <x:row r="5323" ht="24" customHeight="1">
      <x:c r="A5323" s="10" t="str">
        <x:v>S08-10</x:v>
      </x:c>
      <x:c r="B5323" s="10" t="str">
        <x:v>B</x:v>
      </x:c>
      <x:c r="C5323" s="18" t="n">
        <x:v>-6.0000001</x:v>
      </x:c>
      <x:c r="D5323" s="10" t="n">
        <x:v>560</x:v>
      </x:c>
      <x:c r="E5323" s="10" t="n">
        <x:v>0</x:v>
      </x:c>
      <x:c r="F5323" s="10" t="n">
        <x:v>0</x:v>
      </x:c>
      <x:c r="G5323" s="10" t="n">
        <x:f>SUM(D5323:F5323)</x:f>
        <x:v>560</x:v>
      </x:c>
    </x:row>
    <x:row r="5324" ht="24" customHeight="1">
      <x:c r="A5324" s="10" t="str">
        <x:v>S08-10</x:v>
      </x:c>
      <x:c r="B5324" s="10" t="str">
        <x:v>B</x:v>
      </x:c>
      <x:c r="C5324" s="18" t="n">
        <x:v>-6</x:v>
      </x:c>
      <x:c r="D5324" s="10" t="n">
        <x:v>560</x:v>
      </x:c>
      <x:c r="E5324" s="10" t="n">
        <x:v>0</x:v>
      </x:c>
      <x:c r="F5324" s="10" t="n">
        <x:v>0</x:v>
      </x:c>
      <x:c r="G5324" s="10" t="n">
        <x:f>SUM(D5324:F5324)</x:f>
        <x:v>560</x:v>
      </x:c>
    </x:row>
    <x:row r="5325" ht="24" customHeight="1">
      <x:c r="A5325" s="10" t="str">
        <x:v>S08-10</x:v>
      </x:c>
      <x:c r="B5325" s="10" t="str">
        <x:v>B</x:v>
      </x:c>
      <x:c r="C5325" s="18" t="n">
        <x:v>-5.9999999</x:v>
      </x:c>
      <x:c r="D5325" s="10" t="n">
        <x:v>560</x:v>
      </x:c>
      <x:c r="E5325" s="10" t="n">
        <x:v>0</x:v>
      </x:c>
      <x:c r="F5325" s="10" t="n">
        <x:v>0</x:v>
      </x:c>
      <x:c r="G5325" s="10" t="n">
        <x:f>SUM(D5325:F5325)</x:f>
        <x:v>560</x:v>
      </x:c>
    </x:row>
    <x:row r="5326" ht="24" customHeight="1">
      <x:c r="A5326" s="10" t="str">
        <x:v>S08-10</x:v>
      </x:c>
      <x:c r="B5326" s="10" t="str">
        <x:v>B</x:v>
      </x:c>
      <x:c r="C5326" s="18" t="n">
        <x:v>-1e-7</x:v>
      </x:c>
      <x:c r="D5326" s="10" t="n">
        <x:v>560</x:v>
      </x:c>
      <x:c r="E5326" s="10" t="n">
        <x:v>0</x:v>
      </x:c>
      <x:c r="F5326" s="10" t="n">
        <x:v>0</x:v>
      </x:c>
      <x:c r="G5326" s="10" t="n">
        <x:f>SUM(D5326:F5326)</x:f>
        <x:v>560</x:v>
      </x:c>
    </x:row>
    <x:row r="5327" ht="24" customHeight="1">
      <x:c r="A5327" s="10" t="str">
        <x:v>S08-10</x:v>
      </x:c>
      <x:c r="B5327" s="10" t="str">
        <x:v>B</x:v>
      </x:c>
      <x:c r="C5327" s="18" t="n">
        <x:v>0</x:v>
      </x:c>
      <x:c r="D5327" s="10" t="n">
        <x:v>560</x:v>
      </x:c>
      <x:c r="E5327" s="10" t="n">
        <x:v>0</x:v>
      </x:c>
      <x:c r="F5327" s="10" t="n">
        <x:v>0</x:v>
      </x:c>
      <x:c r="G5327" s="10" t="n">
        <x:f>SUM(D5327:F5327)</x:f>
        <x:v>560</x:v>
      </x:c>
    </x:row>
    <x:row r="5328" ht="24" customHeight="1">
      <x:c r="A5328" s="10" t="str">
        <x:v>S08-10</x:v>
      </x:c>
      <x:c r="B5328" s="10" t="str">
        <x:v>B</x:v>
      </x:c>
      <x:c r="C5328" s="18" t="n">
        <x:v>1e-7</x:v>
      </x:c>
      <x:c r="D5328" s="10" t="n">
        <x:v>560</x:v>
      </x:c>
      <x:c r="E5328" s="10" t="n">
        <x:v>0</x:v>
      </x:c>
      <x:c r="F5328" s="10" t="n">
        <x:v>0</x:v>
      </x:c>
      <x:c r="G5328" s="10" t="n">
        <x:f>SUM(D5328:F5328)</x:f>
        <x:v>560</x:v>
      </x:c>
    </x:row>
    <x:row r="5329" ht="24" customHeight="1">
      <x:c r="A5329" s="10" t="str">
        <x:v>S08-10</x:v>
      </x:c>
      <x:c r="B5329" s="10" t="str">
        <x:v>B</x:v>
      </x:c>
      <x:c r="C5329" s="18" t="n">
        <x:v>0.898333233</x:v>
      </x:c>
      <x:c r="D5329" s="10" t="n">
        <x:v>560</x:v>
      </x:c>
      <x:c r="E5329" s="10" t="n">
        <x:v>0</x:v>
      </x:c>
      <x:c r="F5329" s="10" t="n">
        <x:v>0</x:v>
      </x:c>
      <x:c r="G5329" s="10" t="n">
        <x:f>SUM(D5329:F5329)</x:f>
        <x:v>560</x:v>
      </x:c>
    </x:row>
    <x:row r="5330" ht="24" customHeight="1">
      <x:c r="A5330" s="10" t="str">
        <x:v>S08-10</x:v>
      </x:c>
      <x:c r="B5330" s="10" t="str">
        <x:v>B</x:v>
      </x:c>
      <x:c r="C5330" s="18" t="n">
        <x:v>0.898333333</x:v>
      </x:c>
      <x:c r="D5330" s="10" t="n">
        <x:v>560</x:v>
      </x:c>
      <x:c r="E5330" s="10" t="n">
        <x:v>0</x:v>
      </x:c>
      <x:c r="F5330" s="10" t="n">
        <x:v>0.004096</x:v>
      </x:c>
      <x:c r="G5330" s="10" t="n">
        <x:f>SUM(D5330:F5330)</x:f>
        <x:v>560.004096</x:v>
      </x:c>
    </x:row>
    <x:row r="5331" ht="24" customHeight="1">
      <x:c r="A5331" s="10" t="str">
        <x:v>S08-10</x:v>
      </x:c>
      <x:c r="B5331" s="10" t="str">
        <x:v>B</x:v>
      </x:c>
      <x:c r="C5331" s="18" t="n">
        <x:v>0.898333433</x:v>
      </x:c>
      <x:c r="D5331" s="10" t="n">
        <x:v>560</x:v>
      </x:c>
      <x:c r="E5331" s="10" t="n">
        <x:v>0</x:v>
      </x:c>
      <x:c r="F5331" s="10" t="n">
        <x:v>0.004096</x:v>
      </x:c>
      <x:c r="G5331" s="10" t="n">
        <x:f>SUM(D5331:F5331)</x:f>
        <x:v>560.004096</x:v>
      </x:c>
    </x:row>
    <x:row r="5332" ht="24" customHeight="1">
      <x:c r="A5332" s="10" t="str">
        <x:v>S08-10</x:v>
      </x:c>
      <x:c r="B5332" s="10" t="str">
        <x:v>B</x:v>
      </x:c>
      <x:c r="C5332" s="18" t="n">
        <x:v>1.299333233</x:v>
      </x:c>
      <x:c r="D5332" s="10" t="n">
        <x:v>560</x:v>
      </x:c>
      <x:c r="E5332" s="10" t="n">
        <x:v>0</x:v>
      </x:c>
      <x:c r="F5332" s="10" t="n">
        <x:v>0.004096</x:v>
      </x:c>
      <x:c r="G5332" s="10" t="n">
        <x:f>SUM(D5332:F5332)</x:f>
        <x:v>560.004096</x:v>
      </x:c>
    </x:row>
    <x:row r="5333" ht="24" customHeight="1">
      <x:c r="A5333" s="10" t="str">
        <x:v>S08-10</x:v>
      </x:c>
      <x:c r="B5333" s="10" t="str">
        <x:v>B</x:v>
      </x:c>
      <x:c r="C5333" s="18" t="n">
        <x:v>1.299333333</x:v>
      </x:c>
      <x:c r="D5333" s="10" t="n">
        <x:v>560</x:v>
      </x:c>
      <x:c r="E5333" s="10" t="n">
        <x:v>0.0096</x:v>
      </x:c>
      <x:c r="F5333" s="10" t="n">
        <x:v>0.004096</x:v>
      </x:c>
      <x:c r="G5333" s="10" t="n">
        <x:f>SUM(D5333:F5333)</x:f>
        <x:v>560.013696</x:v>
      </x:c>
    </x:row>
    <x:row r="5334" ht="24" customHeight="1">
      <x:c r="A5334" s="10" t="str">
        <x:v>S08-10</x:v>
      </x:c>
      <x:c r="B5334" s="10" t="str">
        <x:v>B</x:v>
      </x:c>
      <x:c r="C5334" s="18" t="n">
        <x:v>1.299333433</x:v>
      </x:c>
      <x:c r="D5334" s="10" t="n">
        <x:v>560</x:v>
      </x:c>
      <x:c r="E5334" s="10" t="n">
        <x:v>0.009600019</x:v>
      </x:c>
      <x:c r="F5334" s="10" t="n">
        <x:v>0.004096</x:v>
      </x:c>
      <x:c r="G5334" s="10" t="n">
        <x:f>SUM(D5334:F5334)</x:f>
        <x:v>560.013696019</x:v>
      </x:c>
    </x:row>
    <x:row r="5335" ht="24" customHeight="1">
      <x:c r="A5335" s="10" t="str">
        <x:v>S08-10</x:v>
      </x:c>
      <x:c r="B5335" s="10" t="str">
        <x:v>B</x:v>
      </x:c>
      <x:c r="C5335" s="18" t="n">
        <x:v>1.339333233</x:v>
      </x:c>
      <x:c r="D5335" s="10" t="n">
        <x:v>560</x:v>
      </x:c>
      <x:c r="E5335" s="10" t="n">
        <x:v>0.017279981</x:v>
      </x:c>
      <x:c r="F5335" s="10" t="n">
        <x:v>0.004096</x:v>
      </x:c>
      <x:c r="G5335" s="10" t="n">
        <x:f>SUM(D5335:F5335)</x:f>
        <x:v>560.021375981</x:v>
      </x:c>
    </x:row>
    <x:row r="5336" ht="24" customHeight="1">
      <x:c r="A5336" s="10" t="str">
        <x:v>S08-10</x:v>
      </x:c>
      <x:c r="B5336" s="10" t="str">
        <x:v>B</x:v>
      </x:c>
      <x:c r="C5336" s="18" t="n">
        <x:v>1.339333333</x:v>
      </x:c>
      <x:c r="D5336" s="10" t="n">
        <x:v>560</x:v>
      </x:c>
      <x:c r="E5336" s="10" t="n">
        <x:v>0.01728</x:v>
      </x:c>
      <x:c r="F5336" s="10" t="n">
        <x:v>0.004096</x:v>
      </x:c>
      <x:c r="G5336" s="10" t="n">
        <x:f>SUM(D5336:F5336)</x:f>
        <x:v>560.021376</x:v>
      </x:c>
    </x:row>
    <x:row r="5337" ht="24" customHeight="1">
      <x:c r="A5337" s="10" t="str">
        <x:v>S08-10</x:v>
      </x:c>
      <x:c r="B5337" s="10" t="str">
        <x:v>B</x:v>
      </x:c>
      <x:c r="C5337" s="18" t="n">
        <x:v>1.339333433</x:v>
      </x:c>
      <x:c r="D5337" s="10" t="n">
        <x:v>560</x:v>
      </x:c>
      <x:c r="E5337" s="10" t="n">
        <x:v>0.017280014</x:v>
      </x:c>
      <x:c r="F5337" s="10" t="n">
        <x:v>0.004096</x:v>
      </x:c>
      <x:c r="G5337" s="10" t="n">
        <x:f>SUM(D5337:F5337)</x:f>
        <x:v>560.021376014</x:v>
      </x:c>
    </x:row>
    <x:row r="5338" ht="24" customHeight="1">
      <x:c r="A5338" s="10" t="str">
        <x:v>S08-10</x:v>
      </x:c>
      <x:c r="B5338" s="10" t="str">
        <x:v>B</x:v>
      </x:c>
      <x:c r="C5338" s="18" t="n">
        <x:v>1.962833233</x:v>
      </x:c>
      <x:c r="D5338" s="10" t="n">
        <x:v>560</x:v>
      </x:c>
      <x:c r="E5338" s="10" t="n">
        <x:v>0.107063986</x:v>
      </x:c>
      <x:c r="F5338" s="10" t="n">
        <x:v>0.004096</x:v>
      </x:c>
      <x:c r="G5338" s="10" t="n">
        <x:f>SUM(D5338:F5338)</x:f>
        <x:v>560.111159986</x:v>
      </x:c>
    </x:row>
    <x:row r="5339" ht="24" customHeight="1">
      <x:c r="A5339" s="10" t="str">
        <x:v>S08-10</x:v>
      </x:c>
      <x:c r="B5339" s="10" t="str">
        <x:v>B</x:v>
      </x:c>
      <x:c r="C5339" s="18" t="n">
        <x:v>1.962833333</x:v>
      </x:c>
      <x:c r="D5339" s="10" t="n">
        <x:v>560</x:v>
      </x:c>
      <x:c r="E5339" s="10" t="n">
        <x:v>0.107064</x:v>
      </x:c>
      <x:c r="F5339" s="10" t="n">
        <x:v>0.004096</x:v>
      </x:c>
      <x:c r="G5339" s="10" t="n">
        <x:f>SUM(D5339:F5339)</x:f>
        <x:v>560.11116</x:v>
      </x:c>
    </x:row>
    <x:row r="5340" ht="24" customHeight="1">
      <x:c r="A5340" s="10" t="str">
        <x:v>S08-10</x:v>
      </x:c>
      <x:c r="B5340" s="10" t="str">
        <x:v>B</x:v>
      </x:c>
      <x:c r="C5340" s="18" t="n">
        <x:v>1.962833433</x:v>
      </x:c>
      <x:c r="D5340" s="10" t="n">
        <x:v>560</x:v>
      </x:c>
      <x:c r="E5340" s="10" t="n">
        <x:v>0.107063995</x:v>
      </x:c>
      <x:c r="F5340" s="10" t="n">
        <x:v>0.004096</x:v>
      </x:c>
      <x:c r="G5340" s="10" t="n">
        <x:f>SUM(D5340:F5340)</x:f>
        <x:v>560.111159995</x:v>
      </x:c>
    </x:row>
    <x:row r="5341" ht="24" customHeight="1">
      <x:c r="A5341" s="10" t="str">
        <x:v>S08-10</x:v>
      </x:c>
      <x:c r="B5341" s="10" t="str">
        <x:v>B</x:v>
      </x:c>
      <x:c r="C5341" s="18" t="n">
        <x:v>4.193333233</x:v>
      </x:c>
      <x:c r="D5341" s="10" t="n">
        <x:v>560</x:v>
      </x:c>
      <x:c r="E5341" s="10" t="n">
        <x:v>5e-9</x:v>
      </x:c>
      <x:c r="F5341" s="10" t="n">
        <x:v>0.004096</x:v>
      </x:c>
      <x:c r="G5341" s="10" t="n">
        <x:f>SUM(D5341:F5341)</x:f>
        <x:v>560.004096005</x:v>
      </x:c>
    </x:row>
    <x:row r="5342" ht="24" customHeight="1">
      <x:c r="A5342" s="10" t="str">
        <x:v>S08-10</x:v>
      </x:c>
      <x:c r="B5342" s="10" t="str">
        <x:v>B</x:v>
      </x:c>
      <x:c r="C5342" s="18" t="n">
        <x:v>4.193333333</x:v>
      </x:c>
      <x:c r="D5342" s="10" t="n">
        <x:v>560</x:v>
      </x:c>
      <x:c r="E5342" s="10" t="n">
        <x:v>0</x:v>
      </x:c>
      <x:c r="F5342" s="10" t="n">
        <x:v>0.004096</x:v>
      </x:c>
      <x:c r="G5342" s="10" t="n">
        <x:f>SUM(D5342:F5342)</x:f>
        <x:v>560.004096</x:v>
      </x:c>
    </x:row>
    <x:row r="5343" ht="24" customHeight="1">
      <x:c r="A5343" s="10" t="str">
        <x:v>S08-10</x:v>
      </x:c>
      <x:c r="B5343" s="10" t="str">
        <x:v>B</x:v>
      </x:c>
      <x:c r="C5343" s="18" t="n">
        <x:v>4.193333433</x:v>
      </x:c>
      <x:c r="D5343" s="10" t="n">
        <x:v>560</x:v>
      </x:c>
      <x:c r="E5343" s="10" t="n">
        <x:v>0</x:v>
      </x:c>
      <x:c r="F5343" s="10" t="n">
        <x:v>0</x:v>
      </x:c>
      <x:c r="G5343" s="10" t="n">
        <x:f>SUM(D5343:F5343)</x:f>
        <x:v>560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c184fd19db8421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70" hidden="0" customWidth="1"/>
  </x:cols>
  <x:sheetData>
    <x:row r="1" ht="32" customHeight="1">
      <x:c r="A1" s="15" t="str">
        <x:v>공통 C01~C06 예상 변경 모듈</x:v>
      </x:c>
      <x:c r="B1" s="15"/>
      <x:c r="C1" s="15"/>
      <x:c r="D1" s="15"/>
      <x:c r="E1" s="15"/>
      <x:c r="F1" s="15"/>
      <x:c r="G1" s="15"/>
      <x:c r="H1" s="15"/>
      <x:c r="I1" s="15"/>
    </x:row>
    <x:row r="2" ht="28" customHeight="1">
      <x:c r="A2" s="16" t="str">
        <x:v>작성 가정 기반 합성 자료. 원본: synthetic-data.json. 실제 모델 실행 및 제품 시험 아님.</x:v>
      </x:c>
      <x:c r="B2" s="16"/>
      <x:c r="C2" s="16"/>
      <x:c r="D2" s="16"/>
      <x:c r="E2" s="16"/>
      <x:c r="F2" s="16"/>
      <x:c r="G2" s="16"/>
      <x:c r="H2" s="16"/>
      <x:c r="I2" s="16"/>
    </x:row>
    <x:row r="3" ht="34" customHeight="1">
      <x:c r="A3" s="8" t="str">
        <x:v>과제</x:v>
      </x:c>
      <x:c r="B3" s="8" t="str">
        <x:v>안</x:v>
      </x:c>
      <x:c r="C3" s="8" t="str">
        <x:v>모듈 수</x:v>
      </x:c>
      <x:c r="D3" s="8" t="str">
        <x:v>모듈 1</x:v>
      </x:c>
      <x:c r="E3" s="8" t="str">
        <x:v>모듈 2</x:v>
      </x:c>
      <x:c r="F3" s="8" t="str">
        <x:v>모듈 3</x:v>
      </x:c>
      <x:c r="G3" s="8" t="str">
        <x:v>모듈 4</x:v>
      </x:c>
      <x:c r="H3" s="8" t="str">
        <x:v>모듈 5</x:v>
      </x:c>
      <x:c r="I3" s="8" t="str">
        <x:v>변경 이유</x:v>
      </x:c>
    </x:row>
    <x:row r="4" ht="90" customHeight="1">
      <x:c r="A4" s="14" t="str">
        <x:v>C01</x:v>
      </x:c>
      <x:c r="B4" s="14" t="str">
        <x:v>A</x:v>
      </x:c>
      <x:c r="C4" s="17" t="n">
        <x:f>COUNTA(D4:H4)</x:f>
        <x:v>1</x:v>
      </x:c>
      <x:c r="D4" s="14" t="str">
        <x:v>concept::model_wire</x:v>
      </x:c>
      <x:c r="E4" s="14"/>
      <x:c r="F4" s="14"/>
      <x:c r="G4" s="14"/>
      <x:c r="H4" s="14"/>
      <x:c r="I4" s="14" t="str">
        <x:v>동일 외부 계약을 공통 adapter 또는 이력 경계에서 변경</x:v>
      </x:c>
    </x:row>
    <x:row r="5" ht="90" customHeight="1">
      <x:c r="A5" s="14" t="str">
        <x:v>C01</x:v>
      </x:c>
      <x:c r="B5" s="14" t="str">
        <x:v>B</x:v>
      </x:c>
      <x:c r="C5" s="17" t="n">
        <x:f>COUNTA(D5:H5)</x:f>
        <x:v>1</x:v>
      </x:c>
      <x:c r="D5" s="14" t="str">
        <x:v>concept::model_wire</x:v>
      </x:c>
      <x:c r="E5" s="14"/>
      <x:c r="F5" s="14"/>
      <x:c r="G5" s="14"/>
      <x:c r="H5" s="14"/>
      <x:c r="I5" s="14" t="str">
        <x:v>동일 외부 계약을 공통 adapter 또는 이력 경계에서 변경</x:v>
      </x:c>
    </x:row>
    <x:row r="6" ht="90" customHeight="1">
      <x:c r="A6" s="14" t="str">
        <x:v>C02</x:v>
      </x:c>
      <x:c r="B6" s="14" t="str">
        <x:v>A</x:v>
      </x:c>
      <x:c r="C6" s="17" t="n">
        <x:f>COUNTA(D6:H6)</x:f>
        <x:v>1</x:v>
      </x:c>
      <x:c r="D6" s="14" t="str">
        <x:v>concept::agent_wire</x:v>
      </x:c>
      <x:c r="E6" s="14"/>
      <x:c r="F6" s="14"/>
      <x:c r="G6" s="14"/>
      <x:c r="H6" s="14"/>
      <x:c r="I6" s="14" t="str">
        <x:v>동일 외부 계약을 공통 adapter 또는 이력 경계에서 변경</x:v>
      </x:c>
    </x:row>
    <x:row r="7" ht="90" customHeight="1">
      <x:c r="A7" s="14" t="str">
        <x:v>C02</x:v>
      </x:c>
      <x:c r="B7" s="14" t="str">
        <x:v>B</x:v>
      </x:c>
      <x:c r="C7" s="17" t="n">
        <x:f>COUNTA(D7:H7)</x:f>
        <x:v>1</x:v>
      </x:c>
      <x:c r="D7" s="14" t="str">
        <x:v>concept::agent_wire</x:v>
      </x:c>
      <x:c r="E7" s="14"/>
      <x:c r="F7" s="14"/>
      <x:c r="G7" s="14"/>
      <x:c r="H7" s="14"/>
      <x:c r="I7" s="14" t="str">
        <x:v>동일 외부 계약을 공통 adapter 또는 이력 경계에서 변경</x:v>
      </x:c>
    </x:row>
    <x:row r="8" ht="90" customHeight="1">
      <x:c r="A8" s="14" t="str">
        <x:v>C03</x:v>
      </x:c>
      <x:c r="B8" s="14" t="str">
        <x:v>A</x:v>
      </x:c>
      <x:c r="C8" s="17" t="n">
        <x:f>COUNTA(D8:H8)</x:f>
        <x:v>1</x:v>
      </x:c>
      <x:c r="D8" s="14" t="str">
        <x:v>concept::source_normalization</x:v>
      </x:c>
      <x:c r="E8" s="14"/>
      <x:c r="F8" s="14"/>
      <x:c r="G8" s="14"/>
      <x:c r="H8" s="14"/>
      <x:c r="I8" s="14" t="str">
        <x:v>동일 외부 계약을 공통 adapter 또는 이력 경계에서 변경</x:v>
      </x:c>
    </x:row>
    <x:row r="9" ht="90" customHeight="1">
      <x:c r="A9" s="14" t="str">
        <x:v>C03</x:v>
      </x:c>
      <x:c r="B9" s="14" t="str">
        <x:v>B</x:v>
      </x:c>
      <x:c r="C9" s="17" t="n">
        <x:f>COUNTA(D9:H9)</x:f>
        <x:v>1</x:v>
      </x:c>
      <x:c r="D9" s="14" t="str">
        <x:v>concept::source_normalization</x:v>
      </x:c>
      <x:c r="E9" s="14"/>
      <x:c r="F9" s="14"/>
      <x:c r="G9" s="14"/>
      <x:c r="H9" s="14"/>
      <x:c r="I9" s="14" t="str">
        <x:v>동일 외부 계약을 공통 adapter 또는 이력 경계에서 변경</x:v>
      </x:c>
    </x:row>
    <x:row r="10" ht="90" customHeight="1">
      <x:c r="A10" s="14" t="str">
        <x:v>C04</x:v>
      </x:c>
      <x:c r="B10" s="14" t="str">
        <x:v>A</x:v>
      </x:c>
      <x:c r="C10" s="17" t="n">
        <x:f>COUNTA(D10:H10)</x:f>
        <x:v>5</x:v>
      </x:c>
      <x:c r="D10" s="14" t="str">
        <x:v>concept::response_sections</x:v>
      </x:c>
      <x:c r="E10" s="14" t="str">
        <x:v>concept::delivered_history</x:v>
      </x:c>
      <x:c r="F10" s="14" t="str">
        <x:v>concept::speech_playback</x:v>
      </x:c>
      <x:c r="G10" s="14" t="str">
        <x:v>concept::speech_preparation</x:v>
      </x:c>
      <x:c r="H10" s="14" t="str">
        <x:v>concept::prepared_audio</x:v>
      </x:c>
      <x:c r="I10" s="14" t="str">
        <x:v>A의 준비 실행, 보관 구간 및 재생 커서 사이 section patch 계약 변경. B는 현재 발화 내부에서 일관된 section patch를 적용한다.</x:v>
      </x:c>
    </x:row>
    <x:row r="11" ht="90" customHeight="1">
      <x:c r="A11" s="14" t="str">
        <x:v>C04</x:v>
      </x:c>
      <x:c r="B11" s="14" t="str">
        <x:v>B</x:v>
      </x:c>
      <x:c r="C11" s="17" t="n">
        <x:f>COUNTA(D11:H11)</x:f>
        <x:v>4</x:v>
      </x:c>
      <x:c r="D11" s="14" t="str">
        <x:v>concept::response_sections</x:v>
      </x:c>
      <x:c r="E11" s="14" t="str">
        <x:v>concept::delivered_history</x:v>
      </x:c>
      <x:c r="F11" s="14" t="str">
        <x:v>concept::turn_execution</x:v>
      </x:c>
      <x:c r="G11" s="14" t="str">
        <x:v>concept::turn_audio_buffer</x:v>
      </x:c>
      <x:c r="H11" s="14"/>
      <x:c r="I11" s="14" t="str">
        <x:v>A의 준비 실행, 보관 구간 및 재생 커서 사이 section patch 계약 변경. B는 현재 발화 내부에서 일관된 section patch를 적용한다.</x:v>
      </x:c>
    </x:row>
    <x:row r="12" ht="90" customHeight="1">
      <x:c r="A12" s="14" t="str">
        <x:v>C05</x:v>
      </x:c>
      <x:c r="B12" s="14" t="str">
        <x:v>A</x:v>
      </x:c>
      <x:c r="C12" s="17" t="n">
        <x:f>COUNTA(D12:H12)</x:f>
        <x:v>2</x:v>
      </x:c>
      <x:c r="D12" s="14" t="str">
        <x:v>concept::delivered_history</x:v>
      </x:c>
      <x:c r="E12" s="14" t="str">
        <x:v>concept::response_sections</x:v>
      </x:c>
      <x:c r="F12" s="14"/>
      <x:c r="G12" s="14"/>
      <x:c r="H12" s="14"/>
      <x:c r="I12" s="14" t="str">
        <x:v>동일 외부 계약을 공통 adapter 또는 이력 경계에서 변경</x:v>
      </x:c>
    </x:row>
    <x:row r="13" ht="90" customHeight="1">
      <x:c r="A13" s="14" t="str">
        <x:v>C05</x:v>
      </x:c>
      <x:c r="B13" s="14" t="str">
        <x:v>B</x:v>
      </x:c>
      <x:c r="C13" s="17" t="n">
        <x:f>COUNTA(D13:H13)</x:f>
        <x:v>2</x:v>
      </x:c>
      <x:c r="D13" s="14" t="str">
        <x:v>concept::delivered_history</x:v>
      </x:c>
      <x:c r="E13" s="14" t="str">
        <x:v>concept::response_sections</x:v>
      </x:c>
      <x:c r="F13" s="14"/>
      <x:c r="G13" s="14"/>
      <x:c r="H13" s="14"/>
      <x:c r="I13" s="14" t="str">
        <x:v>동일 외부 계약을 공통 adapter 또는 이력 경계에서 변경</x:v>
      </x:c>
    </x:row>
    <x:row r="14" ht="90" customHeight="1">
      <x:c r="A14" s="14" t="str">
        <x:v>C06</x:v>
      </x:c>
      <x:c r="B14" s="14" t="str">
        <x:v>A</x:v>
      </x:c>
      <x:c r="C14" s="17" t="n">
        <x:f>COUNTA(D14:H14)</x:f>
        <x:v>4</x:v>
      </x:c>
      <x:c r="D14" s="14" t="str">
        <x:v>concept::permission_scope</x:v>
      </x:c>
      <x:c r="E14" s="14" t="str">
        <x:v>concept::evidence_access</x:v>
      </x:c>
      <x:c r="F14" s="14" t="str">
        <x:v>concept::publication_guard</x:v>
      </x:c>
      <x:c r="G14" s="14" t="str">
        <x:v>concept::preparation_dependencies</x:v>
      </x:c>
      <x:c r="H14" s="14"/>
      <x:c r="I14" s="14" t="str">
        <x:v>A의 응답 단위 준비 의존성 무효화를 범위 단위로 확장. 공통 guard로 흡수 가능하면 추가 변경은 사라짐.</x:v>
      </x:c>
    </x:row>
    <x:row r="15" ht="90" customHeight="1">
      <x:c r="A15" s="14" t="str">
        <x:v>C06</x:v>
      </x:c>
      <x:c r="B15" s="14" t="str">
        <x:v>B</x:v>
      </x:c>
      <x:c r="C15" s="17" t="n">
        <x:f>COUNTA(D15:H15)</x:f>
        <x:v>3</x:v>
      </x:c>
      <x:c r="D15" s="14" t="str">
        <x:v>concept::permission_scope</x:v>
      </x:c>
      <x:c r="E15" s="14" t="str">
        <x:v>concept::evidence_access</x:v>
      </x:c>
      <x:c r="F15" s="14" t="str">
        <x:v>concept::publication_guard</x:v>
      </x:c>
      <x:c r="G15" s="14"/>
      <x:c r="H15" s="14"/>
      <x:c r="I15" s="14" t="str">
        <x:v>A의 응답 단위 준비 의존성 무효화를 범위 단위로 확장. 공통 guard로 흡수 가능하면 추가 변경은 사라짐.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9091166d515403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5" hidden="0" customWidth="1"/>
    <x:col min="4" max="4" width="19" hidden="0" customWidth="1"/>
    <x:col min="5" max="5" width="19" hidden="0" customWidth="1"/>
    <x:col min="6" max="6" width="65" hidden="0" customWidth="1"/>
    <x:col min="7" max="7" width="65" hidden="0" customWidth="1"/>
  </x:cols>
  <x:sheetData>
    <x:row r="1" ht="32" customHeight="1">
      <x:c r="A1" s="15" t="str">
        <x:v>평가 발화와 정답</x:v>
      </x:c>
      <x:c r="B1" s="15"/>
      <x:c r="C1" s="15"/>
      <x:c r="D1" s="15"/>
      <x:c r="E1" s="15"/>
      <x:c r="F1" s="15"/>
      <x:c r="G1" s="15"/>
    </x:row>
    <x:row r="2" ht="28" customHeight="1">
      <x:c r="A2" s="16" t="str">
        <x:v>작성 가정 기반 합성 자료. 원본: synthetic-data.json. 실제 모델 실행 및 제품 시험 아님.</x:v>
      </x:c>
      <x:c r="B2" s="16"/>
      <x:c r="C2" s="16"/>
      <x:c r="D2" s="16"/>
      <x:c r="E2" s="16"/>
      <x:c r="F2" s="16"/>
      <x:c r="G2" s="16"/>
    </x:row>
    <x:row r="3" ht="34" customHeight="1">
      <x:c r="A3" s="8" t="str">
        <x:v>사례</x:v>
      </x:c>
      <x:c r="B3" s="8" t="str">
        <x:v>사례군</x:v>
      </x:c>
      <x:c r="C3" s="8" t="str">
        <x:v>사용자 발화</x:v>
      </x:c>
      <x:c r="D3" s="8" t="str">
        <x:v>시작 초</x:v>
      </x:c>
      <x:c r="E3" s="8" t="str">
        <x:v>종료 초</x:v>
      </x:c>
      <x:c r="F3" s="8" t="str">
        <x:v>정답 대상과 의미</x:v>
      </x:c>
      <x:c r="G3" s="8" t="str">
        <x:v>변형 설명</x:v>
      </x:c>
    </x:row>
    <x:row r="4" ht="136" customHeight="1">
      <x:c r="A4" s="14" t="str">
        <x:v>S01-01</x:v>
      </x:c>
      <x:c r="B4" s="14" t="str">
        <x:v>S01</x:v>
      </x:c>
      <x:c r="C4" s="14" t="str">
        <x:v>현재 보고서 처리 상태를 짧게 읽어줘.</x:v>
      </x:c>
      <x:c r="D4" s="14" t="n">
        <x:v>-3</x:v>
      </x:c>
      <x:c r="E4" s="14" t="n">
        <x:v>0</x:v>
      </x:c>
      <x:c r="F4" s="14" t="str">
        <x:v>작업: idle
대상: S01-01:status
조건: read_selected_content=true
무관한 업무 유지: 예
메일 발송 권한: 없음</x:v>
      </x:c>
      <x:c r="G4" s="14" t="str">
        <x:v>같은 발화와 의미를 유지한 작성 변형
음성 길이와 입력 token 수만 소폭 변경
독립 모델 실행 또는 실측 반복이 아님</x:v>
      </x:c>
    </x:row>
    <x:row r="5" ht="136" customHeight="1">
      <x:c r="A5" s="14" t="str">
        <x:v>S01-02</x:v>
      </x:c>
      <x:c r="B5" s="14" t="str">
        <x:v>S01</x:v>
      </x:c>
      <x:c r="C5" s="14" t="str">
        <x:v>현재 보고서 처리 상태를 짧게 읽어줘.</x:v>
      </x:c>
      <x:c r="D5" s="14" t="n">
        <x:v>-3</x:v>
      </x:c>
      <x:c r="E5" s="14" t="n">
        <x:v>0</x:v>
      </x:c>
      <x:c r="F5" s="14" t="str">
        <x:v>작업: idle
대상: S01-02:status
조건: read_selected_content=true
무관한 업무 유지: 예
메일 발송 권한: 없음</x:v>
      </x:c>
      <x:c r="G5" s="14" t="str">
        <x:v>같은 발화와 의미를 유지한 작성 변형
음성 길이와 입력 token 수만 소폭 변경
독립 모델 실행 또는 실측 반복이 아님</x:v>
      </x:c>
    </x:row>
    <x:row r="6" ht="136" customHeight="1">
      <x:c r="A6" s="14" t="str">
        <x:v>S01-03</x:v>
      </x:c>
      <x:c r="B6" s="14" t="str">
        <x:v>S01</x:v>
      </x:c>
      <x:c r="C6" s="14" t="str">
        <x:v>현재 보고서 처리 상태를 짧게 읽어줘.</x:v>
      </x:c>
      <x:c r="D6" s="14" t="n">
        <x:v>-3</x:v>
      </x:c>
      <x:c r="E6" s="14" t="n">
        <x:v>0</x:v>
      </x:c>
      <x:c r="F6" s="14" t="str">
        <x:v>작업: idle
대상: S01-03:status
조건: read_selected_content=true
무관한 업무 유지: 예
메일 발송 권한: 없음</x:v>
      </x:c>
      <x:c r="G6" s="14" t="str">
        <x:v>같은 발화와 의미를 유지한 작성 변형
음성 길이와 입력 token 수만 소폭 변경
독립 모델 실행 또는 실측 반복이 아님</x:v>
      </x:c>
    </x:row>
    <x:row r="7" ht="136" customHeight="1">
      <x:c r="A7" s="14" t="str">
        <x:v>S01-04</x:v>
      </x:c>
      <x:c r="B7" s="14" t="str">
        <x:v>S01</x:v>
      </x:c>
      <x:c r="C7" s="14" t="str">
        <x:v>현재 보고서 처리 상태를 짧게 읽어줘.</x:v>
      </x:c>
      <x:c r="D7" s="14" t="n">
        <x:v>-3</x:v>
      </x:c>
      <x:c r="E7" s="14" t="n">
        <x:v>0</x:v>
      </x:c>
      <x:c r="F7" s="14" t="str">
        <x:v>작업: idle
대상: S01-04:status
조건: read_selected_content=true
무관한 업무 유지: 예
메일 발송 권한: 없음</x:v>
      </x:c>
      <x:c r="G7" s="14" t="str">
        <x:v>같은 발화와 의미를 유지한 작성 변형
음성 길이와 입력 token 수만 소폭 변경
독립 모델 실행 또는 실측 반복이 아님</x:v>
      </x:c>
    </x:row>
    <x:row r="8" ht="136" customHeight="1">
      <x:c r="A8" s="14" t="str">
        <x:v>S01-05</x:v>
      </x:c>
      <x:c r="B8" s="14" t="str">
        <x:v>S01</x:v>
      </x:c>
      <x:c r="C8" s="14" t="str">
        <x:v>현재 보고서 처리 상태를 짧게 읽어줘.</x:v>
      </x:c>
      <x:c r="D8" s="14" t="n">
        <x:v>-3</x:v>
      </x:c>
      <x:c r="E8" s="14" t="n">
        <x:v>0</x:v>
      </x:c>
      <x:c r="F8" s="14" t="str">
        <x:v>작업: idle
대상: S01-05:status
조건: read_selected_content=true
무관한 업무 유지: 예
메일 발송 권한: 없음</x:v>
      </x:c>
      <x:c r="G8" s="14" t="str">
        <x:v>같은 발화와 의미를 유지한 작성 변형
음성 길이와 입력 token 수만 소폭 변경
독립 모델 실행 또는 실측 반복이 아님</x:v>
      </x:c>
    </x:row>
    <x:row r="9" ht="136" customHeight="1">
      <x:c r="A9" s="14" t="str">
        <x:v>S01-06</x:v>
      </x:c>
      <x:c r="B9" s="14" t="str">
        <x:v>S01</x:v>
      </x:c>
      <x:c r="C9" s="14" t="str">
        <x:v>현재 보고서 처리 상태를 짧게 읽어줘.</x:v>
      </x:c>
      <x:c r="D9" s="14" t="n">
        <x:v>-3</x:v>
      </x:c>
      <x:c r="E9" s="14" t="n">
        <x:v>0</x:v>
      </x:c>
      <x:c r="F9" s="14" t="str">
        <x:v>작업: idle
대상: S01-06:status
조건: read_selected_content=true
무관한 업무 유지: 예
메일 발송 권한: 없음</x:v>
      </x:c>
      <x:c r="G9" s="14" t="str">
        <x:v>같은 발화와 의미를 유지한 작성 변형
음성 길이와 입력 token 수만 소폭 변경
독립 모델 실행 또는 실측 반복이 아님</x:v>
      </x:c>
    </x:row>
    <x:row r="10" ht="136" customHeight="1">
      <x:c r="A10" s="14" t="str">
        <x:v>S01-07</x:v>
      </x:c>
      <x:c r="B10" s="14" t="str">
        <x:v>S01</x:v>
      </x:c>
      <x:c r="C10" s="14" t="str">
        <x:v>현재 보고서 처리 상태를 짧게 읽어줘.</x:v>
      </x:c>
      <x:c r="D10" s="14" t="n">
        <x:v>-3</x:v>
      </x:c>
      <x:c r="E10" s="14" t="n">
        <x:v>0</x:v>
      </x:c>
      <x:c r="F10" s="14" t="str">
        <x:v>작업: idle
대상: S01-07:status
조건: read_selected_content=true
무관한 업무 유지: 예
메일 발송 권한: 없음</x:v>
      </x:c>
      <x:c r="G10" s="14" t="str">
        <x:v>같은 발화와 의미를 유지한 작성 변형
음성 길이와 입력 token 수만 소폭 변경
독립 모델 실행 또는 실측 반복이 아님</x:v>
      </x:c>
    </x:row>
    <x:row r="11" ht="136" customHeight="1">
      <x:c r="A11" s="14" t="str">
        <x:v>S01-08</x:v>
      </x:c>
      <x:c r="B11" s="14" t="str">
        <x:v>S01</x:v>
      </x:c>
      <x:c r="C11" s="14" t="str">
        <x:v>현재 보고서 처리 상태를 짧게 읽어줘.</x:v>
      </x:c>
      <x:c r="D11" s="14" t="n">
        <x:v>-3</x:v>
      </x:c>
      <x:c r="E11" s="14" t="n">
        <x:v>0</x:v>
      </x:c>
      <x:c r="F11" s="14" t="str">
        <x:v>작업: idle
대상: S01-08:status
조건: read_selected_content=true
무관한 업무 유지: 예
메일 발송 권한: 없음</x:v>
      </x:c>
      <x:c r="G11" s="14" t="str">
        <x:v>같은 발화와 의미를 유지한 작성 변형
음성 길이와 입력 token 수만 소폭 변경
독립 모델 실행 또는 실측 반복이 아님</x:v>
      </x:c>
    </x:row>
    <x:row r="12" ht="136" customHeight="1">
      <x:c r="A12" s="14" t="str">
        <x:v>S01-09</x:v>
      </x:c>
      <x:c r="B12" s="14" t="str">
        <x:v>S01</x:v>
      </x:c>
      <x:c r="C12" s="14" t="str">
        <x:v>현재 보고서 처리 상태를 짧게 읽어줘.</x:v>
      </x:c>
      <x:c r="D12" s="14" t="n">
        <x:v>-3</x:v>
      </x:c>
      <x:c r="E12" s="14" t="n">
        <x:v>0</x:v>
      </x:c>
      <x:c r="F12" s="14" t="str">
        <x:v>작업: idle
대상: S01-09:status
조건: read_selected_content=true
무관한 업무 유지: 예
메일 발송 권한: 없음</x:v>
      </x:c>
      <x:c r="G12" s="14" t="str">
        <x:v>같은 발화와 의미를 유지한 작성 변형
음성 길이와 입력 token 수만 소폭 변경
독립 모델 실행 또는 실측 반복이 아님</x:v>
      </x:c>
    </x:row>
    <x:row r="13" ht="136" customHeight="1">
      <x:c r="A13" s="14" t="str">
        <x:v>S01-10</x:v>
      </x:c>
      <x:c r="B13" s="14" t="str">
        <x:v>S01</x:v>
      </x:c>
      <x:c r="C13" s="14" t="str">
        <x:v>현재 보고서 처리 상태를 짧게 읽어줘.</x:v>
      </x:c>
      <x:c r="D13" s="14" t="n">
        <x:v>-3</x:v>
      </x:c>
      <x:c r="E13" s="14" t="n">
        <x:v>0</x:v>
      </x:c>
      <x:c r="F13" s="14" t="str">
        <x:v>작업: idle
대상: S01-10:status
조건: read_selected_content=true
무관한 업무 유지: 예
메일 발송 권한: 없음</x:v>
      </x:c>
      <x:c r="G13" s="14" t="str">
        <x:v>같은 발화와 의미를 유지한 작성 변형
음성 길이와 입력 token 수만 소폭 변경
독립 모델 실행 또는 실측 반복이 아님</x:v>
      </x:c>
    </x:row>
    <x:row r="14" ht="136" customHeight="1">
      <x:c r="A14" s="14" t="str">
        <x:v>S02-01</x:v>
      </x:c>
      <x:c r="B14" s="14" t="str">
        <x:v>S02</x:v>
      </x:c>
      <x:c r="C14" s="14" t="str">
        <x:v>대기 중인 메일 질문부터 읽어줘.</x:v>
      </x:c>
      <x:c r="D14" s="14" t="n">
        <x:v>-2.3</x:v>
      </x:c>
      <x:c r="E14" s="14" t="n">
        <x:v>0</x:v>
      </x:c>
      <x:c r="F14" s="14" t="str">
        <x:v>작업: ready
대상: S02-01:question
조건: read_selected_content=true
무관한 업무 유지: 예
메일 발송 권한: 없음</x:v>
      </x:c>
      <x:c r="G14" s="14" t="str">
        <x:v>같은 발화와 의미를 유지한 작성 변형
음성 길이와 입력 token 수만 소폭 변경
독립 모델 실행 또는 실측 반복이 아님</x:v>
      </x:c>
    </x:row>
    <x:row r="15" ht="136" customHeight="1">
      <x:c r="A15" s="14" t="str">
        <x:v>S02-02</x:v>
      </x:c>
      <x:c r="B15" s="14" t="str">
        <x:v>S02</x:v>
      </x:c>
      <x:c r="C15" s="14" t="str">
        <x:v>대기 중인 메일 질문부터 읽어줘.</x:v>
      </x:c>
      <x:c r="D15" s="14" t="n">
        <x:v>-2.3</x:v>
      </x:c>
      <x:c r="E15" s="14" t="n">
        <x:v>0</x:v>
      </x:c>
      <x:c r="F15" s="14" t="str">
        <x:v>작업: ready
대상: S02-02:question
조건: read_selected_content=true
무관한 업무 유지: 예
메일 발송 권한: 없음</x:v>
      </x:c>
      <x:c r="G15" s="14" t="str">
        <x:v>같은 발화와 의미를 유지한 작성 변형
음성 길이와 입력 token 수만 소폭 변경
독립 모델 실행 또는 실측 반복이 아님</x:v>
      </x:c>
    </x:row>
    <x:row r="16" ht="136" customHeight="1">
      <x:c r="A16" s="14" t="str">
        <x:v>S02-03</x:v>
      </x:c>
      <x:c r="B16" s="14" t="str">
        <x:v>S02</x:v>
      </x:c>
      <x:c r="C16" s="14" t="str">
        <x:v>대기 중인 메일 질문부터 읽어줘.</x:v>
      </x:c>
      <x:c r="D16" s="14" t="n">
        <x:v>-2.3</x:v>
      </x:c>
      <x:c r="E16" s="14" t="n">
        <x:v>0</x:v>
      </x:c>
      <x:c r="F16" s="14" t="str">
        <x:v>작업: ready
대상: S02-03:question
조건: read_selected_content=true
무관한 업무 유지: 예
메일 발송 권한: 없음</x:v>
      </x:c>
      <x:c r="G16" s="14" t="str">
        <x:v>같은 발화와 의미를 유지한 작성 변형
음성 길이와 입력 token 수만 소폭 변경
독립 모델 실행 또는 실측 반복이 아님</x:v>
      </x:c>
    </x:row>
    <x:row r="17" ht="136" customHeight="1">
      <x:c r="A17" s="14" t="str">
        <x:v>S02-04</x:v>
      </x:c>
      <x:c r="B17" s="14" t="str">
        <x:v>S02</x:v>
      </x:c>
      <x:c r="C17" s="14" t="str">
        <x:v>대기 중인 메일 질문부터 읽어줘.</x:v>
      </x:c>
      <x:c r="D17" s="14" t="n">
        <x:v>-2.3</x:v>
      </x:c>
      <x:c r="E17" s="14" t="n">
        <x:v>0</x:v>
      </x:c>
      <x:c r="F17" s="14" t="str">
        <x:v>작업: ready
대상: S02-04:question
조건: read_selected_content=true
무관한 업무 유지: 예
메일 발송 권한: 없음</x:v>
      </x:c>
      <x:c r="G17" s="14" t="str">
        <x:v>같은 발화와 의미를 유지한 작성 변형
음성 길이와 입력 token 수만 소폭 변경
독립 모델 실행 또는 실측 반복이 아님</x:v>
      </x:c>
    </x:row>
    <x:row r="18" ht="136" customHeight="1">
      <x:c r="A18" s="14" t="str">
        <x:v>S02-05</x:v>
      </x:c>
      <x:c r="B18" s="14" t="str">
        <x:v>S02</x:v>
      </x:c>
      <x:c r="C18" s="14" t="str">
        <x:v>대기 중인 메일 질문부터 읽어줘.</x:v>
      </x:c>
      <x:c r="D18" s="14" t="n">
        <x:v>-2.3</x:v>
      </x:c>
      <x:c r="E18" s="14" t="n">
        <x:v>0</x:v>
      </x:c>
      <x:c r="F18" s="14" t="str">
        <x:v>작업: ready
대상: S02-05:question
조건: read_selected_content=true
무관한 업무 유지: 예
메일 발송 권한: 없음</x:v>
      </x:c>
      <x:c r="G18" s="14" t="str">
        <x:v>같은 발화와 의미를 유지한 작성 변형
음성 길이와 입력 token 수만 소폭 변경
독립 모델 실행 또는 실측 반복이 아님</x:v>
      </x:c>
    </x:row>
    <x:row r="19" ht="136" customHeight="1">
      <x:c r="A19" s="14" t="str">
        <x:v>S02-06</x:v>
      </x:c>
      <x:c r="B19" s="14" t="str">
        <x:v>S02</x:v>
      </x:c>
      <x:c r="C19" s="14" t="str">
        <x:v>대기 중인 메일 질문부터 읽어줘.</x:v>
      </x:c>
      <x:c r="D19" s="14" t="n">
        <x:v>-2.3</x:v>
      </x:c>
      <x:c r="E19" s="14" t="n">
        <x:v>0</x:v>
      </x:c>
      <x:c r="F19" s="14" t="str">
        <x:v>작업: ready
대상: S02-06:question
조건: read_selected_content=true
무관한 업무 유지: 예
메일 발송 권한: 없음</x:v>
      </x:c>
      <x:c r="G19" s="14" t="str">
        <x:v>같은 발화와 의미를 유지한 작성 변형
음성 길이와 입력 token 수만 소폭 변경
독립 모델 실행 또는 실측 반복이 아님</x:v>
      </x:c>
    </x:row>
    <x:row r="20" ht="136" customHeight="1">
      <x:c r="A20" s="14" t="str">
        <x:v>S02-07</x:v>
      </x:c>
      <x:c r="B20" s="14" t="str">
        <x:v>S02</x:v>
      </x:c>
      <x:c r="C20" s="14" t="str">
        <x:v>대기 중인 메일 질문부터 읽어줘.</x:v>
      </x:c>
      <x:c r="D20" s="14" t="n">
        <x:v>-2.3</x:v>
      </x:c>
      <x:c r="E20" s="14" t="n">
        <x:v>0</x:v>
      </x:c>
      <x:c r="F20" s="14" t="str">
        <x:v>작업: ready
대상: S02-07:question
조건: read_selected_content=true
무관한 업무 유지: 예
메일 발송 권한: 없음</x:v>
      </x:c>
      <x:c r="G20" s="14" t="str">
        <x:v>같은 발화와 의미를 유지한 작성 변형
음성 길이와 입력 token 수만 소폭 변경
독립 모델 실행 또는 실측 반복이 아님</x:v>
      </x:c>
    </x:row>
    <x:row r="21" ht="136" customHeight="1">
      <x:c r="A21" s="14" t="str">
        <x:v>S02-08</x:v>
      </x:c>
      <x:c r="B21" s="14" t="str">
        <x:v>S02</x:v>
      </x:c>
      <x:c r="C21" s="14" t="str">
        <x:v>대기 중인 메일 질문부터 읽어줘.</x:v>
      </x:c>
      <x:c r="D21" s="14" t="n">
        <x:v>-2.3</x:v>
      </x:c>
      <x:c r="E21" s="14" t="n">
        <x:v>0</x:v>
      </x:c>
      <x:c r="F21" s="14" t="str">
        <x:v>작업: ready
대상: S02-08:question
조건: read_selected_content=true
무관한 업무 유지: 예
메일 발송 권한: 없음</x:v>
      </x:c>
      <x:c r="G21" s="14" t="str">
        <x:v>같은 발화와 의미를 유지한 작성 변형
음성 길이와 입력 token 수만 소폭 변경
독립 모델 실행 또는 실측 반복이 아님</x:v>
      </x:c>
    </x:row>
    <x:row r="22" ht="136" customHeight="1">
      <x:c r="A22" s="14" t="str">
        <x:v>S02-09</x:v>
      </x:c>
      <x:c r="B22" s="14" t="str">
        <x:v>S02</x:v>
      </x:c>
      <x:c r="C22" s="14" t="str">
        <x:v>대기 중인 메일 질문부터 읽어줘.</x:v>
      </x:c>
      <x:c r="D22" s="14" t="n">
        <x:v>-2.3</x:v>
      </x:c>
      <x:c r="E22" s="14" t="n">
        <x:v>0</x:v>
      </x:c>
      <x:c r="F22" s="14" t="str">
        <x:v>작업: ready
대상: S02-09:question
조건: read_selected_content=true
무관한 업무 유지: 예
메일 발송 권한: 없음</x:v>
      </x:c>
      <x:c r="G22" s="14" t="str">
        <x:v>같은 발화와 의미를 유지한 작성 변형
음성 길이와 입력 token 수만 소폭 변경
독립 모델 실행 또는 실측 반복이 아님</x:v>
      </x:c>
    </x:row>
    <x:row r="23" ht="136" customHeight="1">
      <x:c r="A23" s="14" t="str">
        <x:v>S02-10</x:v>
      </x:c>
      <x:c r="B23" s="14" t="str">
        <x:v>S02</x:v>
      </x:c>
      <x:c r="C23" s="14" t="str">
        <x:v>대기 중인 메일 질문부터 읽어줘.</x:v>
      </x:c>
      <x:c r="D23" s="14" t="n">
        <x:v>-2.3</x:v>
      </x:c>
      <x:c r="E23" s="14" t="n">
        <x:v>0</x:v>
      </x:c>
      <x:c r="F23" s="14" t="str">
        <x:v>작업: ready
대상: S02-10:question
조건: read_selected_content=true
무관한 업무 유지: 예
메일 발송 권한: 없음</x:v>
      </x:c>
      <x:c r="G23" s="14" t="str">
        <x:v>같은 발화와 의미를 유지한 작성 변형
음성 길이와 입력 token 수만 소폭 변경
독립 모델 실행 또는 실측 반복이 아님</x:v>
      </x:c>
    </x:row>
    <x:row r="24" ht="136" customHeight="1">
      <x:c r="A24" s="14" t="str">
        <x:v>S03-01</x:v>
      </x:c>
      <x:c r="B24" s="14" t="str">
        <x:v>S03</x:v>
      </x:c>
      <x:c r="C24" s="14" t="str">
        <x:v>보고서는 6월 기준으로 다시 해줘. 메일 질문부터 들려줘.</x:v>
      </x:c>
      <x:c r="D24" s="14" t="n">
        <x:v>-4.4</x:v>
      </x:c>
      <x:c r="E24" s="14" t="n">
        <x:v>0</x:v>
      </x:c>
      <x:c r="F24" s="14" t="str">
        <x:v>작업: revision
대상: S03-01:report_v1, S03-01:question
조건: report_month=6, question_first=true
무관한 업무 유지: 예
메일 발송 권한: 없음</x:v>
      </x:c>
      <x:c r="G24" s="14" t="str">
        <x:v>같은 발화와 의미를 유지한 작성 변형
음성 길이와 입력 token 수만 소폭 변경
독립 모델 실행 또는 실측 반복이 아님</x:v>
      </x:c>
    </x:row>
    <x:row r="25" ht="136" customHeight="1">
      <x:c r="A25" s="14" t="str">
        <x:v>S03-02</x:v>
      </x:c>
      <x:c r="B25" s="14" t="str">
        <x:v>S03</x:v>
      </x:c>
      <x:c r="C25" s="14" t="str">
        <x:v>보고서는 6월 기준으로 다시 해줘. 메일 질문부터 들려줘.</x:v>
      </x:c>
      <x:c r="D25" s="14" t="n">
        <x:v>-4.4</x:v>
      </x:c>
      <x:c r="E25" s="14" t="n">
        <x:v>0</x:v>
      </x:c>
      <x:c r="F25" s="14" t="str">
        <x:v>작업: revision
대상: S03-02:report_v1, S03-02:question
조건: report_month=6, question_first=true
무관한 업무 유지: 예
메일 발송 권한: 없음</x:v>
      </x:c>
      <x:c r="G25" s="14" t="str">
        <x:v>같은 발화와 의미를 유지한 작성 변형
음성 길이와 입력 token 수만 소폭 변경
독립 모델 실행 또는 실측 반복이 아님</x:v>
      </x:c>
    </x:row>
    <x:row r="26" ht="136" customHeight="1">
      <x:c r="A26" s="14" t="str">
        <x:v>S03-03</x:v>
      </x:c>
      <x:c r="B26" s="14" t="str">
        <x:v>S03</x:v>
      </x:c>
      <x:c r="C26" s="14" t="str">
        <x:v>보고서는 6월 기준으로 다시 해줘. 메일 질문부터 들려줘.</x:v>
      </x:c>
      <x:c r="D26" s="14" t="n">
        <x:v>-4.4</x:v>
      </x:c>
      <x:c r="E26" s="14" t="n">
        <x:v>0</x:v>
      </x:c>
      <x:c r="F26" s="14" t="str">
        <x:v>작업: revision
대상: S03-03:report_v1, S03-03:question
조건: report_month=6, question_first=true
무관한 업무 유지: 예
메일 발송 권한: 없음</x:v>
      </x:c>
      <x:c r="G26" s="14" t="str">
        <x:v>같은 발화와 의미를 유지한 작성 변형
음성 길이와 입력 token 수만 소폭 변경
독립 모델 실행 또는 실측 반복이 아님</x:v>
      </x:c>
    </x:row>
    <x:row r="27" ht="136" customHeight="1">
      <x:c r="A27" s="14" t="str">
        <x:v>S03-04</x:v>
      </x:c>
      <x:c r="B27" s="14" t="str">
        <x:v>S03</x:v>
      </x:c>
      <x:c r="C27" s="14" t="str">
        <x:v>보고서는 6월 기준으로 다시 해줘. 메일 질문부터 들려줘.</x:v>
      </x:c>
      <x:c r="D27" s="14" t="n">
        <x:v>-4.4</x:v>
      </x:c>
      <x:c r="E27" s="14" t="n">
        <x:v>0</x:v>
      </x:c>
      <x:c r="F27" s="14" t="str">
        <x:v>작업: revision
대상: S03-04:report_v1, S03-04:question
조건: report_month=6, question_first=true
무관한 업무 유지: 예
메일 발송 권한: 없음</x:v>
      </x:c>
      <x:c r="G27" s="14" t="str">
        <x:v>같은 발화와 의미를 유지한 작성 변형
음성 길이와 입력 token 수만 소폭 변경
독립 모델 실행 또는 실측 반복이 아님</x:v>
      </x:c>
    </x:row>
    <x:row r="28" ht="136" customHeight="1">
      <x:c r="A28" s="14" t="str">
        <x:v>S03-05</x:v>
      </x:c>
      <x:c r="B28" s="14" t="str">
        <x:v>S03</x:v>
      </x:c>
      <x:c r="C28" s="14" t="str">
        <x:v>보고서는 6월 기준으로 다시 해줘. 메일 질문부터 들려줘.</x:v>
      </x:c>
      <x:c r="D28" s="14" t="n">
        <x:v>-4.4</x:v>
      </x:c>
      <x:c r="E28" s="14" t="n">
        <x:v>0</x:v>
      </x:c>
      <x:c r="F28" s="14" t="str">
        <x:v>작업: revision
대상: S03-05:report_v1, S03-05:question
조건: report_month=6, question_first=true
무관한 업무 유지: 예
메일 발송 권한: 없음</x:v>
      </x:c>
      <x:c r="G28" s="14" t="str">
        <x:v>같은 발화와 의미를 유지한 작성 변형
음성 길이와 입력 token 수만 소폭 변경
독립 모델 실행 또는 실측 반복이 아님</x:v>
      </x:c>
    </x:row>
    <x:row r="29" ht="136" customHeight="1">
      <x:c r="A29" s="14" t="str">
        <x:v>S03-06</x:v>
      </x:c>
      <x:c r="B29" s="14" t="str">
        <x:v>S03</x:v>
      </x:c>
      <x:c r="C29" s="14" t="str">
        <x:v>보고서는 6월 기준으로 다시 해줘. 메일 질문부터 들려줘.</x:v>
      </x:c>
      <x:c r="D29" s="14" t="n">
        <x:v>-4.4</x:v>
      </x:c>
      <x:c r="E29" s="14" t="n">
        <x:v>0</x:v>
      </x:c>
      <x:c r="F29" s="14" t="str">
        <x:v>작업: revision
대상: S03-06:report_v1, S03-06:question
조건: report_month=6, question_first=true
무관한 업무 유지: 예
메일 발송 권한: 없음</x:v>
      </x:c>
      <x:c r="G29" s="14" t="str">
        <x:v>같은 발화와 의미를 유지한 작성 변형
음성 길이와 입력 token 수만 소폭 변경
독립 모델 실행 또는 실측 반복이 아님</x:v>
      </x:c>
    </x:row>
    <x:row r="30" ht="136" customHeight="1">
      <x:c r="A30" s="14" t="str">
        <x:v>S03-07</x:v>
      </x:c>
      <x:c r="B30" s="14" t="str">
        <x:v>S03</x:v>
      </x:c>
      <x:c r="C30" s="14" t="str">
        <x:v>보고서는 6월 기준으로 다시 해줘. 메일 질문부터 들려줘.</x:v>
      </x:c>
      <x:c r="D30" s="14" t="n">
        <x:v>-4.4</x:v>
      </x:c>
      <x:c r="E30" s="14" t="n">
        <x:v>0</x:v>
      </x:c>
      <x:c r="F30" s="14" t="str">
        <x:v>작업: revision
대상: S03-07:report_v1, S03-07:question
조건: report_month=6, question_first=true
무관한 업무 유지: 예
메일 발송 권한: 없음</x:v>
      </x:c>
      <x:c r="G30" s="14" t="str">
        <x:v>같은 발화와 의미를 유지한 작성 변형
음성 길이와 입력 token 수만 소폭 변경
독립 모델 실행 또는 실측 반복이 아님</x:v>
      </x:c>
    </x:row>
    <x:row r="31" ht="136" customHeight="1">
      <x:c r="A31" s="14" t="str">
        <x:v>S03-08</x:v>
      </x:c>
      <x:c r="B31" s="14" t="str">
        <x:v>S03</x:v>
      </x:c>
      <x:c r="C31" s="14" t="str">
        <x:v>보고서는 6월 기준으로 다시 해줘. 메일 질문부터 들려줘.</x:v>
      </x:c>
      <x:c r="D31" s="14" t="n">
        <x:v>-4.4</x:v>
      </x:c>
      <x:c r="E31" s="14" t="n">
        <x:v>0</x:v>
      </x:c>
      <x:c r="F31" s="14" t="str">
        <x:v>작업: revision
대상: S03-08:report_v1, S03-08:question
조건: report_month=6, question_first=true
무관한 업무 유지: 예
메일 발송 권한: 없음</x:v>
      </x:c>
      <x:c r="G31" s="14" t="str">
        <x:v>같은 발화와 의미를 유지한 작성 변형
음성 길이와 입력 token 수만 소폭 변경
독립 모델 실행 또는 실측 반복이 아님</x:v>
      </x:c>
    </x:row>
    <x:row r="32" ht="136" customHeight="1">
      <x:c r="A32" s="14" t="str">
        <x:v>S03-09</x:v>
      </x:c>
      <x:c r="B32" s="14" t="str">
        <x:v>S03</x:v>
      </x:c>
      <x:c r="C32" s="14" t="str">
        <x:v>보고서는 6월 기준으로 다시 해줘. 메일 질문부터 들려줘.</x:v>
      </x:c>
      <x:c r="D32" s="14" t="n">
        <x:v>-4.4</x:v>
      </x:c>
      <x:c r="E32" s="14" t="n">
        <x:v>0</x:v>
      </x:c>
      <x:c r="F32" s="14" t="str">
        <x:v>작업: revision
대상: S03-09:report_v1, S03-09:question
조건: report_month=6, question_first=true
무관한 업무 유지: 예
메일 발송 권한: 없음</x:v>
      </x:c>
      <x:c r="G32" s="14" t="str">
        <x:v>같은 발화와 의미를 유지한 작성 변형
음성 길이와 입력 token 수만 소폭 변경
독립 모델 실행 또는 실측 반복이 아님</x:v>
      </x:c>
    </x:row>
    <x:row r="33" ht="136" customHeight="1">
      <x:c r="A33" s="14" t="str">
        <x:v>S03-10</x:v>
      </x:c>
      <x:c r="B33" s="14" t="str">
        <x:v>S03</x:v>
      </x:c>
      <x:c r="C33" s="14" t="str">
        <x:v>보고서는 6월 기준으로 다시 해줘. 메일 질문부터 들려줘.</x:v>
      </x:c>
      <x:c r="D33" s="14" t="n">
        <x:v>-4.4</x:v>
      </x:c>
      <x:c r="E33" s="14" t="n">
        <x:v>0</x:v>
      </x:c>
      <x:c r="F33" s="14" t="str">
        <x:v>작업: revision
대상: S03-10:report_v1, S03-10:question
조건: report_month=6, question_first=true
무관한 업무 유지: 예
메일 발송 권한: 없음</x:v>
      </x:c>
      <x:c r="G33" s="14" t="str">
        <x:v>같은 발화와 의미를 유지한 작성 변형
음성 길이와 입력 token 수만 소폭 변경
독립 모델 실행 또는 실측 반복이 아님</x:v>
      </x:c>
    </x:row>
    <x:row r="34" ht="136" customHeight="1">
      <x:c r="A34" s="14" t="str">
        <x:v>S04-01</x:v>
      </x:c>
      <x:c r="B34" s="14" t="str">
        <x:v>S04</x:v>
      </x:c>
      <x:c r="C34" s="14" t="str">
        <x:v>그 보고서 음성 안내는 취소하고, 취소했다고만 알려줘.</x:v>
      </x:c>
      <x:c r="D34" s="14" t="n">
        <x:v>-4.4</x:v>
      </x:c>
      <x:c r="E34" s="14" t="n">
        <x:v>0</x:v>
      </x:c>
      <x:c r="F34" s="14" t="str">
        <x:v>작업: withdraw
대상: S04-01:report_v1
조건: cancel_audio_only=true, keep_display=true
무관한 업무 유지: 예
메일 발송 권한: 없음</x:v>
      </x:c>
      <x:c r="G34" s="14" t="str">
        <x:v>같은 발화와 의미를 유지한 작성 변형
음성 길이와 입력 token 수만 소폭 변경
독립 모델 실행 또는 실측 반복이 아님</x:v>
      </x:c>
    </x:row>
    <x:row r="35" ht="136" customHeight="1">
      <x:c r="A35" s="14" t="str">
        <x:v>S04-02</x:v>
      </x:c>
      <x:c r="B35" s="14" t="str">
        <x:v>S04</x:v>
      </x:c>
      <x:c r="C35" s="14" t="str">
        <x:v>그 보고서 음성 안내는 취소하고, 취소했다고만 알려줘.</x:v>
      </x:c>
      <x:c r="D35" s="14" t="n">
        <x:v>-4.4</x:v>
      </x:c>
      <x:c r="E35" s="14" t="n">
        <x:v>0</x:v>
      </x:c>
      <x:c r="F35" s="14" t="str">
        <x:v>작업: withdraw
대상: S04-02:report_v1
조건: cancel_audio_only=true, keep_display=true
무관한 업무 유지: 예
메일 발송 권한: 없음</x:v>
      </x:c>
      <x:c r="G35" s="14" t="str">
        <x:v>같은 발화와 의미를 유지한 작성 변형
음성 길이와 입력 token 수만 소폭 변경
독립 모델 실행 또는 실측 반복이 아님</x:v>
      </x:c>
    </x:row>
    <x:row r="36" ht="136" customHeight="1">
      <x:c r="A36" s="14" t="str">
        <x:v>S04-03</x:v>
      </x:c>
      <x:c r="B36" s="14" t="str">
        <x:v>S04</x:v>
      </x:c>
      <x:c r="C36" s="14" t="str">
        <x:v>그 보고서 음성 안내는 취소하고, 취소했다고만 알려줘.</x:v>
      </x:c>
      <x:c r="D36" s="14" t="n">
        <x:v>-4.4</x:v>
      </x:c>
      <x:c r="E36" s="14" t="n">
        <x:v>0</x:v>
      </x:c>
      <x:c r="F36" s="14" t="str">
        <x:v>작업: withdraw
대상: S04-03:report_v1
조건: cancel_audio_only=true, keep_display=true
무관한 업무 유지: 예
메일 발송 권한: 없음</x:v>
      </x:c>
      <x:c r="G36" s="14" t="str">
        <x:v>같은 발화와 의미를 유지한 작성 변형
음성 길이와 입력 token 수만 소폭 변경
독립 모델 실행 또는 실측 반복이 아님</x:v>
      </x:c>
    </x:row>
    <x:row r="37" ht="136" customHeight="1">
      <x:c r="A37" s="14" t="str">
        <x:v>S04-04</x:v>
      </x:c>
      <x:c r="B37" s="14" t="str">
        <x:v>S04</x:v>
      </x:c>
      <x:c r="C37" s="14" t="str">
        <x:v>그 보고서 음성 안내는 취소하고, 취소했다고만 알려줘.</x:v>
      </x:c>
      <x:c r="D37" s="14" t="n">
        <x:v>-4.4</x:v>
      </x:c>
      <x:c r="E37" s="14" t="n">
        <x:v>0</x:v>
      </x:c>
      <x:c r="F37" s="14" t="str">
        <x:v>작업: withdraw
대상: S04-04:report_v1
조건: cancel_audio_only=true, keep_display=true
무관한 업무 유지: 예
메일 발송 권한: 없음</x:v>
      </x:c>
      <x:c r="G37" s="14" t="str">
        <x:v>같은 발화와 의미를 유지한 작성 변형
음성 길이와 입력 token 수만 소폭 변경
독립 모델 실행 또는 실측 반복이 아님</x:v>
      </x:c>
    </x:row>
    <x:row r="38" ht="136" customHeight="1">
      <x:c r="A38" s="14" t="str">
        <x:v>S04-05</x:v>
      </x:c>
      <x:c r="B38" s="14" t="str">
        <x:v>S04</x:v>
      </x:c>
      <x:c r="C38" s="14" t="str">
        <x:v>그 보고서 음성 안내는 취소하고, 취소했다고만 알려줘.</x:v>
      </x:c>
      <x:c r="D38" s="14" t="n">
        <x:v>-4.4</x:v>
      </x:c>
      <x:c r="E38" s="14" t="n">
        <x:v>0</x:v>
      </x:c>
      <x:c r="F38" s="14" t="str">
        <x:v>작업: withdraw
대상: S04-05:report_v1
조건: cancel_audio_only=true, keep_display=true
무관한 업무 유지: 예
메일 발송 권한: 없음</x:v>
      </x:c>
      <x:c r="G38" s="14" t="str">
        <x:v>같은 발화와 의미를 유지한 작성 변형
음성 길이와 입력 token 수만 소폭 변경
독립 모델 실행 또는 실측 반복이 아님</x:v>
      </x:c>
    </x:row>
    <x:row r="39" ht="136" customHeight="1">
      <x:c r="A39" s="14" t="str">
        <x:v>S04-06</x:v>
      </x:c>
      <x:c r="B39" s="14" t="str">
        <x:v>S04</x:v>
      </x:c>
      <x:c r="C39" s="14" t="str">
        <x:v>그 보고서 음성 안내는 취소하고, 취소했다고만 알려줘.</x:v>
      </x:c>
      <x:c r="D39" s="14" t="n">
        <x:v>-4.4</x:v>
      </x:c>
      <x:c r="E39" s="14" t="n">
        <x:v>0</x:v>
      </x:c>
      <x:c r="F39" s="14" t="str">
        <x:v>작업: withdraw
대상: S04-06:report_v1
조건: cancel_audio_only=true, keep_display=true
무관한 업무 유지: 예
메일 발송 권한: 없음</x:v>
      </x:c>
      <x:c r="G39" s="14" t="str">
        <x:v>같은 발화와 의미를 유지한 작성 변형
음성 길이와 입력 token 수만 소폭 변경
독립 모델 실행 또는 실측 반복이 아님</x:v>
      </x:c>
    </x:row>
    <x:row r="40" ht="136" customHeight="1">
      <x:c r="A40" s="14" t="str">
        <x:v>S04-07</x:v>
      </x:c>
      <x:c r="B40" s="14" t="str">
        <x:v>S04</x:v>
      </x:c>
      <x:c r="C40" s="14" t="str">
        <x:v>그 보고서 음성 안내는 취소하고, 취소했다고만 알려줘.</x:v>
      </x:c>
      <x:c r="D40" s="14" t="n">
        <x:v>-4.4</x:v>
      </x:c>
      <x:c r="E40" s="14" t="n">
        <x:v>0</x:v>
      </x:c>
      <x:c r="F40" s="14" t="str">
        <x:v>작업: withdraw
대상: S04-07:report_v1
조건: cancel_audio_only=true, keep_display=true
무관한 업무 유지: 예
메일 발송 권한: 없음</x:v>
      </x:c>
      <x:c r="G40" s="14" t="str">
        <x:v>같은 발화와 의미를 유지한 작성 변형
음성 길이와 입력 token 수만 소폭 변경
독립 모델 실행 또는 실측 반복이 아님</x:v>
      </x:c>
    </x:row>
    <x:row r="41" ht="136" customHeight="1">
      <x:c r="A41" s="14" t="str">
        <x:v>S04-08</x:v>
      </x:c>
      <x:c r="B41" s="14" t="str">
        <x:v>S04</x:v>
      </x:c>
      <x:c r="C41" s="14" t="str">
        <x:v>그 보고서 음성 안내는 취소하고, 취소했다고만 알려줘.</x:v>
      </x:c>
      <x:c r="D41" s="14" t="n">
        <x:v>-4.4</x:v>
      </x:c>
      <x:c r="E41" s="14" t="n">
        <x:v>0</x:v>
      </x:c>
      <x:c r="F41" s="14" t="str">
        <x:v>작업: withdraw
대상: S04-08:report_v1
조건: cancel_audio_only=true, keep_display=true
무관한 업무 유지: 예
메일 발송 권한: 없음</x:v>
      </x:c>
      <x:c r="G41" s="14" t="str">
        <x:v>같은 발화와 의미를 유지한 작성 변형
음성 길이와 입력 token 수만 소폭 변경
독립 모델 실행 또는 실측 반복이 아님</x:v>
      </x:c>
    </x:row>
    <x:row r="42" ht="136" customHeight="1">
      <x:c r="A42" s="14" t="str">
        <x:v>S04-09</x:v>
      </x:c>
      <x:c r="B42" s="14" t="str">
        <x:v>S04</x:v>
      </x:c>
      <x:c r="C42" s="14" t="str">
        <x:v>그 보고서 음성 안내는 취소하고, 취소했다고만 알려줘.</x:v>
      </x:c>
      <x:c r="D42" s="14" t="n">
        <x:v>-4.4</x:v>
      </x:c>
      <x:c r="E42" s="14" t="n">
        <x:v>0</x:v>
      </x:c>
      <x:c r="F42" s="14" t="str">
        <x:v>작업: withdraw
대상: S04-09:report_v1
조건: cancel_audio_only=true, keep_display=true
무관한 업무 유지: 예
메일 발송 권한: 없음</x:v>
      </x:c>
      <x:c r="G42" s="14" t="str">
        <x:v>같은 발화와 의미를 유지한 작성 변형
음성 길이와 입력 token 수만 소폭 변경
독립 모델 실행 또는 실측 반복이 아님</x:v>
      </x:c>
    </x:row>
    <x:row r="43" ht="136" customHeight="1">
      <x:c r="A43" s="14" t="str">
        <x:v>S04-10</x:v>
      </x:c>
      <x:c r="B43" s="14" t="str">
        <x:v>S04</x:v>
      </x:c>
      <x:c r="C43" s="14" t="str">
        <x:v>그 보고서 음성 안내는 취소하고, 취소했다고만 알려줘.</x:v>
      </x:c>
      <x:c r="D43" s="14" t="n">
        <x:v>-4.4</x:v>
      </x:c>
      <x:c r="E43" s="14" t="n">
        <x:v>0</x:v>
      </x:c>
      <x:c r="F43" s="14" t="str">
        <x:v>작업: withdraw
대상: S04-10:report_v1
조건: cancel_audio_only=true, keep_display=true
무관한 업무 유지: 예
메일 발송 권한: 없음</x:v>
      </x:c>
      <x:c r="G43" s="14" t="str">
        <x:v>같은 발화와 의미를 유지한 작성 변형
음성 길이와 입력 token 수만 소폭 변경
독립 모델 실행 또는 실측 반복이 아님</x:v>
      </x:c>
    </x:row>
    <x:row r="44" ht="136" customHeight="1">
      <x:c r="A44" s="14" t="str">
        <x:v>S05-01</x:v>
      </x:c>
      <x:c r="B44" s="14" t="str">
        <x:v>S05</x:v>
      </x:c>
      <x:c r="C44" s="14" t="str">
        <x:v>메일 질문부터 읽고, 이 설명은 멈춘 곳부터 계속해.</x:v>
      </x:c>
      <x:c r="D44" s="14" t="n">
        <x:v>-3.6</x:v>
      </x:c>
      <x:c r="E44" s="14" t="n">
        <x:v>0</x:v>
      </x:c>
      <x:c r="F44" s="14" t="str">
        <x:v>작업: resume
대상: S05-01:question, S05-01:long_report
조건: question_first=true, resume_from_played_position=true
무관한 업무 유지: 예
메일 발송 권한: 없음</x:v>
      </x:c>
      <x:c r="G44" s="14" t="str">
        <x:v>같은 발화와 의미를 유지한 작성 변형
음성 길이와 입력 token 수만 소폭 변경
독립 모델 실행 또는 실측 반복이 아님</x:v>
      </x:c>
    </x:row>
    <x:row r="45" ht="136" customHeight="1">
      <x:c r="A45" s="14" t="str">
        <x:v>S05-02</x:v>
      </x:c>
      <x:c r="B45" s="14" t="str">
        <x:v>S05</x:v>
      </x:c>
      <x:c r="C45" s="14" t="str">
        <x:v>메일 질문부터 읽고, 이 설명은 멈춘 곳부터 계속해.</x:v>
      </x:c>
      <x:c r="D45" s="14" t="n">
        <x:v>-3.6</x:v>
      </x:c>
      <x:c r="E45" s="14" t="n">
        <x:v>0</x:v>
      </x:c>
      <x:c r="F45" s="14" t="str">
        <x:v>작업: resume
대상: S05-02:question, S05-02:long_report
조건: question_first=true, resume_from_played_position=true
무관한 업무 유지: 예
메일 발송 권한: 없음</x:v>
      </x:c>
      <x:c r="G45" s="14" t="str">
        <x:v>같은 발화와 의미를 유지한 작성 변형
음성 길이와 입력 token 수만 소폭 변경
독립 모델 실행 또는 실측 반복이 아님</x:v>
      </x:c>
    </x:row>
    <x:row r="46" ht="136" customHeight="1">
      <x:c r="A46" s="14" t="str">
        <x:v>S05-03</x:v>
      </x:c>
      <x:c r="B46" s="14" t="str">
        <x:v>S05</x:v>
      </x:c>
      <x:c r="C46" s="14" t="str">
        <x:v>메일 질문부터 읽고, 이 설명은 멈춘 곳부터 계속해.</x:v>
      </x:c>
      <x:c r="D46" s="14" t="n">
        <x:v>-3.6</x:v>
      </x:c>
      <x:c r="E46" s="14" t="n">
        <x:v>0</x:v>
      </x:c>
      <x:c r="F46" s="14" t="str">
        <x:v>작업: resume
대상: S05-03:question, S05-03:long_report
조건: question_first=true, resume_from_played_position=true
무관한 업무 유지: 예
메일 발송 권한: 없음</x:v>
      </x:c>
      <x:c r="G46" s="14" t="str">
        <x:v>같은 발화와 의미를 유지한 작성 변형
음성 길이와 입력 token 수만 소폭 변경
독립 모델 실행 또는 실측 반복이 아님</x:v>
      </x:c>
    </x:row>
    <x:row r="47" ht="136" customHeight="1">
      <x:c r="A47" s="14" t="str">
        <x:v>S05-04</x:v>
      </x:c>
      <x:c r="B47" s="14" t="str">
        <x:v>S05</x:v>
      </x:c>
      <x:c r="C47" s="14" t="str">
        <x:v>메일 질문부터 읽고, 이 설명은 멈춘 곳부터 계속해.</x:v>
      </x:c>
      <x:c r="D47" s="14" t="n">
        <x:v>-3.6</x:v>
      </x:c>
      <x:c r="E47" s="14" t="n">
        <x:v>0</x:v>
      </x:c>
      <x:c r="F47" s="14" t="str">
        <x:v>작업: resume
대상: S05-04:question, S05-04:long_report
조건: question_first=true, resume_from_played_position=true
무관한 업무 유지: 예
메일 발송 권한: 없음</x:v>
      </x:c>
      <x:c r="G47" s="14" t="str">
        <x:v>같은 발화와 의미를 유지한 작성 변형
음성 길이와 입력 token 수만 소폭 변경
독립 모델 실행 또는 실측 반복이 아님</x:v>
      </x:c>
    </x:row>
    <x:row r="48" ht="136" customHeight="1">
      <x:c r="A48" s="14" t="str">
        <x:v>S05-05</x:v>
      </x:c>
      <x:c r="B48" s="14" t="str">
        <x:v>S05</x:v>
      </x:c>
      <x:c r="C48" s="14" t="str">
        <x:v>메일 질문부터 읽고, 이 설명은 멈춘 곳부터 계속해.</x:v>
      </x:c>
      <x:c r="D48" s="14" t="n">
        <x:v>-3.6</x:v>
      </x:c>
      <x:c r="E48" s="14" t="n">
        <x:v>0</x:v>
      </x:c>
      <x:c r="F48" s="14" t="str">
        <x:v>작업: resume
대상: S05-05:question, S05-05:long_report
조건: question_first=true, resume_from_played_position=true
무관한 업무 유지: 예
메일 발송 권한: 없음</x:v>
      </x:c>
      <x:c r="G48" s="14" t="str">
        <x:v>같은 발화와 의미를 유지한 작성 변형
음성 길이와 입력 token 수만 소폭 변경
독립 모델 실행 또는 실측 반복이 아님</x:v>
      </x:c>
    </x:row>
    <x:row r="49" ht="136" customHeight="1">
      <x:c r="A49" s="14" t="str">
        <x:v>S05-06</x:v>
      </x:c>
      <x:c r="B49" s="14" t="str">
        <x:v>S05</x:v>
      </x:c>
      <x:c r="C49" s="14" t="str">
        <x:v>메일 질문부터 읽고, 이 설명은 멈춘 곳부터 계속해.</x:v>
      </x:c>
      <x:c r="D49" s="14" t="n">
        <x:v>-3.6</x:v>
      </x:c>
      <x:c r="E49" s="14" t="n">
        <x:v>0</x:v>
      </x:c>
      <x:c r="F49" s="14" t="str">
        <x:v>작업: resume
대상: S05-06:question, S05-06:long_report
조건: question_first=true, resume_from_played_position=true
무관한 업무 유지: 예
메일 발송 권한: 없음</x:v>
      </x:c>
      <x:c r="G49" s="14" t="str">
        <x:v>같은 발화와 의미를 유지한 작성 변형
음성 길이와 입력 token 수만 소폭 변경
독립 모델 실행 또는 실측 반복이 아님</x:v>
      </x:c>
    </x:row>
    <x:row r="50" ht="136" customHeight="1">
      <x:c r="A50" s="14" t="str">
        <x:v>S05-07</x:v>
      </x:c>
      <x:c r="B50" s="14" t="str">
        <x:v>S05</x:v>
      </x:c>
      <x:c r="C50" s="14" t="str">
        <x:v>메일 질문부터 읽고, 이 설명은 멈춘 곳부터 계속해.</x:v>
      </x:c>
      <x:c r="D50" s="14" t="n">
        <x:v>-3.6</x:v>
      </x:c>
      <x:c r="E50" s="14" t="n">
        <x:v>0</x:v>
      </x:c>
      <x:c r="F50" s="14" t="str">
        <x:v>작업: resume
대상: S05-07:question, S05-07:long_report
조건: question_first=true, resume_from_played_position=true
무관한 업무 유지: 예
메일 발송 권한: 없음</x:v>
      </x:c>
      <x:c r="G50" s="14" t="str">
        <x:v>같은 발화와 의미를 유지한 작성 변형
음성 길이와 입력 token 수만 소폭 변경
독립 모델 실행 또는 실측 반복이 아님</x:v>
      </x:c>
    </x:row>
    <x:row r="51" ht="136" customHeight="1">
      <x:c r="A51" s="14" t="str">
        <x:v>S05-08</x:v>
      </x:c>
      <x:c r="B51" s="14" t="str">
        <x:v>S05</x:v>
      </x:c>
      <x:c r="C51" s="14" t="str">
        <x:v>메일 질문부터 읽고, 이 설명은 멈춘 곳부터 계속해.</x:v>
      </x:c>
      <x:c r="D51" s="14" t="n">
        <x:v>-3.6</x:v>
      </x:c>
      <x:c r="E51" s="14" t="n">
        <x:v>0</x:v>
      </x:c>
      <x:c r="F51" s="14" t="str">
        <x:v>작업: resume
대상: S05-08:question, S05-08:long_report
조건: question_first=true, resume_from_played_position=true
무관한 업무 유지: 예
메일 발송 권한: 없음</x:v>
      </x:c>
      <x:c r="G51" s="14" t="str">
        <x:v>같은 발화와 의미를 유지한 작성 변형
음성 길이와 입력 token 수만 소폭 변경
독립 모델 실행 또는 실측 반복이 아님</x:v>
      </x:c>
    </x:row>
    <x:row r="52" ht="136" customHeight="1">
      <x:c r="A52" s="14" t="str">
        <x:v>S05-09</x:v>
      </x:c>
      <x:c r="B52" s="14" t="str">
        <x:v>S05</x:v>
      </x:c>
      <x:c r="C52" s="14" t="str">
        <x:v>메일 질문부터 읽고, 이 설명은 멈춘 곳부터 계속해.</x:v>
      </x:c>
      <x:c r="D52" s="14" t="n">
        <x:v>-3.6</x:v>
      </x:c>
      <x:c r="E52" s="14" t="n">
        <x:v>0</x:v>
      </x:c>
      <x:c r="F52" s="14" t="str">
        <x:v>작업: resume
대상: S05-09:question, S05-09:long_report
조건: question_first=true, resume_from_played_position=true
무관한 업무 유지: 예
메일 발송 권한: 없음</x:v>
      </x:c>
      <x:c r="G52" s="14" t="str">
        <x:v>같은 발화와 의미를 유지한 작성 변형
음성 길이와 입력 token 수만 소폭 변경
독립 모델 실행 또는 실측 반복이 아님</x:v>
      </x:c>
    </x:row>
    <x:row r="53" ht="136" customHeight="1">
      <x:c r="A53" s="14" t="str">
        <x:v>S05-10</x:v>
      </x:c>
      <x:c r="B53" s="14" t="str">
        <x:v>S05</x:v>
      </x:c>
      <x:c r="C53" s="14" t="str">
        <x:v>메일 질문부터 읽고, 이 설명은 멈춘 곳부터 계속해.</x:v>
      </x:c>
      <x:c r="D53" s="14" t="n">
        <x:v>-3.6</x:v>
      </x:c>
      <x:c r="E53" s="14" t="n">
        <x:v>0</x:v>
      </x:c>
      <x:c r="F53" s="14" t="str">
        <x:v>작업: resume
대상: S05-10:question, S05-10:long_report
조건: question_first=true, resume_from_played_position=true
무관한 업무 유지: 예
메일 발송 권한: 없음</x:v>
      </x:c>
      <x:c r="G53" s="14" t="str">
        <x:v>같은 발화와 의미를 유지한 작성 변형
음성 길이와 입력 token 수만 소폭 변경
독립 모델 실행 또는 실측 반복이 아님</x:v>
      </x:c>
    </x:row>
    <x:row r="54" ht="136" customHeight="1">
      <x:c r="A54" s="14" t="str">
        <x:v>S06-01</x:v>
      </x:c>
      <x:c r="B54" s="14" t="str">
        <x:v>S06</x:v>
      </x:c>
      <x:c r="C54" s="14" t="str">
        <x:v>그 설명을 멈춘 곳부터 이어서 읽어줘.</x:v>
      </x:c>
      <x:c r="D54" s="14" t="n">
        <x:v>-2</x:v>
      </x:c>
      <x:c r="E54" s="14" t="n">
        <x:v>0</x:v>
      </x:c>
      <x:c r="F54" s="14" t="str">
        <x:v>작업: false_trigger
대상: S06-01:explanation
조건: resume_from_played_position=true
무관한 업무 유지: 예
메일 발송 권한: 없음</x:v>
      </x:c>
      <x:c r="G54" s="14" t="str">
        <x:v>같은 발화와 의미를 유지한 작성 변형
음성 길이와 입력 token 수만 소폭 변경
독립 모델 실행 또는 실측 반복이 아님</x:v>
      </x:c>
    </x:row>
    <x:row r="55" ht="136" customHeight="1">
      <x:c r="A55" s="14" t="str">
        <x:v>S06-02</x:v>
      </x:c>
      <x:c r="B55" s="14" t="str">
        <x:v>S06</x:v>
      </x:c>
      <x:c r="C55" s="14" t="str">
        <x:v>그 설명을 멈춘 곳부터 이어서 읽어줘.</x:v>
      </x:c>
      <x:c r="D55" s="14" t="n">
        <x:v>-2</x:v>
      </x:c>
      <x:c r="E55" s="14" t="n">
        <x:v>0</x:v>
      </x:c>
      <x:c r="F55" s="14" t="str">
        <x:v>작업: false_trigger
대상: S06-02:explanation
조건: resume_from_played_position=true
무관한 업무 유지: 예
메일 발송 권한: 없음</x:v>
      </x:c>
      <x:c r="G55" s="14" t="str">
        <x:v>같은 발화와 의미를 유지한 작성 변형
음성 길이와 입력 token 수만 소폭 변경
독립 모델 실행 또는 실측 반복이 아님</x:v>
      </x:c>
    </x:row>
    <x:row r="56" ht="136" customHeight="1">
      <x:c r="A56" s="14" t="str">
        <x:v>S06-03</x:v>
      </x:c>
      <x:c r="B56" s="14" t="str">
        <x:v>S06</x:v>
      </x:c>
      <x:c r="C56" s="14" t="str">
        <x:v>그 설명을 멈춘 곳부터 이어서 읽어줘.</x:v>
      </x:c>
      <x:c r="D56" s="14" t="n">
        <x:v>-2</x:v>
      </x:c>
      <x:c r="E56" s="14" t="n">
        <x:v>0</x:v>
      </x:c>
      <x:c r="F56" s="14" t="str">
        <x:v>작업: false_trigger
대상: S06-03:explanation
조건: resume_from_played_position=true
무관한 업무 유지: 예
메일 발송 권한: 없음</x:v>
      </x:c>
      <x:c r="G56" s="14" t="str">
        <x:v>같은 발화와 의미를 유지한 작성 변형
음성 길이와 입력 token 수만 소폭 변경
독립 모델 실행 또는 실측 반복이 아님</x:v>
      </x:c>
    </x:row>
    <x:row r="57" ht="136" customHeight="1">
      <x:c r="A57" s="14" t="str">
        <x:v>S06-04</x:v>
      </x:c>
      <x:c r="B57" s="14" t="str">
        <x:v>S06</x:v>
      </x:c>
      <x:c r="C57" s="14" t="str">
        <x:v>그 설명을 멈춘 곳부터 이어서 읽어줘.</x:v>
      </x:c>
      <x:c r="D57" s="14" t="n">
        <x:v>-2</x:v>
      </x:c>
      <x:c r="E57" s="14" t="n">
        <x:v>0</x:v>
      </x:c>
      <x:c r="F57" s="14" t="str">
        <x:v>작업: false_trigger
대상: S06-04:explanation
조건: resume_from_played_position=true
무관한 업무 유지: 예
메일 발송 권한: 없음</x:v>
      </x:c>
      <x:c r="G57" s="14" t="str">
        <x:v>같은 발화와 의미를 유지한 작성 변형
음성 길이와 입력 token 수만 소폭 변경
독립 모델 실행 또는 실측 반복이 아님</x:v>
      </x:c>
    </x:row>
    <x:row r="58" ht="136" customHeight="1">
      <x:c r="A58" s="14" t="str">
        <x:v>S06-05</x:v>
      </x:c>
      <x:c r="B58" s="14" t="str">
        <x:v>S06</x:v>
      </x:c>
      <x:c r="C58" s="14" t="str">
        <x:v>그 설명을 멈춘 곳부터 이어서 읽어줘.</x:v>
      </x:c>
      <x:c r="D58" s="14" t="n">
        <x:v>-2</x:v>
      </x:c>
      <x:c r="E58" s="14" t="n">
        <x:v>0</x:v>
      </x:c>
      <x:c r="F58" s="14" t="str">
        <x:v>작업: false_trigger
대상: S06-05:explanation
조건: resume_from_played_position=true
무관한 업무 유지: 예
메일 발송 권한: 없음</x:v>
      </x:c>
      <x:c r="G58" s="14" t="str">
        <x:v>같은 발화와 의미를 유지한 작성 변형
음성 길이와 입력 token 수만 소폭 변경
독립 모델 실행 또는 실측 반복이 아님</x:v>
      </x:c>
    </x:row>
    <x:row r="59" ht="136" customHeight="1">
      <x:c r="A59" s="14" t="str">
        <x:v>S06-06</x:v>
      </x:c>
      <x:c r="B59" s="14" t="str">
        <x:v>S06</x:v>
      </x:c>
      <x:c r="C59" s="14" t="str">
        <x:v>그 설명을 멈춘 곳부터 이어서 읽어줘.</x:v>
      </x:c>
      <x:c r="D59" s="14" t="n">
        <x:v>-2</x:v>
      </x:c>
      <x:c r="E59" s="14" t="n">
        <x:v>0</x:v>
      </x:c>
      <x:c r="F59" s="14" t="str">
        <x:v>작업: false_trigger
대상: S06-06:explanation
조건: resume_from_played_position=true
무관한 업무 유지: 예
메일 발송 권한: 없음</x:v>
      </x:c>
      <x:c r="G59" s="14" t="str">
        <x:v>같은 발화와 의미를 유지한 작성 변형
음성 길이와 입력 token 수만 소폭 변경
독립 모델 실행 또는 실측 반복이 아님</x:v>
      </x:c>
    </x:row>
    <x:row r="60" ht="136" customHeight="1">
      <x:c r="A60" s="14" t="str">
        <x:v>S06-07</x:v>
      </x:c>
      <x:c r="B60" s="14" t="str">
        <x:v>S06</x:v>
      </x:c>
      <x:c r="C60" s="14" t="str">
        <x:v>그 설명을 멈춘 곳부터 이어서 읽어줘.</x:v>
      </x:c>
      <x:c r="D60" s="14" t="n">
        <x:v>-2</x:v>
      </x:c>
      <x:c r="E60" s="14" t="n">
        <x:v>0</x:v>
      </x:c>
      <x:c r="F60" s="14" t="str">
        <x:v>작업: false_trigger
대상: S06-07:explanation
조건: resume_from_played_position=true
무관한 업무 유지: 예
메일 발송 권한: 없음</x:v>
      </x:c>
      <x:c r="G60" s="14" t="str">
        <x:v>같은 발화와 의미를 유지한 작성 변형
음성 길이와 입력 token 수만 소폭 변경
독립 모델 실행 또는 실측 반복이 아님</x:v>
      </x:c>
    </x:row>
    <x:row r="61" ht="136" customHeight="1">
      <x:c r="A61" s="14" t="str">
        <x:v>S06-08</x:v>
      </x:c>
      <x:c r="B61" s="14" t="str">
        <x:v>S06</x:v>
      </x:c>
      <x:c r="C61" s="14" t="str">
        <x:v>그 설명을 멈춘 곳부터 이어서 읽어줘.</x:v>
      </x:c>
      <x:c r="D61" s="14" t="n">
        <x:v>-2</x:v>
      </x:c>
      <x:c r="E61" s="14" t="n">
        <x:v>0</x:v>
      </x:c>
      <x:c r="F61" s="14" t="str">
        <x:v>작업: false_trigger
대상: S06-08:explanation
조건: resume_from_played_position=true
무관한 업무 유지: 예
메일 발송 권한: 없음</x:v>
      </x:c>
      <x:c r="G61" s="14" t="str">
        <x:v>같은 발화와 의미를 유지한 작성 변형
음성 길이와 입력 token 수만 소폭 변경
독립 모델 실행 또는 실측 반복이 아님</x:v>
      </x:c>
    </x:row>
    <x:row r="62" ht="136" customHeight="1">
      <x:c r="A62" s="14" t="str">
        <x:v>S06-09</x:v>
      </x:c>
      <x:c r="B62" s="14" t="str">
        <x:v>S06</x:v>
      </x:c>
      <x:c r="C62" s="14" t="str">
        <x:v>그 설명을 멈춘 곳부터 이어서 읽어줘.</x:v>
      </x:c>
      <x:c r="D62" s="14" t="n">
        <x:v>-2</x:v>
      </x:c>
      <x:c r="E62" s="14" t="n">
        <x:v>0</x:v>
      </x:c>
      <x:c r="F62" s="14" t="str">
        <x:v>작업: false_trigger
대상: S06-09:explanation
조건: resume_from_played_position=true
무관한 업무 유지: 예
메일 발송 권한: 없음</x:v>
      </x:c>
      <x:c r="G62" s="14" t="str">
        <x:v>같은 발화와 의미를 유지한 작성 변형
음성 길이와 입력 token 수만 소폭 변경
독립 모델 실행 또는 실측 반복이 아님</x:v>
      </x:c>
    </x:row>
    <x:row r="63" ht="136" customHeight="1">
      <x:c r="A63" s="14" t="str">
        <x:v>S06-10</x:v>
      </x:c>
      <x:c r="B63" s="14" t="str">
        <x:v>S06</x:v>
      </x:c>
      <x:c r="C63" s="14" t="str">
        <x:v>그 설명을 멈춘 곳부터 이어서 읽어줘.</x:v>
      </x:c>
      <x:c r="D63" s="14" t="n">
        <x:v>-2</x:v>
      </x:c>
      <x:c r="E63" s="14" t="n">
        <x:v>0</x:v>
      </x:c>
      <x:c r="F63" s="14" t="str">
        <x:v>작업: false_trigger
대상: S06-10:explanation
조건: resume_from_played_position=true
무관한 업무 유지: 예
메일 발송 권한: 없음</x:v>
      </x:c>
      <x:c r="G63" s="14" t="str">
        <x:v>같은 발화와 의미를 유지한 작성 변형
음성 길이와 입력 token 수만 소폭 변경
독립 모델 실행 또는 실측 반복이 아님</x:v>
      </x:c>
    </x:row>
    <x:row r="64" ht="136" customHeight="1">
      <x:c r="A64" s="14" t="str">
        <x:v>S07-01</x:v>
      </x:c>
      <x:c r="B64" s="14" t="str">
        <x:v>S07</x:v>
      </x:c>
      <x:c r="C64" s="14" t="str">
        <x:v>일정, 메일, 보고서 순서로 읽어줘.</x:v>
      </x:c>
      <x:c r="D64" s="14" t="n">
        <x:v>-2.6</x:v>
      </x:c>
      <x:c r="E64" s="14" t="n">
        <x:v>0</x:v>
      </x:c>
      <x:c r="F64" s="14" t="str">
        <x:v>작업: burst
대상: S07-01:calendar, S07-01:mail, S07-01:report
조건: order=S07-01:calendar,S07-01:mail,S07-01:report
무관한 업무 유지: 예
메일 발송 권한: 없음</x:v>
      </x:c>
      <x:c r="G64" s="14" t="str">
        <x:v>같은 발화와 의미를 유지한 작성 변형
음성 길이와 입력 token 수만 소폭 변경
독립 모델 실행 또는 실측 반복이 아님</x:v>
      </x:c>
    </x:row>
    <x:row r="65" ht="136" customHeight="1">
      <x:c r="A65" s="14" t="str">
        <x:v>S07-02</x:v>
      </x:c>
      <x:c r="B65" s="14" t="str">
        <x:v>S07</x:v>
      </x:c>
      <x:c r="C65" s="14" t="str">
        <x:v>일정, 메일, 보고서 순서로 읽어줘.</x:v>
      </x:c>
      <x:c r="D65" s="14" t="n">
        <x:v>-2.6</x:v>
      </x:c>
      <x:c r="E65" s="14" t="n">
        <x:v>0</x:v>
      </x:c>
      <x:c r="F65" s="14" t="str">
        <x:v>작업: burst
대상: S07-02:calendar, S07-02:mail, S07-02:report
조건: order=S07-02:calendar,S07-02:mail,S07-02:report
무관한 업무 유지: 예
메일 발송 권한: 없음</x:v>
      </x:c>
      <x:c r="G65" s="14" t="str">
        <x:v>같은 발화와 의미를 유지한 작성 변형
음성 길이와 입력 token 수만 소폭 변경
독립 모델 실행 또는 실측 반복이 아님</x:v>
      </x:c>
    </x:row>
    <x:row r="66" ht="136" customHeight="1">
      <x:c r="A66" s="14" t="str">
        <x:v>S07-03</x:v>
      </x:c>
      <x:c r="B66" s="14" t="str">
        <x:v>S07</x:v>
      </x:c>
      <x:c r="C66" s="14" t="str">
        <x:v>일정, 메일, 보고서 순서로 읽어줘.</x:v>
      </x:c>
      <x:c r="D66" s="14" t="n">
        <x:v>-2.6</x:v>
      </x:c>
      <x:c r="E66" s="14" t="n">
        <x:v>0</x:v>
      </x:c>
      <x:c r="F66" s="14" t="str">
        <x:v>작업: burst
대상: S07-03:calendar, S07-03:mail, S07-03:report
조건: order=S07-03:calendar,S07-03:mail,S07-03:report
무관한 업무 유지: 예
메일 발송 권한: 없음</x:v>
      </x:c>
      <x:c r="G66" s="14" t="str">
        <x:v>같은 발화와 의미를 유지한 작성 변형
음성 길이와 입력 token 수만 소폭 변경
독립 모델 실행 또는 실측 반복이 아님</x:v>
      </x:c>
    </x:row>
    <x:row r="67" ht="136" customHeight="1">
      <x:c r="A67" s="14" t="str">
        <x:v>S07-04</x:v>
      </x:c>
      <x:c r="B67" s="14" t="str">
        <x:v>S07</x:v>
      </x:c>
      <x:c r="C67" s="14" t="str">
        <x:v>일정, 메일, 보고서 순서로 읽어줘.</x:v>
      </x:c>
      <x:c r="D67" s="14" t="n">
        <x:v>-2.6</x:v>
      </x:c>
      <x:c r="E67" s="14" t="n">
        <x:v>0</x:v>
      </x:c>
      <x:c r="F67" s="14" t="str">
        <x:v>작업: burst
대상: S07-04:calendar, S07-04:mail, S07-04:report
조건: order=S07-04:calendar,S07-04:mail,S07-04:report
무관한 업무 유지: 예
메일 발송 권한: 없음</x:v>
      </x:c>
      <x:c r="G67" s="14" t="str">
        <x:v>같은 발화와 의미를 유지한 작성 변형
음성 길이와 입력 token 수만 소폭 변경
독립 모델 실행 또는 실측 반복이 아님</x:v>
      </x:c>
    </x:row>
    <x:row r="68" ht="136" customHeight="1">
      <x:c r="A68" s="14" t="str">
        <x:v>S07-05</x:v>
      </x:c>
      <x:c r="B68" s="14" t="str">
        <x:v>S07</x:v>
      </x:c>
      <x:c r="C68" s="14" t="str">
        <x:v>일정, 메일, 보고서 순서로 읽어줘.</x:v>
      </x:c>
      <x:c r="D68" s="14" t="n">
        <x:v>-2.6</x:v>
      </x:c>
      <x:c r="E68" s="14" t="n">
        <x:v>0</x:v>
      </x:c>
      <x:c r="F68" s="14" t="str">
        <x:v>작업: burst
대상: S07-05:calendar, S07-05:mail, S07-05:report
조건: order=S07-05:calendar,S07-05:mail,S07-05:report
무관한 업무 유지: 예
메일 발송 권한: 없음</x:v>
      </x:c>
      <x:c r="G68" s="14" t="str">
        <x:v>같은 발화와 의미를 유지한 작성 변형
음성 길이와 입력 token 수만 소폭 변경
독립 모델 실행 또는 실측 반복이 아님</x:v>
      </x:c>
    </x:row>
    <x:row r="69" ht="136" customHeight="1">
      <x:c r="A69" s="14" t="str">
        <x:v>S07-06</x:v>
      </x:c>
      <x:c r="B69" s="14" t="str">
        <x:v>S07</x:v>
      </x:c>
      <x:c r="C69" s="14" t="str">
        <x:v>일정, 메일, 보고서 순서로 읽어줘.</x:v>
      </x:c>
      <x:c r="D69" s="14" t="n">
        <x:v>-2.6</x:v>
      </x:c>
      <x:c r="E69" s="14" t="n">
        <x:v>0</x:v>
      </x:c>
      <x:c r="F69" s="14" t="str">
        <x:v>작업: burst
대상: S07-06:calendar, S07-06:mail, S07-06:report
조건: order=S07-06:calendar,S07-06:mail,S07-06:report
무관한 업무 유지: 예
메일 발송 권한: 없음</x:v>
      </x:c>
      <x:c r="G69" s="14" t="str">
        <x:v>같은 발화와 의미를 유지한 작성 변형
음성 길이와 입력 token 수만 소폭 변경
독립 모델 실행 또는 실측 반복이 아님</x:v>
      </x:c>
    </x:row>
    <x:row r="70" ht="136" customHeight="1">
      <x:c r="A70" s="14" t="str">
        <x:v>S07-07</x:v>
      </x:c>
      <x:c r="B70" s="14" t="str">
        <x:v>S07</x:v>
      </x:c>
      <x:c r="C70" s="14" t="str">
        <x:v>일정, 메일, 보고서 순서로 읽어줘.</x:v>
      </x:c>
      <x:c r="D70" s="14" t="n">
        <x:v>-2.6</x:v>
      </x:c>
      <x:c r="E70" s="14" t="n">
        <x:v>0</x:v>
      </x:c>
      <x:c r="F70" s="14" t="str">
        <x:v>작업: burst
대상: S07-07:calendar, S07-07:mail, S07-07:report
조건: order=S07-07:calendar,S07-07:mail,S07-07:report
무관한 업무 유지: 예
메일 발송 권한: 없음</x:v>
      </x:c>
      <x:c r="G70" s="14" t="str">
        <x:v>같은 발화와 의미를 유지한 작성 변형
음성 길이와 입력 token 수만 소폭 변경
독립 모델 실행 또는 실측 반복이 아님</x:v>
      </x:c>
    </x:row>
    <x:row r="71" ht="136" customHeight="1">
      <x:c r="A71" s="14" t="str">
        <x:v>S07-08</x:v>
      </x:c>
      <x:c r="B71" s="14" t="str">
        <x:v>S07</x:v>
      </x:c>
      <x:c r="C71" s="14" t="str">
        <x:v>일정, 메일, 보고서 순서로 읽어줘.</x:v>
      </x:c>
      <x:c r="D71" s="14" t="n">
        <x:v>-2.6</x:v>
      </x:c>
      <x:c r="E71" s="14" t="n">
        <x:v>0</x:v>
      </x:c>
      <x:c r="F71" s="14" t="str">
        <x:v>작업: burst
대상: S07-08:calendar, S07-08:mail, S07-08:report
조건: order=S07-08:calendar,S07-08:mail,S07-08:report
무관한 업무 유지: 예
메일 발송 권한: 없음</x:v>
      </x:c>
      <x:c r="G71" s="14" t="str">
        <x:v>같은 발화와 의미를 유지한 작성 변형
음성 길이와 입력 token 수만 소폭 변경
독립 모델 실행 또는 실측 반복이 아님</x:v>
      </x:c>
    </x:row>
    <x:row r="72" ht="136" customHeight="1">
      <x:c r="A72" s="14" t="str">
        <x:v>S07-09</x:v>
      </x:c>
      <x:c r="B72" s="14" t="str">
        <x:v>S07</x:v>
      </x:c>
      <x:c r="C72" s="14" t="str">
        <x:v>일정, 메일, 보고서 순서로 읽어줘.</x:v>
      </x:c>
      <x:c r="D72" s="14" t="n">
        <x:v>-2.6</x:v>
      </x:c>
      <x:c r="E72" s="14" t="n">
        <x:v>0</x:v>
      </x:c>
      <x:c r="F72" s="14" t="str">
        <x:v>작업: burst
대상: S07-09:calendar, S07-09:mail, S07-09:report
조건: order=S07-09:calendar,S07-09:mail,S07-09:report
무관한 업무 유지: 예
메일 발송 권한: 없음</x:v>
      </x:c>
      <x:c r="G72" s="14" t="str">
        <x:v>같은 발화와 의미를 유지한 작성 변형
음성 길이와 입력 token 수만 소폭 변경
독립 모델 실행 또는 실측 반복이 아님</x:v>
      </x:c>
    </x:row>
    <x:row r="73" ht="136" customHeight="1">
      <x:c r="A73" s="14" t="str">
        <x:v>S07-10</x:v>
      </x:c>
      <x:c r="B73" s="14" t="str">
        <x:v>S07</x:v>
      </x:c>
      <x:c r="C73" s="14" t="str">
        <x:v>일정, 메일, 보고서 순서로 읽어줘.</x:v>
      </x:c>
      <x:c r="D73" s="14" t="n">
        <x:v>-2.6</x:v>
      </x:c>
      <x:c r="E73" s="14" t="n">
        <x:v>0</x:v>
      </x:c>
      <x:c r="F73" s="14" t="str">
        <x:v>작업: burst
대상: S07-10:calendar, S07-10:mail, S07-10:report
조건: order=S07-10:calendar,S07-10:mail,S07-10:report
무관한 업무 유지: 예
메일 발송 권한: 없음</x:v>
      </x:c>
      <x:c r="G73" s="14" t="str">
        <x:v>같은 발화와 의미를 유지한 작성 변형
음성 길이와 입력 token 수만 소폭 변경
독립 모델 실행 또는 실측 반복이 아님</x:v>
      </x:c>
    </x:row>
    <x:row r="74" ht="136" customHeight="1">
      <x:c r="A74" s="14" t="str">
        <x:v>S08-01</x:v>
      </x:c>
      <x:c r="B74" s="14" t="str">
        <x:v>S08</x:v>
      </x:c>
      <x:c r="C74" s="14" t="str">
        <x:v>도착하는 메일 질문을 바로 읽어줘.</x:v>
      </x:c>
      <x:c r="D74" s="14" t="n">
        <x:v>-2</x:v>
      </x:c>
      <x:c r="E74" s="14" t="n">
        <x:v>0</x:v>
      </x:c>
      <x:c r="F74" s="14" t="str">
        <x:v>작업: late
대상: S08-01:question
조건: read_selected_content=true
무관한 업무 유지: 예
메일 발송 권한: 없음</x:v>
      </x:c>
      <x:c r="G74" s="14" t="str">
        <x:v>같은 발화와 의미를 유지한 작성 변형
음성 길이와 입력 token 수만 소폭 변경
독립 모델 실행 또는 실측 반복이 아님</x:v>
      </x:c>
    </x:row>
    <x:row r="75" ht="136" customHeight="1">
      <x:c r="A75" s="14" t="str">
        <x:v>S08-02</x:v>
      </x:c>
      <x:c r="B75" s="14" t="str">
        <x:v>S08</x:v>
      </x:c>
      <x:c r="C75" s="14" t="str">
        <x:v>도착하는 메일 질문을 바로 읽어줘.</x:v>
      </x:c>
      <x:c r="D75" s="14" t="n">
        <x:v>-2</x:v>
      </x:c>
      <x:c r="E75" s="14" t="n">
        <x:v>0</x:v>
      </x:c>
      <x:c r="F75" s="14" t="str">
        <x:v>작업: late
대상: S08-02:question
조건: read_selected_content=true
무관한 업무 유지: 예
메일 발송 권한: 없음</x:v>
      </x:c>
      <x:c r="G75" s="14" t="str">
        <x:v>같은 발화와 의미를 유지한 작성 변형
음성 길이와 입력 token 수만 소폭 변경
독립 모델 실행 또는 실측 반복이 아님</x:v>
      </x:c>
    </x:row>
    <x:row r="76" ht="136" customHeight="1">
      <x:c r="A76" s="14" t="str">
        <x:v>S08-03</x:v>
      </x:c>
      <x:c r="B76" s="14" t="str">
        <x:v>S08</x:v>
      </x:c>
      <x:c r="C76" s="14" t="str">
        <x:v>도착하는 메일 질문을 바로 읽어줘.</x:v>
      </x:c>
      <x:c r="D76" s="14" t="n">
        <x:v>-2</x:v>
      </x:c>
      <x:c r="E76" s="14" t="n">
        <x:v>0</x:v>
      </x:c>
      <x:c r="F76" s="14" t="str">
        <x:v>작업: late
대상: S08-03:question
조건: read_selected_content=true
무관한 업무 유지: 예
메일 발송 권한: 없음</x:v>
      </x:c>
      <x:c r="G76" s="14" t="str">
        <x:v>같은 발화와 의미를 유지한 작성 변형
음성 길이와 입력 token 수만 소폭 변경
독립 모델 실행 또는 실측 반복이 아님</x:v>
      </x:c>
    </x:row>
    <x:row r="77" ht="136" customHeight="1">
      <x:c r="A77" s="14" t="str">
        <x:v>S08-04</x:v>
      </x:c>
      <x:c r="B77" s="14" t="str">
        <x:v>S08</x:v>
      </x:c>
      <x:c r="C77" s="14" t="str">
        <x:v>도착하는 메일 질문을 바로 읽어줘.</x:v>
      </x:c>
      <x:c r="D77" s="14" t="n">
        <x:v>-2</x:v>
      </x:c>
      <x:c r="E77" s="14" t="n">
        <x:v>0</x:v>
      </x:c>
      <x:c r="F77" s="14" t="str">
        <x:v>작업: late
대상: S08-04:question
조건: read_selected_content=true
무관한 업무 유지: 예
메일 발송 권한: 없음</x:v>
      </x:c>
      <x:c r="G77" s="14" t="str">
        <x:v>같은 발화와 의미를 유지한 작성 변형
음성 길이와 입력 token 수만 소폭 변경
독립 모델 실행 또는 실측 반복이 아님</x:v>
      </x:c>
    </x:row>
    <x:row r="78" ht="136" customHeight="1">
      <x:c r="A78" s="14" t="str">
        <x:v>S08-05</x:v>
      </x:c>
      <x:c r="B78" s="14" t="str">
        <x:v>S08</x:v>
      </x:c>
      <x:c r="C78" s="14" t="str">
        <x:v>도착하는 메일 질문을 바로 읽어줘.</x:v>
      </x:c>
      <x:c r="D78" s="14" t="n">
        <x:v>-2</x:v>
      </x:c>
      <x:c r="E78" s="14" t="n">
        <x:v>0</x:v>
      </x:c>
      <x:c r="F78" s="14" t="str">
        <x:v>작업: late
대상: S08-05:question
조건: read_selected_content=true
무관한 업무 유지: 예
메일 발송 권한: 없음</x:v>
      </x:c>
      <x:c r="G78" s="14" t="str">
        <x:v>같은 발화와 의미를 유지한 작성 변형
음성 길이와 입력 token 수만 소폭 변경
독립 모델 실행 또는 실측 반복이 아님</x:v>
      </x:c>
    </x:row>
    <x:row r="79" ht="136" customHeight="1">
      <x:c r="A79" s="14" t="str">
        <x:v>S08-06</x:v>
      </x:c>
      <x:c r="B79" s="14" t="str">
        <x:v>S08</x:v>
      </x:c>
      <x:c r="C79" s="14" t="str">
        <x:v>도착하는 메일 질문을 바로 읽어줘.</x:v>
      </x:c>
      <x:c r="D79" s="14" t="n">
        <x:v>-2</x:v>
      </x:c>
      <x:c r="E79" s="14" t="n">
        <x:v>0</x:v>
      </x:c>
      <x:c r="F79" s="14" t="str">
        <x:v>작업: late
대상: S08-06:question
조건: read_selected_content=true
무관한 업무 유지: 예
메일 발송 권한: 없음</x:v>
      </x:c>
      <x:c r="G79" s="14" t="str">
        <x:v>같은 발화와 의미를 유지한 작성 변형
음성 길이와 입력 token 수만 소폭 변경
독립 모델 실행 또는 실측 반복이 아님</x:v>
      </x:c>
    </x:row>
    <x:row r="80" ht="136" customHeight="1">
      <x:c r="A80" s="14" t="str">
        <x:v>S08-07</x:v>
      </x:c>
      <x:c r="B80" s="14" t="str">
        <x:v>S08</x:v>
      </x:c>
      <x:c r="C80" s="14" t="str">
        <x:v>도착하는 메일 질문을 바로 읽어줘.</x:v>
      </x:c>
      <x:c r="D80" s="14" t="n">
        <x:v>-2</x:v>
      </x:c>
      <x:c r="E80" s="14" t="n">
        <x:v>0</x:v>
      </x:c>
      <x:c r="F80" s="14" t="str">
        <x:v>작업: late
대상: S08-07:question
조건: read_selected_content=true
무관한 업무 유지: 예
메일 발송 권한: 없음</x:v>
      </x:c>
      <x:c r="G80" s="14" t="str">
        <x:v>같은 발화와 의미를 유지한 작성 변형
음성 길이와 입력 token 수만 소폭 변경
독립 모델 실행 또는 실측 반복이 아님</x:v>
      </x:c>
    </x:row>
    <x:row r="81" ht="136" customHeight="1">
      <x:c r="A81" s="14" t="str">
        <x:v>S08-08</x:v>
      </x:c>
      <x:c r="B81" s="14" t="str">
        <x:v>S08</x:v>
      </x:c>
      <x:c r="C81" s="14" t="str">
        <x:v>도착하는 메일 질문을 바로 읽어줘.</x:v>
      </x:c>
      <x:c r="D81" s="14" t="n">
        <x:v>-2</x:v>
      </x:c>
      <x:c r="E81" s="14" t="n">
        <x:v>0</x:v>
      </x:c>
      <x:c r="F81" s="14" t="str">
        <x:v>작업: late
대상: S08-08:question
조건: read_selected_content=true
무관한 업무 유지: 예
메일 발송 권한: 없음</x:v>
      </x:c>
      <x:c r="G81" s="14" t="str">
        <x:v>같은 발화와 의미를 유지한 작성 변형
음성 길이와 입력 token 수만 소폭 변경
독립 모델 실행 또는 실측 반복이 아님</x:v>
      </x:c>
    </x:row>
    <x:row r="82" ht="136" customHeight="1">
      <x:c r="A82" s="14" t="str">
        <x:v>S08-09</x:v>
      </x:c>
      <x:c r="B82" s="14" t="str">
        <x:v>S08</x:v>
      </x:c>
      <x:c r="C82" s="14" t="str">
        <x:v>도착하는 메일 질문을 바로 읽어줘.</x:v>
      </x:c>
      <x:c r="D82" s="14" t="n">
        <x:v>-2</x:v>
      </x:c>
      <x:c r="E82" s="14" t="n">
        <x:v>0</x:v>
      </x:c>
      <x:c r="F82" s="14" t="str">
        <x:v>작업: late
대상: S08-09:question
조건: read_selected_content=true
무관한 업무 유지: 예
메일 발송 권한: 없음</x:v>
      </x:c>
      <x:c r="G82" s="14" t="str">
        <x:v>같은 발화와 의미를 유지한 작성 변형
음성 길이와 입력 token 수만 소폭 변경
독립 모델 실행 또는 실측 반복이 아님</x:v>
      </x:c>
    </x:row>
    <x:row r="83" ht="136" customHeight="1">
      <x:c r="A83" s="14" t="str">
        <x:v>S08-10</x:v>
      </x:c>
      <x:c r="B83" s="14" t="str">
        <x:v>S08</x:v>
      </x:c>
      <x:c r="C83" s="14" t="str">
        <x:v>도착하는 메일 질문을 바로 읽어줘.</x:v>
      </x:c>
      <x:c r="D83" s="14" t="n">
        <x:v>-2</x:v>
      </x:c>
      <x:c r="E83" s="14" t="n">
        <x:v>0</x:v>
      </x:c>
      <x:c r="F83" s="14" t="str">
        <x:v>작업: late
대상: S08-10:question
조건: read_selected_content=true
무관한 업무 유지: 예
메일 발송 권한: 없음</x:v>
      </x:c>
      <x:c r="G83" s="14" t="str">
        <x:v>같은 발화와 의미를 유지한 작성 변형
음성 길이와 입력 token 수만 소폭 변경
독립 모델 실행 또는 실측 반복이 아님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c612d89cd81455b"/>
  </x:tableParts>
</x:worksheet>
</file>